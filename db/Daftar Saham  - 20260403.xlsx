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codeName="ThisWorkbook"/>
  <mc:AlternateContent xmlns:mc="http://schemas.openxmlformats.org/markup-compatibility/2006">
    <mc:Choice Requires="x15">
      <x15ac:absPath xmlns:x15ac="http://schemas.microsoft.com/office/spreadsheetml/2010/11/ac" url="/Users/satria/Documents/interaktifiti/dev/news-scraper/db/"/>
    </mc:Choice>
  </mc:AlternateContent>
  <xr:revisionPtr revIDLastSave="0" documentId="13_ncr:1_{AB78C8BB-3469-8844-ADCD-4937C83CCFEA}" xr6:coauthVersionLast="47" xr6:coauthVersionMax="47" xr10:uidLastSave="{00000000-0000-0000-0000-000000000000}"/>
  <bookViews>
    <workbookView xWindow="0" yWindow="660" windowWidth="29300" windowHeight="18980" activeTab="4" xr2:uid="{00000000-000D-0000-FFFF-FFFF00000000}"/>
  </bookViews>
  <sheets>
    <sheet name="stock" sheetId="1" r:id="rId1"/>
    <sheet name="industry" sheetId="3" r:id="rId2"/>
    <sheet name="alias gpt" sheetId="6" r:id="rId3"/>
    <sheet name="alias final" sheetId="4" r:id="rId4"/>
    <sheet name="alias power query" sheetId="5" r:id="rId5"/>
  </sheets>
  <definedNames>
    <definedName name="ExternalData_1" localSheetId="4" hidden="1">'alias power query'!$A$1:$C$3892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58" i="1" l="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F3" i="3"/>
  <c r="A3" i="3"/>
  <c r="R2" i="1"/>
  <c r="L958" i="6"/>
  <c r="I958" i="6"/>
  <c r="F958" i="6"/>
  <c r="D958" i="6"/>
  <c r="E958" i="6" s="1"/>
  <c r="G958" i="6" s="1"/>
  <c r="H958" i="6" s="1"/>
  <c r="J958" i="6" s="1"/>
  <c r="K958" i="6" s="1"/>
  <c r="M958" i="6" s="1"/>
  <c r="N958" i="6" s="1"/>
  <c r="L957" i="6"/>
  <c r="I957" i="6"/>
  <c r="F957" i="6"/>
  <c r="D957" i="6"/>
  <c r="E957" i="6" s="1"/>
  <c r="G957" i="6" s="1"/>
  <c r="H957" i="6" s="1"/>
  <c r="J957" i="6" s="1"/>
  <c r="K957" i="6" s="1"/>
  <c r="M957" i="6" s="1"/>
  <c r="N957" i="6" s="1"/>
  <c r="L956" i="6"/>
  <c r="I956" i="6"/>
  <c r="F956" i="6"/>
  <c r="D956" i="6"/>
  <c r="E956" i="6" s="1"/>
  <c r="G956" i="6" s="1"/>
  <c r="H956" i="6" s="1"/>
  <c r="J956" i="6" s="1"/>
  <c r="K956" i="6" s="1"/>
  <c r="L955" i="6"/>
  <c r="I955" i="6"/>
  <c r="F955" i="6"/>
  <c r="D955" i="6"/>
  <c r="E955" i="6" s="1"/>
  <c r="G955" i="6" s="1"/>
  <c r="H955" i="6" s="1"/>
  <c r="J955" i="6" s="1"/>
  <c r="K955" i="6" s="1"/>
  <c r="M955" i="6" s="1"/>
  <c r="N955" i="6" s="1"/>
  <c r="L954" i="6"/>
  <c r="K954" i="6"/>
  <c r="I954" i="6"/>
  <c r="F954" i="6"/>
  <c r="E954" i="6"/>
  <c r="G954" i="6" s="1"/>
  <c r="H954" i="6" s="1"/>
  <c r="J954" i="6" s="1"/>
  <c r="D954" i="6"/>
  <c r="L953" i="6"/>
  <c r="I953" i="6"/>
  <c r="F953" i="6"/>
  <c r="D953" i="6"/>
  <c r="E953" i="6" s="1"/>
  <c r="G953" i="6" s="1"/>
  <c r="H953" i="6" s="1"/>
  <c r="J953" i="6" s="1"/>
  <c r="K953" i="6" s="1"/>
  <c r="M953" i="6" s="1"/>
  <c r="N953" i="6" s="1"/>
  <c r="L952" i="6"/>
  <c r="I952" i="6"/>
  <c r="F952" i="6"/>
  <c r="E952" i="6"/>
  <c r="G952" i="6" s="1"/>
  <c r="H952" i="6" s="1"/>
  <c r="J952" i="6" s="1"/>
  <c r="K952" i="6" s="1"/>
  <c r="M952" i="6" s="1"/>
  <c r="N952" i="6" s="1"/>
  <c r="D952" i="6"/>
  <c r="L951" i="6"/>
  <c r="I951" i="6"/>
  <c r="F951" i="6"/>
  <c r="D951" i="6"/>
  <c r="E951" i="6" s="1"/>
  <c r="G951" i="6" s="1"/>
  <c r="H951" i="6" s="1"/>
  <c r="J951" i="6" s="1"/>
  <c r="K951" i="6" s="1"/>
  <c r="M951" i="6" s="1"/>
  <c r="N951" i="6" s="1"/>
  <c r="L950" i="6"/>
  <c r="I950" i="6"/>
  <c r="F950" i="6"/>
  <c r="D950" i="6"/>
  <c r="E950" i="6" s="1"/>
  <c r="G950" i="6" s="1"/>
  <c r="H950" i="6" s="1"/>
  <c r="J950" i="6" s="1"/>
  <c r="K950" i="6" s="1"/>
  <c r="L949" i="6"/>
  <c r="I949" i="6"/>
  <c r="F949" i="6"/>
  <c r="D949" i="6"/>
  <c r="E949" i="6" s="1"/>
  <c r="G949" i="6" s="1"/>
  <c r="H949" i="6" s="1"/>
  <c r="J949" i="6" s="1"/>
  <c r="K949" i="6" s="1"/>
  <c r="M949" i="6" s="1"/>
  <c r="N949" i="6" s="1"/>
  <c r="L948" i="6"/>
  <c r="I948" i="6"/>
  <c r="F948" i="6"/>
  <c r="D948" i="6"/>
  <c r="E948" i="6" s="1"/>
  <c r="L947" i="6"/>
  <c r="I947" i="6"/>
  <c r="F947" i="6"/>
  <c r="D947" i="6"/>
  <c r="E947" i="6" s="1"/>
  <c r="L946" i="6"/>
  <c r="I946" i="6"/>
  <c r="F946" i="6"/>
  <c r="D946" i="6"/>
  <c r="E946" i="6" s="1"/>
  <c r="G946" i="6" s="1"/>
  <c r="H946" i="6" s="1"/>
  <c r="L945" i="6"/>
  <c r="I945" i="6"/>
  <c r="F945" i="6"/>
  <c r="D945" i="6"/>
  <c r="E945" i="6" s="1"/>
  <c r="G945" i="6" s="1"/>
  <c r="H945" i="6" s="1"/>
  <c r="J945" i="6" s="1"/>
  <c r="K945" i="6" s="1"/>
  <c r="M945" i="6" s="1"/>
  <c r="N945" i="6" s="1"/>
  <c r="L944" i="6"/>
  <c r="I944" i="6"/>
  <c r="F944" i="6"/>
  <c r="D944" i="6"/>
  <c r="E944" i="6" s="1"/>
  <c r="G944" i="6" s="1"/>
  <c r="H944" i="6" s="1"/>
  <c r="J944" i="6" s="1"/>
  <c r="K944" i="6" s="1"/>
  <c r="L943" i="6"/>
  <c r="I943" i="6"/>
  <c r="F943" i="6"/>
  <c r="D943" i="6"/>
  <c r="E943" i="6" s="1"/>
  <c r="L942" i="6"/>
  <c r="I942" i="6"/>
  <c r="F942" i="6"/>
  <c r="E942" i="6"/>
  <c r="D942" i="6"/>
  <c r="L941" i="6"/>
  <c r="I941" i="6"/>
  <c r="F941" i="6"/>
  <c r="D941" i="6"/>
  <c r="E941" i="6" s="1"/>
  <c r="G941" i="6" s="1"/>
  <c r="H941" i="6" s="1"/>
  <c r="J941" i="6" s="1"/>
  <c r="K941" i="6" s="1"/>
  <c r="M941" i="6" s="1"/>
  <c r="N941" i="6" s="1"/>
  <c r="L940" i="6"/>
  <c r="I940" i="6"/>
  <c r="F940" i="6"/>
  <c r="D940" i="6"/>
  <c r="E940" i="6" s="1"/>
  <c r="G940" i="6" s="1"/>
  <c r="H940" i="6" s="1"/>
  <c r="J940" i="6" s="1"/>
  <c r="K940" i="6" s="1"/>
  <c r="M940" i="6" s="1"/>
  <c r="N940" i="6" s="1"/>
  <c r="L939" i="6"/>
  <c r="I939" i="6"/>
  <c r="F939" i="6"/>
  <c r="E939" i="6"/>
  <c r="G939" i="6" s="1"/>
  <c r="H939" i="6" s="1"/>
  <c r="J939" i="6" s="1"/>
  <c r="K939" i="6" s="1"/>
  <c r="M939" i="6" s="1"/>
  <c r="N939" i="6" s="1"/>
  <c r="D939" i="6"/>
  <c r="L938" i="6"/>
  <c r="I938" i="6"/>
  <c r="F938" i="6"/>
  <c r="D938" i="6"/>
  <c r="E938" i="6" s="1"/>
  <c r="L937" i="6"/>
  <c r="I937" i="6"/>
  <c r="F937" i="6"/>
  <c r="D937" i="6"/>
  <c r="E937" i="6" s="1"/>
  <c r="L936" i="6"/>
  <c r="I936" i="6"/>
  <c r="F936" i="6"/>
  <c r="D936" i="6"/>
  <c r="E936" i="6" s="1"/>
  <c r="L935" i="6"/>
  <c r="I935" i="6"/>
  <c r="F935" i="6"/>
  <c r="D935" i="6"/>
  <c r="E935" i="6" s="1"/>
  <c r="G935" i="6" s="1"/>
  <c r="H935" i="6" s="1"/>
  <c r="J935" i="6" s="1"/>
  <c r="K935" i="6" s="1"/>
  <c r="M935" i="6" s="1"/>
  <c r="N935" i="6" s="1"/>
  <c r="L934" i="6"/>
  <c r="I934" i="6"/>
  <c r="F934" i="6"/>
  <c r="E934" i="6"/>
  <c r="G934" i="6" s="1"/>
  <c r="H934" i="6" s="1"/>
  <c r="J934" i="6" s="1"/>
  <c r="K934" i="6" s="1"/>
  <c r="D934" i="6"/>
  <c r="L933" i="6"/>
  <c r="I933" i="6"/>
  <c r="F933" i="6"/>
  <c r="D933" i="6"/>
  <c r="E933" i="6" s="1"/>
  <c r="L932" i="6"/>
  <c r="I932" i="6"/>
  <c r="F932" i="6"/>
  <c r="E932" i="6"/>
  <c r="D932" i="6"/>
  <c r="L931" i="6"/>
  <c r="I931" i="6"/>
  <c r="F931" i="6"/>
  <c r="D931" i="6"/>
  <c r="E931" i="6" s="1"/>
  <c r="G931" i="6" s="1"/>
  <c r="H931" i="6" s="1"/>
  <c r="J931" i="6" s="1"/>
  <c r="K931" i="6" s="1"/>
  <c r="M931" i="6" s="1"/>
  <c r="N931" i="6" s="1"/>
  <c r="L930" i="6"/>
  <c r="I930" i="6"/>
  <c r="F930" i="6"/>
  <c r="D930" i="6"/>
  <c r="E930" i="6" s="1"/>
  <c r="G930" i="6" s="1"/>
  <c r="H930" i="6" s="1"/>
  <c r="J930" i="6" s="1"/>
  <c r="K930" i="6" s="1"/>
  <c r="L929" i="6"/>
  <c r="I929" i="6"/>
  <c r="F929" i="6"/>
  <c r="D929" i="6"/>
  <c r="E929" i="6" s="1"/>
  <c r="L928" i="6"/>
  <c r="I928" i="6"/>
  <c r="F928" i="6"/>
  <c r="D928" i="6"/>
  <c r="E928" i="6" s="1"/>
  <c r="L927" i="6"/>
  <c r="I927" i="6"/>
  <c r="F927" i="6"/>
  <c r="D927" i="6"/>
  <c r="E927" i="6" s="1"/>
  <c r="G927" i="6" s="1"/>
  <c r="H927" i="6" s="1"/>
  <c r="L926" i="6"/>
  <c r="I926" i="6"/>
  <c r="F926" i="6"/>
  <c r="D926" i="6"/>
  <c r="E926" i="6" s="1"/>
  <c r="G926" i="6" s="1"/>
  <c r="H926" i="6" s="1"/>
  <c r="L925" i="6"/>
  <c r="I925" i="6"/>
  <c r="F925" i="6"/>
  <c r="D925" i="6"/>
  <c r="E925" i="6" s="1"/>
  <c r="G925" i="6" s="1"/>
  <c r="H925" i="6" s="1"/>
  <c r="L924" i="6"/>
  <c r="I924" i="6"/>
  <c r="F924" i="6"/>
  <c r="D924" i="6"/>
  <c r="E924" i="6" s="1"/>
  <c r="L923" i="6"/>
  <c r="I923" i="6"/>
  <c r="F923" i="6"/>
  <c r="D923" i="6"/>
  <c r="E923" i="6" s="1"/>
  <c r="G923" i="6" s="1"/>
  <c r="H923" i="6" s="1"/>
  <c r="L922" i="6"/>
  <c r="I922" i="6"/>
  <c r="F922" i="6"/>
  <c r="E922" i="6"/>
  <c r="D922" i="6"/>
  <c r="L921" i="6"/>
  <c r="I921" i="6"/>
  <c r="F921" i="6"/>
  <c r="D921" i="6"/>
  <c r="E921" i="6" s="1"/>
  <c r="L920" i="6"/>
  <c r="I920" i="6"/>
  <c r="F920" i="6"/>
  <c r="D920" i="6"/>
  <c r="E920" i="6" s="1"/>
  <c r="G920" i="6" s="1"/>
  <c r="H920" i="6" s="1"/>
  <c r="J920" i="6" s="1"/>
  <c r="K920" i="6" s="1"/>
  <c r="M920" i="6" s="1"/>
  <c r="N920" i="6" s="1"/>
  <c r="L919" i="6"/>
  <c r="I919" i="6"/>
  <c r="F919" i="6"/>
  <c r="D919" i="6"/>
  <c r="E919" i="6" s="1"/>
  <c r="L918" i="6"/>
  <c r="I918" i="6"/>
  <c r="F918" i="6"/>
  <c r="E918" i="6"/>
  <c r="D918" i="6"/>
  <c r="L917" i="6"/>
  <c r="I917" i="6"/>
  <c r="F917" i="6"/>
  <c r="D917" i="6"/>
  <c r="E917" i="6" s="1"/>
  <c r="L916" i="6"/>
  <c r="I916" i="6"/>
  <c r="F916" i="6"/>
  <c r="D916" i="6"/>
  <c r="E916" i="6" s="1"/>
  <c r="G916" i="6" s="1"/>
  <c r="H916" i="6" s="1"/>
  <c r="L915" i="6"/>
  <c r="I915" i="6"/>
  <c r="F915" i="6"/>
  <c r="D915" i="6"/>
  <c r="E915" i="6" s="1"/>
  <c r="G915" i="6" s="1"/>
  <c r="H915" i="6" s="1"/>
  <c r="J915" i="6" s="1"/>
  <c r="K915" i="6" s="1"/>
  <c r="M915" i="6" s="1"/>
  <c r="N915" i="6" s="1"/>
  <c r="L914" i="6"/>
  <c r="I914" i="6"/>
  <c r="F914" i="6"/>
  <c r="D914" i="6"/>
  <c r="E914" i="6" s="1"/>
  <c r="G914" i="6" s="1"/>
  <c r="H914" i="6" s="1"/>
  <c r="J914" i="6" s="1"/>
  <c r="K914" i="6" s="1"/>
  <c r="M914" i="6" s="1"/>
  <c r="N914" i="6" s="1"/>
  <c r="L913" i="6"/>
  <c r="I913" i="6"/>
  <c r="F913" i="6"/>
  <c r="D913" i="6"/>
  <c r="E913" i="6" s="1"/>
  <c r="G913" i="6" s="1"/>
  <c r="H913" i="6" s="1"/>
  <c r="J913" i="6" s="1"/>
  <c r="K913" i="6" s="1"/>
  <c r="M913" i="6" s="1"/>
  <c r="N913" i="6" s="1"/>
  <c r="L912" i="6"/>
  <c r="I912" i="6"/>
  <c r="F912" i="6"/>
  <c r="D912" i="6"/>
  <c r="E912" i="6" s="1"/>
  <c r="G912" i="6" s="1"/>
  <c r="H912" i="6" s="1"/>
  <c r="L911" i="6"/>
  <c r="I911" i="6"/>
  <c r="F911" i="6"/>
  <c r="E911" i="6"/>
  <c r="G911" i="6" s="1"/>
  <c r="H911" i="6" s="1"/>
  <c r="D911" i="6"/>
  <c r="L910" i="6"/>
  <c r="I910" i="6"/>
  <c r="F910" i="6"/>
  <c r="D910" i="6"/>
  <c r="E910" i="6" s="1"/>
  <c r="G910" i="6" s="1"/>
  <c r="H910" i="6" s="1"/>
  <c r="J910" i="6" s="1"/>
  <c r="K910" i="6" s="1"/>
  <c r="M910" i="6" s="1"/>
  <c r="N910" i="6" s="1"/>
  <c r="L909" i="6"/>
  <c r="I909" i="6"/>
  <c r="F909" i="6"/>
  <c r="E909" i="6"/>
  <c r="G909" i="6" s="1"/>
  <c r="H909" i="6" s="1"/>
  <c r="J909" i="6" s="1"/>
  <c r="K909" i="6" s="1"/>
  <c r="M909" i="6" s="1"/>
  <c r="N909" i="6" s="1"/>
  <c r="D909" i="6"/>
  <c r="L908" i="6"/>
  <c r="I908" i="6"/>
  <c r="F908" i="6"/>
  <c r="E908" i="6"/>
  <c r="D908" i="6"/>
  <c r="L907" i="6"/>
  <c r="I907" i="6"/>
  <c r="F907" i="6"/>
  <c r="D907" i="6"/>
  <c r="E907" i="6" s="1"/>
  <c r="G907" i="6" s="1"/>
  <c r="H907" i="6" s="1"/>
  <c r="J907" i="6" s="1"/>
  <c r="K907" i="6" s="1"/>
  <c r="M907" i="6" s="1"/>
  <c r="N907" i="6" s="1"/>
  <c r="L906" i="6"/>
  <c r="I906" i="6"/>
  <c r="F906" i="6"/>
  <c r="D906" i="6"/>
  <c r="E906" i="6" s="1"/>
  <c r="L905" i="6"/>
  <c r="I905" i="6"/>
  <c r="F905" i="6"/>
  <c r="D905" i="6"/>
  <c r="E905" i="6" s="1"/>
  <c r="L904" i="6"/>
  <c r="I904" i="6"/>
  <c r="F904" i="6"/>
  <c r="E904" i="6"/>
  <c r="G904" i="6" s="1"/>
  <c r="H904" i="6" s="1"/>
  <c r="J904" i="6" s="1"/>
  <c r="K904" i="6" s="1"/>
  <c r="M904" i="6" s="1"/>
  <c r="N904" i="6" s="1"/>
  <c r="D904" i="6"/>
  <c r="L903" i="6"/>
  <c r="I903" i="6"/>
  <c r="F903" i="6"/>
  <c r="D903" i="6"/>
  <c r="E903" i="6" s="1"/>
  <c r="L902" i="6"/>
  <c r="I902" i="6"/>
  <c r="F902" i="6"/>
  <c r="E902" i="6"/>
  <c r="G902" i="6" s="1"/>
  <c r="H902" i="6" s="1"/>
  <c r="J902" i="6" s="1"/>
  <c r="K902" i="6" s="1"/>
  <c r="M902" i="6" s="1"/>
  <c r="N902" i="6" s="1"/>
  <c r="D902" i="6"/>
  <c r="L901" i="6"/>
  <c r="I901" i="6"/>
  <c r="H901" i="6"/>
  <c r="J901" i="6" s="1"/>
  <c r="K901" i="6" s="1"/>
  <c r="M901" i="6" s="1"/>
  <c r="N901" i="6" s="1"/>
  <c r="F901" i="6"/>
  <c r="E901" i="6"/>
  <c r="G901" i="6" s="1"/>
  <c r="D901" i="6"/>
  <c r="L900" i="6"/>
  <c r="I900" i="6"/>
  <c r="F900" i="6"/>
  <c r="D900" i="6"/>
  <c r="E900" i="6" s="1"/>
  <c r="G900" i="6" s="1"/>
  <c r="H900" i="6" s="1"/>
  <c r="J900" i="6" s="1"/>
  <c r="K900" i="6" s="1"/>
  <c r="M900" i="6" s="1"/>
  <c r="N900" i="6" s="1"/>
  <c r="L899" i="6"/>
  <c r="I899" i="6"/>
  <c r="F899" i="6"/>
  <c r="E899" i="6"/>
  <c r="G899" i="6" s="1"/>
  <c r="H899" i="6" s="1"/>
  <c r="D899" i="6"/>
  <c r="L898" i="6"/>
  <c r="I898" i="6"/>
  <c r="F898" i="6"/>
  <c r="D898" i="6"/>
  <c r="E898" i="6" s="1"/>
  <c r="L897" i="6"/>
  <c r="I897" i="6"/>
  <c r="F897" i="6"/>
  <c r="D897" i="6"/>
  <c r="E897" i="6" s="1"/>
  <c r="G897" i="6" s="1"/>
  <c r="H897" i="6" s="1"/>
  <c r="J897" i="6" s="1"/>
  <c r="K897" i="6" s="1"/>
  <c r="L896" i="6"/>
  <c r="I896" i="6"/>
  <c r="F896" i="6"/>
  <c r="D896" i="6"/>
  <c r="E896" i="6" s="1"/>
  <c r="G896" i="6" s="1"/>
  <c r="H896" i="6" s="1"/>
  <c r="L895" i="6"/>
  <c r="I895" i="6"/>
  <c r="F895" i="6"/>
  <c r="D895" i="6"/>
  <c r="E895" i="6" s="1"/>
  <c r="G895" i="6" s="1"/>
  <c r="H895" i="6" s="1"/>
  <c r="L894" i="6"/>
  <c r="I894" i="6"/>
  <c r="F894" i="6"/>
  <c r="D894" i="6"/>
  <c r="E894" i="6" s="1"/>
  <c r="L893" i="6"/>
  <c r="I893" i="6"/>
  <c r="F893" i="6"/>
  <c r="D893" i="6"/>
  <c r="E893" i="6" s="1"/>
  <c r="L892" i="6"/>
  <c r="I892" i="6"/>
  <c r="F892" i="6"/>
  <c r="D892" i="6"/>
  <c r="E892" i="6" s="1"/>
  <c r="G892" i="6" s="1"/>
  <c r="H892" i="6" s="1"/>
  <c r="L891" i="6"/>
  <c r="I891" i="6"/>
  <c r="F891" i="6"/>
  <c r="D891" i="6"/>
  <c r="E891" i="6" s="1"/>
  <c r="G891" i="6" s="1"/>
  <c r="H891" i="6" s="1"/>
  <c r="L890" i="6"/>
  <c r="I890" i="6"/>
  <c r="F890" i="6"/>
  <c r="E890" i="6"/>
  <c r="G890" i="6" s="1"/>
  <c r="H890" i="6" s="1"/>
  <c r="D890" i="6"/>
  <c r="L889" i="6"/>
  <c r="I889" i="6"/>
  <c r="F889" i="6"/>
  <c r="E889" i="6"/>
  <c r="G889" i="6" s="1"/>
  <c r="H889" i="6" s="1"/>
  <c r="J889" i="6" s="1"/>
  <c r="K889" i="6" s="1"/>
  <c r="M889" i="6" s="1"/>
  <c r="N889" i="6" s="1"/>
  <c r="D889" i="6"/>
  <c r="L888" i="6"/>
  <c r="I888" i="6"/>
  <c r="F888" i="6"/>
  <c r="D888" i="6"/>
  <c r="E888" i="6" s="1"/>
  <c r="L887" i="6"/>
  <c r="I887" i="6"/>
  <c r="F887" i="6"/>
  <c r="D887" i="6"/>
  <c r="E887" i="6" s="1"/>
  <c r="G887" i="6" s="1"/>
  <c r="H887" i="6" s="1"/>
  <c r="J887" i="6" s="1"/>
  <c r="K887" i="6" s="1"/>
  <c r="M887" i="6" s="1"/>
  <c r="N887" i="6" s="1"/>
  <c r="L886" i="6"/>
  <c r="I886" i="6"/>
  <c r="F886" i="6"/>
  <c r="D886" i="6"/>
  <c r="E886" i="6" s="1"/>
  <c r="G886" i="6" s="1"/>
  <c r="H886" i="6" s="1"/>
  <c r="J886" i="6" s="1"/>
  <c r="K886" i="6" s="1"/>
  <c r="L885" i="6"/>
  <c r="J885" i="6"/>
  <c r="K885" i="6" s="1"/>
  <c r="I885" i="6"/>
  <c r="F885" i="6"/>
  <c r="D885" i="6"/>
  <c r="E885" i="6" s="1"/>
  <c r="G885" i="6" s="1"/>
  <c r="H885" i="6" s="1"/>
  <c r="L884" i="6"/>
  <c r="I884" i="6"/>
  <c r="F884" i="6"/>
  <c r="D884" i="6"/>
  <c r="E884" i="6" s="1"/>
  <c r="L883" i="6"/>
  <c r="I883" i="6"/>
  <c r="F883" i="6"/>
  <c r="D883" i="6"/>
  <c r="E883" i="6" s="1"/>
  <c r="G883" i="6" s="1"/>
  <c r="H883" i="6" s="1"/>
  <c r="L882" i="6"/>
  <c r="I882" i="6"/>
  <c r="F882" i="6"/>
  <c r="E882" i="6"/>
  <c r="D882" i="6"/>
  <c r="L881" i="6"/>
  <c r="I881" i="6"/>
  <c r="F881" i="6"/>
  <c r="D881" i="6"/>
  <c r="E881" i="6" s="1"/>
  <c r="L880" i="6"/>
  <c r="I880" i="6"/>
  <c r="F880" i="6"/>
  <c r="D880" i="6"/>
  <c r="E880" i="6" s="1"/>
  <c r="G880" i="6" s="1"/>
  <c r="H880" i="6" s="1"/>
  <c r="J880" i="6" s="1"/>
  <c r="K880" i="6" s="1"/>
  <c r="M880" i="6" s="1"/>
  <c r="N880" i="6" s="1"/>
  <c r="L879" i="6"/>
  <c r="I879" i="6"/>
  <c r="F879" i="6"/>
  <c r="D879" i="6"/>
  <c r="E879" i="6" s="1"/>
  <c r="G879" i="6" s="1"/>
  <c r="H879" i="6" s="1"/>
  <c r="J879" i="6" s="1"/>
  <c r="K879" i="6" s="1"/>
  <c r="M879" i="6" s="1"/>
  <c r="N879" i="6" s="1"/>
  <c r="L878" i="6"/>
  <c r="I878" i="6"/>
  <c r="F878" i="6"/>
  <c r="E878" i="6"/>
  <c r="D878" i="6"/>
  <c r="L877" i="6"/>
  <c r="I877" i="6"/>
  <c r="F877" i="6"/>
  <c r="D877" i="6"/>
  <c r="E877" i="6" s="1"/>
  <c r="L876" i="6"/>
  <c r="I876" i="6"/>
  <c r="F876" i="6"/>
  <c r="D876" i="6"/>
  <c r="E876" i="6" s="1"/>
  <c r="L875" i="6"/>
  <c r="I875" i="6"/>
  <c r="F875" i="6"/>
  <c r="D875" i="6"/>
  <c r="E875" i="6" s="1"/>
  <c r="G875" i="6" s="1"/>
  <c r="H875" i="6" s="1"/>
  <c r="J875" i="6" s="1"/>
  <c r="K875" i="6" s="1"/>
  <c r="M875" i="6" s="1"/>
  <c r="N875" i="6" s="1"/>
  <c r="L874" i="6"/>
  <c r="I874" i="6"/>
  <c r="F874" i="6"/>
  <c r="D874" i="6"/>
  <c r="E874" i="6" s="1"/>
  <c r="L873" i="6"/>
  <c r="I873" i="6"/>
  <c r="F873" i="6"/>
  <c r="D873" i="6"/>
  <c r="E873" i="6" s="1"/>
  <c r="G873" i="6" s="1"/>
  <c r="H873" i="6" s="1"/>
  <c r="J873" i="6" s="1"/>
  <c r="K873" i="6" s="1"/>
  <c r="M873" i="6" s="1"/>
  <c r="N873" i="6" s="1"/>
  <c r="L872" i="6"/>
  <c r="I872" i="6"/>
  <c r="F872" i="6"/>
  <c r="D872" i="6"/>
  <c r="E872" i="6" s="1"/>
  <c r="G872" i="6" s="1"/>
  <c r="H872" i="6" s="1"/>
  <c r="J872" i="6" s="1"/>
  <c r="K872" i="6" s="1"/>
  <c r="M872" i="6" s="1"/>
  <c r="N872" i="6" s="1"/>
  <c r="L871" i="6"/>
  <c r="I871" i="6"/>
  <c r="F871" i="6"/>
  <c r="D871" i="6"/>
  <c r="E871" i="6" s="1"/>
  <c r="G871" i="6" s="1"/>
  <c r="H871" i="6" s="1"/>
  <c r="J871" i="6" s="1"/>
  <c r="K871" i="6" s="1"/>
  <c r="M871" i="6" s="1"/>
  <c r="N871" i="6" s="1"/>
  <c r="L870" i="6"/>
  <c r="I870" i="6"/>
  <c r="F870" i="6"/>
  <c r="D870" i="6"/>
  <c r="E870" i="6" s="1"/>
  <c r="G870" i="6" s="1"/>
  <c r="H870" i="6" s="1"/>
  <c r="J870" i="6" s="1"/>
  <c r="K870" i="6" s="1"/>
  <c r="M870" i="6" s="1"/>
  <c r="N870" i="6" s="1"/>
  <c r="L869" i="6"/>
  <c r="I869" i="6"/>
  <c r="F869" i="6"/>
  <c r="D869" i="6"/>
  <c r="E869" i="6" s="1"/>
  <c r="G869" i="6" s="1"/>
  <c r="H869" i="6" s="1"/>
  <c r="J869" i="6" s="1"/>
  <c r="K869" i="6" s="1"/>
  <c r="M869" i="6" s="1"/>
  <c r="N869" i="6" s="1"/>
  <c r="L868" i="6"/>
  <c r="I868" i="6"/>
  <c r="F868" i="6"/>
  <c r="E868" i="6"/>
  <c r="D868" i="6"/>
  <c r="L867" i="6"/>
  <c r="I867" i="6"/>
  <c r="F867" i="6"/>
  <c r="D867" i="6"/>
  <c r="E867" i="6" s="1"/>
  <c r="G867" i="6" s="1"/>
  <c r="H867" i="6" s="1"/>
  <c r="J867" i="6" s="1"/>
  <c r="K867" i="6" s="1"/>
  <c r="M867" i="6" s="1"/>
  <c r="N867" i="6" s="1"/>
  <c r="L866" i="6"/>
  <c r="I866" i="6"/>
  <c r="F866" i="6"/>
  <c r="D866" i="6"/>
  <c r="E866" i="6" s="1"/>
  <c r="L865" i="6"/>
  <c r="I865" i="6"/>
  <c r="F865" i="6"/>
  <c r="D865" i="6"/>
  <c r="E865" i="6" s="1"/>
  <c r="G865" i="6" s="1"/>
  <c r="H865" i="6" s="1"/>
  <c r="L864" i="6"/>
  <c r="I864" i="6"/>
  <c r="F864" i="6"/>
  <c r="D864" i="6"/>
  <c r="E864" i="6" s="1"/>
  <c r="G864" i="6" s="1"/>
  <c r="H864" i="6" s="1"/>
  <c r="J864" i="6" s="1"/>
  <c r="K864" i="6" s="1"/>
  <c r="L863" i="6"/>
  <c r="I863" i="6"/>
  <c r="F863" i="6"/>
  <c r="D863" i="6"/>
  <c r="E863" i="6" s="1"/>
  <c r="G863" i="6" s="1"/>
  <c r="H863" i="6" s="1"/>
  <c r="L862" i="6"/>
  <c r="I862" i="6"/>
  <c r="F862" i="6"/>
  <c r="D862" i="6"/>
  <c r="E862" i="6" s="1"/>
  <c r="G862" i="6" s="1"/>
  <c r="H862" i="6" s="1"/>
  <c r="L861" i="6"/>
  <c r="I861" i="6"/>
  <c r="F861" i="6"/>
  <c r="D861" i="6"/>
  <c r="E861" i="6" s="1"/>
  <c r="G861" i="6" s="1"/>
  <c r="H861" i="6" s="1"/>
  <c r="J861" i="6" s="1"/>
  <c r="K861" i="6" s="1"/>
  <c r="M861" i="6" s="1"/>
  <c r="N861" i="6" s="1"/>
  <c r="L860" i="6"/>
  <c r="I860" i="6"/>
  <c r="F860" i="6"/>
  <c r="E860" i="6"/>
  <c r="G860" i="6" s="1"/>
  <c r="H860" i="6" s="1"/>
  <c r="J860" i="6" s="1"/>
  <c r="K860" i="6" s="1"/>
  <c r="M860" i="6" s="1"/>
  <c r="N860" i="6" s="1"/>
  <c r="D860" i="6"/>
  <c r="L859" i="6"/>
  <c r="I859" i="6"/>
  <c r="F859" i="6"/>
  <c r="E859" i="6"/>
  <c r="G859" i="6" s="1"/>
  <c r="H859" i="6" s="1"/>
  <c r="J859" i="6" s="1"/>
  <c r="K859" i="6" s="1"/>
  <c r="M859" i="6" s="1"/>
  <c r="N859" i="6" s="1"/>
  <c r="D859" i="6"/>
  <c r="L858" i="6"/>
  <c r="I858" i="6"/>
  <c r="F858" i="6"/>
  <c r="E858" i="6"/>
  <c r="D858" i="6"/>
  <c r="L857" i="6"/>
  <c r="J857" i="6"/>
  <c r="K857" i="6" s="1"/>
  <c r="M857" i="6" s="1"/>
  <c r="N857" i="6" s="1"/>
  <c r="I857" i="6"/>
  <c r="F857" i="6"/>
  <c r="D857" i="6"/>
  <c r="E857" i="6" s="1"/>
  <c r="G857" i="6" s="1"/>
  <c r="H857" i="6" s="1"/>
  <c r="L856" i="6"/>
  <c r="I856" i="6"/>
  <c r="F856" i="6"/>
  <c r="D856" i="6"/>
  <c r="E856" i="6" s="1"/>
  <c r="G856" i="6" s="1"/>
  <c r="H856" i="6" s="1"/>
  <c r="J856" i="6" s="1"/>
  <c r="K856" i="6" s="1"/>
  <c r="M856" i="6" s="1"/>
  <c r="N856" i="6" s="1"/>
  <c r="L855" i="6"/>
  <c r="I855" i="6"/>
  <c r="F855" i="6"/>
  <c r="D855" i="6"/>
  <c r="E855" i="6" s="1"/>
  <c r="G855" i="6" s="1"/>
  <c r="H855" i="6" s="1"/>
  <c r="L854" i="6"/>
  <c r="I854" i="6"/>
  <c r="F854" i="6"/>
  <c r="E854" i="6"/>
  <c r="G854" i="6" s="1"/>
  <c r="H854" i="6" s="1"/>
  <c r="D854" i="6"/>
  <c r="L853" i="6"/>
  <c r="I853" i="6"/>
  <c r="F853" i="6"/>
  <c r="D853" i="6"/>
  <c r="E853" i="6" s="1"/>
  <c r="G853" i="6" s="1"/>
  <c r="H853" i="6" s="1"/>
  <c r="J853" i="6" s="1"/>
  <c r="K853" i="6" s="1"/>
  <c r="M853" i="6" s="1"/>
  <c r="N853" i="6" s="1"/>
  <c r="L852" i="6"/>
  <c r="I852" i="6"/>
  <c r="F852" i="6"/>
  <c r="D852" i="6"/>
  <c r="E852" i="6" s="1"/>
  <c r="G852" i="6" s="1"/>
  <c r="H852" i="6" s="1"/>
  <c r="J852" i="6" s="1"/>
  <c r="K852" i="6" s="1"/>
  <c r="M852" i="6" s="1"/>
  <c r="N852" i="6" s="1"/>
  <c r="L851" i="6"/>
  <c r="I851" i="6"/>
  <c r="F851" i="6"/>
  <c r="E851" i="6"/>
  <c r="D851" i="6"/>
  <c r="L850" i="6"/>
  <c r="I850" i="6"/>
  <c r="F850" i="6"/>
  <c r="D850" i="6"/>
  <c r="E850" i="6" s="1"/>
  <c r="L849" i="6"/>
  <c r="I849" i="6"/>
  <c r="F849" i="6"/>
  <c r="E849" i="6"/>
  <c r="G849" i="6" s="1"/>
  <c r="H849" i="6" s="1"/>
  <c r="J849" i="6" s="1"/>
  <c r="K849" i="6" s="1"/>
  <c r="D849" i="6"/>
  <c r="L848" i="6"/>
  <c r="I848" i="6"/>
  <c r="F848" i="6"/>
  <c r="E848" i="6"/>
  <c r="G848" i="6" s="1"/>
  <c r="H848" i="6" s="1"/>
  <c r="J848" i="6" s="1"/>
  <c r="K848" i="6" s="1"/>
  <c r="M848" i="6" s="1"/>
  <c r="N848" i="6" s="1"/>
  <c r="D848" i="6"/>
  <c r="L847" i="6"/>
  <c r="I847" i="6"/>
  <c r="F847" i="6"/>
  <c r="G847" i="6" s="1"/>
  <c r="H847" i="6" s="1"/>
  <c r="J847" i="6" s="1"/>
  <c r="K847" i="6" s="1"/>
  <c r="M847" i="6" s="1"/>
  <c r="N847" i="6" s="1"/>
  <c r="D847" i="6"/>
  <c r="E847" i="6" s="1"/>
  <c r="L846" i="6"/>
  <c r="I846" i="6"/>
  <c r="H846" i="6"/>
  <c r="J846" i="6" s="1"/>
  <c r="K846" i="6" s="1"/>
  <c r="M846" i="6" s="1"/>
  <c r="N846" i="6" s="1"/>
  <c r="F846" i="6"/>
  <c r="D846" i="6"/>
  <c r="E846" i="6" s="1"/>
  <c r="G846" i="6" s="1"/>
  <c r="L845" i="6"/>
  <c r="I845" i="6"/>
  <c r="F845" i="6"/>
  <c r="D845" i="6"/>
  <c r="E845" i="6" s="1"/>
  <c r="G845" i="6" s="1"/>
  <c r="H845" i="6" s="1"/>
  <c r="J845" i="6" s="1"/>
  <c r="K845" i="6" s="1"/>
  <c r="M845" i="6" s="1"/>
  <c r="N845" i="6" s="1"/>
  <c r="L844" i="6"/>
  <c r="I844" i="6"/>
  <c r="F844" i="6"/>
  <c r="D844" i="6"/>
  <c r="E844" i="6" s="1"/>
  <c r="L843" i="6"/>
  <c r="I843" i="6"/>
  <c r="H843" i="6"/>
  <c r="J843" i="6" s="1"/>
  <c r="K843" i="6" s="1"/>
  <c r="F843" i="6"/>
  <c r="D843" i="6"/>
  <c r="E843" i="6" s="1"/>
  <c r="G843" i="6" s="1"/>
  <c r="L842" i="6"/>
  <c r="I842" i="6"/>
  <c r="F842" i="6"/>
  <c r="D842" i="6"/>
  <c r="E842" i="6" s="1"/>
  <c r="G842" i="6" s="1"/>
  <c r="H842" i="6" s="1"/>
  <c r="L841" i="6"/>
  <c r="I841" i="6"/>
  <c r="F841" i="6"/>
  <c r="E841" i="6"/>
  <c r="D841" i="6"/>
  <c r="L840" i="6"/>
  <c r="I840" i="6"/>
  <c r="F840" i="6"/>
  <c r="G840" i="6" s="1"/>
  <c r="H840" i="6" s="1"/>
  <c r="J840" i="6" s="1"/>
  <c r="K840" i="6" s="1"/>
  <c r="M840" i="6" s="1"/>
  <c r="N840" i="6" s="1"/>
  <c r="D840" i="6"/>
  <c r="E840" i="6" s="1"/>
  <c r="L839" i="6"/>
  <c r="I839" i="6"/>
  <c r="F839" i="6"/>
  <c r="D839" i="6"/>
  <c r="E839" i="6" s="1"/>
  <c r="G839" i="6" s="1"/>
  <c r="H839" i="6" s="1"/>
  <c r="J839" i="6" s="1"/>
  <c r="K839" i="6" s="1"/>
  <c r="M839" i="6" s="1"/>
  <c r="N839" i="6" s="1"/>
  <c r="L838" i="6"/>
  <c r="I838" i="6"/>
  <c r="F838" i="6"/>
  <c r="D838" i="6"/>
  <c r="E838" i="6" s="1"/>
  <c r="G838" i="6" s="1"/>
  <c r="H838" i="6" s="1"/>
  <c r="J838" i="6" s="1"/>
  <c r="K838" i="6" s="1"/>
  <c r="M838" i="6" s="1"/>
  <c r="N838" i="6" s="1"/>
  <c r="L837" i="6"/>
  <c r="I837" i="6"/>
  <c r="F837" i="6"/>
  <c r="D837" i="6"/>
  <c r="E837" i="6" s="1"/>
  <c r="G837" i="6" s="1"/>
  <c r="H837" i="6" s="1"/>
  <c r="J837" i="6" s="1"/>
  <c r="K837" i="6" s="1"/>
  <c r="M837" i="6" s="1"/>
  <c r="N837" i="6" s="1"/>
  <c r="L836" i="6"/>
  <c r="I836" i="6"/>
  <c r="F836" i="6"/>
  <c r="E836" i="6"/>
  <c r="G836" i="6" s="1"/>
  <c r="H836" i="6" s="1"/>
  <c r="J836" i="6" s="1"/>
  <c r="K836" i="6" s="1"/>
  <c r="M836" i="6" s="1"/>
  <c r="N836" i="6" s="1"/>
  <c r="D836" i="6"/>
  <c r="L835" i="6"/>
  <c r="I835" i="6"/>
  <c r="F835" i="6"/>
  <c r="D835" i="6"/>
  <c r="E835" i="6" s="1"/>
  <c r="L834" i="6"/>
  <c r="I834" i="6"/>
  <c r="F834" i="6"/>
  <c r="D834" i="6"/>
  <c r="E834" i="6" s="1"/>
  <c r="G834" i="6" s="1"/>
  <c r="H834" i="6" s="1"/>
  <c r="J834" i="6" s="1"/>
  <c r="K834" i="6" s="1"/>
  <c r="M834" i="6" s="1"/>
  <c r="N834" i="6" s="1"/>
  <c r="L833" i="6"/>
  <c r="I833" i="6"/>
  <c r="F833" i="6"/>
  <c r="E833" i="6"/>
  <c r="G833" i="6" s="1"/>
  <c r="H833" i="6" s="1"/>
  <c r="J833" i="6" s="1"/>
  <c r="K833" i="6" s="1"/>
  <c r="M833" i="6" s="1"/>
  <c r="N833" i="6" s="1"/>
  <c r="D833" i="6"/>
  <c r="L832" i="6"/>
  <c r="I832" i="6"/>
  <c r="F832" i="6"/>
  <c r="E832" i="6"/>
  <c r="G832" i="6" s="1"/>
  <c r="H832" i="6" s="1"/>
  <c r="J832" i="6" s="1"/>
  <c r="K832" i="6" s="1"/>
  <c r="M832" i="6" s="1"/>
  <c r="N832" i="6" s="1"/>
  <c r="D832" i="6"/>
  <c r="L831" i="6"/>
  <c r="I831" i="6"/>
  <c r="F831" i="6"/>
  <c r="D831" i="6"/>
  <c r="E831" i="6" s="1"/>
  <c r="G831" i="6" s="1"/>
  <c r="H831" i="6" s="1"/>
  <c r="J831" i="6" s="1"/>
  <c r="K831" i="6" s="1"/>
  <c r="M831" i="6" s="1"/>
  <c r="N831" i="6" s="1"/>
  <c r="L830" i="6"/>
  <c r="I830" i="6"/>
  <c r="F830" i="6"/>
  <c r="D830" i="6"/>
  <c r="E830" i="6" s="1"/>
  <c r="G830" i="6" s="1"/>
  <c r="H830" i="6" s="1"/>
  <c r="L829" i="6"/>
  <c r="I829" i="6"/>
  <c r="F829" i="6"/>
  <c r="E829" i="6"/>
  <c r="G829" i="6" s="1"/>
  <c r="H829" i="6" s="1"/>
  <c r="J829" i="6" s="1"/>
  <c r="K829" i="6" s="1"/>
  <c r="M829" i="6" s="1"/>
  <c r="N829" i="6" s="1"/>
  <c r="D829" i="6"/>
  <c r="L828" i="6"/>
  <c r="I828" i="6"/>
  <c r="F828" i="6"/>
  <c r="D828" i="6"/>
  <c r="E828" i="6" s="1"/>
  <c r="L827" i="6"/>
  <c r="I827" i="6"/>
  <c r="F827" i="6"/>
  <c r="D827" i="6"/>
  <c r="E827" i="6" s="1"/>
  <c r="G827" i="6" s="1"/>
  <c r="H827" i="6" s="1"/>
  <c r="J827" i="6" s="1"/>
  <c r="K827" i="6" s="1"/>
  <c r="L826" i="6"/>
  <c r="I826" i="6"/>
  <c r="F826" i="6"/>
  <c r="D826" i="6"/>
  <c r="E826" i="6" s="1"/>
  <c r="G826" i="6" s="1"/>
  <c r="H826" i="6" s="1"/>
  <c r="J826" i="6" s="1"/>
  <c r="K826" i="6" s="1"/>
  <c r="M826" i="6" s="1"/>
  <c r="N826" i="6" s="1"/>
  <c r="L825" i="6"/>
  <c r="I825" i="6"/>
  <c r="F825" i="6"/>
  <c r="E825" i="6"/>
  <c r="G825" i="6" s="1"/>
  <c r="H825" i="6" s="1"/>
  <c r="J825" i="6" s="1"/>
  <c r="K825" i="6" s="1"/>
  <c r="M825" i="6" s="1"/>
  <c r="N825" i="6" s="1"/>
  <c r="D825" i="6"/>
  <c r="L824" i="6"/>
  <c r="I824" i="6"/>
  <c r="G824" i="6"/>
  <c r="H824" i="6" s="1"/>
  <c r="J824" i="6" s="1"/>
  <c r="K824" i="6" s="1"/>
  <c r="M824" i="6" s="1"/>
  <c r="N824" i="6" s="1"/>
  <c r="F824" i="6"/>
  <c r="D824" i="6"/>
  <c r="E824" i="6" s="1"/>
  <c r="L823" i="6"/>
  <c r="I823" i="6"/>
  <c r="F823" i="6"/>
  <c r="D823" i="6"/>
  <c r="E823" i="6" s="1"/>
  <c r="G823" i="6" s="1"/>
  <c r="H823" i="6" s="1"/>
  <c r="J823" i="6" s="1"/>
  <c r="K823" i="6" s="1"/>
  <c r="M823" i="6" s="1"/>
  <c r="N823" i="6" s="1"/>
  <c r="L822" i="6"/>
  <c r="I822" i="6"/>
  <c r="F822" i="6"/>
  <c r="D822" i="6"/>
  <c r="E822" i="6" s="1"/>
  <c r="L821" i="6"/>
  <c r="I821" i="6"/>
  <c r="F821" i="6"/>
  <c r="D821" i="6"/>
  <c r="E821" i="6" s="1"/>
  <c r="G821" i="6" s="1"/>
  <c r="H821" i="6" s="1"/>
  <c r="J821" i="6" s="1"/>
  <c r="K821" i="6" s="1"/>
  <c r="M821" i="6" s="1"/>
  <c r="N821" i="6" s="1"/>
  <c r="L820" i="6"/>
  <c r="I820" i="6"/>
  <c r="F820" i="6"/>
  <c r="D820" i="6"/>
  <c r="E820" i="6" s="1"/>
  <c r="G820" i="6" s="1"/>
  <c r="H820" i="6" s="1"/>
  <c r="J820" i="6" s="1"/>
  <c r="K820" i="6" s="1"/>
  <c r="M820" i="6" s="1"/>
  <c r="N820" i="6" s="1"/>
  <c r="L819" i="6"/>
  <c r="I819" i="6"/>
  <c r="F819" i="6"/>
  <c r="D819" i="6"/>
  <c r="E819" i="6" s="1"/>
  <c r="G819" i="6" s="1"/>
  <c r="H819" i="6" s="1"/>
  <c r="L818" i="6"/>
  <c r="I818" i="6"/>
  <c r="F818" i="6"/>
  <c r="E818" i="6"/>
  <c r="G818" i="6" s="1"/>
  <c r="H818" i="6" s="1"/>
  <c r="D818" i="6"/>
  <c r="L817" i="6"/>
  <c r="I817" i="6"/>
  <c r="F817" i="6"/>
  <c r="D817" i="6"/>
  <c r="E817" i="6" s="1"/>
  <c r="G817" i="6" s="1"/>
  <c r="H817" i="6" s="1"/>
  <c r="L816" i="6"/>
  <c r="I816" i="6"/>
  <c r="F816" i="6"/>
  <c r="D816" i="6"/>
  <c r="E816" i="6" s="1"/>
  <c r="G816" i="6" s="1"/>
  <c r="H816" i="6" s="1"/>
  <c r="L815" i="6"/>
  <c r="I815" i="6"/>
  <c r="F815" i="6"/>
  <c r="E815" i="6"/>
  <c r="D815" i="6"/>
  <c r="L814" i="6"/>
  <c r="I814" i="6"/>
  <c r="F814" i="6"/>
  <c r="D814" i="6"/>
  <c r="E814" i="6" s="1"/>
  <c r="L813" i="6"/>
  <c r="I813" i="6"/>
  <c r="F813" i="6"/>
  <c r="D813" i="6"/>
  <c r="E813" i="6" s="1"/>
  <c r="L812" i="6"/>
  <c r="I812" i="6"/>
  <c r="F812" i="6"/>
  <c r="D812" i="6"/>
  <c r="E812" i="6" s="1"/>
  <c r="G812" i="6" s="1"/>
  <c r="H812" i="6" s="1"/>
  <c r="J812" i="6" s="1"/>
  <c r="K812" i="6" s="1"/>
  <c r="M812" i="6" s="1"/>
  <c r="N812" i="6" s="1"/>
  <c r="L811" i="6"/>
  <c r="I811" i="6"/>
  <c r="F811" i="6"/>
  <c r="D811" i="6"/>
  <c r="E811" i="6" s="1"/>
  <c r="G811" i="6" s="1"/>
  <c r="H811" i="6" s="1"/>
  <c r="J811" i="6" s="1"/>
  <c r="K811" i="6" s="1"/>
  <c r="M811" i="6" s="1"/>
  <c r="N811" i="6" s="1"/>
  <c r="L810" i="6"/>
  <c r="I810" i="6"/>
  <c r="F810" i="6"/>
  <c r="D810" i="6"/>
  <c r="E810" i="6" s="1"/>
  <c r="G810" i="6" s="1"/>
  <c r="H810" i="6" s="1"/>
  <c r="L809" i="6"/>
  <c r="I809" i="6"/>
  <c r="F809" i="6"/>
  <c r="D809" i="6"/>
  <c r="E809" i="6" s="1"/>
  <c r="L808" i="6"/>
  <c r="I808" i="6"/>
  <c r="F808" i="6"/>
  <c r="D808" i="6"/>
  <c r="E808" i="6" s="1"/>
  <c r="G808" i="6" s="1"/>
  <c r="H808" i="6" s="1"/>
  <c r="L807" i="6"/>
  <c r="I807" i="6"/>
  <c r="F807" i="6"/>
  <c r="D807" i="6"/>
  <c r="E807" i="6" s="1"/>
  <c r="G807" i="6" s="1"/>
  <c r="H807" i="6" s="1"/>
  <c r="J807" i="6" s="1"/>
  <c r="K807" i="6" s="1"/>
  <c r="M807" i="6" s="1"/>
  <c r="N807" i="6" s="1"/>
  <c r="L806" i="6"/>
  <c r="I806" i="6"/>
  <c r="F806" i="6"/>
  <c r="D806" i="6"/>
  <c r="E806" i="6" s="1"/>
  <c r="L805" i="6"/>
  <c r="I805" i="6"/>
  <c r="F805" i="6"/>
  <c r="D805" i="6"/>
  <c r="E805" i="6" s="1"/>
  <c r="G805" i="6" s="1"/>
  <c r="H805" i="6" s="1"/>
  <c r="J805" i="6" s="1"/>
  <c r="K805" i="6" s="1"/>
  <c r="M805" i="6" s="1"/>
  <c r="N805" i="6" s="1"/>
  <c r="L804" i="6"/>
  <c r="I804" i="6"/>
  <c r="F804" i="6"/>
  <c r="D804" i="6"/>
  <c r="E804" i="6" s="1"/>
  <c r="G804" i="6" s="1"/>
  <c r="H804" i="6" s="1"/>
  <c r="J804" i="6" s="1"/>
  <c r="K804" i="6" s="1"/>
  <c r="M804" i="6" s="1"/>
  <c r="N804" i="6" s="1"/>
  <c r="L803" i="6"/>
  <c r="I803" i="6"/>
  <c r="F803" i="6"/>
  <c r="D803" i="6"/>
  <c r="E803" i="6" s="1"/>
  <c r="G803" i="6" s="1"/>
  <c r="H803" i="6" s="1"/>
  <c r="L802" i="6"/>
  <c r="I802" i="6"/>
  <c r="F802" i="6"/>
  <c r="G802" i="6" s="1"/>
  <c r="H802" i="6" s="1"/>
  <c r="J802" i="6" s="1"/>
  <c r="K802" i="6" s="1"/>
  <c r="M802" i="6" s="1"/>
  <c r="N802" i="6" s="1"/>
  <c r="D802" i="6"/>
  <c r="E802" i="6" s="1"/>
  <c r="L801" i="6"/>
  <c r="I801" i="6"/>
  <c r="G801" i="6"/>
  <c r="H801" i="6" s="1"/>
  <c r="J801" i="6" s="1"/>
  <c r="K801" i="6" s="1"/>
  <c r="M801" i="6" s="1"/>
  <c r="N801" i="6" s="1"/>
  <c r="F801" i="6"/>
  <c r="D801" i="6"/>
  <c r="E801" i="6" s="1"/>
  <c r="L800" i="6"/>
  <c r="I800" i="6"/>
  <c r="F800" i="6"/>
  <c r="D800" i="6"/>
  <c r="E800" i="6" s="1"/>
  <c r="G800" i="6" s="1"/>
  <c r="H800" i="6" s="1"/>
  <c r="L799" i="6"/>
  <c r="I799" i="6"/>
  <c r="F799" i="6"/>
  <c r="D799" i="6"/>
  <c r="E799" i="6" s="1"/>
  <c r="G799" i="6" s="1"/>
  <c r="H799" i="6" s="1"/>
  <c r="L798" i="6"/>
  <c r="I798" i="6"/>
  <c r="F798" i="6"/>
  <c r="D798" i="6"/>
  <c r="E798" i="6" s="1"/>
  <c r="L797" i="6"/>
  <c r="I797" i="6"/>
  <c r="F797" i="6"/>
  <c r="E797" i="6"/>
  <c r="G797" i="6" s="1"/>
  <c r="H797" i="6" s="1"/>
  <c r="D797" i="6"/>
  <c r="L796" i="6"/>
  <c r="I796" i="6"/>
  <c r="F796" i="6"/>
  <c r="D796" i="6"/>
  <c r="E796" i="6" s="1"/>
  <c r="L795" i="6"/>
  <c r="I795" i="6"/>
  <c r="F795" i="6"/>
  <c r="D795" i="6"/>
  <c r="E795" i="6" s="1"/>
  <c r="G795" i="6" s="1"/>
  <c r="H795" i="6" s="1"/>
  <c r="L794" i="6"/>
  <c r="I794" i="6"/>
  <c r="F794" i="6"/>
  <c r="D794" i="6"/>
  <c r="E794" i="6" s="1"/>
  <c r="L793" i="6"/>
  <c r="I793" i="6"/>
  <c r="F793" i="6"/>
  <c r="D793" i="6"/>
  <c r="E793" i="6" s="1"/>
  <c r="G793" i="6" s="1"/>
  <c r="H793" i="6" s="1"/>
  <c r="L792" i="6"/>
  <c r="I792" i="6"/>
  <c r="F792" i="6"/>
  <c r="D792" i="6"/>
  <c r="E792" i="6" s="1"/>
  <c r="L791" i="6"/>
  <c r="I791" i="6"/>
  <c r="F791" i="6"/>
  <c r="D791" i="6"/>
  <c r="E791" i="6" s="1"/>
  <c r="G791" i="6" s="1"/>
  <c r="H791" i="6" s="1"/>
  <c r="L790" i="6"/>
  <c r="I790" i="6"/>
  <c r="F790" i="6"/>
  <c r="D790" i="6"/>
  <c r="E790" i="6" s="1"/>
  <c r="G790" i="6" s="1"/>
  <c r="H790" i="6" s="1"/>
  <c r="J790" i="6" s="1"/>
  <c r="K790" i="6" s="1"/>
  <c r="M790" i="6" s="1"/>
  <c r="N790" i="6" s="1"/>
  <c r="L789" i="6"/>
  <c r="I789" i="6"/>
  <c r="F789" i="6"/>
  <c r="E789" i="6"/>
  <c r="G789" i="6" s="1"/>
  <c r="H789" i="6" s="1"/>
  <c r="D789" i="6"/>
  <c r="L788" i="6"/>
  <c r="I788" i="6"/>
  <c r="F788" i="6"/>
  <c r="G788" i="6" s="1"/>
  <c r="H788" i="6" s="1"/>
  <c r="J788" i="6" s="1"/>
  <c r="K788" i="6" s="1"/>
  <c r="M788" i="6" s="1"/>
  <c r="N788" i="6" s="1"/>
  <c r="D788" i="6"/>
  <c r="E788" i="6" s="1"/>
  <c r="L787" i="6"/>
  <c r="I787" i="6"/>
  <c r="F787" i="6"/>
  <c r="D787" i="6"/>
  <c r="E787" i="6" s="1"/>
  <c r="G787" i="6" s="1"/>
  <c r="H787" i="6" s="1"/>
  <c r="L786" i="6"/>
  <c r="I786" i="6"/>
  <c r="F786" i="6"/>
  <c r="D786" i="6"/>
  <c r="E786" i="6" s="1"/>
  <c r="L785" i="6"/>
  <c r="I785" i="6"/>
  <c r="F785" i="6"/>
  <c r="D785" i="6"/>
  <c r="E785" i="6" s="1"/>
  <c r="G785" i="6" s="1"/>
  <c r="H785" i="6" s="1"/>
  <c r="L784" i="6"/>
  <c r="I784" i="6"/>
  <c r="F784" i="6"/>
  <c r="D784" i="6"/>
  <c r="E784" i="6" s="1"/>
  <c r="L783" i="6"/>
  <c r="I783" i="6"/>
  <c r="F783" i="6"/>
  <c r="D783" i="6"/>
  <c r="E783" i="6" s="1"/>
  <c r="G783" i="6" s="1"/>
  <c r="H783" i="6" s="1"/>
  <c r="J783" i="6" s="1"/>
  <c r="K783" i="6" s="1"/>
  <c r="M783" i="6" s="1"/>
  <c r="N783" i="6" s="1"/>
  <c r="L782" i="6"/>
  <c r="I782" i="6"/>
  <c r="F782" i="6"/>
  <c r="D782" i="6"/>
  <c r="E782" i="6" s="1"/>
  <c r="G782" i="6" s="1"/>
  <c r="H782" i="6" s="1"/>
  <c r="J782" i="6" s="1"/>
  <c r="K782" i="6" s="1"/>
  <c r="M782" i="6" s="1"/>
  <c r="N782" i="6" s="1"/>
  <c r="L781" i="6"/>
  <c r="I781" i="6"/>
  <c r="F781" i="6"/>
  <c r="G781" i="6" s="1"/>
  <c r="H781" i="6" s="1"/>
  <c r="J781" i="6" s="1"/>
  <c r="K781" i="6" s="1"/>
  <c r="M781" i="6" s="1"/>
  <c r="N781" i="6" s="1"/>
  <c r="D781" i="6"/>
  <c r="E781" i="6" s="1"/>
  <c r="L780" i="6"/>
  <c r="I780" i="6"/>
  <c r="F780" i="6"/>
  <c r="D780" i="6"/>
  <c r="E780" i="6" s="1"/>
  <c r="G780" i="6" s="1"/>
  <c r="H780" i="6" s="1"/>
  <c r="L779" i="6"/>
  <c r="I779" i="6"/>
  <c r="F779" i="6"/>
  <c r="D779" i="6"/>
  <c r="E779" i="6" s="1"/>
  <c r="G779" i="6" s="1"/>
  <c r="H779" i="6" s="1"/>
  <c r="L778" i="6"/>
  <c r="I778" i="6"/>
  <c r="F778" i="6"/>
  <c r="D778" i="6"/>
  <c r="E778" i="6" s="1"/>
  <c r="L777" i="6"/>
  <c r="I777" i="6"/>
  <c r="G777" i="6"/>
  <c r="H777" i="6" s="1"/>
  <c r="F777" i="6"/>
  <c r="E777" i="6"/>
  <c r="D777" i="6"/>
  <c r="L776" i="6"/>
  <c r="I776" i="6"/>
  <c r="F776" i="6"/>
  <c r="D776" i="6"/>
  <c r="E776" i="6" s="1"/>
  <c r="L775" i="6"/>
  <c r="I775" i="6"/>
  <c r="F775" i="6"/>
  <c r="D775" i="6"/>
  <c r="E775" i="6" s="1"/>
  <c r="L774" i="6"/>
  <c r="I774" i="6"/>
  <c r="F774" i="6"/>
  <c r="D774" i="6"/>
  <c r="E774" i="6" s="1"/>
  <c r="G774" i="6" s="1"/>
  <c r="H774" i="6" s="1"/>
  <c r="J774" i="6" s="1"/>
  <c r="K774" i="6" s="1"/>
  <c r="M774" i="6" s="1"/>
  <c r="N774" i="6" s="1"/>
  <c r="L773" i="6"/>
  <c r="I773" i="6"/>
  <c r="F773" i="6"/>
  <c r="D773" i="6"/>
  <c r="E773" i="6" s="1"/>
  <c r="G773" i="6" s="1"/>
  <c r="H773" i="6" s="1"/>
  <c r="J773" i="6" s="1"/>
  <c r="K773" i="6" s="1"/>
  <c r="M773" i="6" s="1"/>
  <c r="N773" i="6" s="1"/>
  <c r="L772" i="6"/>
  <c r="I772" i="6"/>
  <c r="F772" i="6"/>
  <c r="D772" i="6"/>
  <c r="E772" i="6" s="1"/>
  <c r="L771" i="6"/>
  <c r="I771" i="6"/>
  <c r="F771" i="6"/>
  <c r="D771" i="6"/>
  <c r="E771" i="6" s="1"/>
  <c r="G771" i="6" s="1"/>
  <c r="H771" i="6" s="1"/>
  <c r="J771" i="6" s="1"/>
  <c r="K771" i="6" s="1"/>
  <c r="L770" i="6"/>
  <c r="I770" i="6"/>
  <c r="F770" i="6"/>
  <c r="D770" i="6"/>
  <c r="E770" i="6" s="1"/>
  <c r="G770" i="6" s="1"/>
  <c r="H770" i="6" s="1"/>
  <c r="L769" i="6"/>
  <c r="I769" i="6"/>
  <c r="F769" i="6"/>
  <c r="D769" i="6"/>
  <c r="E769" i="6" s="1"/>
  <c r="G769" i="6" s="1"/>
  <c r="H769" i="6" s="1"/>
  <c r="J769" i="6" s="1"/>
  <c r="K769" i="6" s="1"/>
  <c r="M769" i="6" s="1"/>
  <c r="N769" i="6" s="1"/>
  <c r="L768" i="6"/>
  <c r="I768" i="6"/>
  <c r="F768" i="6"/>
  <c r="D768" i="6"/>
  <c r="E768" i="6" s="1"/>
  <c r="G768" i="6" s="1"/>
  <c r="H768" i="6" s="1"/>
  <c r="L767" i="6"/>
  <c r="I767" i="6"/>
  <c r="F767" i="6"/>
  <c r="E767" i="6"/>
  <c r="D767" i="6"/>
  <c r="L766" i="6"/>
  <c r="I766" i="6"/>
  <c r="F766" i="6"/>
  <c r="E766" i="6"/>
  <c r="D766" i="6"/>
  <c r="L765" i="6"/>
  <c r="I765" i="6"/>
  <c r="F765" i="6"/>
  <c r="G765" i="6" s="1"/>
  <c r="H765" i="6" s="1"/>
  <c r="D765" i="6"/>
  <c r="E765" i="6" s="1"/>
  <c r="L764" i="6"/>
  <c r="K764" i="6"/>
  <c r="M764" i="6" s="1"/>
  <c r="N764" i="6" s="1"/>
  <c r="I764" i="6"/>
  <c r="F764" i="6"/>
  <c r="D764" i="6"/>
  <c r="E764" i="6" s="1"/>
  <c r="G764" i="6" s="1"/>
  <c r="H764" i="6" s="1"/>
  <c r="J764" i="6" s="1"/>
  <c r="L763" i="6"/>
  <c r="I763" i="6"/>
  <c r="F763" i="6"/>
  <c r="D763" i="6"/>
  <c r="E763" i="6" s="1"/>
  <c r="G763" i="6" s="1"/>
  <c r="H763" i="6" s="1"/>
  <c r="J763" i="6" s="1"/>
  <c r="K763" i="6" s="1"/>
  <c r="M763" i="6" s="1"/>
  <c r="N763" i="6" s="1"/>
  <c r="L762" i="6"/>
  <c r="I762" i="6"/>
  <c r="F762" i="6"/>
  <c r="E762" i="6"/>
  <c r="G762" i="6" s="1"/>
  <c r="H762" i="6" s="1"/>
  <c r="J762" i="6" s="1"/>
  <c r="K762" i="6" s="1"/>
  <c r="M762" i="6" s="1"/>
  <c r="N762" i="6" s="1"/>
  <c r="D762" i="6"/>
  <c r="L761" i="6"/>
  <c r="I761" i="6"/>
  <c r="F761" i="6"/>
  <c r="D761" i="6"/>
  <c r="E761" i="6" s="1"/>
  <c r="G761" i="6" s="1"/>
  <c r="H761" i="6" s="1"/>
  <c r="J761" i="6" s="1"/>
  <c r="K761" i="6" s="1"/>
  <c r="M761" i="6" s="1"/>
  <c r="N761" i="6" s="1"/>
  <c r="L760" i="6"/>
  <c r="I760" i="6"/>
  <c r="F760" i="6"/>
  <c r="G760" i="6" s="1"/>
  <c r="H760" i="6" s="1"/>
  <c r="J760" i="6" s="1"/>
  <c r="K760" i="6" s="1"/>
  <c r="M760" i="6" s="1"/>
  <c r="N760" i="6" s="1"/>
  <c r="D760" i="6"/>
  <c r="E760" i="6" s="1"/>
  <c r="L759" i="6"/>
  <c r="I759" i="6"/>
  <c r="G759" i="6"/>
  <c r="H759" i="6" s="1"/>
  <c r="F759" i="6"/>
  <c r="D759" i="6"/>
  <c r="E759" i="6" s="1"/>
  <c r="L758" i="6"/>
  <c r="I758" i="6"/>
  <c r="G758" i="6"/>
  <c r="H758" i="6" s="1"/>
  <c r="F758" i="6"/>
  <c r="D758" i="6"/>
  <c r="E758" i="6" s="1"/>
  <c r="L757" i="6"/>
  <c r="I757" i="6"/>
  <c r="F757" i="6"/>
  <c r="D757" i="6"/>
  <c r="E757" i="6" s="1"/>
  <c r="G757" i="6" s="1"/>
  <c r="H757" i="6" s="1"/>
  <c r="L756" i="6"/>
  <c r="I756" i="6"/>
  <c r="F756" i="6"/>
  <c r="D756" i="6"/>
  <c r="E756" i="6" s="1"/>
  <c r="G756" i="6" s="1"/>
  <c r="H756" i="6" s="1"/>
  <c r="J756" i="6" s="1"/>
  <c r="K756" i="6" s="1"/>
  <c r="M756" i="6" s="1"/>
  <c r="N756" i="6" s="1"/>
  <c r="L755" i="6"/>
  <c r="I755" i="6"/>
  <c r="G755" i="6"/>
  <c r="H755" i="6" s="1"/>
  <c r="J755" i="6" s="1"/>
  <c r="K755" i="6" s="1"/>
  <c r="M755" i="6" s="1"/>
  <c r="N755" i="6" s="1"/>
  <c r="F755" i="6"/>
  <c r="D755" i="6"/>
  <c r="E755" i="6" s="1"/>
  <c r="L754" i="6"/>
  <c r="I754" i="6"/>
  <c r="F754" i="6"/>
  <c r="D754" i="6"/>
  <c r="E754" i="6" s="1"/>
  <c r="L753" i="6"/>
  <c r="I753" i="6"/>
  <c r="F753" i="6"/>
  <c r="D753" i="6"/>
  <c r="E753" i="6" s="1"/>
  <c r="L752" i="6"/>
  <c r="I752" i="6"/>
  <c r="F752" i="6"/>
  <c r="E752" i="6"/>
  <c r="G752" i="6" s="1"/>
  <c r="H752" i="6" s="1"/>
  <c r="J752" i="6" s="1"/>
  <c r="K752" i="6" s="1"/>
  <c r="M752" i="6" s="1"/>
  <c r="N752" i="6" s="1"/>
  <c r="D752" i="6"/>
  <c r="L751" i="6"/>
  <c r="I751" i="6"/>
  <c r="F751" i="6"/>
  <c r="E751" i="6"/>
  <c r="D751" i="6"/>
  <c r="L750" i="6"/>
  <c r="I750" i="6"/>
  <c r="F750" i="6"/>
  <c r="D750" i="6"/>
  <c r="E750" i="6" s="1"/>
  <c r="G750" i="6" s="1"/>
  <c r="H750" i="6" s="1"/>
  <c r="J750" i="6" s="1"/>
  <c r="K750" i="6" s="1"/>
  <c r="M750" i="6" s="1"/>
  <c r="N750" i="6" s="1"/>
  <c r="L749" i="6"/>
  <c r="I749" i="6"/>
  <c r="F749" i="6"/>
  <c r="E749" i="6"/>
  <c r="D749" i="6"/>
  <c r="L748" i="6"/>
  <c r="I748" i="6"/>
  <c r="F748" i="6"/>
  <c r="D748" i="6"/>
  <c r="E748" i="6" s="1"/>
  <c r="G748" i="6" s="1"/>
  <c r="H748" i="6" s="1"/>
  <c r="J748" i="6" s="1"/>
  <c r="K748" i="6" s="1"/>
  <c r="M748" i="6" s="1"/>
  <c r="N748" i="6" s="1"/>
  <c r="L747" i="6"/>
  <c r="I747" i="6"/>
  <c r="F747" i="6"/>
  <c r="E747" i="6"/>
  <c r="D747" i="6"/>
  <c r="L746" i="6"/>
  <c r="I746" i="6"/>
  <c r="F746" i="6"/>
  <c r="E746" i="6"/>
  <c r="D746" i="6"/>
  <c r="L745" i="6"/>
  <c r="I745" i="6"/>
  <c r="F745" i="6"/>
  <c r="D745" i="6"/>
  <c r="E745" i="6" s="1"/>
  <c r="L744" i="6"/>
  <c r="I744" i="6"/>
  <c r="F744" i="6"/>
  <c r="D744" i="6"/>
  <c r="E744" i="6" s="1"/>
  <c r="G744" i="6" s="1"/>
  <c r="H744" i="6" s="1"/>
  <c r="J744" i="6" s="1"/>
  <c r="K744" i="6" s="1"/>
  <c r="M744" i="6" s="1"/>
  <c r="N744" i="6" s="1"/>
  <c r="L743" i="6"/>
  <c r="I743" i="6"/>
  <c r="F743" i="6"/>
  <c r="D743" i="6"/>
  <c r="E743" i="6" s="1"/>
  <c r="L742" i="6"/>
  <c r="I742" i="6"/>
  <c r="F742" i="6"/>
  <c r="D742" i="6"/>
  <c r="E742" i="6" s="1"/>
  <c r="G742" i="6" s="1"/>
  <c r="H742" i="6" s="1"/>
  <c r="L741" i="6"/>
  <c r="I741" i="6"/>
  <c r="F741" i="6"/>
  <c r="E741" i="6"/>
  <c r="D741" i="6"/>
  <c r="L740" i="6"/>
  <c r="I740" i="6"/>
  <c r="F740" i="6"/>
  <c r="D740" i="6"/>
  <c r="E740" i="6" s="1"/>
  <c r="G740" i="6" s="1"/>
  <c r="H740" i="6" s="1"/>
  <c r="J740" i="6" s="1"/>
  <c r="K740" i="6" s="1"/>
  <c r="M740" i="6" s="1"/>
  <c r="N740" i="6" s="1"/>
  <c r="L739" i="6"/>
  <c r="I739" i="6"/>
  <c r="F739" i="6"/>
  <c r="D739" i="6"/>
  <c r="E739" i="6" s="1"/>
  <c r="L738" i="6"/>
  <c r="I738" i="6"/>
  <c r="F738" i="6"/>
  <c r="D738" i="6"/>
  <c r="E738" i="6" s="1"/>
  <c r="G738" i="6" s="1"/>
  <c r="H738" i="6" s="1"/>
  <c r="J738" i="6" s="1"/>
  <c r="K738" i="6" s="1"/>
  <c r="M738" i="6" s="1"/>
  <c r="N738" i="6" s="1"/>
  <c r="L737" i="6"/>
  <c r="I737" i="6"/>
  <c r="F737" i="6"/>
  <c r="E737" i="6"/>
  <c r="G737" i="6" s="1"/>
  <c r="H737" i="6" s="1"/>
  <c r="J737" i="6" s="1"/>
  <c r="K737" i="6" s="1"/>
  <c r="D737" i="6"/>
  <c r="L736" i="6"/>
  <c r="I736" i="6"/>
  <c r="F736" i="6"/>
  <c r="D736" i="6"/>
  <c r="E736" i="6" s="1"/>
  <c r="G736" i="6" s="1"/>
  <c r="H736" i="6" s="1"/>
  <c r="J736" i="6" s="1"/>
  <c r="K736" i="6" s="1"/>
  <c r="M736" i="6" s="1"/>
  <c r="N736" i="6" s="1"/>
  <c r="L735" i="6"/>
  <c r="I735" i="6"/>
  <c r="F735" i="6"/>
  <c r="D735" i="6"/>
  <c r="E735" i="6" s="1"/>
  <c r="L734" i="6"/>
  <c r="I734" i="6"/>
  <c r="F734" i="6"/>
  <c r="D734" i="6"/>
  <c r="E734" i="6" s="1"/>
  <c r="G734" i="6" s="1"/>
  <c r="H734" i="6" s="1"/>
  <c r="J734" i="6" s="1"/>
  <c r="K734" i="6" s="1"/>
  <c r="M734" i="6" s="1"/>
  <c r="N734" i="6" s="1"/>
  <c r="L733" i="6"/>
  <c r="I733" i="6"/>
  <c r="F733" i="6"/>
  <c r="D733" i="6"/>
  <c r="E733" i="6" s="1"/>
  <c r="G733" i="6" s="1"/>
  <c r="H733" i="6" s="1"/>
  <c r="J733" i="6" s="1"/>
  <c r="K733" i="6" s="1"/>
  <c r="M733" i="6" s="1"/>
  <c r="N733" i="6" s="1"/>
  <c r="L732" i="6"/>
  <c r="I732" i="6"/>
  <c r="F732" i="6"/>
  <c r="E732" i="6"/>
  <c r="G732" i="6" s="1"/>
  <c r="H732" i="6" s="1"/>
  <c r="J732" i="6" s="1"/>
  <c r="K732" i="6" s="1"/>
  <c r="M732" i="6" s="1"/>
  <c r="N732" i="6" s="1"/>
  <c r="D732" i="6"/>
  <c r="L731" i="6"/>
  <c r="I731" i="6"/>
  <c r="G731" i="6"/>
  <c r="H731" i="6" s="1"/>
  <c r="J731" i="6" s="1"/>
  <c r="K731" i="6" s="1"/>
  <c r="M731" i="6" s="1"/>
  <c r="N731" i="6" s="1"/>
  <c r="F731" i="6"/>
  <c r="E731" i="6"/>
  <c r="D731" i="6"/>
  <c r="L730" i="6"/>
  <c r="I730" i="6"/>
  <c r="F730" i="6"/>
  <c r="G730" i="6" s="1"/>
  <c r="H730" i="6" s="1"/>
  <c r="J730" i="6" s="1"/>
  <c r="K730" i="6" s="1"/>
  <c r="M730" i="6" s="1"/>
  <c r="N730" i="6" s="1"/>
  <c r="D730" i="6"/>
  <c r="E730" i="6" s="1"/>
  <c r="L729" i="6"/>
  <c r="I729" i="6"/>
  <c r="F729" i="6"/>
  <c r="D729" i="6"/>
  <c r="E729" i="6" s="1"/>
  <c r="G729" i="6" s="1"/>
  <c r="H729" i="6" s="1"/>
  <c r="J729" i="6" s="1"/>
  <c r="K729" i="6" s="1"/>
  <c r="L728" i="6"/>
  <c r="I728" i="6"/>
  <c r="F728" i="6"/>
  <c r="D728" i="6"/>
  <c r="E728" i="6" s="1"/>
  <c r="G728" i="6" s="1"/>
  <c r="H728" i="6" s="1"/>
  <c r="J728" i="6" s="1"/>
  <c r="K728" i="6" s="1"/>
  <c r="L727" i="6"/>
  <c r="I727" i="6"/>
  <c r="F727" i="6"/>
  <c r="D727" i="6"/>
  <c r="E727" i="6" s="1"/>
  <c r="G727" i="6" s="1"/>
  <c r="H727" i="6" s="1"/>
  <c r="L726" i="6"/>
  <c r="I726" i="6"/>
  <c r="F726" i="6"/>
  <c r="E726" i="6"/>
  <c r="D726" i="6"/>
  <c r="L725" i="6"/>
  <c r="I725" i="6"/>
  <c r="F725" i="6"/>
  <c r="D725" i="6"/>
  <c r="E725" i="6" s="1"/>
  <c r="L724" i="6"/>
  <c r="I724" i="6"/>
  <c r="F724" i="6"/>
  <c r="D724" i="6"/>
  <c r="E724" i="6" s="1"/>
  <c r="G724" i="6" s="1"/>
  <c r="H724" i="6" s="1"/>
  <c r="J724" i="6" s="1"/>
  <c r="K724" i="6" s="1"/>
  <c r="M724" i="6" s="1"/>
  <c r="N724" i="6" s="1"/>
  <c r="L723" i="6"/>
  <c r="I723" i="6"/>
  <c r="F723" i="6"/>
  <c r="D723" i="6"/>
  <c r="E723" i="6" s="1"/>
  <c r="G723" i="6" s="1"/>
  <c r="H723" i="6" s="1"/>
  <c r="J723" i="6" s="1"/>
  <c r="K723" i="6" s="1"/>
  <c r="M723" i="6" s="1"/>
  <c r="N723" i="6" s="1"/>
  <c r="L722" i="6"/>
  <c r="I722" i="6"/>
  <c r="F722" i="6"/>
  <c r="E722" i="6"/>
  <c r="G722" i="6" s="1"/>
  <c r="H722" i="6" s="1"/>
  <c r="J722" i="6" s="1"/>
  <c r="K722" i="6" s="1"/>
  <c r="D722" i="6"/>
  <c r="L721" i="6"/>
  <c r="I721" i="6"/>
  <c r="F721" i="6"/>
  <c r="D721" i="6"/>
  <c r="E721" i="6" s="1"/>
  <c r="G721" i="6" s="1"/>
  <c r="H721" i="6" s="1"/>
  <c r="J721" i="6" s="1"/>
  <c r="K721" i="6" s="1"/>
  <c r="M721" i="6" s="1"/>
  <c r="N721" i="6" s="1"/>
  <c r="L720" i="6"/>
  <c r="I720" i="6"/>
  <c r="F720" i="6"/>
  <c r="D720" i="6"/>
  <c r="E720" i="6" s="1"/>
  <c r="G720" i="6" s="1"/>
  <c r="H720" i="6" s="1"/>
  <c r="J720" i="6" s="1"/>
  <c r="K720" i="6" s="1"/>
  <c r="M720" i="6" s="1"/>
  <c r="N720" i="6" s="1"/>
  <c r="L719" i="6"/>
  <c r="I719" i="6"/>
  <c r="F719" i="6"/>
  <c r="D719" i="6"/>
  <c r="E719" i="6" s="1"/>
  <c r="L718" i="6"/>
  <c r="I718" i="6"/>
  <c r="F718" i="6"/>
  <c r="D718" i="6"/>
  <c r="E718" i="6" s="1"/>
  <c r="G718" i="6" s="1"/>
  <c r="H718" i="6" s="1"/>
  <c r="L717" i="6"/>
  <c r="I717" i="6"/>
  <c r="J717" i="6" s="1"/>
  <c r="K717" i="6" s="1"/>
  <c r="M717" i="6" s="1"/>
  <c r="N717" i="6" s="1"/>
  <c r="G717" i="6"/>
  <c r="H717" i="6" s="1"/>
  <c r="F717" i="6"/>
  <c r="D717" i="6"/>
  <c r="E717" i="6" s="1"/>
  <c r="L716" i="6"/>
  <c r="I716" i="6"/>
  <c r="G716" i="6"/>
  <c r="H716" i="6" s="1"/>
  <c r="F716" i="6"/>
  <c r="E716" i="6"/>
  <c r="D716" i="6"/>
  <c r="L715" i="6"/>
  <c r="I715" i="6"/>
  <c r="F715" i="6"/>
  <c r="D715" i="6"/>
  <c r="E715" i="6" s="1"/>
  <c r="L714" i="6"/>
  <c r="I714" i="6"/>
  <c r="F714" i="6"/>
  <c r="D714" i="6"/>
  <c r="E714" i="6" s="1"/>
  <c r="G714" i="6" s="1"/>
  <c r="H714" i="6" s="1"/>
  <c r="J714" i="6" s="1"/>
  <c r="K714" i="6" s="1"/>
  <c r="M714" i="6" s="1"/>
  <c r="N714" i="6" s="1"/>
  <c r="L713" i="6"/>
  <c r="I713" i="6"/>
  <c r="F713" i="6"/>
  <c r="D713" i="6"/>
  <c r="E713" i="6" s="1"/>
  <c r="G713" i="6" s="1"/>
  <c r="H713" i="6" s="1"/>
  <c r="J713" i="6" s="1"/>
  <c r="K713" i="6" s="1"/>
  <c r="M713" i="6" s="1"/>
  <c r="N713" i="6" s="1"/>
  <c r="L712" i="6"/>
  <c r="I712" i="6"/>
  <c r="F712" i="6"/>
  <c r="E712" i="6"/>
  <c r="G712" i="6" s="1"/>
  <c r="H712" i="6" s="1"/>
  <c r="D712" i="6"/>
  <c r="L711" i="6"/>
  <c r="I711" i="6"/>
  <c r="F711" i="6"/>
  <c r="D711" i="6"/>
  <c r="E711" i="6" s="1"/>
  <c r="L710" i="6"/>
  <c r="I710" i="6"/>
  <c r="F710" i="6"/>
  <c r="D710" i="6"/>
  <c r="E710" i="6" s="1"/>
  <c r="G710" i="6" s="1"/>
  <c r="H710" i="6" s="1"/>
  <c r="J710" i="6" s="1"/>
  <c r="K710" i="6" s="1"/>
  <c r="L709" i="6"/>
  <c r="I709" i="6"/>
  <c r="F709" i="6"/>
  <c r="D709" i="6"/>
  <c r="E709" i="6" s="1"/>
  <c r="G709" i="6" s="1"/>
  <c r="H709" i="6" s="1"/>
  <c r="J709" i="6" s="1"/>
  <c r="K709" i="6" s="1"/>
  <c r="L708" i="6"/>
  <c r="I708" i="6"/>
  <c r="F708" i="6"/>
  <c r="D708" i="6"/>
  <c r="E708" i="6" s="1"/>
  <c r="G708" i="6" s="1"/>
  <c r="H708" i="6" s="1"/>
  <c r="L707" i="6"/>
  <c r="I707" i="6"/>
  <c r="F707" i="6"/>
  <c r="D707" i="6"/>
  <c r="E707" i="6" s="1"/>
  <c r="G707" i="6" s="1"/>
  <c r="H707" i="6" s="1"/>
  <c r="J707" i="6" s="1"/>
  <c r="K707" i="6" s="1"/>
  <c r="M707" i="6" s="1"/>
  <c r="N707" i="6" s="1"/>
  <c r="L706" i="6"/>
  <c r="I706" i="6"/>
  <c r="F706" i="6"/>
  <c r="D706" i="6"/>
  <c r="E706" i="6" s="1"/>
  <c r="G706" i="6" s="1"/>
  <c r="H706" i="6" s="1"/>
  <c r="J706" i="6" s="1"/>
  <c r="K706" i="6" s="1"/>
  <c r="M706" i="6" s="1"/>
  <c r="N706" i="6" s="1"/>
  <c r="L705" i="6"/>
  <c r="I705" i="6"/>
  <c r="F705" i="6"/>
  <c r="D705" i="6"/>
  <c r="E705" i="6" s="1"/>
  <c r="G705" i="6" s="1"/>
  <c r="H705" i="6" s="1"/>
  <c r="J705" i="6" s="1"/>
  <c r="K705" i="6" s="1"/>
  <c r="M705" i="6" s="1"/>
  <c r="N705" i="6" s="1"/>
  <c r="L704" i="6"/>
  <c r="I704" i="6"/>
  <c r="F704" i="6"/>
  <c r="D704" i="6"/>
  <c r="E704" i="6" s="1"/>
  <c r="L703" i="6"/>
  <c r="I703" i="6"/>
  <c r="F703" i="6"/>
  <c r="D703" i="6"/>
  <c r="E703" i="6" s="1"/>
  <c r="G703" i="6" s="1"/>
  <c r="H703" i="6" s="1"/>
  <c r="J703" i="6" s="1"/>
  <c r="K703" i="6" s="1"/>
  <c r="M703" i="6" s="1"/>
  <c r="N703" i="6" s="1"/>
  <c r="L702" i="6"/>
  <c r="I702" i="6"/>
  <c r="G702" i="6"/>
  <c r="H702" i="6" s="1"/>
  <c r="J702" i="6" s="1"/>
  <c r="K702" i="6" s="1"/>
  <c r="M702" i="6" s="1"/>
  <c r="N702" i="6" s="1"/>
  <c r="F702" i="6"/>
  <c r="D702" i="6"/>
  <c r="E702" i="6" s="1"/>
  <c r="L701" i="6"/>
  <c r="I701" i="6"/>
  <c r="H701" i="6"/>
  <c r="J701" i="6" s="1"/>
  <c r="K701" i="6" s="1"/>
  <c r="M701" i="6" s="1"/>
  <c r="N701" i="6" s="1"/>
  <c r="F701" i="6"/>
  <c r="E701" i="6"/>
  <c r="G701" i="6" s="1"/>
  <c r="D701" i="6"/>
  <c r="L700" i="6"/>
  <c r="I700" i="6"/>
  <c r="F700" i="6"/>
  <c r="D700" i="6"/>
  <c r="E700" i="6" s="1"/>
  <c r="L699" i="6"/>
  <c r="I699" i="6"/>
  <c r="F699" i="6"/>
  <c r="D699" i="6"/>
  <c r="E699" i="6" s="1"/>
  <c r="G699" i="6" s="1"/>
  <c r="H699" i="6" s="1"/>
  <c r="L698" i="6"/>
  <c r="I698" i="6"/>
  <c r="F698" i="6"/>
  <c r="D698" i="6"/>
  <c r="E698" i="6" s="1"/>
  <c r="G698" i="6" s="1"/>
  <c r="H698" i="6" s="1"/>
  <c r="J698" i="6" s="1"/>
  <c r="K698" i="6" s="1"/>
  <c r="M698" i="6" s="1"/>
  <c r="N698" i="6" s="1"/>
  <c r="L697" i="6"/>
  <c r="I697" i="6"/>
  <c r="F697" i="6"/>
  <c r="E697" i="6"/>
  <c r="D697" i="6"/>
  <c r="L696" i="6"/>
  <c r="I696" i="6"/>
  <c r="F696" i="6"/>
  <c r="D696" i="6"/>
  <c r="E696" i="6" s="1"/>
  <c r="G696" i="6" s="1"/>
  <c r="H696" i="6" s="1"/>
  <c r="J696" i="6" s="1"/>
  <c r="K696" i="6" s="1"/>
  <c r="M696" i="6" s="1"/>
  <c r="N696" i="6" s="1"/>
  <c r="L695" i="6"/>
  <c r="I695" i="6"/>
  <c r="F695" i="6"/>
  <c r="E695" i="6"/>
  <c r="D695" i="6"/>
  <c r="L694" i="6"/>
  <c r="I694" i="6"/>
  <c r="F694" i="6"/>
  <c r="D694" i="6"/>
  <c r="E694" i="6" s="1"/>
  <c r="G694" i="6" s="1"/>
  <c r="H694" i="6" s="1"/>
  <c r="J694" i="6" s="1"/>
  <c r="K694" i="6" s="1"/>
  <c r="M694" i="6" s="1"/>
  <c r="N694" i="6" s="1"/>
  <c r="L693" i="6"/>
  <c r="I693" i="6"/>
  <c r="F693" i="6"/>
  <c r="E693" i="6"/>
  <c r="D693" i="6"/>
  <c r="L692" i="6"/>
  <c r="I692" i="6"/>
  <c r="F692" i="6"/>
  <c r="D692" i="6"/>
  <c r="E692" i="6" s="1"/>
  <c r="G692" i="6" s="1"/>
  <c r="H692" i="6" s="1"/>
  <c r="L691" i="6"/>
  <c r="I691" i="6"/>
  <c r="G691" i="6"/>
  <c r="H691" i="6" s="1"/>
  <c r="J691" i="6" s="1"/>
  <c r="K691" i="6" s="1"/>
  <c r="F691" i="6"/>
  <c r="E691" i="6"/>
  <c r="D691" i="6"/>
  <c r="L690" i="6"/>
  <c r="I690" i="6"/>
  <c r="F690" i="6"/>
  <c r="D690" i="6"/>
  <c r="E690" i="6" s="1"/>
  <c r="L689" i="6"/>
  <c r="I689" i="6"/>
  <c r="F689" i="6"/>
  <c r="D689" i="6"/>
  <c r="E689" i="6" s="1"/>
  <c r="L688" i="6"/>
  <c r="I688" i="6"/>
  <c r="F688" i="6"/>
  <c r="D688" i="6"/>
  <c r="E688" i="6" s="1"/>
  <c r="G688" i="6" s="1"/>
  <c r="H688" i="6" s="1"/>
  <c r="J688" i="6" s="1"/>
  <c r="K688" i="6" s="1"/>
  <c r="M688" i="6" s="1"/>
  <c r="N688" i="6" s="1"/>
  <c r="L687" i="6"/>
  <c r="I687" i="6"/>
  <c r="F687" i="6"/>
  <c r="D687" i="6"/>
  <c r="E687" i="6" s="1"/>
  <c r="G687" i="6" s="1"/>
  <c r="H687" i="6" s="1"/>
  <c r="J687" i="6" s="1"/>
  <c r="K687" i="6" s="1"/>
  <c r="M687" i="6" s="1"/>
  <c r="N687" i="6" s="1"/>
  <c r="M686" i="6"/>
  <c r="N686" i="6" s="1"/>
  <c r="L686" i="6"/>
  <c r="I686" i="6"/>
  <c r="F686" i="6"/>
  <c r="D686" i="6"/>
  <c r="E686" i="6" s="1"/>
  <c r="G686" i="6" s="1"/>
  <c r="H686" i="6" s="1"/>
  <c r="J686" i="6" s="1"/>
  <c r="K686" i="6" s="1"/>
  <c r="L685" i="6"/>
  <c r="I685" i="6"/>
  <c r="F685" i="6"/>
  <c r="E685" i="6"/>
  <c r="G685" i="6" s="1"/>
  <c r="H685" i="6" s="1"/>
  <c r="J685" i="6" s="1"/>
  <c r="K685" i="6" s="1"/>
  <c r="D685" i="6"/>
  <c r="L684" i="6"/>
  <c r="I684" i="6"/>
  <c r="F684" i="6"/>
  <c r="D684" i="6"/>
  <c r="E684" i="6" s="1"/>
  <c r="G684" i="6" s="1"/>
  <c r="H684" i="6" s="1"/>
  <c r="J684" i="6" s="1"/>
  <c r="K684" i="6" s="1"/>
  <c r="M684" i="6" s="1"/>
  <c r="N684" i="6" s="1"/>
  <c r="L683" i="6"/>
  <c r="I683" i="6"/>
  <c r="F683" i="6"/>
  <c r="E683" i="6"/>
  <c r="D683" i="6"/>
  <c r="L682" i="6"/>
  <c r="I682" i="6"/>
  <c r="F682" i="6"/>
  <c r="D682" i="6"/>
  <c r="E682" i="6" s="1"/>
  <c r="L681" i="6"/>
  <c r="I681" i="6"/>
  <c r="F681" i="6"/>
  <c r="D681" i="6"/>
  <c r="E681" i="6" s="1"/>
  <c r="G681" i="6" s="1"/>
  <c r="H681" i="6" s="1"/>
  <c r="J681" i="6" s="1"/>
  <c r="K681" i="6" s="1"/>
  <c r="M681" i="6" s="1"/>
  <c r="N681" i="6" s="1"/>
  <c r="L680" i="6"/>
  <c r="I680" i="6"/>
  <c r="F680" i="6"/>
  <c r="D680" i="6"/>
  <c r="E680" i="6" s="1"/>
  <c r="L679" i="6"/>
  <c r="K679" i="6"/>
  <c r="M679" i="6" s="1"/>
  <c r="N679" i="6" s="1"/>
  <c r="I679" i="6"/>
  <c r="F679" i="6"/>
  <c r="D679" i="6"/>
  <c r="E679" i="6" s="1"/>
  <c r="G679" i="6" s="1"/>
  <c r="H679" i="6" s="1"/>
  <c r="J679" i="6" s="1"/>
  <c r="L678" i="6"/>
  <c r="I678" i="6"/>
  <c r="F678" i="6"/>
  <c r="E678" i="6"/>
  <c r="G678" i="6" s="1"/>
  <c r="H678" i="6" s="1"/>
  <c r="J678" i="6" s="1"/>
  <c r="K678" i="6" s="1"/>
  <c r="M678" i="6" s="1"/>
  <c r="N678" i="6" s="1"/>
  <c r="D678" i="6"/>
  <c r="L677" i="6"/>
  <c r="I677" i="6"/>
  <c r="F677" i="6"/>
  <c r="D677" i="6"/>
  <c r="E677" i="6" s="1"/>
  <c r="L676" i="6"/>
  <c r="I676" i="6"/>
  <c r="F676" i="6"/>
  <c r="D676" i="6"/>
  <c r="E676" i="6" s="1"/>
  <c r="L675" i="6"/>
  <c r="I675" i="6"/>
  <c r="F675" i="6"/>
  <c r="E675" i="6"/>
  <c r="G675" i="6" s="1"/>
  <c r="H675" i="6" s="1"/>
  <c r="J675" i="6" s="1"/>
  <c r="K675" i="6" s="1"/>
  <c r="M675" i="6" s="1"/>
  <c r="N675" i="6" s="1"/>
  <c r="D675" i="6"/>
  <c r="L674" i="6"/>
  <c r="I674" i="6"/>
  <c r="F674" i="6"/>
  <c r="D674" i="6"/>
  <c r="E674" i="6" s="1"/>
  <c r="G674" i="6" s="1"/>
  <c r="H674" i="6" s="1"/>
  <c r="J674" i="6" s="1"/>
  <c r="K674" i="6" s="1"/>
  <c r="L673" i="6"/>
  <c r="I673" i="6"/>
  <c r="F673" i="6"/>
  <c r="E673" i="6"/>
  <c r="G673" i="6" s="1"/>
  <c r="H673" i="6" s="1"/>
  <c r="J673" i="6" s="1"/>
  <c r="K673" i="6" s="1"/>
  <c r="M673" i="6" s="1"/>
  <c r="N673" i="6" s="1"/>
  <c r="D673" i="6"/>
  <c r="L672" i="6"/>
  <c r="I672" i="6"/>
  <c r="G672" i="6"/>
  <c r="H672" i="6" s="1"/>
  <c r="F672" i="6"/>
  <c r="D672" i="6"/>
  <c r="E672" i="6" s="1"/>
  <c r="L671" i="6"/>
  <c r="I671" i="6"/>
  <c r="F671" i="6"/>
  <c r="E671" i="6"/>
  <c r="G671" i="6" s="1"/>
  <c r="H671" i="6" s="1"/>
  <c r="J671" i="6" s="1"/>
  <c r="K671" i="6" s="1"/>
  <c r="D671" i="6"/>
  <c r="L670" i="6"/>
  <c r="I670" i="6"/>
  <c r="F670" i="6"/>
  <c r="D670" i="6"/>
  <c r="E670" i="6" s="1"/>
  <c r="L669" i="6"/>
  <c r="I669" i="6"/>
  <c r="F669" i="6"/>
  <c r="D669" i="6"/>
  <c r="E669" i="6" s="1"/>
  <c r="L668" i="6"/>
  <c r="I668" i="6"/>
  <c r="F668" i="6"/>
  <c r="D668" i="6"/>
  <c r="E668" i="6" s="1"/>
  <c r="G668" i="6" s="1"/>
  <c r="H668" i="6" s="1"/>
  <c r="J668" i="6" s="1"/>
  <c r="K668" i="6" s="1"/>
  <c r="M668" i="6" s="1"/>
  <c r="N668" i="6" s="1"/>
  <c r="L667" i="6"/>
  <c r="I667" i="6"/>
  <c r="F667" i="6"/>
  <c r="E667" i="6"/>
  <c r="D667" i="6"/>
  <c r="L666" i="6"/>
  <c r="I666" i="6"/>
  <c r="F666" i="6"/>
  <c r="D666" i="6"/>
  <c r="E666" i="6" s="1"/>
  <c r="G666" i="6" s="1"/>
  <c r="H666" i="6" s="1"/>
  <c r="J666" i="6" s="1"/>
  <c r="K666" i="6" s="1"/>
  <c r="M666" i="6" s="1"/>
  <c r="N666" i="6" s="1"/>
  <c r="L665" i="6"/>
  <c r="I665" i="6"/>
  <c r="F665" i="6"/>
  <c r="D665" i="6"/>
  <c r="E665" i="6" s="1"/>
  <c r="L664" i="6"/>
  <c r="I664" i="6"/>
  <c r="F664" i="6"/>
  <c r="D664" i="6"/>
  <c r="E664" i="6" s="1"/>
  <c r="G664" i="6" s="1"/>
  <c r="H664" i="6" s="1"/>
  <c r="J664" i="6" s="1"/>
  <c r="K664" i="6" s="1"/>
  <c r="M664" i="6" s="1"/>
  <c r="N664" i="6" s="1"/>
  <c r="L663" i="6"/>
  <c r="I663" i="6"/>
  <c r="F663" i="6"/>
  <c r="D663" i="6"/>
  <c r="E663" i="6" s="1"/>
  <c r="L662" i="6"/>
  <c r="I662" i="6"/>
  <c r="F662" i="6"/>
  <c r="G662" i="6" s="1"/>
  <c r="H662" i="6" s="1"/>
  <c r="J662" i="6" s="1"/>
  <c r="K662" i="6" s="1"/>
  <c r="D662" i="6"/>
  <c r="E662" i="6" s="1"/>
  <c r="L661" i="6"/>
  <c r="I661" i="6"/>
  <c r="F661" i="6"/>
  <c r="E661" i="6"/>
  <c r="D661" i="6"/>
  <c r="L660" i="6"/>
  <c r="I660" i="6"/>
  <c r="F660" i="6"/>
  <c r="D660" i="6"/>
  <c r="E660" i="6" s="1"/>
  <c r="G660" i="6" s="1"/>
  <c r="H660" i="6" s="1"/>
  <c r="J660" i="6" s="1"/>
  <c r="K660" i="6" s="1"/>
  <c r="M660" i="6" s="1"/>
  <c r="N660" i="6" s="1"/>
  <c r="L659" i="6"/>
  <c r="I659" i="6"/>
  <c r="F659" i="6"/>
  <c r="D659" i="6"/>
  <c r="E659" i="6" s="1"/>
  <c r="G659" i="6" s="1"/>
  <c r="H659" i="6" s="1"/>
  <c r="J659" i="6" s="1"/>
  <c r="K659" i="6" s="1"/>
  <c r="M659" i="6" s="1"/>
  <c r="N659" i="6" s="1"/>
  <c r="L658" i="6"/>
  <c r="I658" i="6"/>
  <c r="F658" i="6"/>
  <c r="D658" i="6"/>
  <c r="E658" i="6" s="1"/>
  <c r="L657" i="6"/>
  <c r="I657" i="6"/>
  <c r="F657" i="6"/>
  <c r="D657" i="6"/>
  <c r="E657" i="6" s="1"/>
  <c r="L656" i="6"/>
  <c r="I656" i="6"/>
  <c r="F656" i="6"/>
  <c r="D656" i="6"/>
  <c r="E656" i="6" s="1"/>
  <c r="G656" i="6" s="1"/>
  <c r="H656" i="6" s="1"/>
  <c r="J656" i="6" s="1"/>
  <c r="K656" i="6" s="1"/>
  <c r="M656" i="6" s="1"/>
  <c r="N656" i="6" s="1"/>
  <c r="L655" i="6"/>
  <c r="I655" i="6"/>
  <c r="F655" i="6"/>
  <c r="D655" i="6"/>
  <c r="E655" i="6" s="1"/>
  <c r="L654" i="6"/>
  <c r="I654" i="6"/>
  <c r="H654" i="6"/>
  <c r="F654" i="6"/>
  <c r="G654" i="6" s="1"/>
  <c r="D654" i="6"/>
  <c r="E654" i="6" s="1"/>
  <c r="L653" i="6"/>
  <c r="I653" i="6"/>
  <c r="F653" i="6"/>
  <c r="E653" i="6"/>
  <c r="G653" i="6" s="1"/>
  <c r="H653" i="6" s="1"/>
  <c r="J653" i="6" s="1"/>
  <c r="K653" i="6" s="1"/>
  <c r="M653" i="6" s="1"/>
  <c r="N653" i="6" s="1"/>
  <c r="D653" i="6"/>
  <c r="L652" i="6"/>
  <c r="J652" i="6"/>
  <c r="K652" i="6" s="1"/>
  <c r="M652" i="6" s="1"/>
  <c r="N652" i="6" s="1"/>
  <c r="I652" i="6"/>
  <c r="F652" i="6"/>
  <c r="D652" i="6"/>
  <c r="E652" i="6" s="1"/>
  <c r="G652" i="6" s="1"/>
  <c r="H652" i="6" s="1"/>
  <c r="L651" i="6"/>
  <c r="I651" i="6"/>
  <c r="F651" i="6"/>
  <c r="E651" i="6"/>
  <c r="G651" i="6" s="1"/>
  <c r="H651" i="6" s="1"/>
  <c r="J651" i="6" s="1"/>
  <c r="K651" i="6" s="1"/>
  <c r="M651" i="6" s="1"/>
  <c r="N651" i="6" s="1"/>
  <c r="D651" i="6"/>
  <c r="L650" i="6"/>
  <c r="I650" i="6"/>
  <c r="F650" i="6"/>
  <c r="D650" i="6"/>
  <c r="E650" i="6" s="1"/>
  <c r="L649" i="6"/>
  <c r="I649" i="6"/>
  <c r="F649" i="6"/>
  <c r="D649" i="6"/>
  <c r="E649" i="6" s="1"/>
  <c r="L648" i="6"/>
  <c r="I648" i="6"/>
  <c r="F648" i="6"/>
  <c r="D648" i="6"/>
  <c r="E648" i="6" s="1"/>
  <c r="G648" i="6" s="1"/>
  <c r="H648" i="6" s="1"/>
  <c r="J648" i="6" s="1"/>
  <c r="K648" i="6" s="1"/>
  <c r="M648" i="6" s="1"/>
  <c r="N648" i="6" s="1"/>
  <c r="L647" i="6"/>
  <c r="I647" i="6"/>
  <c r="F647" i="6"/>
  <c r="D647" i="6"/>
  <c r="E647" i="6" s="1"/>
  <c r="L646" i="6"/>
  <c r="I646" i="6"/>
  <c r="F646" i="6"/>
  <c r="D646" i="6"/>
  <c r="E646" i="6" s="1"/>
  <c r="G646" i="6" s="1"/>
  <c r="H646" i="6" s="1"/>
  <c r="L645" i="6"/>
  <c r="I645" i="6"/>
  <c r="F645" i="6"/>
  <c r="D645" i="6"/>
  <c r="E645" i="6" s="1"/>
  <c r="G645" i="6" s="1"/>
  <c r="H645" i="6" s="1"/>
  <c r="L644" i="6"/>
  <c r="I644" i="6"/>
  <c r="F644" i="6"/>
  <c r="D644" i="6"/>
  <c r="E644" i="6" s="1"/>
  <c r="G644" i="6" s="1"/>
  <c r="H644" i="6" s="1"/>
  <c r="J644" i="6" s="1"/>
  <c r="K644" i="6" s="1"/>
  <c r="L643" i="6"/>
  <c r="I643" i="6"/>
  <c r="F643" i="6"/>
  <c r="D643" i="6"/>
  <c r="E643" i="6" s="1"/>
  <c r="G643" i="6" s="1"/>
  <c r="H643" i="6" s="1"/>
  <c r="L642" i="6"/>
  <c r="I642" i="6"/>
  <c r="F642" i="6"/>
  <c r="E642" i="6"/>
  <c r="G642" i="6" s="1"/>
  <c r="H642" i="6" s="1"/>
  <c r="J642" i="6" s="1"/>
  <c r="K642" i="6" s="1"/>
  <c r="M642" i="6" s="1"/>
  <c r="N642" i="6" s="1"/>
  <c r="D642" i="6"/>
  <c r="L641" i="6"/>
  <c r="I641" i="6"/>
  <c r="F641" i="6"/>
  <c r="E641" i="6"/>
  <c r="G641" i="6" s="1"/>
  <c r="H641" i="6" s="1"/>
  <c r="J641" i="6" s="1"/>
  <c r="K641" i="6" s="1"/>
  <c r="D641" i="6"/>
  <c r="L640" i="6"/>
  <c r="I640" i="6"/>
  <c r="F640" i="6"/>
  <c r="D640" i="6"/>
  <c r="E640" i="6" s="1"/>
  <c r="G640" i="6" s="1"/>
  <c r="H640" i="6" s="1"/>
  <c r="J640" i="6" s="1"/>
  <c r="K640" i="6" s="1"/>
  <c r="M640" i="6" s="1"/>
  <c r="N640" i="6" s="1"/>
  <c r="L639" i="6"/>
  <c r="I639" i="6"/>
  <c r="G639" i="6"/>
  <c r="H639" i="6" s="1"/>
  <c r="J639" i="6" s="1"/>
  <c r="K639" i="6" s="1"/>
  <c r="M639" i="6" s="1"/>
  <c r="N639" i="6" s="1"/>
  <c r="F639" i="6"/>
  <c r="D639" i="6"/>
  <c r="E639" i="6" s="1"/>
  <c r="L638" i="6"/>
  <c r="I638" i="6"/>
  <c r="F638" i="6"/>
  <c r="E638" i="6"/>
  <c r="D638" i="6"/>
  <c r="L637" i="6"/>
  <c r="K637" i="6"/>
  <c r="M637" i="6" s="1"/>
  <c r="N637" i="6" s="1"/>
  <c r="I637" i="6"/>
  <c r="J637" i="6" s="1"/>
  <c r="F637" i="6"/>
  <c r="E637" i="6"/>
  <c r="G637" i="6" s="1"/>
  <c r="H637" i="6" s="1"/>
  <c r="D637" i="6"/>
  <c r="L636" i="6"/>
  <c r="I636" i="6"/>
  <c r="F636" i="6"/>
  <c r="D636" i="6"/>
  <c r="E636" i="6" s="1"/>
  <c r="G636" i="6" s="1"/>
  <c r="H636" i="6" s="1"/>
  <c r="J636" i="6" s="1"/>
  <c r="K636" i="6" s="1"/>
  <c r="M636" i="6" s="1"/>
  <c r="N636" i="6" s="1"/>
  <c r="L635" i="6"/>
  <c r="I635" i="6"/>
  <c r="F635" i="6"/>
  <c r="D635" i="6"/>
  <c r="E635" i="6" s="1"/>
  <c r="G635" i="6" s="1"/>
  <c r="H635" i="6" s="1"/>
  <c r="J635" i="6" s="1"/>
  <c r="K635" i="6" s="1"/>
  <c r="L634" i="6"/>
  <c r="I634" i="6"/>
  <c r="F634" i="6"/>
  <c r="D634" i="6"/>
  <c r="E634" i="6" s="1"/>
  <c r="G634" i="6" s="1"/>
  <c r="H634" i="6" s="1"/>
  <c r="L633" i="6"/>
  <c r="I633" i="6"/>
  <c r="F633" i="6"/>
  <c r="D633" i="6"/>
  <c r="E633" i="6" s="1"/>
  <c r="L632" i="6"/>
  <c r="I632" i="6"/>
  <c r="H632" i="6"/>
  <c r="J632" i="6" s="1"/>
  <c r="K632" i="6" s="1"/>
  <c r="M632" i="6" s="1"/>
  <c r="N632" i="6" s="1"/>
  <c r="G632" i="6"/>
  <c r="F632" i="6"/>
  <c r="D632" i="6"/>
  <c r="E632" i="6" s="1"/>
  <c r="L631" i="6"/>
  <c r="I631" i="6"/>
  <c r="F631" i="6"/>
  <c r="D631" i="6"/>
  <c r="E631" i="6" s="1"/>
  <c r="G631" i="6" s="1"/>
  <c r="H631" i="6" s="1"/>
  <c r="J631" i="6" s="1"/>
  <c r="K631" i="6" s="1"/>
  <c r="M631" i="6" s="1"/>
  <c r="N631" i="6" s="1"/>
  <c r="L630" i="6"/>
  <c r="I630" i="6"/>
  <c r="F630" i="6"/>
  <c r="D630" i="6"/>
  <c r="E630" i="6" s="1"/>
  <c r="G630" i="6" s="1"/>
  <c r="H630" i="6" s="1"/>
  <c r="J630" i="6" s="1"/>
  <c r="K630" i="6" s="1"/>
  <c r="M630" i="6" s="1"/>
  <c r="N630" i="6" s="1"/>
  <c r="L629" i="6"/>
  <c r="I629" i="6"/>
  <c r="F629" i="6"/>
  <c r="D629" i="6"/>
  <c r="E629" i="6" s="1"/>
  <c r="G629" i="6" s="1"/>
  <c r="H629" i="6" s="1"/>
  <c r="L628" i="6"/>
  <c r="I628" i="6"/>
  <c r="F628" i="6"/>
  <c r="D628" i="6"/>
  <c r="E628" i="6" s="1"/>
  <c r="N627" i="6"/>
  <c r="M627" i="6"/>
  <c r="L627" i="6"/>
  <c r="I627" i="6"/>
  <c r="F627" i="6"/>
  <c r="E627" i="6"/>
  <c r="G627" i="6" s="1"/>
  <c r="H627" i="6" s="1"/>
  <c r="J627" i="6" s="1"/>
  <c r="K627" i="6" s="1"/>
  <c r="D627" i="6"/>
  <c r="L626" i="6"/>
  <c r="I626" i="6"/>
  <c r="F626" i="6"/>
  <c r="D626" i="6"/>
  <c r="E626" i="6" s="1"/>
  <c r="G626" i="6" s="1"/>
  <c r="H626" i="6" s="1"/>
  <c r="J626" i="6" s="1"/>
  <c r="K626" i="6" s="1"/>
  <c r="M626" i="6" s="1"/>
  <c r="N626" i="6" s="1"/>
  <c r="L625" i="6"/>
  <c r="I625" i="6"/>
  <c r="F625" i="6"/>
  <c r="D625" i="6"/>
  <c r="E625" i="6" s="1"/>
  <c r="L624" i="6"/>
  <c r="I624" i="6"/>
  <c r="F624" i="6"/>
  <c r="D624" i="6"/>
  <c r="E624" i="6" s="1"/>
  <c r="G624" i="6" s="1"/>
  <c r="H624" i="6" s="1"/>
  <c r="J624" i="6" s="1"/>
  <c r="K624" i="6" s="1"/>
  <c r="M624" i="6" s="1"/>
  <c r="N624" i="6" s="1"/>
  <c r="L623" i="6"/>
  <c r="I623" i="6"/>
  <c r="G623" i="6"/>
  <c r="H623" i="6" s="1"/>
  <c r="J623" i="6" s="1"/>
  <c r="K623" i="6" s="1"/>
  <c r="M623" i="6" s="1"/>
  <c r="N623" i="6" s="1"/>
  <c r="F623" i="6"/>
  <c r="E623" i="6"/>
  <c r="D623" i="6"/>
  <c r="L622" i="6"/>
  <c r="I622" i="6"/>
  <c r="F622" i="6"/>
  <c r="D622" i="6"/>
  <c r="E622" i="6" s="1"/>
  <c r="L621" i="6"/>
  <c r="I621" i="6"/>
  <c r="F621" i="6"/>
  <c r="D621" i="6"/>
  <c r="E621" i="6" s="1"/>
  <c r="G621" i="6" s="1"/>
  <c r="H621" i="6" s="1"/>
  <c r="L620" i="6"/>
  <c r="I620" i="6"/>
  <c r="F620" i="6"/>
  <c r="D620" i="6"/>
  <c r="E620" i="6" s="1"/>
  <c r="L619" i="6"/>
  <c r="I619" i="6"/>
  <c r="F619" i="6"/>
  <c r="D619" i="6"/>
  <c r="E619" i="6" s="1"/>
  <c r="L618" i="6"/>
  <c r="I618" i="6"/>
  <c r="F618" i="6"/>
  <c r="D618" i="6"/>
  <c r="E618" i="6" s="1"/>
  <c r="L617" i="6"/>
  <c r="I617" i="6"/>
  <c r="F617" i="6"/>
  <c r="D617" i="6"/>
  <c r="E617" i="6" s="1"/>
  <c r="L616" i="6"/>
  <c r="I616" i="6"/>
  <c r="F616" i="6"/>
  <c r="D616" i="6"/>
  <c r="E616" i="6" s="1"/>
  <c r="L615" i="6"/>
  <c r="I615" i="6"/>
  <c r="F615" i="6"/>
  <c r="D615" i="6"/>
  <c r="E615" i="6" s="1"/>
  <c r="G615" i="6" s="1"/>
  <c r="H615" i="6" s="1"/>
  <c r="J615" i="6" s="1"/>
  <c r="K615" i="6" s="1"/>
  <c r="L614" i="6"/>
  <c r="I614" i="6"/>
  <c r="F614" i="6"/>
  <c r="D614" i="6"/>
  <c r="E614" i="6" s="1"/>
  <c r="L613" i="6"/>
  <c r="I613" i="6"/>
  <c r="F613" i="6"/>
  <c r="D613" i="6"/>
  <c r="E613" i="6" s="1"/>
  <c r="G613" i="6" s="1"/>
  <c r="H613" i="6" s="1"/>
  <c r="L612" i="6"/>
  <c r="I612" i="6"/>
  <c r="F612" i="6"/>
  <c r="D612" i="6"/>
  <c r="E612" i="6" s="1"/>
  <c r="G612" i="6" s="1"/>
  <c r="H612" i="6" s="1"/>
  <c r="J612" i="6" s="1"/>
  <c r="K612" i="6" s="1"/>
  <c r="M612" i="6" s="1"/>
  <c r="N612" i="6" s="1"/>
  <c r="L611" i="6"/>
  <c r="I611" i="6"/>
  <c r="F611" i="6"/>
  <c r="E611" i="6"/>
  <c r="D611" i="6"/>
  <c r="L610" i="6"/>
  <c r="I610" i="6"/>
  <c r="F610" i="6"/>
  <c r="D610" i="6"/>
  <c r="E610" i="6" s="1"/>
  <c r="L609" i="6"/>
  <c r="I609" i="6"/>
  <c r="F609" i="6"/>
  <c r="E609" i="6"/>
  <c r="G609" i="6" s="1"/>
  <c r="H609" i="6" s="1"/>
  <c r="D609" i="6"/>
  <c r="L608" i="6"/>
  <c r="I608" i="6"/>
  <c r="F608" i="6"/>
  <c r="D608" i="6"/>
  <c r="E608" i="6" s="1"/>
  <c r="G608" i="6" s="1"/>
  <c r="H608" i="6" s="1"/>
  <c r="L607" i="6"/>
  <c r="I607" i="6"/>
  <c r="F607" i="6"/>
  <c r="D607" i="6"/>
  <c r="E607" i="6" s="1"/>
  <c r="G607" i="6" s="1"/>
  <c r="H607" i="6" s="1"/>
  <c r="J607" i="6" s="1"/>
  <c r="K607" i="6" s="1"/>
  <c r="L606" i="6"/>
  <c r="I606" i="6"/>
  <c r="F606" i="6"/>
  <c r="E606" i="6"/>
  <c r="D606" i="6"/>
  <c r="L605" i="6"/>
  <c r="I605" i="6"/>
  <c r="F605" i="6"/>
  <c r="D605" i="6"/>
  <c r="E605" i="6" s="1"/>
  <c r="L604" i="6"/>
  <c r="I604" i="6"/>
  <c r="F604" i="6"/>
  <c r="D604" i="6"/>
  <c r="E604" i="6" s="1"/>
  <c r="L603" i="6"/>
  <c r="I603" i="6"/>
  <c r="F603" i="6"/>
  <c r="D603" i="6"/>
  <c r="E603" i="6" s="1"/>
  <c r="L602" i="6"/>
  <c r="I602" i="6"/>
  <c r="F602" i="6"/>
  <c r="D602" i="6"/>
  <c r="E602" i="6" s="1"/>
  <c r="L601" i="6"/>
  <c r="J601" i="6"/>
  <c r="K601" i="6" s="1"/>
  <c r="M601" i="6" s="1"/>
  <c r="N601" i="6" s="1"/>
  <c r="I601" i="6"/>
  <c r="F601" i="6"/>
  <c r="E601" i="6"/>
  <c r="G601" i="6" s="1"/>
  <c r="H601" i="6" s="1"/>
  <c r="D601" i="6"/>
  <c r="L600" i="6"/>
  <c r="I600" i="6"/>
  <c r="F600" i="6"/>
  <c r="D600" i="6"/>
  <c r="E600" i="6" s="1"/>
  <c r="L599" i="6"/>
  <c r="I599" i="6"/>
  <c r="F599" i="6"/>
  <c r="D599" i="6"/>
  <c r="E599" i="6" s="1"/>
  <c r="L598" i="6"/>
  <c r="I598" i="6"/>
  <c r="F598" i="6"/>
  <c r="D598" i="6"/>
  <c r="E598" i="6" s="1"/>
  <c r="L597" i="6"/>
  <c r="I597" i="6"/>
  <c r="G597" i="6"/>
  <c r="H597" i="6" s="1"/>
  <c r="J597" i="6" s="1"/>
  <c r="K597" i="6" s="1"/>
  <c r="M597" i="6" s="1"/>
  <c r="N597" i="6" s="1"/>
  <c r="F597" i="6"/>
  <c r="E597" i="6"/>
  <c r="D597" i="6"/>
  <c r="L596" i="6"/>
  <c r="I596" i="6"/>
  <c r="F596" i="6"/>
  <c r="D596" i="6"/>
  <c r="E596" i="6" s="1"/>
  <c r="L595" i="6"/>
  <c r="I595" i="6"/>
  <c r="F595" i="6"/>
  <c r="D595" i="6"/>
  <c r="E595" i="6" s="1"/>
  <c r="G595" i="6" s="1"/>
  <c r="H595" i="6" s="1"/>
  <c r="J595" i="6" s="1"/>
  <c r="K595" i="6" s="1"/>
  <c r="M595" i="6" s="1"/>
  <c r="N595" i="6" s="1"/>
  <c r="L594" i="6"/>
  <c r="I594" i="6"/>
  <c r="F594" i="6"/>
  <c r="G594" i="6" s="1"/>
  <c r="H594" i="6" s="1"/>
  <c r="D594" i="6"/>
  <c r="E594" i="6" s="1"/>
  <c r="L593" i="6"/>
  <c r="I593" i="6"/>
  <c r="G593" i="6"/>
  <c r="H593" i="6" s="1"/>
  <c r="J593" i="6" s="1"/>
  <c r="K593" i="6" s="1"/>
  <c r="M593" i="6" s="1"/>
  <c r="N593" i="6" s="1"/>
  <c r="F593" i="6"/>
  <c r="D593" i="6"/>
  <c r="E593" i="6" s="1"/>
  <c r="L592" i="6"/>
  <c r="I592" i="6"/>
  <c r="F592" i="6"/>
  <c r="D592" i="6"/>
  <c r="E592" i="6" s="1"/>
  <c r="G592" i="6" s="1"/>
  <c r="H592" i="6" s="1"/>
  <c r="L591" i="6"/>
  <c r="I591" i="6"/>
  <c r="F591" i="6"/>
  <c r="D591" i="6"/>
  <c r="E591" i="6" s="1"/>
  <c r="G591" i="6" s="1"/>
  <c r="H591" i="6" s="1"/>
  <c r="L590" i="6"/>
  <c r="I590" i="6"/>
  <c r="J590" i="6" s="1"/>
  <c r="K590" i="6" s="1"/>
  <c r="M590" i="6" s="1"/>
  <c r="N590" i="6" s="1"/>
  <c r="F590" i="6"/>
  <c r="D590" i="6"/>
  <c r="E590" i="6" s="1"/>
  <c r="G590" i="6" s="1"/>
  <c r="H590" i="6" s="1"/>
  <c r="L589" i="6"/>
  <c r="I589" i="6"/>
  <c r="F589" i="6"/>
  <c r="D589" i="6"/>
  <c r="E589" i="6" s="1"/>
  <c r="G589" i="6" s="1"/>
  <c r="H589" i="6" s="1"/>
  <c r="J589" i="6" s="1"/>
  <c r="K589" i="6" s="1"/>
  <c r="L588" i="6"/>
  <c r="I588" i="6"/>
  <c r="F588" i="6"/>
  <c r="D588" i="6"/>
  <c r="E588" i="6" s="1"/>
  <c r="G588" i="6" s="1"/>
  <c r="H588" i="6" s="1"/>
  <c r="L587" i="6"/>
  <c r="I587" i="6"/>
  <c r="F587" i="6"/>
  <c r="E587" i="6"/>
  <c r="G587" i="6" s="1"/>
  <c r="H587" i="6" s="1"/>
  <c r="D587" i="6"/>
  <c r="L586" i="6"/>
  <c r="I586" i="6"/>
  <c r="F586" i="6"/>
  <c r="D586" i="6"/>
  <c r="E586" i="6" s="1"/>
  <c r="G586" i="6" s="1"/>
  <c r="H586" i="6" s="1"/>
  <c r="L585" i="6"/>
  <c r="I585" i="6"/>
  <c r="F585" i="6"/>
  <c r="E585" i="6"/>
  <c r="G585" i="6" s="1"/>
  <c r="H585" i="6" s="1"/>
  <c r="J585" i="6" s="1"/>
  <c r="K585" i="6" s="1"/>
  <c r="M585" i="6" s="1"/>
  <c r="N585" i="6" s="1"/>
  <c r="D585" i="6"/>
  <c r="L584" i="6"/>
  <c r="I584" i="6"/>
  <c r="F584" i="6"/>
  <c r="E584" i="6"/>
  <c r="G584" i="6" s="1"/>
  <c r="H584" i="6" s="1"/>
  <c r="D584" i="6"/>
  <c r="L583" i="6"/>
  <c r="I583" i="6"/>
  <c r="F583" i="6"/>
  <c r="E583" i="6"/>
  <c r="D583" i="6"/>
  <c r="L582" i="6"/>
  <c r="I582" i="6"/>
  <c r="F582" i="6"/>
  <c r="D582" i="6"/>
  <c r="E582" i="6" s="1"/>
  <c r="G582" i="6" s="1"/>
  <c r="H582" i="6" s="1"/>
  <c r="L581" i="6"/>
  <c r="I581" i="6"/>
  <c r="F581" i="6"/>
  <c r="E581" i="6"/>
  <c r="G581" i="6" s="1"/>
  <c r="H581" i="6" s="1"/>
  <c r="J581" i="6" s="1"/>
  <c r="K581" i="6" s="1"/>
  <c r="D581" i="6"/>
  <c r="L580" i="6"/>
  <c r="I580" i="6"/>
  <c r="F580" i="6"/>
  <c r="D580" i="6"/>
  <c r="E580" i="6" s="1"/>
  <c r="G580" i="6" s="1"/>
  <c r="H580" i="6" s="1"/>
  <c r="J580" i="6" s="1"/>
  <c r="K580" i="6" s="1"/>
  <c r="M580" i="6" s="1"/>
  <c r="N580" i="6" s="1"/>
  <c r="L579" i="6"/>
  <c r="I579" i="6"/>
  <c r="F579" i="6"/>
  <c r="E579" i="6"/>
  <c r="G579" i="6" s="1"/>
  <c r="H579" i="6" s="1"/>
  <c r="J579" i="6" s="1"/>
  <c r="K579" i="6" s="1"/>
  <c r="M579" i="6" s="1"/>
  <c r="N579" i="6" s="1"/>
  <c r="D579" i="6"/>
  <c r="L578" i="6"/>
  <c r="I578" i="6"/>
  <c r="F578" i="6"/>
  <c r="E578" i="6"/>
  <c r="G578" i="6" s="1"/>
  <c r="H578" i="6" s="1"/>
  <c r="J578" i="6" s="1"/>
  <c r="K578" i="6" s="1"/>
  <c r="M578" i="6" s="1"/>
  <c r="N578" i="6" s="1"/>
  <c r="D578" i="6"/>
  <c r="L577" i="6"/>
  <c r="I577" i="6"/>
  <c r="F577" i="6"/>
  <c r="D577" i="6"/>
  <c r="E577" i="6" s="1"/>
  <c r="L576" i="6"/>
  <c r="I576" i="6"/>
  <c r="F576" i="6"/>
  <c r="D576" i="6"/>
  <c r="E576" i="6" s="1"/>
  <c r="G576" i="6" s="1"/>
  <c r="H576" i="6" s="1"/>
  <c r="J576" i="6" s="1"/>
  <c r="K576" i="6" s="1"/>
  <c r="M576" i="6" s="1"/>
  <c r="N576" i="6" s="1"/>
  <c r="L575" i="6"/>
  <c r="I575" i="6"/>
  <c r="G575" i="6"/>
  <c r="H575" i="6" s="1"/>
  <c r="J575" i="6" s="1"/>
  <c r="K575" i="6" s="1"/>
  <c r="M575" i="6" s="1"/>
  <c r="N575" i="6" s="1"/>
  <c r="F575" i="6"/>
  <c r="D575" i="6"/>
  <c r="E575" i="6" s="1"/>
  <c r="L574" i="6"/>
  <c r="I574" i="6"/>
  <c r="F574" i="6"/>
  <c r="E574" i="6"/>
  <c r="G574" i="6" s="1"/>
  <c r="H574" i="6" s="1"/>
  <c r="J574" i="6" s="1"/>
  <c r="K574" i="6" s="1"/>
  <c r="M574" i="6" s="1"/>
  <c r="N574" i="6" s="1"/>
  <c r="D574" i="6"/>
  <c r="L573" i="6"/>
  <c r="I573" i="6"/>
  <c r="G573" i="6"/>
  <c r="H573" i="6" s="1"/>
  <c r="J573" i="6" s="1"/>
  <c r="K573" i="6" s="1"/>
  <c r="M573" i="6" s="1"/>
  <c r="N573" i="6" s="1"/>
  <c r="F573" i="6"/>
  <c r="E573" i="6"/>
  <c r="D573" i="6"/>
  <c r="L572" i="6"/>
  <c r="I572" i="6"/>
  <c r="F572" i="6"/>
  <c r="D572" i="6"/>
  <c r="E572" i="6" s="1"/>
  <c r="L571" i="6"/>
  <c r="I571" i="6"/>
  <c r="F571" i="6"/>
  <c r="D571" i="6"/>
  <c r="E571" i="6" s="1"/>
  <c r="L570" i="6"/>
  <c r="I570" i="6"/>
  <c r="F570" i="6"/>
  <c r="D570" i="6"/>
  <c r="E570" i="6" s="1"/>
  <c r="L569" i="6"/>
  <c r="I569" i="6"/>
  <c r="F569" i="6"/>
  <c r="D569" i="6"/>
  <c r="E569" i="6" s="1"/>
  <c r="L568" i="6"/>
  <c r="I568" i="6"/>
  <c r="F568" i="6"/>
  <c r="E568" i="6"/>
  <c r="G568" i="6" s="1"/>
  <c r="H568" i="6" s="1"/>
  <c r="J568" i="6" s="1"/>
  <c r="K568" i="6" s="1"/>
  <c r="M568" i="6" s="1"/>
  <c r="N568" i="6" s="1"/>
  <c r="D568" i="6"/>
  <c r="L567" i="6"/>
  <c r="I567" i="6"/>
  <c r="F567" i="6"/>
  <c r="E567" i="6"/>
  <c r="G567" i="6" s="1"/>
  <c r="H567" i="6" s="1"/>
  <c r="D567" i="6"/>
  <c r="L566" i="6"/>
  <c r="I566" i="6"/>
  <c r="F566" i="6"/>
  <c r="D566" i="6"/>
  <c r="E566" i="6" s="1"/>
  <c r="G566" i="6" s="1"/>
  <c r="H566" i="6" s="1"/>
  <c r="J566" i="6" s="1"/>
  <c r="K566" i="6" s="1"/>
  <c r="M566" i="6" s="1"/>
  <c r="N566" i="6" s="1"/>
  <c r="L565" i="6"/>
  <c r="I565" i="6"/>
  <c r="F565" i="6"/>
  <c r="E565" i="6"/>
  <c r="G565" i="6" s="1"/>
  <c r="H565" i="6" s="1"/>
  <c r="J565" i="6" s="1"/>
  <c r="K565" i="6" s="1"/>
  <c r="D565" i="6"/>
  <c r="L564" i="6"/>
  <c r="I564" i="6"/>
  <c r="F564" i="6"/>
  <c r="D564" i="6"/>
  <c r="E564" i="6" s="1"/>
  <c r="L563" i="6"/>
  <c r="I563" i="6"/>
  <c r="F563" i="6"/>
  <c r="D563" i="6"/>
  <c r="E563" i="6" s="1"/>
  <c r="L562" i="6"/>
  <c r="I562" i="6"/>
  <c r="G562" i="6"/>
  <c r="H562" i="6" s="1"/>
  <c r="J562" i="6" s="1"/>
  <c r="K562" i="6" s="1"/>
  <c r="M562" i="6" s="1"/>
  <c r="N562" i="6" s="1"/>
  <c r="F562" i="6"/>
  <c r="D562" i="6"/>
  <c r="E562" i="6" s="1"/>
  <c r="L561" i="6"/>
  <c r="J561" i="6"/>
  <c r="K561" i="6" s="1"/>
  <c r="M561" i="6" s="1"/>
  <c r="N561" i="6" s="1"/>
  <c r="I561" i="6"/>
  <c r="H561" i="6"/>
  <c r="F561" i="6"/>
  <c r="D561" i="6"/>
  <c r="E561" i="6" s="1"/>
  <c r="G561" i="6" s="1"/>
  <c r="L560" i="6"/>
  <c r="I560" i="6"/>
  <c r="F560" i="6"/>
  <c r="D560" i="6"/>
  <c r="E560" i="6" s="1"/>
  <c r="L559" i="6"/>
  <c r="I559" i="6"/>
  <c r="F559" i="6"/>
  <c r="D559" i="6"/>
  <c r="E559" i="6" s="1"/>
  <c r="G559" i="6" s="1"/>
  <c r="H559" i="6" s="1"/>
  <c r="L558" i="6"/>
  <c r="I558" i="6"/>
  <c r="F558" i="6"/>
  <c r="D558" i="6"/>
  <c r="E558" i="6" s="1"/>
  <c r="G558" i="6" s="1"/>
  <c r="H558" i="6" s="1"/>
  <c r="J558" i="6" s="1"/>
  <c r="K558" i="6" s="1"/>
  <c r="L557" i="6"/>
  <c r="I557" i="6"/>
  <c r="F557" i="6"/>
  <c r="D557" i="6"/>
  <c r="E557" i="6" s="1"/>
  <c r="L556" i="6"/>
  <c r="I556" i="6"/>
  <c r="F556" i="6"/>
  <c r="D556" i="6"/>
  <c r="E556" i="6" s="1"/>
  <c r="L555" i="6"/>
  <c r="I555" i="6"/>
  <c r="F555" i="6"/>
  <c r="D555" i="6"/>
  <c r="E555" i="6" s="1"/>
  <c r="G555" i="6" s="1"/>
  <c r="H555" i="6" s="1"/>
  <c r="J555" i="6" s="1"/>
  <c r="K555" i="6" s="1"/>
  <c r="L554" i="6"/>
  <c r="I554" i="6"/>
  <c r="F554" i="6"/>
  <c r="D554" i="6"/>
  <c r="E554" i="6" s="1"/>
  <c r="G554" i="6" s="1"/>
  <c r="H554" i="6" s="1"/>
  <c r="J554" i="6" s="1"/>
  <c r="K554" i="6" s="1"/>
  <c r="M554" i="6" s="1"/>
  <c r="N554" i="6" s="1"/>
  <c r="L553" i="6"/>
  <c r="I553" i="6"/>
  <c r="F553" i="6"/>
  <c r="E553" i="6"/>
  <c r="D553" i="6"/>
  <c r="L552" i="6"/>
  <c r="I552" i="6"/>
  <c r="F552" i="6"/>
  <c r="D552" i="6"/>
  <c r="E552" i="6" s="1"/>
  <c r="L551" i="6"/>
  <c r="I551" i="6"/>
  <c r="F551" i="6"/>
  <c r="D551" i="6"/>
  <c r="E551" i="6" s="1"/>
  <c r="G551" i="6" s="1"/>
  <c r="H551" i="6" s="1"/>
  <c r="J551" i="6" s="1"/>
  <c r="K551" i="6" s="1"/>
  <c r="M551" i="6" s="1"/>
  <c r="N551" i="6" s="1"/>
  <c r="L550" i="6"/>
  <c r="I550" i="6"/>
  <c r="F550" i="6"/>
  <c r="D550" i="6"/>
  <c r="E550" i="6" s="1"/>
  <c r="G550" i="6" s="1"/>
  <c r="H550" i="6" s="1"/>
  <c r="L549" i="6"/>
  <c r="I549" i="6"/>
  <c r="F549" i="6"/>
  <c r="D549" i="6"/>
  <c r="E549" i="6" s="1"/>
  <c r="G549" i="6" s="1"/>
  <c r="H549" i="6" s="1"/>
  <c r="J549" i="6" s="1"/>
  <c r="K549" i="6" s="1"/>
  <c r="M549" i="6" s="1"/>
  <c r="N549" i="6" s="1"/>
  <c r="L548" i="6"/>
  <c r="I548" i="6"/>
  <c r="F548" i="6"/>
  <c r="D548" i="6"/>
  <c r="E548" i="6" s="1"/>
  <c r="L547" i="6"/>
  <c r="I547" i="6"/>
  <c r="F547" i="6"/>
  <c r="D547" i="6"/>
  <c r="E547" i="6" s="1"/>
  <c r="G547" i="6" s="1"/>
  <c r="H547" i="6" s="1"/>
  <c r="J547" i="6" s="1"/>
  <c r="K547" i="6" s="1"/>
  <c r="M547" i="6" s="1"/>
  <c r="N547" i="6" s="1"/>
  <c r="L546" i="6"/>
  <c r="J546" i="6"/>
  <c r="K546" i="6" s="1"/>
  <c r="I546" i="6"/>
  <c r="F546" i="6"/>
  <c r="D546" i="6"/>
  <c r="E546" i="6" s="1"/>
  <c r="G546" i="6" s="1"/>
  <c r="H546" i="6" s="1"/>
  <c r="L545" i="6"/>
  <c r="I545" i="6"/>
  <c r="F545" i="6"/>
  <c r="D545" i="6"/>
  <c r="E545" i="6" s="1"/>
  <c r="G545" i="6" s="1"/>
  <c r="H545" i="6" s="1"/>
  <c r="J545" i="6" s="1"/>
  <c r="K545" i="6" s="1"/>
  <c r="M545" i="6" s="1"/>
  <c r="N545" i="6" s="1"/>
  <c r="L544" i="6"/>
  <c r="I544" i="6"/>
  <c r="F544" i="6"/>
  <c r="E544" i="6"/>
  <c r="D544" i="6"/>
  <c r="L543" i="6"/>
  <c r="I543" i="6"/>
  <c r="F543" i="6"/>
  <c r="D543" i="6"/>
  <c r="E543" i="6" s="1"/>
  <c r="G543" i="6" s="1"/>
  <c r="H543" i="6" s="1"/>
  <c r="J543" i="6" s="1"/>
  <c r="K543" i="6" s="1"/>
  <c r="M543" i="6" s="1"/>
  <c r="N543" i="6" s="1"/>
  <c r="L542" i="6"/>
  <c r="I542" i="6"/>
  <c r="F542" i="6"/>
  <c r="D542" i="6"/>
  <c r="E542" i="6" s="1"/>
  <c r="G542" i="6" s="1"/>
  <c r="H542" i="6" s="1"/>
  <c r="J542" i="6" s="1"/>
  <c r="K542" i="6" s="1"/>
  <c r="L541" i="6"/>
  <c r="I541" i="6"/>
  <c r="F541" i="6"/>
  <c r="D541" i="6"/>
  <c r="E541" i="6" s="1"/>
  <c r="G541" i="6" s="1"/>
  <c r="H541" i="6" s="1"/>
  <c r="J541" i="6" s="1"/>
  <c r="K541" i="6" s="1"/>
  <c r="M541" i="6" s="1"/>
  <c r="N541" i="6" s="1"/>
  <c r="L540" i="6"/>
  <c r="I540" i="6"/>
  <c r="F540" i="6"/>
  <c r="D540" i="6"/>
  <c r="E540" i="6" s="1"/>
  <c r="L539" i="6"/>
  <c r="I539" i="6"/>
  <c r="F539" i="6"/>
  <c r="D539" i="6"/>
  <c r="E539" i="6" s="1"/>
  <c r="L538" i="6"/>
  <c r="I538" i="6"/>
  <c r="F538" i="6"/>
  <c r="D538" i="6"/>
  <c r="E538" i="6" s="1"/>
  <c r="L537" i="6"/>
  <c r="I537" i="6"/>
  <c r="F537" i="6"/>
  <c r="D537" i="6"/>
  <c r="E537" i="6" s="1"/>
  <c r="L536" i="6"/>
  <c r="I536" i="6"/>
  <c r="F536" i="6"/>
  <c r="E536" i="6"/>
  <c r="D536" i="6"/>
  <c r="L535" i="6"/>
  <c r="I535" i="6"/>
  <c r="F535" i="6"/>
  <c r="D535" i="6"/>
  <c r="E535" i="6" s="1"/>
  <c r="L534" i="6"/>
  <c r="I534" i="6"/>
  <c r="F534" i="6"/>
  <c r="D534" i="6"/>
  <c r="E534" i="6" s="1"/>
  <c r="G534" i="6" s="1"/>
  <c r="H534" i="6" s="1"/>
  <c r="J534" i="6" s="1"/>
  <c r="K534" i="6" s="1"/>
  <c r="M534" i="6" s="1"/>
  <c r="N534" i="6" s="1"/>
  <c r="L533" i="6"/>
  <c r="I533" i="6"/>
  <c r="F533" i="6"/>
  <c r="E533" i="6"/>
  <c r="D533" i="6"/>
  <c r="L532" i="6"/>
  <c r="I532" i="6"/>
  <c r="F532" i="6"/>
  <c r="D532" i="6"/>
  <c r="E532" i="6" s="1"/>
  <c r="L531" i="6"/>
  <c r="I531" i="6"/>
  <c r="F531" i="6"/>
  <c r="D531" i="6"/>
  <c r="E531" i="6" s="1"/>
  <c r="G531" i="6" s="1"/>
  <c r="H531" i="6" s="1"/>
  <c r="J531" i="6" s="1"/>
  <c r="K531" i="6" s="1"/>
  <c r="M531" i="6" s="1"/>
  <c r="N531" i="6" s="1"/>
  <c r="L530" i="6"/>
  <c r="I530" i="6"/>
  <c r="F530" i="6"/>
  <c r="E530" i="6"/>
  <c r="G530" i="6" s="1"/>
  <c r="H530" i="6" s="1"/>
  <c r="J530" i="6" s="1"/>
  <c r="K530" i="6" s="1"/>
  <c r="M530" i="6" s="1"/>
  <c r="N530" i="6" s="1"/>
  <c r="D530" i="6"/>
  <c r="L529" i="6"/>
  <c r="I529" i="6"/>
  <c r="F529" i="6"/>
  <c r="D529" i="6"/>
  <c r="E529" i="6" s="1"/>
  <c r="L528" i="6"/>
  <c r="I528" i="6"/>
  <c r="F528" i="6"/>
  <c r="D528" i="6"/>
  <c r="E528" i="6" s="1"/>
  <c r="L527" i="6"/>
  <c r="I527" i="6"/>
  <c r="F527" i="6"/>
  <c r="G527" i="6" s="1"/>
  <c r="H527" i="6" s="1"/>
  <c r="J527" i="6" s="1"/>
  <c r="K527" i="6" s="1"/>
  <c r="M527" i="6" s="1"/>
  <c r="N527" i="6" s="1"/>
  <c r="D527" i="6"/>
  <c r="E527" i="6" s="1"/>
  <c r="L526" i="6"/>
  <c r="I526" i="6"/>
  <c r="F526" i="6"/>
  <c r="D526" i="6"/>
  <c r="E526" i="6" s="1"/>
  <c r="G526" i="6" s="1"/>
  <c r="H526" i="6" s="1"/>
  <c r="L525" i="6"/>
  <c r="I525" i="6"/>
  <c r="F525" i="6"/>
  <c r="E525" i="6"/>
  <c r="G525" i="6" s="1"/>
  <c r="H525" i="6" s="1"/>
  <c r="J525" i="6" s="1"/>
  <c r="K525" i="6" s="1"/>
  <c r="M525" i="6" s="1"/>
  <c r="N525" i="6" s="1"/>
  <c r="D525" i="6"/>
  <c r="L524" i="6"/>
  <c r="I524" i="6"/>
  <c r="F524" i="6"/>
  <c r="D524" i="6"/>
  <c r="E524" i="6" s="1"/>
  <c r="L523" i="6"/>
  <c r="I523" i="6"/>
  <c r="F523" i="6"/>
  <c r="D523" i="6"/>
  <c r="E523" i="6" s="1"/>
  <c r="G523" i="6" s="1"/>
  <c r="H523" i="6" s="1"/>
  <c r="J523" i="6" s="1"/>
  <c r="K523" i="6" s="1"/>
  <c r="M523" i="6" s="1"/>
  <c r="N523" i="6" s="1"/>
  <c r="L522" i="6"/>
  <c r="I522" i="6"/>
  <c r="F522" i="6"/>
  <c r="D522" i="6"/>
  <c r="E522" i="6" s="1"/>
  <c r="L521" i="6"/>
  <c r="I521" i="6"/>
  <c r="F521" i="6"/>
  <c r="D521" i="6"/>
  <c r="E521" i="6" s="1"/>
  <c r="G521" i="6" s="1"/>
  <c r="H521" i="6" s="1"/>
  <c r="J521" i="6" s="1"/>
  <c r="K521" i="6" s="1"/>
  <c r="M521" i="6" s="1"/>
  <c r="N521" i="6" s="1"/>
  <c r="L520" i="6"/>
  <c r="I520" i="6"/>
  <c r="F520" i="6"/>
  <c r="D520" i="6"/>
  <c r="E520" i="6" s="1"/>
  <c r="G520" i="6" s="1"/>
  <c r="H520" i="6" s="1"/>
  <c r="J520" i="6" s="1"/>
  <c r="K520" i="6" s="1"/>
  <c r="L519" i="6"/>
  <c r="I519" i="6"/>
  <c r="F519" i="6"/>
  <c r="D519" i="6"/>
  <c r="E519" i="6" s="1"/>
  <c r="L518" i="6"/>
  <c r="I518" i="6"/>
  <c r="F518" i="6"/>
  <c r="D518" i="6"/>
  <c r="E518" i="6" s="1"/>
  <c r="L517" i="6"/>
  <c r="I517" i="6"/>
  <c r="F517" i="6"/>
  <c r="D517" i="6"/>
  <c r="E517" i="6" s="1"/>
  <c r="G517" i="6" s="1"/>
  <c r="H517" i="6" s="1"/>
  <c r="J517" i="6" s="1"/>
  <c r="K517" i="6" s="1"/>
  <c r="M517" i="6" s="1"/>
  <c r="N517" i="6" s="1"/>
  <c r="L516" i="6"/>
  <c r="I516" i="6"/>
  <c r="F516" i="6"/>
  <c r="E516" i="6"/>
  <c r="D516" i="6"/>
  <c r="L515" i="6"/>
  <c r="I515" i="6"/>
  <c r="F515" i="6"/>
  <c r="E515" i="6"/>
  <c r="G515" i="6" s="1"/>
  <c r="H515" i="6" s="1"/>
  <c r="J515" i="6" s="1"/>
  <c r="K515" i="6" s="1"/>
  <c r="M515" i="6" s="1"/>
  <c r="N515" i="6" s="1"/>
  <c r="D515" i="6"/>
  <c r="L514" i="6"/>
  <c r="I514" i="6"/>
  <c r="F514" i="6"/>
  <c r="D514" i="6"/>
  <c r="E514" i="6" s="1"/>
  <c r="G514" i="6" s="1"/>
  <c r="H514" i="6" s="1"/>
  <c r="L513" i="6"/>
  <c r="I513" i="6"/>
  <c r="F513" i="6"/>
  <c r="D513" i="6"/>
  <c r="E513" i="6" s="1"/>
  <c r="G513" i="6" s="1"/>
  <c r="H513" i="6" s="1"/>
  <c r="J513" i="6" s="1"/>
  <c r="K513" i="6" s="1"/>
  <c r="M513" i="6" s="1"/>
  <c r="N513" i="6" s="1"/>
  <c r="L512" i="6"/>
  <c r="I512" i="6"/>
  <c r="F512" i="6"/>
  <c r="D512" i="6"/>
  <c r="E512" i="6" s="1"/>
  <c r="L511" i="6"/>
  <c r="I511" i="6"/>
  <c r="F511" i="6"/>
  <c r="D511" i="6"/>
  <c r="E511" i="6" s="1"/>
  <c r="L510" i="6"/>
  <c r="I510" i="6"/>
  <c r="F510" i="6"/>
  <c r="D510" i="6"/>
  <c r="E510" i="6" s="1"/>
  <c r="G510" i="6" s="1"/>
  <c r="H510" i="6" s="1"/>
  <c r="L509" i="6"/>
  <c r="I509" i="6"/>
  <c r="F509" i="6"/>
  <c r="E509" i="6"/>
  <c r="D509" i="6"/>
  <c r="L508" i="6"/>
  <c r="I508" i="6"/>
  <c r="F508" i="6"/>
  <c r="E508" i="6"/>
  <c r="G508" i="6" s="1"/>
  <c r="H508" i="6" s="1"/>
  <c r="J508" i="6" s="1"/>
  <c r="K508" i="6" s="1"/>
  <c r="M508" i="6" s="1"/>
  <c r="N508" i="6" s="1"/>
  <c r="D508" i="6"/>
  <c r="L507" i="6"/>
  <c r="I507" i="6"/>
  <c r="F507" i="6"/>
  <c r="D507" i="6"/>
  <c r="E507" i="6" s="1"/>
  <c r="L506" i="6"/>
  <c r="I506" i="6"/>
  <c r="F506" i="6"/>
  <c r="D506" i="6"/>
  <c r="E506" i="6" s="1"/>
  <c r="N505" i="6"/>
  <c r="L505" i="6"/>
  <c r="I505" i="6"/>
  <c r="F505" i="6"/>
  <c r="D505" i="6"/>
  <c r="E505" i="6" s="1"/>
  <c r="G505" i="6" s="1"/>
  <c r="H505" i="6" s="1"/>
  <c r="J505" i="6" s="1"/>
  <c r="K505" i="6" s="1"/>
  <c r="M505" i="6" s="1"/>
  <c r="L504" i="6"/>
  <c r="I504" i="6"/>
  <c r="F504" i="6"/>
  <c r="D504" i="6"/>
  <c r="E504" i="6" s="1"/>
  <c r="L503" i="6"/>
  <c r="I503" i="6"/>
  <c r="F503" i="6"/>
  <c r="E503" i="6"/>
  <c r="G503" i="6" s="1"/>
  <c r="H503" i="6" s="1"/>
  <c r="D503" i="6"/>
  <c r="L502" i="6"/>
  <c r="I502" i="6"/>
  <c r="F502" i="6"/>
  <c r="D502" i="6"/>
  <c r="E502" i="6" s="1"/>
  <c r="L501" i="6"/>
  <c r="I501" i="6"/>
  <c r="F501" i="6"/>
  <c r="G501" i="6" s="1"/>
  <c r="H501" i="6" s="1"/>
  <c r="J501" i="6" s="1"/>
  <c r="K501" i="6" s="1"/>
  <c r="M501" i="6" s="1"/>
  <c r="N501" i="6" s="1"/>
  <c r="D501" i="6"/>
  <c r="E501" i="6" s="1"/>
  <c r="L500" i="6"/>
  <c r="I500" i="6"/>
  <c r="F500" i="6"/>
  <c r="E500" i="6"/>
  <c r="G500" i="6" s="1"/>
  <c r="H500" i="6" s="1"/>
  <c r="J500" i="6" s="1"/>
  <c r="K500" i="6" s="1"/>
  <c r="M500" i="6" s="1"/>
  <c r="N500" i="6" s="1"/>
  <c r="D500" i="6"/>
  <c r="L499" i="6"/>
  <c r="I499" i="6"/>
  <c r="F499" i="6"/>
  <c r="D499" i="6"/>
  <c r="E499" i="6" s="1"/>
  <c r="G499" i="6" s="1"/>
  <c r="H499" i="6" s="1"/>
  <c r="L498" i="6"/>
  <c r="I498" i="6"/>
  <c r="F498" i="6"/>
  <c r="D498" i="6"/>
  <c r="E498" i="6" s="1"/>
  <c r="G498" i="6" s="1"/>
  <c r="H498" i="6" s="1"/>
  <c r="J498" i="6" s="1"/>
  <c r="K498" i="6" s="1"/>
  <c r="M498" i="6" s="1"/>
  <c r="N498" i="6" s="1"/>
  <c r="L497" i="6"/>
  <c r="I497" i="6"/>
  <c r="F497" i="6"/>
  <c r="E497" i="6"/>
  <c r="G497" i="6" s="1"/>
  <c r="H497" i="6" s="1"/>
  <c r="J497" i="6" s="1"/>
  <c r="K497" i="6" s="1"/>
  <c r="D497" i="6"/>
  <c r="L496" i="6"/>
  <c r="I496" i="6"/>
  <c r="F496" i="6"/>
  <c r="D496" i="6"/>
  <c r="E496" i="6" s="1"/>
  <c r="G496" i="6" s="1"/>
  <c r="H496" i="6" s="1"/>
  <c r="J496" i="6" s="1"/>
  <c r="K496" i="6" s="1"/>
  <c r="M496" i="6" s="1"/>
  <c r="N496" i="6" s="1"/>
  <c r="L495" i="6"/>
  <c r="I495" i="6"/>
  <c r="F495" i="6"/>
  <c r="D495" i="6"/>
  <c r="E495" i="6" s="1"/>
  <c r="L494" i="6"/>
  <c r="I494" i="6"/>
  <c r="F494" i="6"/>
  <c r="D494" i="6"/>
  <c r="E494" i="6" s="1"/>
  <c r="L493" i="6"/>
  <c r="I493" i="6"/>
  <c r="F493" i="6"/>
  <c r="E493" i="6"/>
  <c r="G493" i="6" s="1"/>
  <c r="H493" i="6" s="1"/>
  <c r="D493" i="6"/>
  <c r="L492" i="6"/>
  <c r="I492" i="6"/>
  <c r="F492" i="6"/>
  <c r="D492" i="6"/>
  <c r="E492" i="6" s="1"/>
  <c r="G492" i="6" s="1"/>
  <c r="H492" i="6" s="1"/>
  <c r="J492" i="6" s="1"/>
  <c r="K492" i="6" s="1"/>
  <c r="M492" i="6" s="1"/>
  <c r="N492" i="6" s="1"/>
  <c r="L491" i="6"/>
  <c r="I491" i="6"/>
  <c r="F491" i="6"/>
  <c r="D491" i="6"/>
  <c r="E491" i="6" s="1"/>
  <c r="G491" i="6" s="1"/>
  <c r="H491" i="6" s="1"/>
  <c r="J491" i="6" s="1"/>
  <c r="K491" i="6" s="1"/>
  <c r="L490" i="6"/>
  <c r="I490" i="6"/>
  <c r="F490" i="6"/>
  <c r="D490" i="6"/>
  <c r="E490" i="6" s="1"/>
  <c r="G490" i="6" s="1"/>
  <c r="H490" i="6" s="1"/>
  <c r="J490" i="6" s="1"/>
  <c r="K490" i="6" s="1"/>
  <c r="M490" i="6" s="1"/>
  <c r="N490" i="6" s="1"/>
  <c r="L489" i="6"/>
  <c r="I489" i="6"/>
  <c r="F489" i="6"/>
  <c r="D489" i="6"/>
  <c r="E489" i="6" s="1"/>
  <c r="L488" i="6"/>
  <c r="I488" i="6"/>
  <c r="F488" i="6"/>
  <c r="D488" i="6"/>
  <c r="E488" i="6" s="1"/>
  <c r="L487" i="6"/>
  <c r="I487" i="6"/>
  <c r="F487" i="6"/>
  <c r="D487" i="6"/>
  <c r="E487" i="6" s="1"/>
  <c r="L486" i="6"/>
  <c r="I486" i="6"/>
  <c r="F486" i="6"/>
  <c r="D486" i="6"/>
  <c r="E486" i="6" s="1"/>
  <c r="G486" i="6" s="1"/>
  <c r="H486" i="6" s="1"/>
  <c r="L485" i="6"/>
  <c r="I485" i="6"/>
  <c r="F485" i="6"/>
  <c r="G485" i="6" s="1"/>
  <c r="H485" i="6" s="1"/>
  <c r="J485" i="6" s="1"/>
  <c r="K485" i="6" s="1"/>
  <c r="M485" i="6" s="1"/>
  <c r="N485" i="6" s="1"/>
  <c r="E485" i="6"/>
  <c r="D485" i="6"/>
  <c r="L484" i="6"/>
  <c r="I484" i="6"/>
  <c r="F484" i="6"/>
  <c r="D484" i="6"/>
  <c r="E484" i="6" s="1"/>
  <c r="L483" i="6"/>
  <c r="I483" i="6"/>
  <c r="F483" i="6"/>
  <c r="E483" i="6"/>
  <c r="D483" i="6"/>
  <c r="L482" i="6"/>
  <c r="I482" i="6"/>
  <c r="F482" i="6"/>
  <c r="D482" i="6"/>
  <c r="E482" i="6" s="1"/>
  <c r="G482" i="6" s="1"/>
  <c r="H482" i="6" s="1"/>
  <c r="L481" i="6"/>
  <c r="I481" i="6"/>
  <c r="F481" i="6"/>
  <c r="G481" i="6" s="1"/>
  <c r="H481" i="6" s="1"/>
  <c r="J481" i="6" s="1"/>
  <c r="K481" i="6" s="1"/>
  <c r="M481" i="6" s="1"/>
  <c r="N481" i="6" s="1"/>
  <c r="D481" i="6"/>
  <c r="E481" i="6" s="1"/>
  <c r="L480" i="6"/>
  <c r="I480" i="6"/>
  <c r="F480" i="6"/>
  <c r="D480" i="6"/>
  <c r="E480" i="6" s="1"/>
  <c r="G480" i="6" s="1"/>
  <c r="H480" i="6" s="1"/>
  <c r="L479" i="6"/>
  <c r="I479" i="6"/>
  <c r="F479" i="6"/>
  <c r="E479" i="6"/>
  <c r="G479" i="6" s="1"/>
  <c r="H479" i="6" s="1"/>
  <c r="J479" i="6" s="1"/>
  <c r="K479" i="6" s="1"/>
  <c r="D479" i="6"/>
  <c r="L478" i="6"/>
  <c r="I478" i="6"/>
  <c r="F478" i="6"/>
  <c r="D478" i="6"/>
  <c r="E478" i="6" s="1"/>
  <c r="G478" i="6" s="1"/>
  <c r="H478" i="6" s="1"/>
  <c r="L477" i="6"/>
  <c r="I477" i="6"/>
  <c r="F477" i="6"/>
  <c r="G477" i="6" s="1"/>
  <c r="H477" i="6" s="1"/>
  <c r="J477" i="6" s="1"/>
  <c r="K477" i="6" s="1"/>
  <c r="M477" i="6" s="1"/>
  <c r="N477" i="6" s="1"/>
  <c r="D477" i="6"/>
  <c r="E477" i="6" s="1"/>
  <c r="L476" i="6"/>
  <c r="I476" i="6"/>
  <c r="F476" i="6"/>
  <c r="E476" i="6"/>
  <c r="G476" i="6" s="1"/>
  <c r="H476" i="6" s="1"/>
  <c r="D476" i="6"/>
  <c r="L475" i="6"/>
  <c r="I475" i="6"/>
  <c r="F475" i="6"/>
  <c r="D475" i="6"/>
  <c r="E475" i="6" s="1"/>
  <c r="G475" i="6" s="1"/>
  <c r="H475" i="6" s="1"/>
  <c r="J475" i="6" s="1"/>
  <c r="K475" i="6" s="1"/>
  <c r="M475" i="6" s="1"/>
  <c r="N475" i="6" s="1"/>
  <c r="L474" i="6"/>
  <c r="I474" i="6"/>
  <c r="G474" i="6"/>
  <c r="H474" i="6" s="1"/>
  <c r="J474" i="6" s="1"/>
  <c r="K474" i="6" s="1"/>
  <c r="M474" i="6" s="1"/>
  <c r="N474" i="6" s="1"/>
  <c r="F474" i="6"/>
  <c r="E474" i="6"/>
  <c r="D474" i="6"/>
  <c r="L473" i="6"/>
  <c r="I473" i="6"/>
  <c r="F473" i="6"/>
  <c r="E473" i="6"/>
  <c r="G473" i="6" s="1"/>
  <c r="H473" i="6" s="1"/>
  <c r="J473" i="6" s="1"/>
  <c r="K473" i="6" s="1"/>
  <c r="M473" i="6" s="1"/>
  <c r="N473" i="6" s="1"/>
  <c r="D473" i="6"/>
  <c r="L472" i="6"/>
  <c r="I472" i="6"/>
  <c r="F472" i="6"/>
  <c r="D472" i="6"/>
  <c r="E472" i="6" s="1"/>
  <c r="G472" i="6" s="1"/>
  <c r="H472" i="6" s="1"/>
  <c r="L471" i="6"/>
  <c r="I471" i="6"/>
  <c r="F471" i="6"/>
  <c r="D471" i="6"/>
  <c r="E471" i="6" s="1"/>
  <c r="G471" i="6" s="1"/>
  <c r="H471" i="6" s="1"/>
  <c r="J471" i="6" s="1"/>
  <c r="K471" i="6" s="1"/>
  <c r="M471" i="6" s="1"/>
  <c r="N471" i="6" s="1"/>
  <c r="L470" i="6"/>
  <c r="I470" i="6"/>
  <c r="F470" i="6"/>
  <c r="D470" i="6"/>
  <c r="E470" i="6" s="1"/>
  <c r="G470" i="6" s="1"/>
  <c r="H470" i="6" s="1"/>
  <c r="J470" i="6" s="1"/>
  <c r="K470" i="6" s="1"/>
  <c r="M470" i="6" s="1"/>
  <c r="N470" i="6" s="1"/>
  <c r="L469" i="6"/>
  <c r="I469" i="6"/>
  <c r="F469" i="6"/>
  <c r="D469" i="6"/>
  <c r="E469" i="6" s="1"/>
  <c r="L468" i="6"/>
  <c r="I468" i="6"/>
  <c r="F468" i="6"/>
  <c r="D468" i="6"/>
  <c r="E468" i="6" s="1"/>
  <c r="L467" i="6"/>
  <c r="I467" i="6"/>
  <c r="F467" i="6"/>
  <c r="G467" i="6" s="1"/>
  <c r="H467" i="6" s="1"/>
  <c r="J467" i="6" s="1"/>
  <c r="K467" i="6" s="1"/>
  <c r="M467" i="6" s="1"/>
  <c r="N467" i="6" s="1"/>
  <c r="D467" i="6"/>
  <c r="E467" i="6" s="1"/>
  <c r="L466" i="6"/>
  <c r="I466" i="6"/>
  <c r="F466" i="6"/>
  <c r="D466" i="6"/>
  <c r="E466" i="6" s="1"/>
  <c r="G466" i="6" s="1"/>
  <c r="H466" i="6" s="1"/>
  <c r="L465" i="6"/>
  <c r="I465" i="6"/>
  <c r="F465" i="6"/>
  <c r="E465" i="6"/>
  <c r="G465" i="6" s="1"/>
  <c r="H465" i="6" s="1"/>
  <c r="D465" i="6"/>
  <c r="L464" i="6"/>
  <c r="I464" i="6"/>
  <c r="F464" i="6"/>
  <c r="D464" i="6"/>
  <c r="E464" i="6" s="1"/>
  <c r="G464" i="6" s="1"/>
  <c r="H464" i="6" s="1"/>
  <c r="J464" i="6" s="1"/>
  <c r="K464" i="6" s="1"/>
  <c r="M464" i="6" s="1"/>
  <c r="N464" i="6" s="1"/>
  <c r="L463" i="6"/>
  <c r="I463" i="6"/>
  <c r="F463" i="6"/>
  <c r="E463" i="6"/>
  <c r="D463" i="6"/>
  <c r="L462" i="6"/>
  <c r="I462" i="6"/>
  <c r="F462" i="6"/>
  <c r="D462" i="6"/>
  <c r="E462" i="6" s="1"/>
  <c r="L461" i="6"/>
  <c r="I461" i="6"/>
  <c r="F461" i="6"/>
  <c r="D461" i="6"/>
  <c r="E461" i="6" s="1"/>
  <c r="L460" i="6"/>
  <c r="I460" i="6"/>
  <c r="F460" i="6"/>
  <c r="D460" i="6"/>
  <c r="E460" i="6" s="1"/>
  <c r="G460" i="6" s="1"/>
  <c r="H460" i="6" s="1"/>
  <c r="J460" i="6" s="1"/>
  <c r="K460" i="6" s="1"/>
  <c r="M460" i="6" s="1"/>
  <c r="N460" i="6" s="1"/>
  <c r="L459" i="6"/>
  <c r="I459" i="6"/>
  <c r="F459" i="6"/>
  <c r="E459" i="6"/>
  <c r="D459" i="6"/>
  <c r="L458" i="6"/>
  <c r="I458" i="6"/>
  <c r="F458" i="6"/>
  <c r="D458" i="6"/>
  <c r="E458" i="6" s="1"/>
  <c r="L457" i="6"/>
  <c r="I457" i="6"/>
  <c r="F457" i="6"/>
  <c r="D457" i="6"/>
  <c r="E457" i="6" s="1"/>
  <c r="L456" i="6"/>
  <c r="I456" i="6"/>
  <c r="F456" i="6"/>
  <c r="D456" i="6"/>
  <c r="E456" i="6" s="1"/>
  <c r="G456" i="6" s="1"/>
  <c r="H456" i="6" s="1"/>
  <c r="J456" i="6" s="1"/>
  <c r="K456" i="6" s="1"/>
  <c r="L455" i="6"/>
  <c r="I455" i="6"/>
  <c r="F455" i="6"/>
  <c r="D455" i="6"/>
  <c r="E455" i="6" s="1"/>
  <c r="G455" i="6" s="1"/>
  <c r="H455" i="6" s="1"/>
  <c r="J455" i="6" s="1"/>
  <c r="K455" i="6" s="1"/>
  <c r="M455" i="6" s="1"/>
  <c r="N455" i="6" s="1"/>
  <c r="L454" i="6"/>
  <c r="I454" i="6"/>
  <c r="F454" i="6"/>
  <c r="E454" i="6"/>
  <c r="D454" i="6"/>
  <c r="L453" i="6"/>
  <c r="I453" i="6"/>
  <c r="F453" i="6"/>
  <c r="D453" i="6"/>
  <c r="E453" i="6" s="1"/>
  <c r="G453" i="6" s="1"/>
  <c r="H453" i="6" s="1"/>
  <c r="J453" i="6" s="1"/>
  <c r="K453" i="6" s="1"/>
  <c r="M453" i="6" s="1"/>
  <c r="N453" i="6" s="1"/>
  <c r="L452" i="6"/>
  <c r="I452" i="6"/>
  <c r="F452" i="6"/>
  <c r="D452" i="6"/>
  <c r="E452" i="6" s="1"/>
  <c r="L451" i="6"/>
  <c r="I451" i="6"/>
  <c r="F451" i="6"/>
  <c r="D451" i="6"/>
  <c r="E451" i="6" s="1"/>
  <c r="L450" i="6"/>
  <c r="I450" i="6"/>
  <c r="F450" i="6"/>
  <c r="D450" i="6"/>
  <c r="E450" i="6" s="1"/>
  <c r="G450" i="6" s="1"/>
  <c r="H450" i="6" s="1"/>
  <c r="J450" i="6" s="1"/>
  <c r="K450" i="6" s="1"/>
  <c r="M450" i="6" s="1"/>
  <c r="N450" i="6" s="1"/>
  <c r="L449" i="6"/>
  <c r="I449" i="6"/>
  <c r="F449" i="6"/>
  <c r="D449" i="6"/>
  <c r="E449" i="6" s="1"/>
  <c r="G449" i="6" s="1"/>
  <c r="H449" i="6" s="1"/>
  <c r="J449" i="6" s="1"/>
  <c r="K449" i="6" s="1"/>
  <c r="M449" i="6" s="1"/>
  <c r="N449" i="6" s="1"/>
  <c r="L448" i="6"/>
  <c r="I448" i="6"/>
  <c r="F448" i="6"/>
  <c r="D448" i="6"/>
  <c r="E448" i="6" s="1"/>
  <c r="L447" i="6"/>
  <c r="I447" i="6"/>
  <c r="F447" i="6"/>
  <c r="D447" i="6"/>
  <c r="E447" i="6" s="1"/>
  <c r="L446" i="6"/>
  <c r="I446" i="6"/>
  <c r="F446" i="6"/>
  <c r="D446" i="6"/>
  <c r="E446" i="6" s="1"/>
  <c r="L445" i="6"/>
  <c r="I445" i="6"/>
  <c r="F445" i="6"/>
  <c r="D445" i="6"/>
  <c r="E445" i="6" s="1"/>
  <c r="L444" i="6"/>
  <c r="I444" i="6"/>
  <c r="F444" i="6"/>
  <c r="D444" i="6"/>
  <c r="E444" i="6" s="1"/>
  <c r="G444" i="6" s="1"/>
  <c r="H444" i="6" s="1"/>
  <c r="J444" i="6" s="1"/>
  <c r="K444" i="6" s="1"/>
  <c r="M444" i="6" s="1"/>
  <c r="N444" i="6" s="1"/>
  <c r="L443" i="6"/>
  <c r="I443" i="6"/>
  <c r="H443" i="6"/>
  <c r="F443" i="6"/>
  <c r="E443" i="6"/>
  <c r="G443" i="6" s="1"/>
  <c r="D443" i="6"/>
  <c r="L442" i="6"/>
  <c r="I442" i="6"/>
  <c r="F442" i="6"/>
  <c r="D442" i="6"/>
  <c r="E442" i="6" s="1"/>
  <c r="L441" i="6"/>
  <c r="I441" i="6"/>
  <c r="F441" i="6"/>
  <c r="D441" i="6"/>
  <c r="E441" i="6" s="1"/>
  <c r="L440" i="6"/>
  <c r="I440" i="6"/>
  <c r="F440" i="6"/>
  <c r="D440" i="6"/>
  <c r="E440" i="6" s="1"/>
  <c r="G440" i="6" s="1"/>
  <c r="H440" i="6" s="1"/>
  <c r="J440" i="6" s="1"/>
  <c r="K440" i="6" s="1"/>
  <c r="M440" i="6" s="1"/>
  <c r="N440" i="6" s="1"/>
  <c r="L439" i="6"/>
  <c r="I439" i="6"/>
  <c r="F439" i="6"/>
  <c r="D439" i="6"/>
  <c r="E439" i="6" s="1"/>
  <c r="L438" i="6"/>
  <c r="I438" i="6"/>
  <c r="F438" i="6"/>
  <c r="G438" i="6" s="1"/>
  <c r="H438" i="6" s="1"/>
  <c r="J438" i="6" s="1"/>
  <c r="K438" i="6" s="1"/>
  <c r="M438" i="6" s="1"/>
  <c r="N438" i="6" s="1"/>
  <c r="E438" i="6"/>
  <c r="D438" i="6"/>
  <c r="L437" i="6"/>
  <c r="I437" i="6"/>
  <c r="F437" i="6"/>
  <c r="E437" i="6"/>
  <c r="D437" i="6"/>
  <c r="L436" i="6"/>
  <c r="I436" i="6"/>
  <c r="F436" i="6"/>
  <c r="D436" i="6"/>
  <c r="E436" i="6" s="1"/>
  <c r="L435" i="6"/>
  <c r="I435" i="6"/>
  <c r="F435" i="6"/>
  <c r="E435" i="6"/>
  <c r="G435" i="6" s="1"/>
  <c r="H435" i="6" s="1"/>
  <c r="D435" i="6"/>
  <c r="L434" i="6"/>
  <c r="I434" i="6"/>
  <c r="F434" i="6"/>
  <c r="D434" i="6"/>
  <c r="E434" i="6" s="1"/>
  <c r="G434" i="6" s="1"/>
  <c r="H434" i="6" s="1"/>
  <c r="J434" i="6" s="1"/>
  <c r="K434" i="6" s="1"/>
  <c r="M434" i="6" s="1"/>
  <c r="N434" i="6" s="1"/>
  <c r="L433" i="6"/>
  <c r="I433" i="6"/>
  <c r="F433" i="6"/>
  <c r="D433" i="6"/>
  <c r="E433" i="6" s="1"/>
  <c r="G433" i="6" s="1"/>
  <c r="H433" i="6" s="1"/>
  <c r="J433" i="6" s="1"/>
  <c r="K433" i="6" s="1"/>
  <c r="M433" i="6" s="1"/>
  <c r="N433" i="6" s="1"/>
  <c r="L432" i="6"/>
  <c r="I432" i="6"/>
  <c r="G432" i="6"/>
  <c r="H432" i="6" s="1"/>
  <c r="F432" i="6"/>
  <c r="D432" i="6"/>
  <c r="E432" i="6" s="1"/>
  <c r="L431" i="6"/>
  <c r="I431" i="6"/>
  <c r="F431" i="6"/>
  <c r="G431" i="6" s="1"/>
  <c r="H431" i="6" s="1"/>
  <c r="J431" i="6" s="1"/>
  <c r="K431" i="6" s="1"/>
  <c r="M431" i="6" s="1"/>
  <c r="N431" i="6" s="1"/>
  <c r="D431" i="6"/>
  <c r="E431" i="6" s="1"/>
  <c r="L430" i="6"/>
  <c r="I430" i="6"/>
  <c r="F430" i="6"/>
  <c r="E430" i="6"/>
  <c r="G430" i="6" s="1"/>
  <c r="H430" i="6" s="1"/>
  <c r="D430" i="6"/>
  <c r="L429" i="6"/>
  <c r="I429" i="6"/>
  <c r="F429" i="6"/>
  <c r="D429" i="6"/>
  <c r="E429" i="6" s="1"/>
  <c r="G429" i="6" s="1"/>
  <c r="H429" i="6" s="1"/>
  <c r="J429" i="6" s="1"/>
  <c r="K429" i="6" s="1"/>
  <c r="M429" i="6" s="1"/>
  <c r="N429" i="6" s="1"/>
  <c r="L428" i="6"/>
  <c r="I428" i="6"/>
  <c r="F428" i="6"/>
  <c r="D428" i="6"/>
  <c r="E428" i="6" s="1"/>
  <c r="L427" i="6"/>
  <c r="I427" i="6"/>
  <c r="F427" i="6"/>
  <c r="D427" i="6"/>
  <c r="E427" i="6" s="1"/>
  <c r="G427" i="6" s="1"/>
  <c r="H427" i="6" s="1"/>
  <c r="J427" i="6" s="1"/>
  <c r="K427" i="6" s="1"/>
  <c r="M427" i="6" s="1"/>
  <c r="N427" i="6" s="1"/>
  <c r="L426" i="6"/>
  <c r="I426" i="6"/>
  <c r="F426" i="6"/>
  <c r="D426" i="6"/>
  <c r="E426" i="6" s="1"/>
  <c r="L425" i="6"/>
  <c r="I425" i="6"/>
  <c r="F425" i="6"/>
  <c r="E425" i="6"/>
  <c r="G425" i="6" s="1"/>
  <c r="H425" i="6" s="1"/>
  <c r="J425" i="6" s="1"/>
  <c r="K425" i="6" s="1"/>
  <c r="M425" i="6" s="1"/>
  <c r="N425" i="6" s="1"/>
  <c r="D425" i="6"/>
  <c r="L424" i="6"/>
  <c r="I424" i="6"/>
  <c r="F424" i="6"/>
  <c r="D424" i="6"/>
  <c r="E424" i="6" s="1"/>
  <c r="L423" i="6"/>
  <c r="I423" i="6"/>
  <c r="F423" i="6"/>
  <c r="D423" i="6"/>
  <c r="E423" i="6" s="1"/>
  <c r="G423" i="6" s="1"/>
  <c r="H423" i="6" s="1"/>
  <c r="J423" i="6" s="1"/>
  <c r="K423" i="6" s="1"/>
  <c r="M423" i="6" s="1"/>
  <c r="N423" i="6" s="1"/>
  <c r="L422" i="6"/>
  <c r="I422" i="6"/>
  <c r="F422" i="6"/>
  <c r="D422" i="6"/>
  <c r="E422" i="6" s="1"/>
  <c r="L421" i="6"/>
  <c r="I421" i="6"/>
  <c r="F421" i="6"/>
  <c r="D421" i="6"/>
  <c r="E421" i="6" s="1"/>
  <c r="L420" i="6"/>
  <c r="I420" i="6"/>
  <c r="F420" i="6"/>
  <c r="D420" i="6"/>
  <c r="E420" i="6" s="1"/>
  <c r="L419" i="6"/>
  <c r="I419" i="6"/>
  <c r="F419" i="6"/>
  <c r="D419" i="6"/>
  <c r="E419" i="6" s="1"/>
  <c r="G419" i="6" s="1"/>
  <c r="H419" i="6" s="1"/>
  <c r="J419" i="6" s="1"/>
  <c r="K419" i="6" s="1"/>
  <c r="L418" i="6"/>
  <c r="J418" i="6"/>
  <c r="K418" i="6" s="1"/>
  <c r="M418" i="6" s="1"/>
  <c r="N418" i="6" s="1"/>
  <c r="I418" i="6"/>
  <c r="G418" i="6"/>
  <c r="H418" i="6" s="1"/>
  <c r="F418" i="6"/>
  <c r="E418" i="6"/>
  <c r="D418" i="6"/>
  <c r="L417" i="6"/>
  <c r="I417" i="6"/>
  <c r="F417" i="6"/>
  <c r="D417" i="6"/>
  <c r="E417" i="6" s="1"/>
  <c r="G417" i="6" s="1"/>
  <c r="H417" i="6" s="1"/>
  <c r="J417" i="6" s="1"/>
  <c r="K417" i="6" s="1"/>
  <c r="L416" i="6"/>
  <c r="I416" i="6"/>
  <c r="F416" i="6"/>
  <c r="D416" i="6"/>
  <c r="E416" i="6" s="1"/>
  <c r="G416" i="6" s="1"/>
  <c r="H416" i="6" s="1"/>
  <c r="L415" i="6"/>
  <c r="I415" i="6"/>
  <c r="F415" i="6"/>
  <c r="D415" i="6"/>
  <c r="E415" i="6" s="1"/>
  <c r="L414" i="6"/>
  <c r="I414" i="6"/>
  <c r="F414" i="6"/>
  <c r="D414" i="6"/>
  <c r="E414" i="6" s="1"/>
  <c r="L413" i="6"/>
  <c r="I413" i="6"/>
  <c r="F413" i="6"/>
  <c r="E413" i="6"/>
  <c r="D413" i="6"/>
  <c r="L412" i="6"/>
  <c r="I412" i="6"/>
  <c r="F412" i="6"/>
  <c r="D412" i="6"/>
  <c r="E412" i="6" s="1"/>
  <c r="L411" i="6"/>
  <c r="I411" i="6"/>
  <c r="F411" i="6"/>
  <c r="D411" i="6"/>
  <c r="E411" i="6" s="1"/>
  <c r="L410" i="6"/>
  <c r="I410" i="6"/>
  <c r="F410" i="6"/>
  <c r="D410" i="6"/>
  <c r="E410" i="6" s="1"/>
  <c r="G410" i="6" s="1"/>
  <c r="H410" i="6" s="1"/>
  <c r="J410" i="6" s="1"/>
  <c r="K410" i="6" s="1"/>
  <c r="M410" i="6" s="1"/>
  <c r="N410" i="6" s="1"/>
  <c r="L409" i="6"/>
  <c r="I409" i="6"/>
  <c r="F409" i="6"/>
  <c r="D409" i="6"/>
  <c r="E409" i="6" s="1"/>
  <c r="G409" i="6" s="1"/>
  <c r="H409" i="6" s="1"/>
  <c r="J409" i="6" s="1"/>
  <c r="K409" i="6" s="1"/>
  <c r="L408" i="6"/>
  <c r="I408" i="6"/>
  <c r="F408" i="6"/>
  <c r="D408" i="6"/>
  <c r="E408" i="6" s="1"/>
  <c r="G408" i="6" s="1"/>
  <c r="H408" i="6" s="1"/>
  <c r="L407" i="6"/>
  <c r="I407" i="6"/>
  <c r="F407" i="6"/>
  <c r="D407" i="6"/>
  <c r="E407" i="6" s="1"/>
  <c r="G407" i="6" s="1"/>
  <c r="H407" i="6" s="1"/>
  <c r="J407" i="6" s="1"/>
  <c r="K407" i="6" s="1"/>
  <c r="M407" i="6" s="1"/>
  <c r="N407" i="6" s="1"/>
  <c r="L406" i="6"/>
  <c r="I406" i="6"/>
  <c r="F406" i="6"/>
  <c r="E406" i="6"/>
  <c r="G406" i="6" s="1"/>
  <c r="H406" i="6" s="1"/>
  <c r="D406" i="6"/>
  <c r="L405" i="6"/>
  <c r="I405" i="6"/>
  <c r="F405" i="6"/>
  <c r="D405" i="6"/>
  <c r="E405" i="6" s="1"/>
  <c r="L404" i="6"/>
  <c r="I404" i="6"/>
  <c r="F404" i="6"/>
  <c r="D404" i="6"/>
  <c r="E404" i="6" s="1"/>
  <c r="L403" i="6"/>
  <c r="I403" i="6"/>
  <c r="F403" i="6"/>
  <c r="D403" i="6"/>
  <c r="E403" i="6" s="1"/>
  <c r="L402" i="6"/>
  <c r="I402" i="6"/>
  <c r="F402" i="6"/>
  <c r="D402" i="6"/>
  <c r="E402" i="6" s="1"/>
  <c r="G402" i="6" s="1"/>
  <c r="H402" i="6" s="1"/>
  <c r="L401" i="6"/>
  <c r="I401" i="6"/>
  <c r="G401" i="6"/>
  <c r="H401" i="6" s="1"/>
  <c r="J401" i="6" s="1"/>
  <c r="K401" i="6" s="1"/>
  <c r="M401" i="6" s="1"/>
  <c r="N401" i="6" s="1"/>
  <c r="F401" i="6"/>
  <c r="D401" i="6"/>
  <c r="E401" i="6" s="1"/>
  <c r="L400" i="6"/>
  <c r="I400" i="6"/>
  <c r="F400" i="6"/>
  <c r="D400" i="6"/>
  <c r="E400" i="6" s="1"/>
  <c r="L399" i="6"/>
  <c r="I399" i="6"/>
  <c r="F399" i="6"/>
  <c r="E399" i="6"/>
  <c r="G399" i="6" s="1"/>
  <c r="H399" i="6" s="1"/>
  <c r="D399" i="6"/>
  <c r="L398" i="6"/>
  <c r="I398" i="6"/>
  <c r="F398" i="6"/>
  <c r="E398" i="6"/>
  <c r="G398" i="6" s="1"/>
  <c r="H398" i="6" s="1"/>
  <c r="J398" i="6" s="1"/>
  <c r="K398" i="6" s="1"/>
  <c r="D398" i="6"/>
  <c r="L397" i="6"/>
  <c r="I397" i="6"/>
  <c r="F397" i="6"/>
  <c r="D397" i="6"/>
  <c r="E397" i="6" s="1"/>
  <c r="G397" i="6" s="1"/>
  <c r="H397" i="6" s="1"/>
  <c r="L396" i="6"/>
  <c r="I396" i="6"/>
  <c r="F396" i="6"/>
  <c r="D396" i="6"/>
  <c r="E396" i="6" s="1"/>
  <c r="G396" i="6" s="1"/>
  <c r="H396" i="6" s="1"/>
  <c r="J396" i="6" s="1"/>
  <c r="K396" i="6" s="1"/>
  <c r="M396" i="6" s="1"/>
  <c r="N396" i="6" s="1"/>
  <c r="L395" i="6"/>
  <c r="I395" i="6"/>
  <c r="F395" i="6"/>
  <c r="D395" i="6"/>
  <c r="E395" i="6" s="1"/>
  <c r="L394" i="6"/>
  <c r="I394" i="6"/>
  <c r="F394" i="6"/>
  <c r="D394" i="6"/>
  <c r="E394" i="6" s="1"/>
  <c r="G394" i="6" s="1"/>
  <c r="H394" i="6" s="1"/>
  <c r="L393" i="6"/>
  <c r="I393" i="6"/>
  <c r="H393" i="6"/>
  <c r="J393" i="6" s="1"/>
  <c r="K393" i="6" s="1"/>
  <c r="M393" i="6" s="1"/>
  <c r="N393" i="6" s="1"/>
  <c r="F393" i="6"/>
  <c r="E393" i="6"/>
  <c r="G393" i="6" s="1"/>
  <c r="D393" i="6"/>
  <c r="L392" i="6"/>
  <c r="I392" i="6"/>
  <c r="G392" i="6"/>
  <c r="H392" i="6" s="1"/>
  <c r="J392" i="6" s="1"/>
  <c r="K392" i="6" s="1"/>
  <c r="M392" i="6" s="1"/>
  <c r="N392" i="6" s="1"/>
  <c r="F392" i="6"/>
  <c r="D392" i="6"/>
  <c r="E392" i="6" s="1"/>
  <c r="L391" i="6"/>
  <c r="I391" i="6"/>
  <c r="F391" i="6"/>
  <c r="D391" i="6"/>
  <c r="E391" i="6" s="1"/>
  <c r="G391" i="6" s="1"/>
  <c r="H391" i="6" s="1"/>
  <c r="J391" i="6" s="1"/>
  <c r="K391" i="6" s="1"/>
  <c r="L390" i="6"/>
  <c r="I390" i="6"/>
  <c r="H390" i="6"/>
  <c r="J390" i="6" s="1"/>
  <c r="K390" i="6" s="1"/>
  <c r="F390" i="6"/>
  <c r="D390" i="6"/>
  <c r="E390" i="6" s="1"/>
  <c r="G390" i="6" s="1"/>
  <c r="L389" i="6"/>
  <c r="I389" i="6"/>
  <c r="F389" i="6"/>
  <c r="D389" i="6"/>
  <c r="E389" i="6" s="1"/>
  <c r="G389" i="6" s="1"/>
  <c r="H389" i="6" s="1"/>
  <c r="J389" i="6" s="1"/>
  <c r="K389" i="6" s="1"/>
  <c r="M389" i="6" s="1"/>
  <c r="N389" i="6" s="1"/>
  <c r="L388" i="6"/>
  <c r="I388" i="6"/>
  <c r="F388" i="6"/>
  <c r="D388" i="6"/>
  <c r="E388" i="6" s="1"/>
  <c r="L387" i="6"/>
  <c r="I387" i="6"/>
  <c r="F387" i="6"/>
  <c r="D387" i="6"/>
  <c r="E387" i="6" s="1"/>
  <c r="G387" i="6" s="1"/>
  <c r="H387" i="6" s="1"/>
  <c r="J387" i="6" s="1"/>
  <c r="K387" i="6" s="1"/>
  <c r="M387" i="6" s="1"/>
  <c r="N387" i="6" s="1"/>
  <c r="L386" i="6"/>
  <c r="I386" i="6"/>
  <c r="F386" i="6"/>
  <c r="D386" i="6"/>
  <c r="E386" i="6" s="1"/>
  <c r="L385" i="6"/>
  <c r="I385" i="6"/>
  <c r="F385" i="6"/>
  <c r="E385" i="6"/>
  <c r="G385" i="6" s="1"/>
  <c r="H385" i="6" s="1"/>
  <c r="J385" i="6" s="1"/>
  <c r="K385" i="6" s="1"/>
  <c r="M385" i="6" s="1"/>
  <c r="N385" i="6" s="1"/>
  <c r="D385" i="6"/>
  <c r="L384" i="6"/>
  <c r="I384" i="6"/>
  <c r="F384" i="6"/>
  <c r="E384" i="6"/>
  <c r="D384" i="6"/>
  <c r="L383" i="6"/>
  <c r="I383" i="6"/>
  <c r="F383" i="6"/>
  <c r="E383" i="6"/>
  <c r="G383" i="6" s="1"/>
  <c r="H383" i="6" s="1"/>
  <c r="J383" i="6" s="1"/>
  <c r="K383" i="6" s="1"/>
  <c r="M383" i="6" s="1"/>
  <c r="N383" i="6" s="1"/>
  <c r="D383" i="6"/>
  <c r="L382" i="6"/>
  <c r="I382" i="6"/>
  <c r="F382" i="6"/>
  <c r="D382" i="6"/>
  <c r="E382" i="6" s="1"/>
  <c r="G382" i="6" s="1"/>
  <c r="H382" i="6" s="1"/>
  <c r="L381" i="6"/>
  <c r="I381" i="6"/>
  <c r="F381" i="6"/>
  <c r="D381" i="6"/>
  <c r="E381" i="6" s="1"/>
  <c r="G381" i="6" s="1"/>
  <c r="H381" i="6" s="1"/>
  <c r="J381" i="6" s="1"/>
  <c r="K381" i="6" s="1"/>
  <c r="M381" i="6" s="1"/>
  <c r="N381" i="6" s="1"/>
  <c r="L380" i="6"/>
  <c r="I380" i="6"/>
  <c r="F380" i="6"/>
  <c r="D380" i="6"/>
  <c r="E380" i="6" s="1"/>
  <c r="L379" i="6"/>
  <c r="I379" i="6"/>
  <c r="F379" i="6"/>
  <c r="D379" i="6"/>
  <c r="E379" i="6" s="1"/>
  <c r="G379" i="6" s="1"/>
  <c r="H379" i="6" s="1"/>
  <c r="L378" i="6"/>
  <c r="I378" i="6"/>
  <c r="G378" i="6"/>
  <c r="H378" i="6" s="1"/>
  <c r="J378" i="6" s="1"/>
  <c r="K378" i="6" s="1"/>
  <c r="F378" i="6"/>
  <c r="D378" i="6"/>
  <c r="E378" i="6" s="1"/>
  <c r="L377" i="6"/>
  <c r="I377" i="6"/>
  <c r="F377" i="6"/>
  <c r="D377" i="6"/>
  <c r="E377" i="6" s="1"/>
  <c r="G377" i="6" s="1"/>
  <c r="H377" i="6" s="1"/>
  <c r="J377" i="6" s="1"/>
  <c r="K377" i="6" s="1"/>
  <c r="M377" i="6" s="1"/>
  <c r="N377" i="6" s="1"/>
  <c r="L376" i="6"/>
  <c r="I376" i="6"/>
  <c r="F376" i="6"/>
  <c r="D376" i="6"/>
  <c r="E376" i="6" s="1"/>
  <c r="G376" i="6" s="1"/>
  <c r="H376" i="6" s="1"/>
  <c r="J376" i="6" s="1"/>
  <c r="K376" i="6" s="1"/>
  <c r="L375" i="6"/>
  <c r="I375" i="6"/>
  <c r="F375" i="6"/>
  <c r="E375" i="6"/>
  <c r="D375" i="6"/>
  <c r="L374" i="6"/>
  <c r="I374" i="6"/>
  <c r="F374" i="6"/>
  <c r="D374" i="6"/>
  <c r="E374" i="6" s="1"/>
  <c r="L373" i="6"/>
  <c r="I373" i="6"/>
  <c r="G373" i="6"/>
  <c r="H373" i="6" s="1"/>
  <c r="F373" i="6"/>
  <c r="E373" i="6"/>
  <c r="D373" i="6"/>
  <c r="L372" i="6"/>
  <c r="I372" i="6"/>
  <c r="G372" i="6"/>
  <c r="H372" i="6" s="1"/>
  <c r="J372" i="6" s="1"/>
  <c r="K372" i="6" s="1"/>
  <c r="F372" i="6"/>
  <c r="D372" i="6"/>
  <c r="E372" i="6" s="1"/>
  <c r="L371" i="6"/>
  <c r="I371" i="6"/>
  <c r="F371" i="6"/>
  <c r="D371" i="6"/>
  <c r="E371" i="6" s="1"/>
  <c r="G371" i="6" s="1"/>
  <c r="H371" i="6" s="1"/>
  <c r="J371" i="6" s="1"/>
  <c r="K371" i="6" s="1"/>
  <c r="M371" i="6" s="1"/>
  <c r="N371" i="6" s="1"/>
  <c r="L370" i="6"/>
  <c r="I370" i="6"/>
  <c r="F370" i="6"/>
  <c r="D370" i="6"/>
  <c r="E370" i="6" s="1"/>
  <c r="L369" i="6"/>
  <c r="I369" i="6"/>
  <c r="F369" i="6"/>
  <c r="D369" i="6"/>
  <c r="E369" i="6" s="1"/>
  <c r="G369" i="6" s="1"/>
  <c r="H369" i="6" s="1"/>
  <c r="L368" i="6"/>
  <c r="I368" i="6"/>
  <c r="F368" i="6"/>
  <c r="D368" i="6"/>
  <c r="E368" i="6" s="1"/>
  <c r="G368" i="6" s="1"/>
  <c r="H368" i="6" s="1"/>
  <c r="J368" i="6" s="1"/>
  <c r="K368" i="6" s="1"/>
  <c r="M368" i="6" s="1"/>
  <c r="N368" i="6" s="1"/>
  <c r="L367" i="6"/>
  <c r="I367" i="6"/>
  <c r="F367" i="6"/>
  <c r="D367" i="6"/>
  <c r="E367" i="6" s="1"/>
  <c r="G367" i="6" s="1"/>
  <c r="H367" i="6" s="1"/>
  <c r="J367" i="6" s="1"/>
  <c r="K367" i="6" s="1"/>
  <c r="M367" i="6" s="1"/>
  <c r="N367" i="6" s="1"/>
  <c r="L366" i="6"/>
  <c r="I366" i="6"/>
  <c r="F366" i="6"/>
  <c r="D366" i="6"/>
  <c r="E366" i="6" s="1"/>
  <c r="L365" i="6"/>
  <c r="I365" i="6"/>
  <c r="F365" i="6"/>
  <c r="D365" i="6"/>
  <c r="E365" i="6" s="1"/>
  <c r="G365" i="6" s="1"/>
  <c r="H365" i="6" s="1"/>
  <c r="L364" i="6"/>
  <c r="I364" i="6"/>
  <c r="F364" i="6"/>
  <c r="D364" i="6"/>
  <c r="E364" i="6" s="1"/>
  <c r="G364" i="6" s="1"/>
  <c r="H364" i="6" s="1"/>
  <c r="L363" i="6"/>
  <c r="I363" i="6"/>
  <c r="F363" i="6"/>
  <c r="D363" i="6"/>
  <c r="E363" i="6" s="1"/>
  <c r="L362" i="6"/>
  <c r="I362" i="6"/>
  <c r="F362" i="6"/>
  <c r="D362" i="6"/>
  <c r="E362" i="6" s="1"/>
  <c r="G362" i="6" s="1"/>
  <c r="H362" i="6" s="1"/>
  <c r="J362" i="6" s="1"/>
  <c r="K362" i="6" s="1"/>
  <c r="L361" i="6"/>
  <c r="I361" i="6"/>
  <c r="F361" i="6"/>
  <c r="D361" i="6"/>
  <c r="E361" i="6" s="1"/>
  <c r="G361" i="6" s="1"/>
  <c r="H361" i="6" s="1"/>
  <c r="J361" i="6" s="1"/>
  <c r="K361" i="6" s="1"/>
  <c r="M361" i="6" s="1"/>
  <c r="N361" i="6" s="1"/>
  <c r="L360" i="6"/>
  <c r="I360" i="6"/>
  <c r="F360" i="6"/>
  <c r="D360" i="6"/>
  <c r="E360" i="6" s="1"/>
  <c r="G360" i="6" s="1"/>
  <c r="H360" i="6" s="1"/>
  <c r="J360" i="6" s="1"/>
  <c r="K360" i="6" s="1"/>
  <c r="M360" i="6" s="1"/>
  <c r="N360" i="6" s="1"/>
  <c r="L359" i="6"/>
  <c r="I359" i="6"/>
  <c r="F359" i="6"/>
  <c r="D359" i="6"/>
  <c r="E359" i="6" s="1"/>
  <c r="G359" i="6" s="1"/>
  <c r="H359" i="6" s="1"/>
  <c r="L358" i="6"/>
  <c r="I358" i="6"/>
  <c r="F358" i="6"/>
  <c r="D358" i="6"/>
  <c r="E358" i="6" s="1"/>
  <c r="L357" i="6"/>
  <c r="I357" i="6"/>
  <c r="F357" i="6"/>
  <c r="D357" i="6"/>
  <c r="E357" i="6" s="1"/>
  <c r="L356" i="6"/>
  <c r="I356" i="6"/>
  <c r="F356" i="6"/>
  <c r="D356" i="6"/>
  <c r="E356" i="6" s="1"/>
  <c r="G356" i="6" s="1"/>
  <c r="H356" i="6" s="1"/>
  <c r="J356" i="6" s="1"/>
  <c r="K356" i="6" s="1"/>
  <c r="M356" i="6" s="1"/>
  <c r="N356" i="6" s="1"/>
  <c r="L355" i="6"/>
  <c r="I355" i="6"/>
  <c r="G355" i="6"/>
  <c r="H355" i="6" s="1"/>
  <c r="J355" i="6" s="1"/>
  <c r="K355" i="6" s="1"/>
  <c r="M355" i="6" s="1"/>
  <c r="N355" i="6" s="1"/>
  <c r="F355" i="6"/>
  <c r="E355" i="6"/>
  <c r="D355" i="6"/>
  <c r="L354" i="6"/>
  <c r="I354" i="6"/>
  <c r="F354" i="6"/>
  <c r="D354" i="6"/>
  <c r="E354" i="6" s="1"/>
  <c r="L353" i="6"/>
  <c r="I353" i="6"/>
  <c r="F353" i="6"/>
  <c r="D353" i="6"/>
  <c r="E353" i="6" s="1"/>
  <c r="G353" i="6" s="1"/>
  <c r="H353" i="6" s="1"/>
  <c r="J353" i="6" s="1"/>
  <c r="K353" i="6" s="1"/>
  <c r="L352" i="6"/>
  <c r="I352" i="6"/>
  <c r="F352" i="6"/>
  <c r="D352" i="6"/>
  <c r="E352" i="6" s="1"/>
  <c r="L351" i="6"/>
  <c r="I351" i="6"/>
  <c r="G351" i="6"/>
  <c r="H351" i="6" s="1"/>
  <c r="J351" i="6" s="1"/>
  <c r="K351" i="6" s="1"/>
  <c r="M351" i="6" s="1"/>
  <c r="N351" i="6" s="1"/>
  <c r="F351" i="6"/>
  <c r="D351" i="6"/>
  <c r="E351" i="6" s="1"/>
  <c r="L350" i="6"/>
  <c r="I350" i="6"/>
  <c r="F350" i="6"/>
  <c r="D350" i="6"/>
  <c r="E350" i="6" s="1"/>
  <c r="G350" i="6" s="1"/>
  <c r="H350" i="6" s="1"/>
  <c r="J350" i="6" s="1"/>
  <c r="K350" i="6" s="1"/>
  <c r="M350" i="6" s="1"/>
  <c r="N350" i="6" s="1"/>
  <c r="L349" i="6"/>
  <c r="I349" i="6"/>
  <c r="F349" i="6"/>
  <c r="D349" i="6"/>
  <c r="E349" i="6" s="1"/>
  <c r="L348" i="6"/>
  <c r="I348" i="6"/>
  <c r="F348" i="6"/>
  <c r="D348" i="6"/>
  <c r="E348" i="6" s="1"/>
  <c r="G348" i="6" s="1"/>
  <c r="H348" i="6" s="1"/>
  <c r="J348" i="6" s="1"/>
  <c r="K348" i="6" s="1"/>
  <c r="M348" i="6" s="1"/>
  <c r="N348" i="6" s="1"/>
  <c r="L347" i="6"/>
  <c r="I347" i="6"/>
  <c r="F347" i="6"/>
  <c r="D347" i="6"/>
  <c r="E347" i="6" s="1"/>
  <c r="G347" i="6" s="1"/>
  <c r="H347" i="6" s="1"/>
  <c r="J347" i="6" s="1"/>
  <c r="K347" i="6" s="1"/>
  <c r="M347" i="6" s="1"/>
  <c r="N347" i="6" s="1"/>
  <c r="L346" i="6"/>
  <c r="I346" i="6"/>
  <c r="F346" i="6"/>
  <c r="D346" i="6"/>
  <c r="E346" i="6" s="1"/>
  <c r="L345" i="6"/>
  <c r="I345" i="6"/>
  <c r="F345" i="6"/>
  <c r="D345" i="6"/>
  <c r="E345" i="6" s="1"/>
  <c r="L344" i="6"/>
  <c r="I344" i="6"/>
  <c r="F344" i="6"/>
  <c r="D344" i="6"/>
  <c r="E344" i="6" s="1"/>
  <c r="L343" i="6"/>
  <c r="I343" i="6"/>
  <c r="F343" i="6"/>
  <c r="D343" i="6"/>
  <c r="E343" i="6" s="1"/>
  <c r="G343" i="6" s="1"/>
  <c r="H343" i="6" s="1"/>
  <c r="J343" i="6" s="1"/>
  <c r="K343" i="6" s="1"/>
  <c r="M343" i="6" s="1"/>
  <c r="N343" i="6" s="1"/>
  <c r="L342" i="6"/>
  <c r="I342" i="6"/>
  <c r="F342" i="6"/>
  <c r="D342" i="6"/>
  <c r="E342" i="6" s="1"/>
  <c r="L341" i="6"/>
  <c r="I341" i="6"/>
  <c r="F341" i="6"/>
  <c r="D341" i="6"/>
  <c r="E341" i="6" s="1"/>
  <c r="L340" i="6"/>
  <c r="I340" i="6"/>
  <c r="F340" i="6"/>
  <c r="D340" i="6"/>
  <c r="E340" i="6" s="1"/>
  <c r="L339" i="6"/>
  <c r="I339" i="6"/>
  <c r="F339" i="6"/>
  <c r="E339" i="6"/>
  <c r="D339" i="6"/>
  <c r="L338" i="6"/>
  <c r="J338" i="6"/>
  <c r="K338" i="6" s="1"/>
  <c r="M338" i="6" s="1"/>
  <c r="N338" i="6" s="1"/>
  <c r="I338" i="6"/>
  <c r="G338" i="6"/>
  <c r="H338" i="6" s="1"/>
  <c r="F338" i="6"/>
  <c r="E338" i="6"/>
  <c r="D338" i="6"/>
  <c r="L337" i="6"/>
  <c r="I337" i="6"/>
  <c r="F337" i="6"/>
  <c r="E337" i="6"/>
  <c r="G337" i="6" s="1"/>
  <c r="H337" i="6" s="1"/>
  <c r="D337" i="6"/>
  <c r="L336" i="6"/>
  <c r="I336" i="6"/>
  <c r="F336" i="6"/>
  <c r="D336" i="6"/>
  <c r="E336" i="6" s="1"/>
  <c r="L335" i="6"/>
  <c r="I335" i="6"/>
  <c r="F335" i="6"/>
  <c r="D335" i="6"/>
  <c r="E335" i="6" s="1"/>
  <c r="G335" i="6" s="1"/>
  <c r="H335" i="6" s="1"/>
  <c r="J335" i="6" s="1"/>
  <c r="K335" i="6" s="1"/>
  <c r="M335" i="6" s="1"/>
  <c r="N335" i="6" s="1"/>
  <c r="L334" i="6"/>
  <c r="I334" i="6"/>
  <c r="F334" i="6"/>
  <c r="D334" i="6"/>
  <c r="E334" i="6" s="1"/>
  <c r="G334" i="6" s="1"/>
  <c r="H334" i="6" s="1"/>
  <c r="L333" i="6"/>
  <c r="I333" i="6"/>
  <c r="F333" i="6"/>
  <c r="E333" i="6"/>
  <c r="G333" i="6" s="1"/>
  <c r="H333" i="6" s="1"/>
  <c r="J333" i="6" s="1"/>
  <c r="K333" i="6" s="1"/>
  <c r="M333" i="6" s="1"/>
  <c r="N333" i="6" s="1"/>
  <c r="D333" i="6"/>
  <c r="L332" i="6"/>
  <c r="I332" i="6"/>
  <c r="F332" i="6"/>
  <c r="D332" i="6"/>
  <c r="E332" i="6" s="1"/>
  <c r="G332" i="6" s="1"/>
  <c r="H332" i="6" s="1"/>
  <c r="L331" i="6"/>
  <c r="I331" i="6"/>
  <c r="F331" i="6"/>
  <c r="D331" i="6"/>
  <c r="E331" i="6" s="1"/>
  <c r="G331" i="6" s="1"/>
  <c r="H331" i="6" s="1"/>
  <c r="L330" i="6"/>
  <c r="I330" i="6"/>
  <c r="F330" i="6"/>
  <c r="D330" i="6"/>
  <c r="E330" i="6" s="1"/>
  <c r="L329" i="6"/>
  <c r="I329" i="6"/>
  <c r="F329" i="6"/>
  <c r="D329" i="6"/>
  <c r="E329" i="6" s="1"/>
  <c r="G329" i="6" s="1"/>
  <c r="H329" i="6" s="1"/>
  <c r="L328" i="6"/>
  <c r="I328" i="6"/>
  <c r="F328" i="6"/>
  <c r="E328" i="6"/>
  <c r="D328" i="6"/>
  <c r="L327" i="6"/>
  <c r="I327" i="6"/>
  <c r="H327" i="6"/>
  <c r="J327" i="6" s="1"/>
  <c r="K327" i="6" s="1"/>
  <c r="F327" i="6"/>
  <c r="E327" i="6"/>
  <c r="G327" i="6" s="1"/>
  <c r="D327" i="6"/>
  <c r="L326" i="6"/>
  <c r="I326" i="6"/>
  <c r="F326" i="6"/>
  <c r="D326" i="6"/>
  <c r="E326" i="6" s="1"/>
  <c r="G326" i="6" s="1"/>
  <c r="H326" i="6" s="1"/>
  <c r="J326" i="6" s="1"/>
  <c r="K326" i="6" s="1"/>
  <c r="M326" i="6" s="1"/>
  <c r="N326" i="6" s="1"/>
  <c r="L325" i="6"/>
  <c r="I325" i="6"/>
  <c r="F325" i="6"/>
  <c r="D325" i="6"/>
  <c r="E325" i="6" s="1"/>
  <c r="G325" i="6" s="1"/>
  <c r="H325" i="6" s="1"/>
  <c r="J325" i="6" s="1"/>
  <c r="K325" i="6" s="1"/>
  <c r="M325" i="6" s="1"/>
  <c r="N325" i="6" s="1"/>
  <c r="L324" i="6"/>
  <c r="I324" i="6"/>
  <c r="F324" i="6"/>
  <c r="D324" i="6"/>
  <c r="E324" i="6" s="1"/>
  <c r="L323" i="6"/>
  <c r="I323" i="6"/>
  <c r="F323" i="6"/>
  <c r="D323" i="6"/>
  <c r="E323" i="6" s="1"/>
  <c r="L322" i="6"/>
  <c r="I322" i="6"/>
  <c r="F322" i="6"/>
  <c r="D322" i="6"/>
  <c r="E322" i="6" s="1"/>
  <c r="L321" i="6"/>
  <c r="I321" i="6"/>
  <c r="G321" i="6"/>
  <c r="H321" i="6" s="1"/>
  <c r="F321" i="6"/>
  <c r="E321" i="6"/>
  <c r="D321" i="6"/>
  <c r="L320" i="6"/>
  <c r="I320" i="6"/>
  <c r="F320" i="6"/>
  <c r="D320" i="6"/>
  <c r="E320" i="6" s="1"/>
  <c r="L319" i="6"/>
  <c r="I319" i="6"/>
  <c r="F319" i="6"/>
  <c r="G319" i="6" s="1"/>
  <c r="H319" i="6" s="1"/>
  <c r="J319" i="6" s="1"/>
  <c r="K319" i="6" s="1"/>
  <c r="M319" i="6" s="1"/>
  <c r="N319" i="6" s="1"/>
  <c r="E319" i="6"/>
  <c r="D319" i="6"/>
  <c r="L318" i="6"/>
  <c r="I318" i="6"/>
  <c r="F318" i="6"/>
  <c r="D318" i="6"/>
  <c r="E318" i="6" s="1"/>
  <c r="L317" i="6"/>
  <c r="I317" i="6"/>
  <c r="F317" i="6"/>
  <c r="E317" i="6"/>
  <c r="D317" i="6"/>
  <c r="L316" i="6"/>
  <c r="I316" i="6"/>
  <c r="F316" i="6"/>
  <c r="D316" i="6"/>
  <c r="E316" i="6" s="1"/>
  <c r="L315" i="6"/>
  <c r="I315" i="6"/>
  <c r="F315" i="6"/>
  <c r="D315" i="6"/>
  <c r="E315" i="6" s="1"/>
  <c r="G315" i="6" s="1"/>
  <c r="H315" i="6" s="1"/>
  <c r="J315" i="6" s="1"/>
  <c r="K315" i="6" s="1"/>
  <c r="M315" i="6" s="1"/>
  <c r="N315" i="6" s="1"/>
  <c r="L314" i="6"/>
  <c r="I314" i="6"/>
  <c r="H314" i="6"/>
  <c r="F314" i="6"/>
  <c r="D314" i="6"/>
  <c r="E314" i="6" s="1"/>
  <c r="G314" i="6" s="1"/>
  <c r="L313" i="6"/>
  <c r="I313" i="6"/>
  <c r="F313" i="6"/>
  <c r="D313" i="6"/>
  <c r="E313" i="6" s="1"/>
  <c r="G313" i="6" s="1"/>
  <c r="H313" i="6" s="1"/>
  <c r="J313" i="6" s="1"/>
  <c r="K313" i="6" s="1"/>
  <c r="M313" i="6" s="1"/>
  <c r="N313" i="6" s="1"/>
  <c r="L312" i="6"/>
  <c r="I312" i="6"/>
  <c r="F312" i="6"/>
  <c r="D312" i="6"/>
  <c r="E312" i="6" s="1"/>
  <c r="L311" i="6"/>
  <c r="I311" i="6"/>
  <c r="F311" i="6"/>
  <c r="D311" i="6"/>
  <c r="E311" i="6" s="1"/>
  <c r="G311" i="6" s="1"/>
  <c r="H311" i="6" s="1"/>
  <c r="J311" i="6" s="1"/>
  <c r="K311" i="6" s="1"/>
  <c r="M311" i="6" s="1"/>
  <c r="N311" i="6" s="1"/>
  <c r="L310" i="6"/>
  <c r="I310" i="6"/>
  <c r="F310" i="6"/>
  <c r="D310" i="6"/>
  <c r="E310" i="6" s="1"/>
  <c r="G310" i="6" s="1"/>
  <c r="H310" i="6" s="1"/>
  <c r="J310" i="6" s="1"/>
  <c r="K310" i="6" s="1"/>
  <c r="M310" i="6" s="1"/>
  <c r="N310" i="6" s="1"/>
  <c r="L309" i="6"/>
  <c r="I309" i="6"/>
  <c r="F309" i="6"/>
  <c r="G309" i="6" s="1"/>
  <c r="H309" i="6" s="1"/>
  <c r="J309" i="6" s="1"/>
  <c r="K309" i="6" s="1"/>
  <c r="M309" i="6" s="1"/>
  <c r="N309" i="6" s="1"/>
  <c r="E309" i="6"/>
  <c r="D309" i="6"/>
  <c r="L308" i="6"/>
  <c r="I308" i="6"/>
  <c r="F308" i="6"/>
  <c r="D308" i="6"/>
  <c r="E308" i="6" s="1"/>
  <c r="L307" i="6"/>
  <c r="I307" i="6"/>
  <c r="F307" i="6"/>
  <c r="E307" i="6"/>
  <c r="G307" i="6" s="1"/>
  <c r="H307" i="6" s="1"/>
  <c r="J307" i="6" s="1"/>
  <c r="K307" i="6" s="1"/>
  <c r="M307" i="6" s="1"/>
  <c r="N307" i="6" s="1"/>
  <c r="D307" i="6"/>
  <c r="L306" i="6"/>
  <c r="I306" i="6"/>
  <c r="F306" i="6"/>
  <c r="D306" i="6"/>
  <c r="E306" i="6" s="1"/>
  <c r="G306" i="6" s="1"/>
  <c r="H306" i="6" s="1"/>
  <c r="L305" i="6"/>
  <c r="I305" i="6"/>
  <c r="F305" i="6"/>
  <c r="D305" i="6"/>
  <c r="E305" i="6" s="1"/>
  <c r="G305" i="6" s="1"/>
  <c r="H305" i="6" s="1"/>
  <c r="L304" i="6"/>
  <c r="I304" i="6"/>
  <c r="F304" i="6"/>
  <c r="D304" i="6"/>
  <c r="E304" i="6" s="1"/>
  <c r="L303" i="6"/>
  <c r="I303" i="6"/>
  <c r="F303" i="6"/>
  <c r="D303" i="6"/>
  <c r="E303" i="6" s="1"/>
  <c r="L302" i="6"/>
  <c r="I302" i="6"/>
  <c r="F302" i="6"/>
  <c r="D302" i="6"/>
  <c r="E302" i="6" s="1"/>
  <c r="M301" i="6"/>
  <c r="N301" i="6" s="1"/>
  <c r="L301" i="6"/>
  <c r="I301" i="6"/>
  <c r="F301" i="6"/>
  <c r="D301" i="6"/>
  <c r="E301" i="6" s="1"/>
  <c r="G301" i="6" s="1"/>
  <c r="H301" i="6" s="1"/>
  <c r="J301" i="6" s="1"/>
  <c r="K301" i="6" s="1"/>
  <c r="L300" i="6"/>
  <c r="I300" i="6"/>
  <c r="G300" i="6"/>
  <c r="H300" i="6" s="1"/>
  <c r="J300" i="6" s="1"/>
  <c r="K300" i="6" s="1"/>
  <c r="M300" i="6" s="1"/>
  <c r="N300" i="6" s="1"/>
  <c r="F300" i="6"/>
  <c r="D300" i="6"/>
  <c r="E300" i="6" s="1"/>
  <c r="L299" i="6"/>
  <c r="I299" i="6"/>
  <c r="F299" i="6"/>
  <c r="D299" i="6"/>
  <c r="E299" i="6" s="1"/>
  <c r="G299" i="6" s="1"/>
  <c r="H299" i="6" s="1"/>
  <c r="J299" i="6" s="1"/>
  <c r="K299" i="6" s="1"/>
  <c r="M299" i="6" s="1"/>
  <c r="N299" i="6" s="1"/>
  <c r="L298" i="6"/>
  <c r="I298" i="6"/>
  <c r="F298" i="6"/>
  <c r="D298" i="6"/>
  <c r="E298" i="6" s="1"/>
  <c r="L297" i="6"/>
  <c r="I297" i="6"/>
  <c r="F297" i="6"/>
  <c r="D297" i="6"/>
  <c r="E297" i="6" s="1"/>
  <c r="G297" i="6" s="1"/>
  <c r="H297" i="6" s="1"/>
  <c r="J297" i="6" s="1"/>
  <c r="K297" i="6" s="1"/>
  <c r="M297" i="6" s="1"/>
  <c r="N297" i="6" s="1"/>
  <c r="L296" i="6"/>
  <c r="I296" i="6"/>
  <c r="F296" i="6"/>
  <c r="D296" i="6"/>
  <c r="E296" i="6" s="1"/>
  <c r="G296" i="6" s="1"/>
  <c r="H296" i="6" s="1"/>
  <c r="J296" i="6" s="1"/>
  <c r="K296" i="6" s="1"/>
  <c r="M296" i="6" s="1"/>
  <c r="N296" i="6" s="1"/>
  <c r="L295" i="6"/>
  <c r="I295" i="6"/>
  <c r="F295" i="6"/>
  <c r="E295" i="6"/>
  <c r="G295" i="6" s="1"/>
  <c r="H295" i="6" s="1"/>
  <c r="D295" i="6"/>
  <c r="L294" i="6"/>
  <c r="I294" i="6"/>
  <c r="F294" i="6"/>
  <c r="D294" i="6"/>
  <c r="E294" i="6" s="1"/>
  <c r="L293" i="6"/>
  <c r="I293" i="6"/>
  <c r="F293" i="6"/>
  <c r="E293" i="6"/>
  <c r="G293" i="6" s="1"/>
  <c r="H293" i="6" s="1"/>
  <c r="D293" i="6"/>
  <c r="L292" i="6"/>
  <c r="I292" i="6"/>
  <c r="F292" i="6"/>
  <c r="E292" i="6"/>
  <c r="G292" i="6" s="1"/>
  <c r="H292" i="6" s="1"/>
  <c r="J292" i="6" s="1"/>
  <c r="K292" i="6" s="1"/>
  <c r="D292" i="6"/>
  <c r="L291" i="6"/>
  <c r="I291" i="6"/>
  <c r="F291" i="6"/>
  <c r="D291" i="6"/>
  <c r="E291" i="6" s="1"/>
  <c r="G291" i="6" s="1"/>
  <c r="H291" i="6" s="1"/>
  <c r="J291" i="6" s="1"/>
  <c r="K291" i="6" s="1"/>
  <c r="M291" i="6" s="1"/>
  <c r="N291" i="6" s="1"/>
  <c r="L290" i="6"/>
  <c r="I290" i="6"/>
  <c r="F290" i="6"/>
  <c r="D290" i="6"/>
  <c r="E290" i="6" s="1"/>
  <c r="G290" i="6" s="1"/>
  <c r="H290" i="6" s="1"/>
  <c r="J290" i="6" s="1"/>
  <c r="K290" i="6" s="1"/>
  <c r="L289" i="6"/>
  <c r="I289" i="6"/>
  <c r="F289" i="6"/>
  <c r="D289" i="6"/>
  <c r="E289" i="6" s="1"/>
  <c r="G289" i="6" s="1"/>
  <c r="H289" i="6" s="1"/>
  <c r="J289" i="6" s="1"/>
  <c r="K289" i="6" s="1"/>
  <c r="M289" i="6" s="1"/>
  <c r="N289" i="6" s="1"/>
  <c r="L288" i="6"/>
  <c r="I288" i="6"/>
  <c r="F288" i="6"/>
  <c r="D288" i="6"/>
  <c r="E288" i="6" s="1"/>
  <c r="L287" i="6"/>
  <c r="I287" i="6"/>
  <c r="F287" i="6"/>
  <c r="E287" i="6"/>
  <c r="D287" i="6"/>
  <c r="L286" i="6"/>
  <c r="I286" i="6"/>
  <c r="G286" i="6"/>
  <c r="H286" i="6" s="1"/>
  <c r="F286" i="6"/>
  <c r="D286" i="6"/>
  <c r="E286" i="6" s="1"/>
  <c r="L285" i="6"/>
  <c r="I285" i="6"/>
  <c r="F285" i="6"/>
  <c r="D285" i="6"/>
  <c r="E285" i="6" s="1"/>
  <c r="L284" i="6"/>
  <c r="I284" i="6"/>
  <c r="F284" i="6"/>
  <c r="D284" i="6"/>
  <c r="E284" i="6" s="1"/>
  <c r="G284" i="6" s="1"/>
  <c r="H284" i="6" s="1"/>
  <c r="L283" i="6"/>
  <c r="I283" i="6"/>
  <c r="F283" i="6"/>
  <c r="D283" i="6"/>
  <c r="E283" i="6" s="1"/>
  <c r="G283" i="6" s="1"/>
  <c r="H283" i="6" s="1"/>
  <c r="J283" i="6" s="1"/>
  <c r="K283" i="6" s="1"/>
  <c r="M283" i="6" s="1"/>
  <c r="N283" i="6" s="1"/>
  <c r="L282" i="6"/>
  <c r="I282" i="6"/>
  <c r="F282" i="6"/>
  <c r="E282" i="6"/>
  <c r="D282" i="6"/>
  <c r="L281" i="6"/>
  <c r="I281" i="6"/>
  <c r="G281" i="6"/>
  <c r="H281" i="6" s="1"/>
  <c r="J281" i="6" s="1"/>
  <c r="K281" i="6" s="1"/>
  <c r="M281" i="6" s="1"/>
  <c r="N281" i="6" s="1"/>
  <c r="F281" i="6"/>
  <c r="E281" i="6"/>
  <c r="D281" i="6"/>
  <c r="L280" i="6"/>
  <c r="I280" i="6"/>
  <c r="F280" i="6"/>
  <c r="D280" i="6"/>
  <c r="E280" i="6" s="1"/>
  <c r="G280" i="6" s="1"/>
  <c r="H280" i="6" s="1"/>
  <c r="J280" i="6" s="1"/>
  <c r="K280" i="6" s="1"/>
  <c r="M280" i="6" s="1"/>
  <c r="N280" i="6" s="1"/>
  <c r="L279" i="6"/>
  <c r="I279" i="6"/>
  <c r="F279" i="6"/>
  <c r="D279" i="6"/>
  <c r="E279" i="6" s="1"/>
  <c r="L278" i="6"/>
  <c r="I278" i="6"/>
  <c r="F278" i="6"/>
  <c r="D278" i="6"/>
  <c r="E278" i="6" s="1"/>
  <c r="L277" i="6"/>
  <c r="I277" i="6"/>
  <c r="F277" i="6"/>
  <c r="D277" i="6"/>
  <c r="E277" i="6" s="1"/>
  <c r="L276" i="6"/>
  <c r="I276" i="6"/>
  <c r="F276" i="6"/>
  <c r="D276" i="6"/>
  <c r="E276" i="6" s="1"/>
  <c r="G276" i="6" s="1"/>
  <c r="H276" i="6" s="1"/>
  <c r="L275" i="6"/>
  <c r="I275" i="6"/>
  <c r="F275" i="6"/>
  <c r="E275" i="6"/>
  <c r="D275" i="6"/>
  <c r="L274" i="6"/>
  <c r="I274" i="6"/>
  <c r="F274" i="6"/>
  <c r="D274" i="6"/>
  <c r="E274" i="6" s="1"/>
  <c r="G274" i="6" s="1"/>
  <c r="H274" i="6" s="1"/>
  <c r="J274" i="6" s="1"/>
  <c r="K274" i="6" s="1"/>
  <c r="M274" i="6" s="1"/>
  <c r="N274" i="6" s="1"/>
  <c r="L273" i="6"/>
  <c r="I273" i="6"/>
  <c r="F273" i="6"/>
  <c r="D273" i="6"/>
  <c r="E273" i="6" s="1"/>
  <c r="G273" i="6" s="1"/>
  <c r="H273" i="6" s="1"/>
  <c r="J273" i="6" s="1"/>
  <c r="K273" i="6" s="1"/>
  <c r="M273" i="6" s="1"/>
  <c r="N273" i="6" s="1"/>
  <c r="L272" i="6"/>
  <c r="I272" i="6"/>
  <c r="F272" i="6"/>
  <c r="D272" i="6"/>
  <c r="E272" i="6" s="1"/>
  <c r="L271" i="6"/>
  <c r="I271" i="6"/>
  <c r="F271" i="6"/>
  <c r="D271" i="6"/>
  <c r="E271" i="6" s="1"/>
  <c r="G271" i="6" s="1"/>
  <c r="H271" i="6" s="1"/>
  <c r="L270" i="6"/>
  <c r="I270" i="6"/>
  <c r="F270" i="6"/>
  <c r="D270" i="6"/>
  <c r="E270" i="6" s="1"/>
  <c r="L269" i="6"/>
  <c r="I269" i="6"/>
  <c r="F269" i="6"/>
  <c r="D269" i="6"/>
  <c r="E269" i="6" s="1"/>
  <c r="G269" i="6" s="1"/>
  <c r="H269" i="6" s="1"/>
  <c r="J269" i="6" s="1"/>
  <c r="K269" i="6" s="1"/>
  <c r="L268" i="6"/>
  <c r="I268" i="6"/>
  <c r="F268" i="6"/>
  <c r="D268" i="6"/>
  <c r="E268" i="6" s="1"/>
  <c r="L267" i="6"/>
  <c r="I267" i="6"/>
  <c r="J267" i="6" s="1"/>
  <c r="K267" i="6" s="1"/>
  <c r="M267" i="6" s="1"/>
  <c r="N267" i="6" s="1"/>
  <c r="F267" i="6"/>
  <c r="E267" i="6"/>
  <c r="G267" i="6" s="1"/>
  <c r="H267" i="6" s="1"/>
  <c r="D267" i="6"/>
  <c r="L266" i="6"/>
  <c r="I266" i="6"/>
  <c r="F266" i="6"/>
  <c r="E266" i="6"/>
  <c r="G266" i="6" s="1"/>
  <c r="H266" i="6" s="1"/>
  <c r="J266" i="6" s="1"/>
  <c r="K266" i="6" s="1"/>
  <c r="M266" i="6" s="1"/>
  <c r="N266" i="6" s="1"/>
  <c r="D266" i="6"/>
  <c r="L265" i="6"/>
  <c r="I265" i="6"/>
  <c r="F265" i="6"/>
  <c r="E265" i="6"/>
  <c r="D265" i="6"/>
  <c r="L264" i="6"/>
  <c r="I264" i="6"/>
  <c r="F264" i="6"/>
  <c r="D264" i="6"/>
  <c r="E264" i="6" s="1"/>
  <c r="G264" i="6" s="1"/>
  <c r="H264" i="6" s="1"/>
  <c r="J264" i="6" s="1"/>
  <c r="K264" i="6" s="1"/>
  <c r="M264" i="6" s="1"/>
  <c r="N264" i="6" s="1"/>
  <c r="L263" i="6"/>
  <c r="I263" i="6"/>
  <c r="F263" i="6"/>
  <c r="E263" i="6"/>
  <c r="D263" i="6"/>
  <c r="L262" i="6"/>
  <c r="I262" i="6"/>
  <c r="F262" i="6"/>
  <c r="D262" i="6"/>
  <c r="E262" i="6" s="1"/>
  <c r="L261" i="6"/>
  <c r="I261" i="6"/>
  <c r="F261" i="6"/>
  <c r="D261" i="6"/>
  <c r="E261" i="6" s="1"/>
  <c r="L260" i="6"/>
  <c r="I260" i="6"/>
  <c r="F260" i="6"/>
  <c r="D260" i="6"/>
  <c r="E260" i="6" s="1"/>
  <c r="L259" i="6"/>
  <c r="I259" i="6"/>
  <c r="F259" i="6"/>
  <c r="E259" i="6"/>
  <c r="G259" i="6" s="1"/>
  <c r="H259" i="6" s="1"/>
  <c r="D259" i="6"/>
  <c r="L258" i="6"/>
  <c r="I258" i="6"/>
  <c r="F258" i="6"/>
  <c r="D258" i="6"/>
  <c r="E258" i="6" s="1"/>
  <c r="L257" i="6"/>
  <c r="I257" i="6"/>
  <c r="G257" i="6"/>
  <c r="H257" i="6" s="1"/>
  <c r="F257" i="6"/>
  <c r="D257" i="6"/>
  <c r="E257" i="6" s="1"/>
  <c r="L256" i="6"/>
  <c r="I256" i="6"/>
  <c r="F256" i="6"/>
  <c r="D256" i="6"/>
  <c r="E256" i="6" s="1"/>
  <c r="G256" i="6" s="1"/>
  <c r="H256" i="6" s="1"/>
  <c r="J256" i="6" s="1"/>
  <c r="K256" i="6" s="1"/>
  <c r="M256" i="6" s="1"/>
  <c r="N256" i="6" s="1"/>
  <c r="L255" i="6"/>
  <c r="I255" i="6"/>
  <c r="F255" i="6"/>
  <c r="E255" i="6"/>
  <c r="D255" i="6"/>
  <c r="L254" i="6"/>
  <c r="I254" i="6"/>
  <c r="F254" i="6"/>
  <c r="D254" i="6"/>
  <c r="E254" i="6" s="1"/>
  <c r="L253" i="6"/>
  <c r="I253" i="6"/>
  <c r="F253" i="6"/>
  <c r="D253" i="6"/>
  <c r="E253" i="6" s="1"/>
  <c r="L252" i="6"/>
  <c r="I252" i="6"/>
  <c r="F252" i="6"/>
  <c r="D252" i="6"/>
  <c r="E252" i="6" s="1"/>
  <c r="L251" i="6"/>
  <c r="I251" i="6"/>
  <c r="F251" i="6"/>
  <c r="E251" i="6"/>
  <c r="G251" i="6" s="1"/>
  <c r="H251" i="6" s="1"/>
  <c r="J251" i="6" s="1"/>
  <c r="K251" i="6" s="1"/>
  <c r="M251" i="6" s="1"/>
  <c r="N251" i="6" s="1"/>
  <c r="D251" i="6"/>
  <c r="L250" i="6"/>
  <c r="I250" i="6"/>
  <c r="F250" i="6"/>
  <c r="D250" i="6"/>
  <c r="E250" i="6" s="1"/>
  <c r="G250" i="6" s="1"/>
  <c r="H250" i="6" s="1"/>
  <c r="L249" i="6"/>
  <c r="I249" i="6"/>
  <c r="G249" i="6"/>
  <c r="H249" i="6" s="1"/>
  <c r="F249" i="6"/>
  <c r="E249" i="6"/>
  <c r="D249" i="6"/>
  <c r="L248" i="6"/>
  <c r="I248" i="6"/>
  <c r="H248" i="6"/>
  <c r="F248" i="6"/>
  <c r="D248" i="6"/>
  <c r="E248" i="6" s="1"/>
  <c r="G248" i="6" s="1"/>
  <c r="L247" i="6"/>
  <c r="I247" i="6"/>
  <c r="G247" i="6"/>
  <c r="H247" i="6" s="1"/>
  <c r="F247" i="6"/>
  <c r="D247" i="6"/>
  <c r="E247" i="6" s="1"/>
  <c r="L246" i="6"/>
  <c r="I246" i="6"/>
  <c r="H246" i="6"/>
  <c r="J246" i="6" s="1"/>
  <c r="K246" i="6" s="1"/>
  <c r="F246" i="6"/>
  <c r="E246" i="6"/>
  <c r="G246" i="6" s="1"/>
  <c r="D246" i="6"/>
  <c r="L245" i="6"/>
  <c r="I245" i="6"/>
  <c r="F245" i="6"/>
  <c r="D245" i="6"/>
  <c r="E245" i="6" s="1"/>
  <c r="L244" i="6"/>
  <c r="I244" i="6"/>
  <c r="F244" i="6"/>
  <c r="D244" i="6"/>
  <c r="E244" i="6" s="1"/>
  <c r="L243" i="6"/>
  <c r="I243" i="6"/>
  <c r="F243" i="6"/>
  <c r="D243" i="6"/>
  <c r="E243" i="6" s="1"/>
  <c r="L242" i="6"/>
  <c r="I242" i="6"/>
  <c r="F242" i="6"/>
  <c r="D242" i="6"/>
  <c r="E242" i="6" s="1"/>
  <c r="L241" i="6"/>
  <c r="I241" i="6"/>
  <c r="F241" i="6"/>
  <c r="D241" i="6"/>
  <c r="E241" i="6" s="1"/>
  <c r="G241" i="6" s="1"/>
  <c r="H241" i="6" s="1"/>
  <c r="J241" i="6" s="1"/>
  <c r="K241" i="6" s="1"/>
  <c r="M241" i="6" s="1"/>
  <c r="N241" i="6" s="1"/>
  <c r="L240" i="6"/>
  <c r="I240" i="6"/>
  <c r="F240" i="6"/>
  <c r="D240" i="6"/>
  <c r="E240" i="6" s="1"/>
  <c r="G240" i="6" s="1"/>
  <c r="H240" i="6" s="1"/>
  <c r="J240" i="6" s="1"/>
  <c r="K240" i="6" s="1"/>
  <c r="M240" i="6" s="1"/>
  <c r="N240" i="6" s="1"/>
  <c r="L239" i="6"/>
  <c r="I239" i="6"/>
  <c r="F239" i="6"/>
  <c r="D239" i="6"/>
  <c r="E239" i="6" s="1"/>
  <c r="G239" i="6" s="1"/>
  <c r="H239" i="6" s="1"/>
  <c r="L238" i="6"/>
  <c r="I238" i="6"/>
  <c r="F238" i="6"/>
  <c r="D238" i="6"/>
  <c r="E238" i="6" s="1"/>
  <c r="L237" i="6"/>
  <c r="I237" i="6"/>
  <c r="F237" i="6"/>
  <c r="D237" i="6"/>
  <c r="E237" i="6" s="1"/>
  <c r="G237" i="6" s="1"/>
  <c r="H237" i="6" s="1"/>
  <c r="J237" i="6" s="1"/>
  <c r="K237" i="6" s="1"/>
  <c r="M237" i="6" s="1"/>
  <c r="N237" i="6" s="1"/>
  <c r="L236" i="6"/>
  <c r="I236" i="6"/>
  <c r="F236" i="6"/>
  <c r="E236" i="6"/>
  <c r="G236" i="6" s="1"/>
  <c r="H236" i="6" s="1"/>
  <c r="J236" i="6" s="1"/>
  <c r="K236" i="6" s="1"/>
  <c r="D236" i="6"/>
  <c r="L235" i="6"/>
  <c r="I235" i="6"/>
  <c r="F235" i="6"/>
  <c r="D235" i="6"/>
  <c r="E235" i="6" s="1"/>
  <c r="L234" i="6"/>
  <c r="I234" i="6"/>
  <c r="F234" i="6"/>
  <c r="E234" i="6"/>
  <c r="G234" i="6" s="1"/>
  <c r="H234" i="6" s="1"/>
  <c r="J234" i="6" s="1"/>
  <c r="K234" i="6" s="1"/>
  <c r="M234" i="6" s="1"/>
  <c r="N234" i="6" s="1"/>
  <c r="D234" i="6"/>
  <c r="L233" i="6"/>
  <c r="I233" i="6"/>
  <c r="F233" i="6"/>
  <c r="D233" i="6"/>
  <c r="E233" i="6" s="1"/>
  <c r="G233" i="6" s="1"/>
  <c r="H233" i="6" s="1"/>
  <c r="J233" i="6" s="1"/>
  <c r="K233" i="6" s="1"/>
  <c r="M233" i="6" s="1"/>
  <c r="N233" i="6" s="1"/>
  <c r="L232" i="6"/>
  <c r="I232" i="6"/>
  <c r="F232" i="6"/>
  <c r="D232" i="6"/>
  <c r="E232" i="6" s="1"/>
  <c r="G232" i="6" s="1"/>
  <c r="H232" i="6" s="1"/>
  <c r="J232" i="6" s="1"/>
  <c r="K232" i="6" s="1"/>
  <c r="L231" i="6"/>
  <c r="I231" i="6"/>
  <c r="F231" i="6"/>
  <c r="E231" i="6"/>
  <c r="D231" i="6"/>
  <c r="L230" i="6"/>
  <c r="I230" i="6"/>
  <c r="F230" i="6"/>
  <c r="G230" i="6" s="1"/>
  <c r="H230" i="6" s="1"/>
  <c r="D230" i="6"/>
  <c r="E230" i="6" s="1"/>
  <c r="L229" i="6"/>
  <c r="I229" i="6"/>
  <c r="G229" i="6"/>
  <c r="H229" i="6" s="1"/>
  <c r="J229" i="6" s="1"/>
  <c r="K229" i="6" s="1"/>
  <c r="F229" i="6"/>
  <c r="E229" i="6"/>
  <c r="D229" i="6"/>
  <c r="L228" i="6"/>
  <c r="I228" i="6"/>
  <c r="F228" i="6"/>
  <c r="D228" i="6"/>
  <c r="E228" i="6" s="1"/>
  <c r="L227" i="6"/>
  <c r="I227" i="6"/>
  <c r="G227" i="6"/>
  <c r="H227" i="6" s="1"/>
  <c r="J227" i="6" s="1"/>
  <c r="K227" i="6" s="1"/>
  <c r="F227" i="6"/>
  <c r="D227" i="6"/>
  <c r="E227" i="6" s="1"/>
  <c r="L226" i="6"/>
  <c r="I226" i="6"/>
  <c r="F226" i="6"/>
  <c r="E226" i="6"/>
  <c r="D226" i="6"/>
  <c r="L225" i="6"/>
  <c r="I225" i="6"/>
  <c r="F225" i="6"/>
  <c r="D225" i="6"/>
  <c r="E225" i="6" s="1"/>
  <c r="L224" i="6"/>
  <c r="I224" i="6"/>
  <c r="F224" i="6"/>
  <c r="E224" i="6"/>
  <c r="G224" i="6" s="1"/>
  <c r="H224" i="6" s="1"/>
  <c r="J224" i="6" s="1"/>
  <c r="K224" i="6" s="1"/>
  <c r="M224" i="6" s="1"/>
  <c r="N224" i="6" s="1"/>
  <c r="D224" i="6"/>
  <c r="L223" i="6"/>
  <c r="I223" i="6"/>
  <c r="F223" i="6"/>
  <c r="D223" i="6"/>
  <c r="E223" i="6" s="1"/>
  <c r="L222" i="6"/>
  <c r="I222" i="6"/>
  <c r="F222" i="6"/>
  <c r="D222" i="6"/>
  <c r="E222" i="6" s="1"/>
  <c r="L221" i="6"/>
  <c r="I221" i="6"/>
  <c r="F221" i="6"/>
  <c r="D221" i="6"/>
  <c r="E221" i="6" s="1"/>
  <c r="G221" i="6" s="1"/>
  <c r="H221" i="6" s="1"/>
  <c r="J221" i="6" s="1"/>
  <c r="K221" i="6" s="1"/>
  <c r="M221" i="6" s="1"/>
  <c r="N221" i="6" s="1"/>
  <c r="L220" i="6"/>
  <c r="I220" i="6"/>
  <c r="F220" i="6"/>
  <c r="D220" i="6"/>
  <c r="E220" i="6" s="1"/>
  <c r="G220" i="6" s="1"/>
  <c r="H220" i="6" s="1"/>
  <c r="J220" i="6" s="1"/>
  <c r="K220" i="6" s="1"/>
  <c r="M220" i="6" s="1"/>
  <c r="N220" i="6" s="1"/>
  <c r="L219" i="6"/>
  <c r="I219" i="6"/>
  <c r="F219" i="6"/>
  <c r="D219" i="6"/>
  <c r="E219" i="6" s="1"/>
  <c r="G219" i="6" s="1"/>
  <c r="H219" i="6" s="1"/>
  <c r="J219" i="6" s="1"/>
  <c r="K219" i="6" s="1"/>
  <c r="M219" i="6" s="1"/>
  <c r="N219" i="6" s="1"/>
  <c r="L218" i="6"/>
  <c r="I218" i="6"/>
  <c r="F218" i="6"/>
  <c r="D218" i="6"/>
  <c r="E218" i="6" s="1"/>
  <c r="G218" i="6" s="1"/>
  <c r="H218" i="6" s="1"/>
  <c r="J218" i="6" s="1"/>
  <c r="K218" i="6" s="1"/>
  <c r="M218" i="6" s="1"/>
  <c r="N218" i="6" s="1"/>
  <c r="L217" i="6"/>
  <c r="I217" i="6"/>
  <c r="F217" i="6"/>
  <c r="D217" i="6"/>
  <c r="E217" i="6" s="1"/>
  <c r="G217" i="6" s="1"/>
  <c r="H217" i="6" s="1"/>
  <c r="L216" i="6"/>
  <c r="I216" i="6"/>
  <c r="F216" i="6"/>
  <c r="D216" i="6"/>
  <c r="E216" i="6" s="1"/>
  <c r="L215" i="6"/>
  <c r="I215" i="6"/>
  <c r="F215" i="6"/>
  <c r="D215" i="6"/>
  <c r="E215" i="6" s="1"/>
  <c r="G215" i="6" s="1"/>
  <c r="H215" i="6" s="1"/>
  <c r="J215" i="6" s="1"/>
  <c r="K215" i="6" s="1"/>
  <c r="M215" i="6" s="1"/>
  <c r="N215" i="6" s="1"/>
  <c r="L214" i="6"/>
  <c r="I214" i="6"/>
  <c r="F214" i="6"/>
  <c r="E214" i="6"/>
  <c r="G214" i="6" s="1"/>
  <c r="H214" i="6" s="1"/>
  <c r="J214" i="6" s="1"/>
  <c r="K214" i="6" s="1"/>
  <c r="M214" i="6" s="1"/>
  <c r="N214" i="6" s="1"/>
  <c r="D214" i="6"/>
  <c r="L213" i="6"/>
  <c r="I213" i="6"/>
  <c r="F213" i="6"/>
  <c r="E213" i="6"/>
  <c r="G213" i="6" s="1"/>
  <c r="H213" i="6" s="1"/>
  <c r="D213" i="6"/>
  <c r="L212" i="6"/>
  <c r="I212" i="6"/>
  <c r="G212" i="6"/>
  <c r="H212" i="6" s="1"/>
  <c r="J212" i="6" s="1"/>
  <c r="K212" i="6" s="1"/>
  <c r="M212" i="6" s="1"/>
  <c r="N212" i="6" s="1"/>
  <c r="F212" i="6"/>
  <c r="D212" i="6"/>
  <c r="E212" i="6" s="1"/>
  <c r="L211" i="6"/>
  <c r="I211" i="6"/>
  <c r="F211" i="6"/>
  <c r="D211" i="6"/>
  <c r="E211" i="6" s="1"/>
  <c r="G211" i="6" s="1"/>
  <c r="H211" i="6" s="1"/>
  <c r="J211" i="6" s="1"/>
  <c r="K211" i="6" s="1"/>
  <c r="M211" i="6" s="1"/>
  <c r="N211" i="6" s="1"/>
  <c r="L210" i="6"/>
  <c r="I210" i="6"/>
  <c r="G210" i="6"/>
  <c r="H210" i="6" s="1"/>
  <c r="J210" i="6" s="1"/>
  <c r="K210" i="6" s="1"/>
  <c r="F210" i="6"/>
  <c r="D210" i="6"/>
  <c r="E210" i="6" s="1"/>
  <c r="L209" i="6"/>
  <c r="I209" i="6"/>
  <c r="F209" i="6"/>
  <c r="D209" i="6"/>
  <c r="E209" i="6" s="1"/>
  <c r="G209" i="6" s="1"/>
  <c r="H209" i="6" s="1"/>
  <c r="J209" i="6" s="1"/>
  <c r="K209" i="6" s="1"/>
  <c r="M209" i="6" s="1"/>
  <c r="N209" i="6" s="1"/>
  <c r="L208" i="6"/>
  <c r="I208" i="6"/>
  <c r="F208" i="6"/>
  <c r="D208" i="6"/>
  <c r="E208" i="6" s="1"/>
  <c r="L207" i="6"/>
  <c r="I207" i="6"/>
  <c r="F207" i="6"/>
  <c r="D207" i="6"/>
  <c r="E207" i="6" s="1"/>
  <c r="L206" i="6"/>
  <c r="I206" i="6"/>
  <c r="F206" i="6"/>
  <c r="D206" i="6"/>
  <c r="E206" i="6" s="1"/>
  <c r="L205" i="6"/>
  <c r="I205" i="6"/>
  <c r="F205" i="6"/>
  <c r="E205" i="6"/>
  <c r="G205" i="6" s="1"/>
  <c r="H205" i="6" s="1"/>
  <c r="D205" i="6"/>
  <c r="L204" i="6"/>
  <c r="I204" i="6"/>
  <c r="F204" i="6"/>
  <c r="D204" i="6"/>
  <c r="E204" i="6" s="1"/>
  <c r="L203" i="6"/>
  <c r="I203" i="6"/>
  <c r="F203" i="6"/>
  <c r="D203" i="6"/>
  <c r="E203" i="6" s="1"/>
  <c r="L202" i="6"/>
  <c r="I202" i="6"/>
  <c r="F202" i="6"/>
  <c r="D202" i="6"/>
  <c r="E202" i="6" s="1"/>
  <c r="G202" i="6" s="1"/>
  <c r="H202" i="6" s="1"/>
  <c r="J202" i="6" s="1"/>
  <c r="K202" i="6" s="1"/>
  <c r="M202" i="6" s="1"/>
  <c r="N202" i="6" s="1"/>
  <c r="L201" i="6"/>
  <c r="I201" i="6"/>
  <c r="F201" i="6"/>
  <c r="E201" i="6"/>
  <c r="D201" i="6"/>
  <c r="L200" i="6"/>
  <c r="I200" i="6"/>
  <c r="F200" i="6"/>
  <c r="G200" i="6" s="1"/>
  <c r="H200" i="6" s="1"/>
  <c r="J200" i="6" s="1"/>
  <c r="K200" i="6" s="1"/>
  <c r="M200" i="6" s="1"/>
  <c r="N200" i="6" s="1"/>
  <c r="D200" i="6"/>
  <c r="E200" i="6" s="1"/>
  <c r="L199" i="6"/>
  <c r="I199" i="6"/>
  <c r="F199" i="6"/>
  <c r="E199" i="6"/>
  <c r="G199" i="6" s="1"/>
  <c r="H199" i="6" s="1"/>
  <c r="J199" i="6" s="1"/>
  <c r="K199" i="6" s="1"/>
  <c r="M199" i="6" s="1"/>
  <c r="N199" i="6" s="1"/>
  <c r="D199" i="6"/>
  <c r="L198" i="6"/>
  <c r="I198" i="6"/>
  <c r="F198" i="6"/>
  <c r="D198" i="6"/>
  <c r="E198" i="6" s="1"/>
  <c r="L197" i="6"/>
  <c r="I197" i="6"/>
  <c r="F197" i="6"/>
  <c r="D197" i="6"/>
  <c r="E197" i="6" s="1"/>
  <c r="L196" i="6"/>
  <c r="M196" i="6" s="1"/>
  <c r="N196" i="6" s="1"/>
  <c r="I196" i="6"/>
  <c r="F196" i="6"/>
  <c r="D196" i="6"/>
  <c r="E196" i="6" s="1"/>
  <c r="G196" i="6" s="1"/>
  <c r="H196" i="6" s="1"/>
  <c r="J196" i="6" s="1"/>
  <c r="K196" i="6" s="1"/>
  <c r="L195" i="6"/>
  <c r="I195" i="6"/>
  <c r="F195" i="6"/>
  <c r="E195" i="6"/>
  <c r="G195" i="6" s="1"/>
  <c r="H195" i="6" s="1"/>
  <c r="J195" i="6" s="1"/>
  <c r="K195" i="6" s="1"/>
  <c r="D195" i="6"/>
  <c r="L194" i="6"/>
  <c r="I194" i="6"/>
  <c r="F194" i="6"/>
  <c r="D194" i="6"/>
  <c r="E194" i="6" s="1"/>
  <c r="L193" i="6"/>
  <c r="I193" i="6"/>
  <c r="F193" i="6"/>
  <c r="D193" i="6"/>
  <c r="E193" i="6" s="1"/>
  <c r="L192" i="6"/>
  <c r="I192" i="6"/>
  <c r="F192" i="6"/>
  <c r="D192" i="6"/>
  <c r="E192" i="6" s="1"/>
  <c r="L191" i="6"/>
  <c r="I191" i="6"/>
  <c r="F191" i="6"/>
  <c r="D191" i="6"/>
  <c r="E191" i="6" s="1"/>
  <c r="L190" i="6"/>
  <c r="I190" i="6"/>
  <c r="F190" i="6"/>
  <c r="D190" i="6"/>
  <c r="E190" i="6" s="1"/>
  <c r="L189" i="6"/>
  <c r="I189" i="6"/>
  <c r="F189" i="6"/>
  <c r="D189" i="6"/>
  <c r="E189" i="6" s="1"/>
  <c r="G189" i="6" s="1"/>
  <c r="H189" i="6" s="1"/>
  <c r="J189" i="6" s="1"/>
  <c r="K189" i="6" s="1"/>
  <c r="M189" i="6" s="1"/>
  <c r="N189" i="6" s="1"/>
  <c r="L188" i="6"/>
  <c r="I188" i="6"/>
  <c r="F188" i="6"/>
  <c r="G188" i="6" s="1"/>
  <c r="H188" i="6" s="1"/>
  <c r="J188" i="6" s="1"/>
  <c r="K188" i="6" s="1"/>
  <c r="M188" i="6" s="1"/>
  <c r="N188" i="6" s="1"/>
  <c r="D188" i="6"/>
  <c r="E188" i="6" s="1"/>
  <c r="L187" i="6"/>
  <c r="I187" i="6"/>
  <c r="F187" i="6"/>
  <c r="E187" i="6"/>
  <c r="G187" i="6" s="1"/>
  <c r="H187" i="6" s="1"/>
  <c r="D187" i="6"/>
  <c r="L186" i="6"/>
  <c r="I186" i="6"/>
  <c r="F186" i="6"/>
  <c r="D186" i="6"/>
  <c r="E186" i="6" s="1"/>
  <c r="G186" i="6" s="1"/>
  <c r="H186" i="6" s="1"/>
  <c r="J186" i="6" s="1"/>
  <c r="K186" i="6" s="1"/>
  <c r="M186" i="6" s="1"/>
  <c r="N186" i="6" s="1"/>
  <c r="L185" i="6"/>
  <c r="I185" i="6"/>
  <c r="F185" i="6"/>
  <c r="E185" i="6"/>
  <c r="G185" i="6" s="1"/>
  <c r="H185" i="6" s="1"/>
  <c r="J185" i="6" s="1"/>
  <c r="K185" i="6" s="1"/>
  <c r="M185" i="6" s="1"/>
  <c r="N185" i="6" s="1"/>
  <c r="D185" i="6"/>
  <c r="L184" i="6"/>
  <c r="I184" i="6"/>
  <c r="F184" i="6"/>
  <c r="D184" i="6"/>
  <c r="E184" i="6" s="1"/>
  <c r="G184" i="6" s="1"/>
  <c r="H184" i="6" s="1"/>
  <c r="J184" i="6" s="1"/>
  <c r="K184" i="6" s="1"/>
  <c r="M184" i="6" s="1"/>
  <c r="N184" i="6" s="1"/>
  <c r="L183" i="6"/>
  <c r="I183" i="6"/>
  <c r="F183" i="6"/>
  <c r="D183" i="6"/>
  <c r="E183" i="6" s="1"/>
  <c r="G183" i="6" s="1"/>
  <c r="H183" i="6" s="1"/>
  <c r="J183" i="6" s="1"/>
  <c r="K183" i="6" s="1"/>
  <c r="M183" i="6" s="1"/>
  <c r="N183" i="6" s="1"/>
  <c r="L182" i="6"/>
  <c r="I182" i="6"/>
  <c r="F182" i="6"/>
  <c r="D182" i="6"/>
  <c r="E182" i="6" s="1"/>
  <c r="G182" i="6" s="1"/>
  <c r="H182" i="6" s="1"/>
  <c r="J182" i="6" s="1"/>
  <c r="K182" i="6" s="1"/>
  <c r="M182" i="6" s="1"/>
  <c r="N182" i="6" s="1"/>
  <c r="L181" i="6"/>
  <c r="I181" i="6"/>
  <c r="F181" i="6"/>
  <c r="D181" i="6"/>
  <c r="E181" i="6" s="1"/>
  <c r="G181" i="6" s="1"/>
  <c r="H181" i="6" s="1"/>
  <c r="L180" i="6"/>
  <c r="I180" i="6"/>
  <c r="F180" i="6"/>
  <c r="D180" i="6"/>
  <c r="E180" i="6" s="1"/>
  <c r="G180" i="6" s="1"/>
  <c r="H180" i="6" s="1"/>
  <c r="J180" i="6" s="1"/>
  <c r="K180" i="6" s="1"/>
  <c r="M180" i="6" s="1"/>
  <c r="N180" i="6" s="1"/>
  <c r="L179" i="6"/>
  <c r="I179" i="6"/>
  <c r="F179" i="6"/>
  <c r="D179" i="6"/>
  <c r="E179" i="6" s="1"/>
  <c r="G179" i="6" s="1"/>
  <c r="H179" i="6" s="1"/>
  <c r="J179" i="6" s="1"/>
  <c r="K179" i="6" s="1"/>
  <c r="M179" i="6" s="1"/>
  <c r="N179" i="6" s="1"/>
  <c r="L178" i="6"/>
  <c r="I178" i="6"/>
  <c r="F178" i="6"/>
  <c r="D178" i="6"/>
  <c r="E178" i="6" s="1"/>
  <c r="L177" i="6"/>
  <c r="I177" i="6"/>
  <c r="F177" i="6"/>
  <c r="D177" i="6"/>
  <c r="E177" i="6" s="1"/>
  <c r="G177" i="6" s="1"/>
  <c r="H177" i="6" s="1"/>
  <c r="L176" i="6"/>
  <c r="I176" i="6"/>
  <c r="F176" i="6"/>
  <c r="D176" i="6"/>
  <c r="E176" i="6" s="1"/>
  <c r="L175" i="6"/>
  <c r="I175" i="6"/>
  <c r="F175" i="6"/>
  <c r="D175" i="6"/>
  <c r="E175" i="6" s="1"/>
  <c r="L174" i="6"/>
  <c r="I174" i="6"/>
  <c r="F174" i="6"/>
  <c r="E174" i="6"/>
  <c r="G174" i="6" s="1"/>
  <c r="H174" i="6" s="1"/>
  <c r="D174" i="6"/>
  <c r="L173" i="6"/>
  <c r="I173" i="6"/>
  <c r="F173" i="6"/>
  <c r="D173" i="6"/>
  <c r="E173" i="6" s="1"/>
  <c r="L172" i="6"/>
  <c r="I172" i="6"/>
  <c r="F172" i="6"/>
  <c r="D172" i="6"/>
  <c r="E172" i="6" s="1"/>
  <c r="L171" i="6"/>
  <c r="I171" i="6"/>
  <c r="F171" i="6"/>
  <c r="D171" i="6"/>
  <c r="E171" i="6" s="1"/>
  <c r="G171" i="6" s="1"/>
  <c r="H171" i="6" s="1"/>
  <c r="J171" i="6" s="1"/>
  <c r="K171" i="6" s="1"/>
  <c r="M171" i="6" s="1"/>
  <c r="N171" i="6" s="1"/>
  <c r="L170" i="6"/>
  <c r="I170" i="6"/>
  <c r="F170" i="6"/>
  <c r="D170" i="6"/>
  <c r="E170" i="6" s="1"/>
  <c r="L169" i="6"/>
  <c r="I169" i="6"/>
  <c r="F169" i="6"/>
  <c r="G169" i="6" s="1"/>
  <c r="H169" i="6" s="1"/>
  <c r="E169" i="6"/>
  <c r="D169" i="6"/>
  <c r="L168" i="6"/>
  <c r="I168" i="6"/>
  <c r="F168" i="6"/>
  <c r="D168" i="6"/>
  <c r="E168" i="6" s="1"/>
  <c r="L167" i="6"/>
  <c r="I167" i="6"/>
  <c r="F167" i="6"/>
  <c r="D167" i="6"/>
  <c r="E167" i="6" s="1"/>
  <c r="L166" i="6"/>
  <c r="I166" i="6"/>
  <c r="F166" i="6"/>
  <c r="D166" i="6"/>
  <c r="E166" i="6" s="1"/>
  <c r="L165" i="6"/>
  <c r="I165" i="6"/>
  <c r="F165" i="6"/>
  <c r="D165" i="6"/>
  <c r="E165" i="6" s="1"/>
  <c r="G165" i="6" s="1"/>
  <c r="H165" i="6" s="1"/>
  <c r="L164" i="6"/>
  <c r="I164" i="6"/>
  <c r="F164" i="6"/>
  <c r="E164" i="6"/>
  <c r="G164" i="6" s="1"/>
  <c r="H164" i="6" s="1"/>
  <c r="J164" i="6" s="1"/>
  <c r="K164" i="6" s="1"/>
  <c r="D164" i="6"/>
  <c r="L163" i="6"/>
  <c r="I163" i="6"/>
  <c r="F163" i="6"/>
  <c r="D163" i="6"/>
  <c r="E163" i="6" s="1"/>
  <c r="G163" i="6" s="1"/>
  <c r="H163" i="6" s="1"/>
  <c r="L162" i="6"/>
  <c r="I162" i="6"/>
  <c r="F162" i="6"/>
  <c r="D162" i="6"/>
  <c r="E162" i="6" s="1"/>
  <c r="G162" i="6" s="1"/>
  <c r="H162" i="6" s="1"/>
  <c r="J162" i="6" s="1"/>
  <c r="K162" i="6" s="1"/>
  <c r="M162" i="6" s="1"/>
  <c r="N162" i="6" s="1"/>
  <c r="L161" i="6"/>
  <c r="I161" i="6"/>
  <c r="F161" i="6"/>
  <c r="E161" i="6"/>
  <c r="D161" i="6"/>
  <c r="L160" i="6"/>
  <c r="I160" i="6"/>
  <c r="F160" i="6"/>
  <c r="D160" i="6"/>
  <c r="E160" i="6" s="1"/>
  <c r="G160" i="6" s="1"/>
  <c r="H160" i="6" s="1"/>
  <c r="J160" i="6" s="1"/>
  <c r="K160" i="6" s="1"/>
  <c r="M160" i="6" s="1"/>
  <c r="N160" i="6" s="1"/>
  <c r="L159" i="6"/>
  <c r="I159" i="6"/>
  <c r="F159" i="6"/>
  <c r="E159" i="6"/>
  <c r="D159" i="6"/>
  <c r="L158" i="6"/>
  <c r="I158" i="6"/>
  <c r="F158" i="6"/>
  <c r="D158" i="6"/>
  <c r="E158" i="6" s="1"/>
  <c r="G158" i="6" s="1"/>
  <c r="H158" i="6" s="1"/>
  <c r="J158" i="6" s="1"/>
  <c r="K158" i="6" s="1"/>
  <c r="M158" i="6" s="1"/>
  <c r="N158" i="6" s="1"/>
  <c r="L157" i="6"/>
  <c r="I157" i="6"/>
  <c r="F157" i="6"/>
  <c r="D157" i="6"/>
  <c r="E157" i="6" s="1"/>
  <c r="G157" i="6" s="1"/>
  <c r="H157" i="6" s="1"/>
  <c r="J157" i="6" s="1"/>
  <c r="K157" i="6" s="1"/>
  <c r="M157" i="6" s="1"/>
  <c r="N157" i="6" s="1"/>
  <c r="L156" i="6"/>
  <c r="I156" i="6"/>
  <c r="F156" i="6"/>
  <c r="D156" i="6"/>
  <c r="E156" i="6" s="1"/>
  <c r="G156" i="6" s="1"/>
  <c r="H156" i="6" s="1"/>
  <c r="J156" i="6" s="1"/>
  <c r="K156" i="6" s="1"/>
  <c r="M156" i="6" s="1"/>
  <c r="N156" i="6" s="1"/>
  <c r="L155" i="6"/>
  <c r="I155" i="6"/>
  <c r="F155" i="6"/>
  <c r="G155" i="6" s="1"/>
  <c r="H155" i="6" s="1"/>
  <c r="J155" i="6" s="1"/>
  <c r="K155" i="6" s="1"/>
  <c r="M155" i="6" s="1"/>
  <c r="N155" i="6" s="1"/>
  <c r="D155" i="6"/>
  <c r="E155" i="6" s="1"/>
  <c r="L154" i="6"/>
  <c r="I154" i="6"/>
  <c r="F154" i="6"/>
  <c r="D154" i="6"/>
  <c r="E154" i="6" s="1"/>
  <c r="G154" i="6" s="1"/>
  <c r="H154" i="6" s="1"/>
  <c r="J154" i="6" s="1"/>
  <c r="K154" i="6" s="1"/>
  <c r="M154" i="6" s="1"/>
  <c r="N154" i="6" s="1"/>
  <c r="L153" i="6"/>
  <c r="I153" i="6"/>
  <c r="F153" i="6"/>
  <c r="D153" i="6"/>
  <c r="E153" i="6" s="1"/>
  <c r="G153" i="6" s="1"/>
  <c r="H153" i="6" s="1"/>
  <c r="J153" i="6" s="1"/>
  <c r="K153" i="6" s="1"/>
  <c r="M153" i="6" s="1"/>
  <c r="N153" i="6" s="1"/>
  <c r="L152" i="6"/>
  <c r="I152" i="6"/>
  <c r="H152" i="6"/>
  <c r="J152" i="6" s="1"/>
  <c r="K152" i="6" s="1"/>
  <c r="M152" i="6" s="1"/>
  <c r="N152" i="6" s="1"/>
  <c r="G152" i="6"/>
  <c r="F152" i="6"/>
  <c r="D152" i="6"/>
  <c r="E152" i="6" s="1"/>
  <c r="L151" i="6"/>
  <c r="I151" i="6"/>
  <c r="F151" i="6"/>
  <c r="D151" i="6"/>
  <c r="E151" i="6" s="1"/>
  <c r="G151" i="6" s="1"/>
  <c r="H151" i="6" s="1"/>
  <c r="J151" i="6" s="1"/>
  <c r="K151" i="6" s="1"/>
  <c r="M151" i="6" s="1"/>
  <c r="N151" i="6" s="1"/>
  <c r="L150" i="6"/>
  <c r="I150" i="6"/>
  <c r="F150" i="6"/>
  <c r="D150" i="6"/>
  <c r="E150" i="6" s="1"/>
  <c r="L149" i="6"/>
  <c r="I149" i="6"/>
  <c r="F149" i="6"/>
  <c r="D149" i="6"/>
  <c r="E149" i="6" s="1"/>
  <c r="L148" i="6"/>
  <c r="I148" i="6"/>
  <c r="F148" i="6"/>
  <c r="D148" i="6"/>
  <c r="E148" i="6" s="1"/>
  <c r="L147" i="6"/>
  <c r="I147" i="6"/>
  <c r="F147" i="6"/>
  <c r="D147" i="6"/>
  <c r="E147" i="6" s="1"/>
  <c r="L146" i="6"/>
  <c r="I146" i="6"/>
  <c r="F146" i="6"/>
  <c r="D146" i="6"/>
  <c r="E146" i="6" s="1"/>
  <c r="G146" i="6" s="1"/>
  <c r="H146" i="6" s="1"/>
  <c r="J146" i="6" s="1"/>
  <c r="K146" i="6" s="1"/>
  <c r="M146" i="6" s="1"/>
  <c r="N146" i="6" s="1"/>
  <c r="L145" i="6"/>
  <c r="I145" i="6"/>
  <c r="F145" i="6"/>
  <c r="D145" i="6"/>
  <c r="E145" i="6" s="1"/>
  <c r="L144" i="6"/>
  <c r="I144" i="6"/>
  <c r="F144" i="6"/>
  <c r="D144" i="6"/>
  <c r="E144" i="6" s="1"/>
  <c r="L143" i="6"/>
  <c r="I143" i="6"/>
  <c r="F143" i="6"/>
  <c r="E143" i="6"/>
  <c r="G143" i="6" s="1"/>
  <c r="H143" i="6" s="1"/>
  <c r="D143" i="6"/>
  <c r="L142" i="6"/>
  <c r="I142" i="6"/>
  <c r="F142" i="6"/>
  <c r="D142" i="6"/>
  <c r="E142" i="6" s="1"/>
  <c r="L141" i="6"/>
  <c r="I141" i="6"/>
  <c r="F141" i="6"/>
  <c r="D141" i="6"/>
  <c r="E141" i="6" s="1"/>
  <c r="L140" i="6"/>
  <c r="I140" i="6"/>
  <c r="F140" i="6"/>
  <c r="D140" i="6"/>
  <c r="E140" i="6" s="1"/>
  <c r="L139" i="6"/>
  <c r="I139" i="6"/>
  <c r="F139" i="6"/>
  <c r="E139" i="6"/>
  <c r="D139" i="6"/>
  <c r="L138" i="6"/>
  <c r="I138" i="6"/>
  <c r="F138" i="6"/>
  <c r="D138" i="6"/>
  <c r="E138" i="6" s="1"/>
  <c r="G138" i="6" s="1"/>
  <c r="H138" i="6" s="1"/>
  <c r="L137" i="6"/>
  <c r="I137" i="6"/>
  <c r="F137" i="6"/>
  <c r="D137" i="6"/>
  <c r="E137" i="6" s="1"/>
  <c r="G137" i="6" s="1"/>
  <c r="H137" i="6" s="1"/>
  <c r="J137" i="6" s="1"/>
  <c r="K137" i="6" s="1"/>
  <c r="M137" i="6" s="1"/>
  <c r="N137" i="6" s="1"/>
  <c r="L136" i="6"/>
  <c r="I136" i="6"/>
  <c r="F136" i="6"/>
  <c r="D136" i="6"/>
  <c r="E136" i="6" s="1"/>
  <c r="G136" i="6" s="1"/>
  <c r="H136" i="6" s="1"/>
  <c r="L135" i="6"/>
  <c r="I135" i="6"/>
  <c r="F135" i="6"/>
  <c r="D135" i="6"/>
  <c r="E135" i="6" s="1"/>
  <c r="G135" i="6" s="1"/>
  <c r="H135" i="6" s="1"/>
  <c r="J135" i="6" s="1"/>
  <c r="K135" i="6" s="1"/>
  <c r="M135" i="6" s="1"/>
  <c r="N135" i="6" s="1"/>
  <c r="L134" i="6"/>
  <c r="I134" i="6"/>
  <c r="F134" i="6"/>
  <c r="E134" i="6"/>
  <c r="G134" i="6" s="1"/>
  <c r="H134" i="6" s="1"/>
  <c r="J134" i="6" s="1"/>
  <c r="K134" i="6" s="1"/>
  <c r="M134" i="6" s="1"/>
  <c r="N134" i="6" s="1"/>
  <c r="D134" i="6"/>
  <c r="L133" i="6"/>
  <c r="I133" i="6"/>
  <c r="F133" i="6"/>
  <c r="D133" i="6"/>
  <c r="E133" i="6" s="1"/>
  <c r="L132" i="6"/>
  <c r="I132" i="6"/>
  <c r="F132" i="6"/>
  <c r="D132" i="6"/>
  <c r="E132" i="6" s="1"/>
  <c r="L131" i="6"/>
  <c r="I131" i="6"/>
  <c r="F131" i="6"/>
  <c r="E131" i="6"/>
  <c r="G131" i="6" s="1"/>
  <c r="H131" i="6" s="1"/>
  <c r="J131" i="6" s="1"/>
  <c r="K131" i="6" s="1"/>
  <c r="M131" i="6" s="1"/>
  <c r="N131" i="6" s="1"/>
  <c r="D131" i="6"/>
  <c r="L130" i="6"/>
  <c r="I130" i="6"/>
  <c r="F130" i="6"/>
  <c r="D130" i="6"/>
  <c r="E130" i="6" s="1"/>
  <c r="G130" i="6" s="1"/>
  <c r="H130" i="6" s="1"/>
  <c r="J130" i="6" s="1"/>
  <c r="K130" i="6" s="1"/>
  <c r="L129" i="6"/>
  <c r="I129" i="6"/>
  <c r="F129" i="6"/>
  <c r="D129" i="6"/>
  <c r="E129" i="6" s="1"/>
  <c r="G129" i="6" s="1"/>
  <c r="H129" i="6" s="1"/>
  <c r="J129" i="6" s="1"/>
  <c r="K129" i="6" s="1"/>
  <c r="M129" i="6" s="1"/>
  <c r="N129" i="6" s="1"/>
  <c r="L128" i="6"/>
  <c r="I128" i="6"/>
  <c r="F128" i="6"/>
  <c r="G128" i="6" s="1"/>
  <c r="H128" i="6" s="1"/>
  <c r="J128" i="6" s="1"/>
  <c r="K128" i="6" s="1"/>
  <c r="M128" i="6" s="1"/>
  <c r="N128" i="6" s="1"/>
  <c r="D128" i="6"/>
  <c r="E128" i="6" s="1"/>
  <c r="L127" i="6"/>
  <c r="I127" i="6"/>
  <c r="F127" i="6"/>
  <c r="E127" i="6"/>
  <c r="G127" i="6" s="1"/>
  <c r="H127" i="6" s="1"/>
  <c r="J127" i="6" s="1"/>
  <c r="K127" i="6" s="1"/>
  <c r="M127" i="6" s="1"/>
  <c r="N127" i="6" s="1"/>
  <c r="D127" i="6"/>
  <c r="L126" i="6"/>
  <c r="I126" i="6"/>
  <c r="F126" i="6"/>
  <c r="D126" i="6"/>
  <c r="E126" i="6" s="1"/>
  <c r="L125" i="6"/>
  <c r="I125" i="6"/>
  <c r="F125" i="6"/>
  <c r="E125" i="6"/>
  <c r="D125" i="6"/>
  <c r="L124" i="6"/>
  <c r="I124" i="6"/>
  <c r="F124" i="6"/>
  <c r="D124" i="6"/>
  <c r="E124" i="6" s="1"/>
  <c r="G124" i="6" s="1"/>
  <c r="H124" i="6" s="1"/>
  <c r="J124" i="6" s="1"/>
  <c r="K124" i="6" s="1"/>
  <c r="L123" i="6"/>
  <c r="I123" i="6"/>
  <c r="F123" i="6"/>
  <c r="D123" i="6"/>
  <c r="E123" i="6" s="1"/>
  <c r="G123" i="6" s="1"/>
  <c r="H123" i="6" s="1"/>
  <c r="J123" i="6" s="1"/>
  <c r="K123" i="6" s="1"/>
  <c r="L122" i="6"/>
  <c r="I122" i="6"/>
  <c r="F122" i="6"/>
  <c r="D122" i="6"/>
  <c r="E122" i="6" s="1"/>
  <c r="L121" i="6"/>
  <c r="I121" i="6"/>
  <c r="F121" i="6"/>
  <c r="E121" i="6"/>
  <c r="G121" i="6" s="1"/>
  <c r="H121" i="6" s="1"/>
  <c r="J121" i="6" s="1"/>
  <c r="K121" i="6" s="1"/>
  <c r="M121" i="6" s="1"/>
  <c r="N121" i="6" s="1"/>
  <c r="D121" i="6"/>
  <c r="L120" i="6"/>
  <c r="I120" i="6"/>
  <c r="F120" i="6"/>
  <c r="D120" i="6"/>
  <c r="E120" i="6" s="1"/>
  <c r="L119" i="6"/>
  <c r="I119" i="6"/>
  <c r="F119" i="6"/>
  <c r="E119" i="6"/>
  <c r="G119" i="6" s="1"/>
  <c r="H119" i="6" s="1"/>
  <c r="J119" i="6" s="1"/>
  <c r="K119" i="6" s="1"/>
  <c r="M119" i="6" s="1"/>
  <c r="N119" i="6" s="1"/>
  <c r="D119" i="6"/>
  <c r="L118" i="6"/>
  <c r="I118" i="6"/>
  <c r="F118" i="6"/>
  <c r="D118" i="6"/>
  <c r="E118" i="6" s="1"/>
  <c r="G118" i="6" s="1"/>
  <c r="H118" i="6" s="1"/>
  <c r="L117" i="6"/>
  <c r="I117" i="6"/>
  <c r="F117" i="6"/>
  <c r="E117" i="6"/>
  <c r="G117" i="6" s="1"/>
  <c r="H117" i="6" s="1"/>
  <c r="J117" i="6" s="1"/>
  <c r="K117" i="6" s="1"/>
  <c r="D117" i="6"/>
  <c r="L116" i="6"/>
  <c r="I116" i="6"/>
  <c r="F116" i="6"/>
  <c r="D116" i="6"/>
  <c r="E116" i="6" s="1"/>
  <c r="L115" i="6"/>
  <c r="I115" i="6"/>
  <c r="F115" i="6"/>
  <c r="D115" i="6"/>
  <c r="E115" i="6" s="1"/>
  <c r="L114" i="6"/>
  <c r="I114" i="6"/>
  <c r="F114" i="6"/>
  <c r="E114" i="6"/>
  <c r="G114" i="6" s="1"/>
  <c r="H114" i="6" s="1"/>
  <c r="J114" i="6" s="1"/>
  <c r="K114" i="6" s="1"/>
  <c r="M114" i="6" s="1"/>
  <c r="N114" i="6" s="1"/>
  <c r="D114" i="6"/>
  <c r="L113" i="6"/>
  <c r="I113" i="6"/>
  <c r="G113" i="6"/>
  <c r="H113" i="6" s="1"/>
  <c r="J113" i="6" s="1"/>
  <c r="K113" i="6" s="1"/>
  <c r="M113" i="6" s="1"/>
  <c r="N113" i="6" s="1"/>
  <c r="F113" i="6"/>
  <c r="D113" i="6"/>
  <c r="E113" i="6" s="1"/>
  <c r="L112" i="6"/>
  <c r="I112" i="6"/>
  <c r="G112" i="6"/>
  <c r="H112" i="6" s="1"/>
  <c r="J112" i="6" s="1"/>
  <c r="K112" i="6" s="1"/>
  <c r="M112" i="6" s="1"/>
  <c r="N112" i="6" s="1"/>
  <c r="F112" i="6"/>
  <c r="D112" i="6"/>
  <c r="E112" i="6" s="1"/>
  <c r="L111" i="6"/>
  <c r="I111" i="6"/>
  <c r="F111" i="6"/>
  <c r="D111" i="6"/>
  <c r="E111" i="6" s="1"/>
  <c r="G111" i="6" s="1"/>
  <c r="H111" i="6" s="1"/>
  <c r="J111" i="6" s="1"/>
  <c r="K111" i="6" s="1"/>
  <c r="M111" i="6" s="1"/>
  <c r="N111" i="6" s="1"/>
  <c r="L110" i="6"/>
  <c r="I110" i="6"/>
  <c r="F110" i="6"/>
  <c r="D110" i="6"/>
  <c r="E110" i="6" s="1"/>
  <c r="L109" i="6"/>
  <c r="I109" i="6"/>
  <c r="F109" i="6"/>
  <c r="D109" i="6"/>
  <c r="E109" i="6" s="1"/>
  <c r="G109" i="6" s="1"/>
  <c r="H109" i="6" s="1"/>
  <c r="J109" i="6" s="1"/>
  <c r="K109" i="6" s="1"/>
  <c r="M109" i="6" s="1"/>
  <c r="N109" i="6" s="1"/>
  <c r="L108" i="6"/>
  <c r="I108" i="6"/>
  <c r="F108" i="6"/>
  <c r="D108" i="6"/>
  <c r="E108" i="6" s="1"/>
  <c r="L107" i="6"/>
  <c r="I107" i="6"/>
  <c r="F107" i="6"/>
  <c r="E107" i="6"/>
  <c r="G107" i="6" s="1"/>
  <c r="H107" i="6" s="1"/>
  <c r="D107" i="6"/>
  <c r="L106" i="6"/>
  <c r="I106" i="6"/>
  <c r="F106" i="6"/>
  <c r="E106" i="6"/>
  <c r="G106" i="6" s="1"/>
  <c r="H106" i="6" s="1"/>
  <c r="J106" i="6" s="1"/>
  <c r="K106" i="6" s="1"/>
  <c r="M106" i="6" s="1"/>
  <c r="N106" i="6" s="1"/>
  <c r="D106" i="6"/>
  <c r="L105" i="6"/>
  <c r="I105" i="6"/>
  <c r="F105" i="6"/>
  <c r="D105" i="6"/>
  <c r="E105" i="6" s="1"/>
  <c r="L104" i="6"/>
  <c r="I104" i="6"/>
  <c r="F104" i="6"/>
  <c r="E104" i="6"/>
  <c r="G104" i="6" s="1"/>
  <c r="H104" i="6" s="1"/>
  <c r="J104" i="6" s="1"/>
  <c r="K104" i="6" s="1"/>
  <c r="M104" i="6" s="1"/>
  <c r="N104" i="6" s="1"/>
  <c r="D104" i="6"/>
  <c r="L103" i="6"/>
  <c r="I103" i="6"/>
  <c r="F103" i="6"/>
  <c r="G103" i="6" s="1"/>
  <c r="H103" i="6" s="1"/>
  <c r="J103" i="6" s="1"/>
  <c r="K103" i="6" s="1"/>
  <c r="M103" i="6" s="1"/>
  <c r="N103" i="6" s="1"/>
  <c r="D103" i="6"/>
  <c r="E103" i="6" s="1"/>
  <c r="L102" i="6"/>
  <c r="I102" i="6"/>
  <c r="F102" i="6"/>
  <c r="D102" i="6"/>
  <c r="E102" i="6" s="1"/>
  <c r="L101" i="6"/>
  <c r="I101" i="6"/>
  <c r="F101" i="6"/>
  <c r="E101" i="6"/>
  <c r="D101" i="6"/>
  <c r="L100" i="6"/>
  <c r="I100" i="6"/>
  <c r="F100" i="6"/>
  <c r="D100" i="6"/>
  <c r="E100" i="6" s="1"/>
  <c r="L99" i="6"/>
  <c r="I99" i="6"/>
  <c r="F99" i="6"/>
  <c r="D99" i="6"/>
  <c r="E99" i="6" s="1"/>
  <c r="G99" i="6" s="1"/>
  <c r="H99" i="6" s="1"/>
  <c r="J99" i="6" s="1"/>
  <c r="K99" i="6" s="1"/>
  <c r="M99" i="6" s="1"/>
  <c r="N99" i="6" s="1"/>
  <c r="L98" i="6"/>
  <c r="I98" i="6"/>
  <c r="F98" i="6"/>
  <c r="D98" i="6"/>
  <c r="E98" i="6" s="1"/>
  <c r="G98" i="6" s="1"/>
  <c r="H98" i="6" s="1"/>
  <c r="J98" i="6" s="1"/>
  <c r="K98" i="6" s="1"/>
  <c r="L97" i="6"/>
  <c r="I97" i="6"/>
  <c r="F97" i="6"/>
  <c r="D97" i="6"/>
  <c r="E97" i="6" s="1"/>
  <c r="G97" i="6" s="1"/>
  <c r="H97" i="6" s="1"/>
  <c r="J97" i="6" s="1"/>
  <c r="K97" i="6" s="1"/>
  <c r="M97" i="6" s="1"/>
  <c r="N97" i="6" s="1"/>
  <c r="L96" i="6"/>
  <c r="I96" i="6"/>
  <c r="F96" i="6"/>
  <c r="D96" i="6"/>
  <c r="E96" i="6" s="1"/>
  <c r="G96" i="6" s="1"/>
  <c r="H96" i="6" s="1"/>
  <c r="J96" i="6" s="1"/>
  <c r="K96" i="6" s="1"/>
  <c r="L95" i="6"/>
  <c r="I95" i="6"/>
  <c r="F95" i="6"/>
  <c r="D95" i="6"/>
  <c r="E95" i="6" s="1"/>
  <c r="L94" i="6"/>
  <c r="I94" i="6"/>
  <c r="F94" i="6"/>
  <c r="D94" i="6"/>
  <c r="E94" i="6" s="1"/>
  <c r="G94" i="6" s="1"/>
  <c r="H94" i="6" s="1"/>
  <c r="J94" i="6" s="1"/>
  <c r="K94" i="6" s="1"/>
  <c r="M94" i="6" s="1"/>
  <c r="N94" i="6" s="1"/>
  <c r="L93" i="6"/>
  <c r="I93" i="6"/>
  <c r="F93" i="6"/>
  <c r="G93" i="6" s="1"/>
  <c r="H93" i="6" s="1"/>
  <c r="J93" i="6" s="1"/>
  <c r="K93" i="6" s="1"/>
  <c r="M93" i="6" s="1"/>
  <c r="N93" i="6" s="1"/>
  <c r="E93" i="6"/>
  <c r="D93" i="6"/>
  <c r="L92" i="6"/>
  <c r="I92" i="6"/>
  <c r="F92" i="6"/>
  <c r="D92" i="6"/>
  <c r="E92" i="6" s="1"/>
  <c r="G92" i="6" s="1"/>
  <c r="H92" i="6" s="1"/>
  <c r="J92" i="6" s="1"/>
  <c r="K92" i="6" s="1"/>
  <c r="M92" i="6" s="1"/>
  <c r="N92" i="6" s="1"/>
  <c r="L91" i="6"/>
  <c r="I91" i="6"/>
  <c r="F91" i="6"/>
  <c r="E91" i="6"/>
  <c r="G91" i="6" s="1"/>
  <c r="H91" i="6" s="1"/>
  <c r="J91" i="6" s="1"/>
  <c r="K91" i="6" s="1"/>
  <c r="M91" i="6" s="1"/>
  <c r="N91" i="6" s="1"/>
  <c r="D91" i="6"/>
  <c r="L90" i="6"/>
  <c r="I90" i="6"/>
  <c r="F90" i="6"/>
  <c r="D90" i="6"/>
  <c r="E90" i="6" s="1"/>
  <c r="L89" i="6"/>
  <c r="I89" i="6"/>
  <c r="F89" i="6"/>
  <c r="D89" i="6"/>
  <c r="E89" i="6" s="1"/>
  <c r="G89" i="6" s="1"/>
  <c r="H89" i="6" s="1"/>
  <c r="J89" i="6" s="1"/>
  <c r="K89" i="6" s="1"/>
  <c r="L88" i="6"/>
  <c r="I88" i="6"/>
  <c r="F88" i="6"/>
  <c r="D88" i="6"/>
  <c r="E88" i="6" s="1"/>
  <c r="G88" i="6" s="1"/>
  <c r="H88" i="6" s="1"/>
  <c r="J88" i="6" s="1"/>
  <c r="K88" i="6" s="1"/>
  <c r="M88" i="6" s="1"/>
  <c r="N88" i="6" s="1"/>
  <c r="L87" i="6"/>
  <c r="I87" i="6"/>
  <c r="F87" i="6"/>
  <c r="E87" i="6"/>
  <c r="D87" i="6"/>
  <c r="L86" i="6"/>
  <c r="I86" i="6"/>
  <c r="F86" i="6"/>
  <c r="E86" i="6"/>
  <c r="G86" i="6" s="1"/>
  <c r="H86" i="6" s="1"/>
  <c r="J86" i="6" s="1"/>
  <c r="K86" i="6" s="1"/>
  <c r="M86" i="6" s="1"/>
  <c r="N86" i="6" s="1"/>
  <c r="D86" i="6"/>
  <c r="L85" i="6"/>
  <c r="I85" i="6"/>
  <c r="F85" i="6"/>
  <c r="D85" i="6"/>
  <c r="E85" i="6" s="1"/>
  <c r="G85" i="6" s="1"/>
  <c r="H85" i="6" s="1"/>
  <c r="J85" i="6" s="1"/>
  <c r="K85" i="6" s="1"/>
  <c r="M85" i="6" s="1"/>
  <c r="N85" i="6" s="1"/>
  <c r="L84" i="6"/>
  <c r="I84" i="6"/>
  <c r="F84" i="6"/>
  <c r="E84" i="6"/>
  <c r="G84" i="6" s="1"/>
  <c r="H84" i="6" s="1"/>
  <c r="J84" i="6" s="1"/>
  <c r="K84" i="6" s="1"/>
  <c r="M84" i="6" s="1"/>
  <c r="N84" i="6" s="1"/>
  <c r="D84" i="6"/>
  <c r="L83" i="6"/>
  <c r="I83" i="6"/>
  <c r="F83" i="6"/>
  <c r="D83" i="6"/>
  <c r="E83" i="6" s="1"/>
  <c r="L82" i="6"/>
  <c r="I82" i="6"/>
  <c r="F82" i="6"/>
  <c r="D82" i="6"/>
  <c r="E82" i="6" s="1"/>
  <c r="G82" i="6" s="1"/>
  <c r="H82" i="6" s="1"/>
  <c r="J82" i="6" s="1"/>
  <c r="K82" i="6" s="1"/>
  <c r="M82" i="6" s="1"/>
  <c r="N82" i="6" s="1"/>
  <c r="L81" i="6"/>
  <c r="I81" i="6"/>
  <c r="F81" i="6"/>
  <c r="E81" i="6"/>
  <c r="G81" i="6" s="1"/>
  <c r="H81" i="6" s="1"/>
  <c r="J81" i="6" s="1"/>
  <c r="K81" i="6" s="1"/>
  <c r="M81" i="6" s="1"/>
  <c r="N81" i="6" s="1"/>
  <c r="D81" i="6"/>
  <c r="L80" i="6"/>
  <c r="I80" i="6"/>
  <c r="F80" i="6"/>
  <c r="D80" i="6"/>
  <c r="E80" i="6" s="1"/>
  <c r="G80" i="6" s="1"/>
  <c r="H80" i="6" s="1"/>
  <c r="J80" i="6" s="1"/>
  <c r="K80" i="6" s="1"/>
  <c r="M80" i="6" s="1"/>
  <c r="N80" i="6" s="1"/>
  <c r="L79" i="6"/>
  <c r="I79" i="6"/>
  <c r="F79" i="6"/>
  <c r="E79" i="6"/>
  <c r="G79" i="6" s="1"/>
  <c r="H79" i="6" s="1"/>
  <c r="J79" i="6" s="1"/>
  <c r="K79" i="6" s="1"/>
  <c r="M79" i="6" s="1"/>
  <c r="N79" i="6" s="1"/>
  <c r="D79" i="6"/>
  <c r="L78" i="6"/>
  <c r="I78" i="6"/>
  <c r="F78" i="6"/>
  <c r="E78" i="6"/>
  <c r="D78" i="6"/>
  <c r="L77" i="6"/>
  <c r="I77" i="6"/>
  <c r="F77" i="6"/>
  <c r="E77" i="6"/>
  <c r="G77" i="6" s="1"/>
  <c r="H77" i="6" s="1"/>
  <c r="J77" i="6" s="1"/>
  <c r="K77" i="6" s="1"/>
  <c r="M77" i="6" s="1"/>
  <c r="N77" i="6" s="1"/>
  <c r="D77" i="6"/>
  <c r="L76" i="6"/>
  <c r="I76" i="6"/>
  <c r="F76" i="6"/>
  <c r="D76" i="6"/>
  <c r="E76" i="6" s="1"/>
  <c r="L75" i="6"/>
  <c r="I75" i="6"/>
  <c r="F75" i="6"/>
  <c r="D75" i="6"/>
  <c r="E75" i="6" s="1"/>
  <c r="G75" i="6" s="1"/>
  <c r="H75" i="6" s="1"/>
  <c r="J75" i="6" s="1"/>
  <c r="K75" i="6" s="1"/>
  <c r="M75" i="6" s="1"/>
  <c r="N75" i="6" s="1"/>
  <c r="L74" i="6"/>
  <c r="I74" i="6"/>
  <c r="F74" i="6"/>
  <c r="E74" i="6"/>
  <c r="G74" i="6" s="1"/>
  <c r="H74" i="6" s="1"/>
  <c r="J74" i="6" s="1"/>
  <c r="K74" i="6" s="1"/>
  <c r="M74" i="6" s="1"/>
  <c r="N74" i="6" s="1"/>
  <c r="D74" i="6"/>
  <c r="L73" i="6"/>
  <c r="I73" i="6"/>
  <c r="F73" i="6"/>
  <c r="E73" i="6"/>
  <c r="G73" i="6" s="1"/>
  <c r="H73" i="6" s="1"/>
  <c r="J73" i="6" s="1"/>
  <c r="K73" i="6" s="1"/>
  <c r="M73" i="6" s="1"/>
  <c r="N73" i="6" s="1"/>
  <c r="D73" i="6"/>
  <c r="L72" i="6"/>
  <c r="I72" i="6"/>
  <c r="F72" i="6"/>
  <c r="D72" i="6"/>
  <c r="E72" i="6" s="1"/>
  <c r="G72" i="6" s="1"/>
  <c r="H72" i="6" s="1"/>
  <c r="J72" i="6" s="1"/>
  <c r="K72" i="6" s="1"/>
  <c r="M72" i="6" s="1"/>
  <c r="N72" i="6" s="1"/>
  <c r="L71" i="6"/>
  <c r="I71" i="6"/>
  <c r="F71" i="6"/>
  <c r="D71" i="6"/>
  <c r="E71" i="6" s="1"/>
  <c r="G71" i="6" s="1"/>
  <c r="H71" i="6" s="1"/>
  <c r="J71" i="6" s="1"/>
  <c r="K71" i="6" s="1"/>
  <c r="M71" i="6" s="1"/>
  <c r="N71" i="6" s="1"/>
  <c r="L70" i="6"/>
  <c r="I70" i="6"/>
  <c r="F70" i="6"/>
  <c r="D70" i="6"/>
  <c r="E70" i="6" s="1"/>
  <c r="L69" i="6"/>
  <c r="I69" i="6"/>
  <c r="F69" i="6"/>
  <c r="D69" i="6"/>
  <c r="E69" i="6" s="1"/>
  <c r="L68" i="6"/>
  <c r="I68" i="6"/>
  <c r="F68" i="6"/>
  <c r="D68" i="6"/>
  <c r="E68" i="6" s="1"/>
  <c r="G68" i="6" s="1"/>
  <c r="H68" i="6" s="1"/>
  <c r="J68" i="6" s="1"/>
  <c r="K68" i="6" s="1"/>
  <c r="L67" i="6"/>
  <c r="I67" i="6"/>
  <c r="F67" i="6"/>
  <c r="E67" i="6"/>
  <c r="D67" i="6"/>
  <c r="L66" i="6"/>
  <c r="I66" i="6"/>
  <c r="F66" i="6"/>
  <c r="E66" i="6"/>
  <c r="G66" i="6" s="1"/>
  <c r="H66" i="6" s="1"/>
  <c r="J66" i="6" s="1"/>
  <c r="K66" i="6" s="1"/>
  <c r="M66" i="6" s="1"/>
  <c r="N66" i="6" s="1"/>
  <c r="D66" i="6"/>
  <c r="L65" i="6"/>
  <c r="I65" i="6"/>
  <c r="F65" i="6"/>
  <c r="E65" i="6"/>
  <c r="D65" i="6"/>
  <c r="L64" i="6"/>
  <c r="I64" i="6"/>
  <c r="F64" i="6"/>
  <c r="E64" i="6"/>
  <c r="G64" i="6" s="1"/>
  <c r="H64" i="6" s="1"/>
  <c r="J64" i="6" s="1"/>
  <c r="K64" i="6" s="1"/>
  <c r="D64" i="6"/>
  <c r="L63" i="6"/>
  <c r="I63" i="6"/>
  <c r="F63" i="6"/>
  <c r="G63" i="6" s="1"/>
  <c r="H63" i="6" s="1"/>
  <c r="E63" i="6"/>
  <c r="D63" i="6"/>
  <c r="L62" i="6"/>
  <c r="I62" i="6"/>
  <c r="F62" i="6"/>
  <c r="D62" i="6"/>
  <c r="E62" i="6" s="1"/>
  <c r="G62" i="6" s="1"/>
  <c r="H62" i="6" s="1"/>
  <c r="J62" i="6" s="1"/>
  <c r="K62" i="6" s="1"/>
  <c r="L61" i="6"/>
  <c r="I61" i="6"/>
  <c r="F61" i="6"/>
  <c r="E61" i="6"/>
  <c r="G61" i="6" s="1"/>
  <c r="H61" i="6" s="1"/>
  <c r="J61" i="6" s="1"/>
  <c r="K61" i="6" s="1"/>
  <c r="M61" i="6" s="1"/>
  <c r="N61" i="6" s="1"/>
  <c r="D61" i="6"/>
  <c r="L60" i="6"/>
  <c r="I60" i="6"/>
  <c r="F60" i="6"/>
  <c r="D60" i="6"/>
  <c r="E60" i="6" s="1"/>
  <c r="G60" i="6" s="1"/>
  <c r="H60" i="6" s="1"/>
  <c r="J60" i="6" s="1"/>
  <c r="K60" i="6" s="1"/>
  <c r="M60" i="6" s="1"/>
  <c r="N60" i="6" s="1"/>
  <c r="L59" i="6"/>
  <c r="I59" i="6"/>
  <c r="F59" i="6"/>
  <c r="D59" i="6"/>
  <c r="E59" i="6" s="1"/>
  <c r="G59" i="6" s="1"/>
  <c r="H59" i="6" s="1"/>
  <c r="J59" i="6" s="1"/>
  <c r="K59" i="6" s="1"/>
  <c r="M59" i="6" s="1"/>
  <c r="N59" i="6" s="1"/>
  <c r="L58" i="6"/>
  <c r="I58" i="6"/>
  <c r="F58" i="6"/>
  <c r="E58" i="6"/>
  <c r="D58" i="6"/>
  <c r="L57" i="6"/>
  <c r="I57" i="6"/>
  <c r="F57" i="6"/>
  <c r="D57" i="6"/>
  <c r="E57" i="6" s="1"/>
  <c r="G57" i="6" s="1"/>
  <c r="H57" i="6" s="1"/>
  <c r="J57" i="6" s="1"/>
  <c r="K57" i="6" s="1"/>
  <c r="M57" i="6" s="1"/>
  <c r="N57" i="6" s="1"/>
  <c r="L56" i="6"/>
  <c r="I56" i="6"/>
  <c r="F56" i="6"/>
  <c r="D56" i="6"/>
  <c r="E56" i="6" s="1"/>
  <c r="L55" i="6"/>
  <c r="I55" i="6"/>
  <c r="F55" i="6"/>
  <c r="D55" i="6"/>
  <c r="E55" i="6" s="1"/>
  <c r="L54" i="6"/>
  <c r="I54" i="6"/>
  <c r="F54" i="6"/>
  <c r="E54" i="6"/>
  <c r="D54" i="6"/>
  <c r="L53" i="6"/>
  <c r="I53" i="6"/>
  <c r="F53" i="6"/>
  <c r="E53" i="6"/>
  <c r="G53" i="6" s="1"/>
  <c r="H53" i="6" s="1"/>
  <c r="J53" i="6" s="1"/>
  <c r="K53" i="6" s="1"/>
  <c r="M53" i="6" s="1"/>
  <c r="N53" i="6" s="1"/>
  <c r="D53" i="6"/>
  <c r="L52" i="6"/>
  <c r="I52" i="6"/>
  <c r="F52" i="6"/>
  <c r="D52" i="6"/>
  <c r="E52" i="6" s="1"/>
  <c r="G52" i="6" s="1"/>
  <c r="H52" i="6" s="1"/>
  <c r="J52" i="6" s="1"/>
  <c r="K52" i="6" s="1"/>
  <c r="M52" i="6" s="1"/>
  <c r="N52" i="6" s="1"/>
  <c r="L51" i="6"/>
  <c r="I51" i="6"/>
  <c r="F51" i="6"/>
  <c r="E51" i="6"/>
  <c r="G51" i="6" s="1"/>
  <c r="H51" i="6" s="1"/>
  <c r="J51" i="6" s="1"/>
  <c r="K51" i="6" s="1"/>
  <c r="M51" i="6" s="1"/>
  <c r="N51" i="6" s="1"/>
  <c r="D51" i="6"/>
  <c r="L50" i="6"/>
  <c r="I50" i="6"/>
  <c r="F50" i="6"/>
  <c r="D50" i="6"/>
  <c r="E50" i="6" s="1"/>
  <c r="L49" i="6"/>
  <c r="I49" i="6"/>
  <c r="F49" i="6"/>
  <c r="D49" i="6"/>
  <c r="E49" i="6" s="1"/>
  <c r="G49" i="6" s="1"/>
  <c r="H49" i="6" s="1"/>
  <c r="J49" i="6" s="1"/>
  <c r="K49" i="6" s="1"/>
  <c r="M49" i="6" s="1"/>
  <c r="N49" i="6" s="1"/>
  <c r="L48" i="6"/>
  <c r="I48" i="6"/>
  <c r="F48" i="6"/>
  <c r="D48" i="6"/>
  <c r="E48" i="6" s="1"/>
  <c r="G48" i="6" s="1"/>
  <c r="H48" i="6" s="1"/>
  <c r="J48" i="6" s="1"/>
  <c r="K48" i="6" s="1"/>
  <c r="M48" i="6" s="1"/>
  <c r="N48" i="6" s="1"/>
  <c r="L47" i="6"/>
  <c r="I47" i="6"/>
  <c r="F47" i="6"/>
  <c r="E47" i="6"/>
  <c r="D47" i="6"/>
  <c r="L46" i="6"/>
  <c r="I46" i="6"/>
  <c r="F46" i="6"/>
  <c r="E46" i="6"/>
  <c r="G46" i="6" s="1"/>
  <c r="H46" i="6" s="1"/>
  <c r="J46" i="6" s="1"/>
  <c r="K46" i="6" s="1"/>
  <c r="M46" i="6" s="1"/>
  <c r="N46" i="6" s="1"/>
  <c r="D46" i="6"/>
  <c r="L45" i="6"/>
  <c r="I45" i="6"/>
  <c r="F45" i="6"/>
  <c r="D45" i="6"/>
  <c r="E45" i="6" s="1"/>
  <c r="G45" i="6" s="1"/>
  <c r="H45" i="6" s="1"/>
  <c r="J45" i="6" s="1"/>
  <c r="K45" i="6" s="1"/>
  <c r="M45" i="6" s="1"/>
  <c r="N45" i="6" s="1"/>
  <c r="L44" i="6"/>
  <c r="I44" i="6"/>
  <c r="F44" i="6"/>
  <c r="E44" i="6"/>
  <c r="G44" i="6" s="1"/>
  <c r="H44" i="6" s="1"/>
  <c r="J44" i="6" s="1"/>
  <c r="K44" i="6" s="1"/>
  <c r="M44" i="6" s="1"/>
  <c r="N44" i="6" s="1"/>
  <c r="D44" i="6"/>
  <c r="L43" i="6"/>
  <c r="I43" i="6"/>
  <c r="F43" i="6"/>
  <c r="D43" i="6"/>
  <c r="E43" i="6" s="1"/>
  <c r="L42" i="6"/>
  <c r="I42" i="6"/>
  <c r="F42" i="6"/>
  <c r="D42" i="6"/>
  <c r="E42" i="6" s="1"/>
  <c r="G42" i="6" s="1"/>
  <c r="H42" i="6" s="1"/>
  <c r="J42" i="6" s="1"/>
  <c r="K42" i="6" s="1"/>
  <c r="M42" i="6" s="1"/>
  <c r="N42" i="6" s="1"/>
  <c r="L41" i="6"/>
  <c r="I41" i="6"/>
  <c r="F41" i="6"/>
  <c r="E41" i="6"/>
  <c r="G41" i="6" s="1"/>
  <c r="H41" i="6" s="1"/>
  <c r="J41" i="6" s="1"/>
  <c r="K41" i="6" s="1"/>
  <c r="M41" i="6" s="1"/>
  <c r="N41" i="6" s="1"/>
  <c r="D41" i="6"/>
  <c r="L40" i="6"/>
  <c r="I40" i="6"/>
  <c r="F40" i="6"/>
  <c r="D40" i="6"/>
  <c r="E40" i="6" s="1"/>
  <c r="L39" i="6"/>
  <c r="I39" i="6"/>
  <c r="F39" i="6"/>
  <c r="E39" i="6"/>
  <c r="D39" i="6"/>
  <c r="L38" i="6"/>
  <c r="I38" i="6"/>
  <c r="F38" i="6"/>
  <c r="D38" i="6"/>
  <c r="E38" i="6" s="1"/>
  <c r="G38" i="6" s="1"/>
  <c r="H38" i="6" s="1"/>
  <c r="J38" i="6" s="1"/>
  <c r="K38" i="6" s="1"/>
  <c r="M38" i="6" s="1"/>
  <c r="N38" i="6" s="1"/>
  <c r="L37" i="6"/>
  <c r="I37" i="6"/>
  <c r="F37" i="6"/>
  <c r="D37" i="6"/>
  <c r="E37" i="6" s="1"/>
  <c r="L36" i="6"/>
  <c r="I36" i="6"/>
  <c r="F36" i="6"/>
  <c r="D36" i="6"/>
  <c r="E36" i="6" s="1"/>
  <c r="L35" i="6"/>
  <c r="I35" i="6"/>
  <c r="F35" i="6"/>
  <c r="D35" i="6"/>
  <c r="E35" i="6" s="1"/>
  <c r="L34" i="6"/>
  <c r="I34" i="6"/>
  <c r="F34" i="6"/>
  <c r="D34" i="6"/>
  <c r="E34" i="6" s="1"/>
  <c r="G34" i="6" s="1"/>
  <c r="H34" i="6" s="1"/>
  <c r="J34" i="6" s="1"/>
  <c r="K34" i="6" s="1"/>
  <c r="M34" i="6" s="1"/>
  <c r="N34" i="6" s="1"/>
  <c r="L33" i="6"/>
  <c r="I33" i="6"/>
  <c r="F33" i="6"/>
  <c r="D33" i="6"/>
  <c r="E33" i="6" s="1"/>
  <c r="G33" i="6" s="1"/>
  <c r="H33" i="6" s="1"/>
  <c r="J33" i="6" s="1"/>
  <c r="K33" i="6" s="1"/>
  <c r="M33" i="6" s="1"/>
  <c r="N33" i="6" s="1"/>
  <c r="L32" i="6"/>
  <c r="I32" i="6"/>
  <c r="F32" i="6"/>
  <c r="G32" i="6" s="1"/>
  <c r="H32" i="6" s="1"/>
  <c r="J32" i="6" s="1"/>
  <c r="K32" i="6" s="1"/>
  <c r="M32" i="6" s="1"/>
  <c r="N32" i="6" s="1"/>
  <c r="D32" i="6"/>
  <c r="E32" i="6" s="1"/>
  <c r="L31" i="6"/>
  <c r="I31" i="6"/>
  <c r="F31" i="6"/>
  <c r="E31" i="6"/>
  <c r="G31" i="6" s="1"/>
  <c r="H31" i="6" s="1"/>
  <c r="J31" i="6" s="1"/>
  <c r="K31" i="6" s="1"/>
  <c r="M31" i="6" s="1"/>
  <c r="N31" i="6" s="1"/>
  <c r="D31" i="6"/>
  <c r="L30" i="6"/>
  <c r="I30" i="6"/>
  <c r="F30" i="6"/>
  <c r="D30" i="6"/>
  <c r="E30" i="6" s="1"/>
  <c r="L29" i="6"/>
  <c r="I29" i="6"/>
  <c r="F29" i="6"/>
  <c r="D29" i="6"/>
  <c r="E29" i="6" s="1"/>
  <c r="G29" i="6" s="1"/>
  <c r="H29" i="6" s="1"/>
  <c r="J29" i="6" s="1"/>
  <c r="K29" i="6" s="1"/>
  <c r="M29" i="6" s="1"/>
  <c r="N29" i="6" s="1"/>
  <c r="L28" i="6"/>
  <c r="I28" i="6"/>
  <c r="F28" i="6"/>
  <c r="D28" i="6"/>
  <c r="E28" i="6" s="1"/>
  <c r="L27" i="6"/>
  <c r="I27" i="6"/>
  <c r="F27" i="6"/>
  <c r="D27" i="6"/>
  <c r="E27" i="6" s="1"/>
  <c r="L26" i="6"/>
  <c r="I26" i="6"/>
  <c r="F26" i="6"/>
  <c r="D26" i="6"/>
  <c r="E26" i="6" s="1"/>
  <c r="L25" i="6"/>
  <c r="I25" i="6"/>
  <c r="F25" i="6"/>
  <c r="E25" i="6"/>
  <c r="G25" i="6" s="1"/>
  <c r="H25" i="6" s="1"/>
  <c r="J25" i="6" s="1"/>
  <c r="K25" i="6" s="1"/>
  <c r="D25" i="6"/>
  <c r="L24" i="6"/>
  <c r="I24" i="6"/>
  <c r="F24" i="6"/>
  <c r="D24" i="6"/>
  <c r="E24" i="6" s="1"/>
  <c r="G24" i="6" s="1"/>
  <c r="H24" i="6" s="1"/>
  <c r="J24" i="6" s="1"/>
  <c r="K24" i="6" s="1"/>
  <c r="M24" i="6" s="1"/>
  <c r="N24" i="6" s="1"/>
  <c r="L23" i="6"/>
  <c r="I23" i="6"/>
  <c r="F23" i="6"/>
  <c r="G23" i="6" s="1"/>
  <c r="H23" i="6" s="1"/>
  <c r="J23" i="6" s="1"/>
  <c r="K23" i="6" s="1"/>
  <c r="M23" i="6" s="1"/>
  <c r="N23" i="6" s="1"/>
  <c r="E23" i="6"/>
  <c r="D23" i="6"/>
  <c r="L22" i="6"/>
  <c r="I22" i="6"/>
  <c r="F22" i="6"/>
  <c r="D22" i="6"/>
  <c r="E22" i="6" s="1"/>
  <c r="L21" i="6"/>
  <c r="I21" i="6"/>
  <c r="F21" i="6"/>
  <c r="E21" i="6"/>
  <c r="G21" i="6" s="1"/>
  <c r="H21" i="6" s="1"/>
  <c r="J21" i="6" s="1"/>
  <c r="K21" i="6" s="1"/>
  <c r="M21" i="6" s="1"/>
  <c r="N21" i="6" s="1"/>
  <c r="D21" i="6"/>
  <c r="L20" i="6"/>
  <c r="I20" i="6"/>
  <c r="F20" i="6"/>
  <c r="D20" i="6"/>
  <c r="E20" i="6" s="1"/>
  <c r="L19" i="6"/>
  <c r="I19" i="6"/>
  <c r="F19" i="6"/>
  <c r="D19" i="6"/>
  <c r="E19" i="6" s="1"/>
  <c r="G19" i="6" s="1"/>
  <c r="H19" i="6" s="1"/>
  <c r="J19" i="6" s="1"/>
  <c r="K19" i="6" s="1"/>
  <c r="L18" i="6"/>
  <c r="I18" i="6"/>
  <c r="F18" i="6"/>
  <c r="D18" i="6"/>
  <c r="E18" i="6" s="1"/>
  <c r="L17" i="6"/>
  <c r="I17" i="6"/>
  <c r="F17" i="6"/>
  <c r="D17" i="6"/>
  <c r="E17" i="6" s="1"/>
  <c r="L16" i="6"/>
  <c r="I16" i="6"/>
  <c r="F16" i="6"/>
  <c r="D16" i="6"/>
  <c r="E16" i="6" s="1"/>
  <c r="G16" i="6" s="1"/>
  <c r="H16" i="6" s="1"/>
  <c r="J16" i="6" s="1"/>
  <c r="K16" i="6" s="1"/>
  <c r="M16" i="6" s="1"/>
  <c r="N16" i="6" s="1"/>
  <c r="L15" i="6"/>
  <c r="I15" i="6"/>
  <c r="F15" i="6"/>
  <c r="E15" i="6"/>
  <c r="D15" i="6"/>
  <c r="L14" i="6"/>
  <c r="I14" i="6"/>
  <c r="F14" i="6"/>
  <c r="E14" i="6"/>
  <c r="G14" i="6" s="1"/>
  <c r="H14" i="6" s="1"/>
  <c r="J14" i="6" s="1"/>
  <c r="K14" i="6" s="1"/>
  <c r="M14" i="6" s="1"/>
  <c r="N14" i="6" s="1"/>
  <c r="D14" i="6"/>
  <c r="L13" i="6"/>
  <c r="I13" i="6"/>
  <c r="F13" i="6"/>
  <c r="D13" i="6"/>
  <c r="E13" i="6" s="1"/>
  <c r="L12" i="6"/>
  <c r="I12" i="6"/>
  <c r="F12" i="6"/>
  <c r="D12" i="6"/>
  <c r="E12" i="6" s="1"/>
  <c r="L11" i="6"/>
  <c r="I11" i="6"/>
  <c r="F11" i="6"/>
  <c r="D11" i="6"/>
  <c r="E11" i="6" s="1"/>
  <c r="G11" i="6" s="1"/>
  <c r="H11" i="6" s="1"/>
  <c r="J11" i="6" s="1"/>
  <c r="K11" i="6" s="1"/>
  <c r="M11" i="6" s="1"/>
  <c r="N11" i="6" s="1"/>
  <c r="L10" i="6"/>
  <c r="I10" i="6"/>
  <c r="F10" i="6"/>
  <c r="D10" i="6"/>
  <c r="E10" i="6" s="1"/>
  <c r="L9" i="6"/>
  <c r="I9" i="6"/>
  <c r="F9" i="6"/>
  <c r="D9" i="6"/>
  <c r="E9" i="6" s="1"/>
  <c r="L8" i="6"/>
  <c r="I8" i="6"/>
  <c r="F8" i="6"/>
  <c r="D8" i="6"/>
  <c r="E8" i="6" s="1"/>
  <c r="G8" i="6" s="1"/>
  <c r="H8" i="6" s="1"/>
  <c r="J8" i="6" s="1"/>
  <c r="K8" i="6" s="1"/>
  <c r="M8" i="6" s="1"/>
  <c r="N8" i="6" s="1"/>
  <c r="L7" i="6"/>
  <c r="I7" i="6"/>
  <c r="F7" i="6"/>
  <c r="D7" i="6"/>
  <c r="E7" i="6" s="1"/>
  <c r="G7" i="6" s="1"/>
  <c r="H7" i="6" s="1"/>
  <c r="J7" i="6" s="1"/>
  <c r="K7" i="6" s="1"/>
  <c r="M7" i="6" s="1"/>
  <c r="N7" i="6" s="1"/>
  <c r="L6" i="6"/>
  <c r="I6" i="6"/>
  <c r="F6" i="6"/>
  <c r="D6" i="6"/>
  <c r="E6" i="6" s="1"/>
  <c r="L5" i="6"/>
  <c r="I5" i="6"/>
  <c r="F5" i="6"/>
  <c r="E5" i="6"/>
  <c r="D5" i="6"/>
  <c r="L4" i="6"/>
  <c r="I4" i="6"/>
  <c r="F4" i="6"/>
  <c r="E4" i="6"/>
  <c r="G4" i="6" s="1"/>
  <c r="H4" i="6" s="1"/>
  <c r="J4" i="6" s="1"/>
  <c r="K4" i="6" s="1"/>
  <c r="M4" i="6" s="1"/>
  <c r="N4" i="6" s="1"/>
  <c r="D4" i="6"/>
  <c r="L3" i="6"/>
  <c r="I3" i="6"/>
  <c r="F3" i="6"/>
  <c r="D3" i="6"/>
  <c r="E3" i="6" s="1"/>
  <c r="L2" i="6"/>
  <c r="I2" i="6"/>
  <c r="F2" i="6"/>
  <c r="D2" i="6"/>
  <c r="E2" i="6" s="1"/>
  <c r="D2" i="5"/>
  <c r="D3" i="5"/>
  <c r="F3" i="5" s="1"/>
  <c r="D4" i="5"/>
  <c r="F4" i="5" s="1"/>
  <c r="D5" i="5"/>
  <c r="F5" i="5" s="1"/>
  <c r="D6" i="5"/>
  <c r="F6" i="5" s="1"/>
  <c r="D7" i="5"/>
  <c r="F7" i="5" s="1"/>
  <c r="D8" i="5"/>
  <c r="F8" i="5" s="1"/>
  <c r="D9" i="5"/>
  <c r="F9" i="5" s="1"/>
  <c r="D10" i="5"/>
  <c r="F10" i="5" s="1"/>
  <c r="D11" i="5"/>
  <c r="F11" i="5" s="1"/>
  <c r="D12" i="5"/>
  <c r="F12" i="5" s="1"/>
  <c r="D13" i="5"/>
  <c r="F13" i="5" s="1"/>
  <c r="D14" i="5"/>
  <c r="F14" i="5" s="1"/>
  <c r="D15" i="5"/>
  <c r="F15" i="5" s="1"/>
  <c r="D16" i="5"/>
  <c r="F16" i="5" s="1"/>
  <c r="D17" i="5"/>
  <c r="F17" i="5" s="1"/>
  <c r="D18" i="5"/>
  <c r="F18" i="5" s="1"/>
  <c r="D19" i="5"/>
  <c r="F19" i="5" s="1"/>
  <c r="D20" i="5"/>
  <c r="F20" i="5" s="1"/>
  <c r="D21" i="5"/>
  <c r="F21" i="5" s="1"/>
  <c r="D22" i="5"/>
  <c r="F22" i="5" s="1"/>
  <c r="D23" i="5"/>
  <c r="F23" i="5" s="1"/>
  <c r="D24" i="5"/>
  <c r="F24" i="5" s="1"/>
  <c r="D25" i="5"/>
  <c r="F25" i="5" s="1"/>
  <c r="D26" i="5"/>
  <c r="F26" i="5" s="1"/>
  <c r="D27" i="5"/>
  <c r="F27" i="5" s="1"/>
  <c r="D28" i="5"/>
  <c r="F28" i="5" s="1"/>
  <c r="D29" i="5"/>
  <c r="F29" i="5" s="1"/>
  <c r="D30" i="5"/>
  <c r="F30" i="5" s="1"/>
  <c r="D31" i="5"/>
  <c r="F31" i="5" s="1"/>
  <c r="D32" i="5"/>
  <c r="F32" i="5" s="1"/>
  <c r="D33" i="5"/>
  <c r="F33" i="5" s="1"/>
  <c r="D34" i="5"/>
  <c r="F34" i="5" s="1"/>
  <c r="D35" i="5"/>
  <c r="F35" i="5" s="1"/>
  <c r="D36" i="5"/>
  <c r="F36" i="5" s="1"/>
  <c r="D37" i="5"/>
  <c r="F37" i="5" s="1"/>
  <c r="D38" i="5"/>
  <c r="F38" i="5" s="1"/>
  <c r="D39" i="5"/>
  <c r="F39" i="5" s="1"/>
  <c r="D40" i="5"/>
  <c r="F40" i="5" s="1"/>
  <c r="D41" i="5"/>
  <c r="F41" i="5" s="1"/>
  <c r="D42" i="5"/>
  <c r="F42" i="5" s="1"/>
  <c r="D43" i="5"/>
  <c r="F43" i="5" s="1"/>
  <c r="D44" i="5"/>
  <c r="F44" i="5" s="1"/>
  <c r="D45" i="5"/>
  <c r="F45" i="5" s="1"/>
  <c r="D46" i="5"/>
  <c r="F46" i="5" s="1"/>
  <c r="D47" i="5"/>
  <c r="F47" i="5" s="1"/>
  <c r="D48" i="5"/>
  <c r="F48" i="5" s="1"/>
  <c r="D49" i="5"/>
  <c r="F49" i="5" s="1"/>
  <c r="D50" i="5"/>
  <c r="F50" i="5" s="1"/>
  <c r="D51" i="5"/>
  <c r="F51" i="5" s="1"/>
  <c r="D52" i="5"/>
  <c r="F52" i="5" s="1"/>
  <c r="D53" i="5"/>
  <c r="F53" i="5" s="1"/>
  <c r="D54" i="5"/>
  <c r="F54" i="5" s="1"/>
  <c r="D55" i="5"/>
  <c r="F55" i="5" s="1"/>
  <c r="D56" i="5"/>
  <c r="F56" i="5" s="1"/>
  <c r="D57" i="5"/>
  <c r="F57" i="5" s="1"/>
  <c r="D58" i="5"/>
  <c r="F58" i="5" s="1"/>
  <c r="D59" i="5"/>
  <c r="F59" i="5" s="1"/>
  <c r="D60" i="5"/>
  <c r="F60" i="5" s="1"/>
  <c r="D61" i="5"/>
  <c r="F61" i="5" s="1"/>
  <c r="D62" i="5"/>
  <c r="F62" i="5" s="1"/>
  <c r="D63" i="5"/>
  <c r="F63" i="5" s="1"/>
  <c r="D64" i="5"/>
  <c r="F64" i="5" s="1"/>
  <c r="D65" i="5"/>
  <c r="F65" i="5" s="1"/>
  <c r="D66" i="5"/>
  <c r="F66" i="5" s="1"/>
  <c r="D67" i="5"/>
  <c r="F67" i="5" s="1"/>
  <c r="D68" i="5"/>
  <c r="F68" i="5" s="1"/>
  <c r="D69" i="5"/>
  <c r="F69" i="5" s="1"/>
  <c r="D70" i="5"/>
  <c r="F70" i="5" s="1"/>
  <c r="D71" i="5"/>
  <c r="F71" i="5" s="1"/>
  <c r="D72" i="5"/>
  <c r="F72" i="5" s="1"/>
  <c r="D73" i="5"/>
  <c r="F73" i="5" s="1"/>
  <c r="D74" i="5"/>
  <c r="F74" i="5" s="1"/>
  <c r="D75" i="5"/>
  <c r="F75" i="5" s="1"/>
  <c r="D76" i="5"/>
  <c r="F76" i="5" s="1"/>
  <c r="D77" i="5"/>
  <c r="F77" i="5" s="1"/>
  <c r="D78" i="5"/>
  <c r="F78" i="5" s="1"/>
  <c r="D79" i="5"/>
  <c r="F79" i="5" s="1"/>
  <c r="D80" i="5"/>
  <c r="F80" i="5" s="1"/>
  <c r="D81" i="5"/>
  <c r="F81" i="5" s="1"/>
  <c r="D82" i="5"/>
  <c r="F82" i="5" s="1"/>
  <c r="D83" i="5"/>
  <c r="F83" i="5" s="1"/>
  <c r="D84" i="5"/>
  <c r="F84" i="5" s="1"/>
  <c r="D85" i="5"/>
  <c r="F85" i="5" s="1"/>
  <c r="D86" i="5"/>
  <c r="F86" i="5" s="1"/>
  <c r="D87" i="5"/>
  <c r="F87" i="5" s="1"/>
  <c r="D88" i="5"/>
  <c r="F88" i="5" s="1"/>
  <c r="D89" i="5"/>
  <c r="F89" i="5" s="1"/>
  <c r="D90" i="5"/>
  <c r="F90" i="5" s="1"/>
  <c r="D91" i="5"/>
  <c r="F91" i="5" s="1"/>
  <c r="D92" i="5"/>
  <c r="F92" i="5" s="1"/>
  <c r="D93" i="5"/>
  <c r="F93" i="5" s="1"/>
  <c r="D94" i="5"/>
  <c r="F94" i="5" s="1"/>
  <c r="D95" i="5"/>
  <c r="F95" i="5" s="1"/>
  <c r="D96" i="5"/>
  <c r="F96" i="5" s="1"/>
  <c r="D97" i="5"/>
  <c r="F97" i="5" s="1"/>
  <c r="D98" i="5"/>
  <c r="F98" i="5" s="1"/>
  <c r="D99" i="5"/>
  <c r="F99" i="5" s="1"/>
  <c r="D100" i="5"/>
  <c r="F100" i="5" s="1"/>
  <c r="D101" i="5"/>
  <c r="F101" i="5" s="1"/>
  <c r="D102" i="5"/>
  <c r="F102" i="5" s="1"/>
  <c r="D103" i="5"/>
  <c r="F103" i="5" s="1"/>
  <c r="D104" i="5"/>
  <c r="F104" i="5" s="1"/>
  <c r="D105" i="5"/>
  <c r="F105" i="5" s="1"/>
  <c r="D106" i="5"/>
  <c r="F106" i="5" s="1"/>
  <c r="D107" i="5"/>
  <c r="F107" i="5" s="1"/>
  <c r="D108" i="5"/>
  <c r="F108" i="5" s="1"/>
  <c r="D109" i="5"/>
  <c r="F109" i="5" s="1"/>
  <c r="D110" i="5"/>
  <c r="F110" i="5" s="1"/>
  <c r="D111" i="5"/>
  <c r="F111" i="5" s="1"/>
  <c r="D112" i="5"/>
  <c r="F112" i="5" s="1"/>
  <c r="D113" i="5"/>
  <c r="F113" i="5" s="1"/>
  <c r="D114" i="5"/>
  <c r="F114" i="5" s="1"/>
  <c r="D115" i="5"/>
  <c r="F115" i="5" s="1"/>
  <c r="D116" i="5"/>
  <c r="F116" i="5" s="1"/>
  <c r="D117" i="5"/>
  <c r="F117" i="5" s="1"/>
  <c r="D118" i="5"/>
  <c r="F118" i="5" s="1"/>
  <c r="D119" i="5"/>
  <c r="F119" i="5" s="1"/>
  <c r="D120" i="5"/>
  <c r="F120" i="5" s="1"/>
  <c r="D121" i="5"/>
  <c r="F121" i="5" s="1"/>
  <c r="D122" i="5"/>
  <c r="F122" i="5" s="1"/>
  <c r="D123" i="5"/>
  <c r="F123" i="5" s="1"/>
  <c r="D124" i="5"/>
  <c r="F124" i="5" s="1"/>
  <c r="D125" i="5"/>
  <c r="F125" i="5" s="1"/>
  <c r="D126" i="5"/>
  <c r="F126" i="5" s="1"/>
  <c r="D127" i="5"/>
  <c r="F127" i="5" s="1"/>
  <c r="D128" i="5"/>
  <c r="F128" i="5" s="1"/>
  <c r="D129" i="5"/>
  <c r="F129" i="5" s="1"/>
  <c r="D130" i="5"/>
  <c r="F130" i="5" s="1"/>
  <c r="D131" i="5"/>
  <c r="F131" i="5" s="1"/>
  <c r="D132" i="5"/>
  <c r="F132" i="5" s="1"/>
  <c r="D133" i="5"/>
  <c r="F133" i="5" s="1"/>
  <c r="D134" i="5"/>
  <c r="F134" i="5" s="1"/>
  <c r="D135" i="5"/>
  <c r="F135" i="5" s="1"/>
  <c r="D136" i="5"/>
  <c r="F136" i="5" s="1"/>
  <c r="D137" i="5"/>
  <c r="F137" i="5" s="1"/>
  <c r="D138" i="5"/>
  <c r="F138" i="5" s="1"/>
  <c r="D139" i="5"/>
  <c r="F139" i="5" s="1"/>
  <c r="D140" i="5"/>
  <c r="F140" i="5" s="1"/>
  <c r="D141" i="5"/>
  <c r="F141" i="5" s="1"/>
  <c r="D142" i="5"/>
  <c r="F142" i="5" s="1"/>
  <c r="D143" i="5"/>
  <c r="F143" i="5" s="1"/>
  <c r="D144" i="5"/>
  <c r="F144" i="5" s="1"/>
  <c r="D145" i="5"/>
  <c r="F145" i="5" s="1"/>
  <c r="D146" i="5"/>
  <c r="F146" i="5" s="1"/>
  <c r="D147" i="5"/>
  <c r="F147" i="5" s="1"/>
  <c r="D148" i="5"/>
  <c r="F148" i="5" s="1"/>
  <c r="D149" i="5"/>
  <c r="F149" i="5" s="1"/>
  <c r="D150" i="5"/>
  <c r="F150" i="5" s="1"/>
  <c r="D151" i="5"/>
  <c r="F151" i="5" s="1"/>
  <c r="D152" i="5"/>
  <c r="F152" i="5" s="1"/>
  <c r="D153" i="5"/>
  <c r="F153" i="5" s="1"/>
  <c r="D154" i="5"/>
  <c r="F154" i="5" s="1"/>
  <c r="D155" i="5"/>
  <c r="F155" i="5" s="1"/>
  <c r="D156" i="5"/>
  <c r="F156" i="5" s="1"/>
  <c r="D157" i="5"/>
  <c r="F157" i="5" s="1"/>
  <c r="D158" i="5"/>
  <c r="F158" i="5" s="1"/>
  <c r="D159" i="5"/>
  <c r="F159" i="5" s="1"/>
  <c r="D160" i="5"/>
  <c r="F160" i="5" s="1"/>
  <c r="D161" i="5"/>
  <c r="F161" i="5" s="1"/>
  <c r="D162" i="5"/>
  <c r="F162" i="5" s="1"/>
  <c r="D163" i="5"/>
  <c r="F163" i="5" s="1"/>
  <c r="D164" i="5"/>
  <c r="F164" i="5" s="1"/>
  <c r="D165" i="5"/>
  <c r="F165" i="5" s="1"/>
  <c r="D166" i="5"/>
  <c r="F166" i="5" s="1"/>
  <c r="D167" i="5"/>
  <c r="F167" i="5" s="1"/>
  <c r="D168" i="5"/>
  <c r="F168" i="5" s="1"/>
  <c r="D169" i="5"/>
  <c r="F169" i="5" s="1"/>
  <c r="D170" i="5"/>
  <c r="F170" i="5" s="1"/>
  <c r="D171" i="5"/>
  <c r="F171" i="5" s="1"/>
  <c r="D172" i="5"/>
  <c r="F172" i="5" s="1"/>
  <c r="D173" i="5"/>
  <c r="F173" i="5" s="1"/>
  <c r="D174" i="5"/>
  <c r="F174" i="5" s="1"/>
  <c r="D175" i="5"/>
  <c r="F175" i="5" s="1"/>
  <c r="D176" i="5"/>
  <c r="F176" i="5" s="1"/>
  <c r="D177" i="5"/>
  <c r="F177" i="5" s="1"/>
  <c r="D178" i="5"/>
  <c r="F178" i="5" s="1"/>
  <c r="D179" i="5"/>
  <c r="F179" i="5" s="1"/>
  <c r="D180" i="5"/>
  <c r="F180" i="5" s="1"/>
  <c r="D181" i="5"/>
  <c r="F181" i="5" s="1"/>
  <c r="D182" i="5"/>
  <c r="F182" i="5" s="1"/>
  <c r="D183" i="5"/>
  <c r="F183" i="5" s="1"/>
  <c r="D184" i="5"/>
  <c r="F184" i="5" s="1"/>
  <c r="D185" i="5"/>
  <c r="F185" i="5" s="1"/>
  <c r="D186" i="5"/>
  <c r="F186" i="5" s="1"/>
  <c r="D187" i="5"/>
  <c r="F187" i="5" s="1"/>
  <c r="D188" i="5"/>
  <c r="F188" i="5" s="1"/>
  <c r="D189" i="5"/>
  <c r="F189" i="5" s="1"/>
  <c r="D190" i="5"/>
  <c r="F190" i="5" s="1"/>
  <c r="D191" i="5"/>
  <c r="F191" i="5" s="1"/>
  <c r="D192" i="5"/>
  <c r="F192" i="5" s="1"/>
  <c r="D193" i="5"/>
  <c r="F193" i="5" s="1"/>
  <c r="D194" i="5"/>
  <c r="F194" i="5" s="1"/>
  <c r="D195" i="5"/>
  <c r="F195" i="5" s="1"/>
  <c r="D196" i="5"/>
  <c r="F196" i="5" s="1"/>
  <c r="D197" i="5"/>
  <c r="F197" i="5" s="1"/>
  <c r="D198" i="5"/>
  <c r="F198" i="5" s="1"/>
  <c r="D199" i="5"/>
  <c r="F199" i="5" s="1"/>
  <c r="D200" i="5"/>
  <c r="F200" i="5" s="1"/>
  <c r="D201" i="5"/>
  <c r="F201" i="5" s="1"/>
  <c r="D202" i="5"/>
  <c r="F202" i="5" s="1"/>
  <c r="D203" i="5"/>
  <c r="F203" i="5" s="1"/>
  <c r="D204" i="5"/>
  <c r="F204" i="5" s="1"/>
  <c r="D205" i="5"/>
  <c r="F205" i="5" s="1"/>
  <c r="D206" i="5"/>
  <c r="F206" i="5" s="1"/>
  <c r="D207" i="5"/>
  <c r="F207" i="5" s="1"/>
  <c r="D208" i="5"/>
  <c r="F208" i="5" s="1"/>
  <c r="D209" i="5"/>
  <c r="F209" i="5" s="1"/>
  <c r="D210" i="5"/>
  <c r="F210" i="5" s="1"/>
  <c r="D211" i="5"/>
  <c r="F211" i="5" s="1"/>
  <c r="D212" i="5"/>
  <c r="F212" i="5" s="1"/>
  <c r="D213" i="5"/>
  <c r="F213" i="5" s="1"/>
  <c r="D214" i="5"/>
  <c r="F214" i="5" s="1"/>
  <c r="D215" i="5"/>
  <c r="F215" i="5" s="1"/>
  <c r="D216" i="5"/>
  <c r="F216" i="5" s="1"/>
  <c r="D217" i="5"/>
  <c r="F217" i="5" s="1"/>
  <c r="D218" i="5"/>
  <c r="F218" i="5" s="1"/>
  <c r="D219" i="5"/>
  <c r="F219" i="5" s="1"/>
  <c r="D220" i="5"/>
  <c r="F220" i="5" s="1"/>
  <c r="D221" i="5"/>
  <c r="F221" i="5" s="1"/>
  <c r="D222" i="5"/>
  <c r="F222" i="5" s="1"/>
  <c r="D223" i="5"/>
  <c r="F223" i="5" s="1"/>
  <c r="D224" i="5"/>
  <c r="F224" i="5" s="1"/>
  <c r="D225" i="5"/>
  <c r="F225" i="5" s="1"/>
  <c r="D226" i="5"/>
  <c r="F226" i="5" s="1"/>
  <c r="D227" i="5"/>
  <c r="F227" i="5" s="1"/>
  <c r="D228" i="5"/>
  <c r="F228" i="5" s="1"/>
  <c r="D229" i="5"/>
  <c r="F229" i="5" s="1"/>
  <c r="D230" i="5"/>
  <c r="F230" i="5" s="1"/>
  <c r="D231" i="5"/>
  <c r="F231" i="5" s="1"/>
  <c r="D232" i="5"/>
  <c r="F232" i="5" s="1"/>
  <c r="D233" i="5"/>
  <c r="F233" i="5" s="1"/>
  <c r="D234" i="5"/>
  <c r="F234" i="5" s="1"/>
  <c r="D235" i="5"/>
  <c r="F235" i="5" s="1"/>
  <c r="D236" i="5"/>
  <c r="F236" i="5" s="1"/>
  <c r="D237" i="5"/>
  <c r="F237" i="5" s="1"/>
  <c r="D238" i="5"/>
  <c r="F238" i="5" s="1"/>
  <c r="D239" i="5"/>
  <c r="F239" i="5" s="1"/>
  <c r="D240" i="5"/>
  <c r="F240" i="5" s="1"/>
  <c r="D241" i="5"/>
  <c r="F241" i="5" s="1"/>
  <c r="D242" i="5"/>
  <c r="F242" i="5" s="1"/>
  <c r="D243" i="5"/>
  <c r="F243" i="5" s="1"/>
  <c r="D244" i="5"/>
  <c r="F244" i="5" s="1"/>
  <c r="D245" i="5"/>
  <c r="F245" i="5" s="1"/>
  <c r="D246" i="5"/>
  <c r="F246" i="5" s="1"/>
  <c r="D247" i="5"/>
  <c r="F247" i="5" s="1"/>
  <c r="D248" i="5"/>
  <c r="F248" i="5" s="1"/>
  <c r="D249" i="5"/>
  <c r="F249" i="5" s="1"/>
  <c r="D250" i="5"/>
  <c r="F250" i="5" s="1"/>
  <c r="D251" i="5"/>
  <c r="F251" i="5" s="1"/>
  <c r="D252" i="5"/>
  <c r="F252" i="5" s="1"/>
  <c r="D253" i="5"/>
  <c r="F253" i="5" s="1"/>
  <c r="D254" i="5"/>
  <c r="F254" i="5" s="1"/>
  <c r="D255" i="5"/>
  <c r="F255" i="5" s="1"/>
  <c r="D256" i="5"/>
  <c r="F256" i="5" s="1"/>
  <c r="D257" i="5"/>
  <c r="F257" i="5" s="1"/>
  <c r="D258" i="5"/>
  <c r="F258" i="5" s="1"/>
  <c r="D259" i="5"/>
  <c r="F259" i="5" s="1"/>
  <c r="D260" i="5"/>
  <c r="F260" i="5" s="1"/>
  <c r="D261" i="5"/>
  <c r="F261" i="5" s="1"/>
  <c r="D262" i="5"/>
  <c r="F262" i="5" s="1"/>
  <c r="D263" i="5"/>
  <c r="F263" i="5" s="1"/>
  <c r="D264" i="5"/>
  <c r="F264" i="5" s="1"/>
  <c r="D265" i="5"/>
  <c r="F265" i="5" s="1"/>
  <c r="D266" i="5"/>
  <c r="F266" i="5" s="1"/>
  <c r="D267" i="5"/>
  <c r="F267" i="5" s="1"/>
  <c r="D268" i="5"/>
  <c r="F268" i="5" s="1"/>
  <c r="D269" i="5"/>
  <c r="F269" i="5" s="1"/>
  <c r="D270" i="5"/>
  <c r="F270" i="5" s="1"/>
  <c r="D271" i="5"/>
  <c r="F271" i="5" s="1"/>
  <c r="D272" i="5"/>
  <c r="F272" i="5" s="1"/>
  <c r="D273" i="5"/>
  <c r="F273" i="5" s="1"/>
  <c r="D274" i="5"/>
  <c r="F274" i="5" s="1"/>
  <c r="D275" i="5"/>
  <c r="F275" i="5" s="1"/>
  <c r="D276" i="5"/>
  <c r="F276" i="5" s="1"/>
  <c r="D277" i="5"/>
  <c r="F277" i="5" s="1"/>
  <c r="D278" i="5"/>
  <c r="F278" i="5" s="1"/>
  <c r="D279" i="5"/>
  <c r="F279" i="5" s="1"/>
  <c r="D280" i="5"/>
  <c r="F280" i="5" s="1"/>
  <c r="D281" i="5"/>
  <c r="F281" i="5" s="1"/>
  <c r="D282" i="5"/>
  <c r="F282" i="5" s="1"/>
  <c r="D283" i="5"/>
  <c r="F283" i="5" s="1"/>
  <c r="D284" i="5"/>
  <c r="F284" i="5" s="1"/>
  <c r="D285" i="5"/>
  <c r="F285" i="5" s="1"/>
  <c r="D286" i="5"/>
  <c r="F286" i="5" s="1"/>
  <c r="D287" i="5"/>
  <c r="F287" i="5" s="1"/>
  <c r="D288" i="5"/>
  <c r="F288" i="5" s="1"/>
  <c r="D289" i="5"/>
  <c r="F289" i="5" s="1"/>
  <c r="D290" i="5"/>
  <c r="F290" i="5" s="1"/>
  <c r="D291" i="5"/>
  <c r="F291" i="5" s="1"/>
  <c r="D292" i="5"/>
  <c r="F292" i="5" s="1"/>
  <c r="D293" i="5"/>
  <c r="F293" i="5" s="1"/>
  <c r="D294" i="5"/>
  <c r="F294" i="5" s="1"/>
  <c r="D295" i="5"/>
  <c r="F295" i="5" s="1"/>
  <c r="D296" i="5"/>
  <c r="F296" i="5" s="1"/>
  <c r="D297" i="5"/>
  <c r="F297" i="5" s="1"/>
  <c r="D298" i="5"/>
  <c r="F298" i="5" s="1"/>
  <c r="D299" i="5"/>
  <c r="F299" i="5" s="1"/>
  <c r="D300" i="5"/>
  <c r="F300" i="5" s="1"/>
  <c r="D301" i="5"/>
  <c r="F301" i="5" s="1"/>
  <c r="D302" i="5"/>
  <c r="F302" i="5" s="1"/>
  <c r="D303" i="5"/>
  <c r="F303" i="5" s="1"/>
  <c r="D304" i="5"/>
  <c r="F304" i="5" s="1"/>
  <c r="D305" i="5"/>
  <c r="F305" i="5" s="1"/>
  <c r="D306" i="5"/>
  <c r="F306" i="5" s="1"/>
  <c r="D307" i="5"/>
  <c r="F307" i="5" s="1"/>
  <c r="D308" i="5"/>
  <c r="F308" i="5" s="1"/>
  <c r="D309" i="5"/>
  <c r="F309" i="5" s="1"/>
  <c r="D310" i="5"/>
  <c r="F310" i="5" s="1"/>
  <c r="D311" i="5"/>
  <c r="F311" i="5" s="1"/>
  <c r="D312" i="5"/>
  <c r="F312" i="5" s="1"/>
  <c r="D313" i="5"/>
  <c r="F313" i="5" s="1"/>
  <c r="D314" i="5"/>
  <c r="F314" i="5" s="1"/>
  <c r="D315" i="5"/>
  <c r="F315" i="5" s="1"/>
  <c r="D316" i="5"/>
  <c r="F316" i="5" s="1"/>
  <c r="D317" i="5"/>
  <c r="F317" i="5" s="1"/>
  <c r="D318" i="5"/>
  <c r="F318" i="5" s="1"/>
  <c r="D319" i="5"/>
  <c r="F319" i="5" s="1"/>
  <c r="D320" i="5"/>
  <c r="F320" i="5" s="1"/>
  <c r="D321" i="5"/>
  <c r="F321" i="5" s="1"/>
  <c r="D322" i="5"/>
  <c r="F322" i="5" s="1"/>
  <c r="D323" i="5"/>
  <c r="F323" i="5" s="1"/>
  <c r="D324" i="5"/>
  <c r="F324" i="5" s="1"/>
  <c r="D325" i="5"/>
  <c r="F325" i="5" s="1"/>
  <c r="D326" i="5"/>
  <c r="F326" i="5" s="1"/>
  <c r="D327" i="5"/>
  <c r="F327" i="5" s="1"/>
  <c r="D328" i="5"/>
  <c r="F328" i="5" s="1"/>
  <c r="D329" i="5"/>
  <c r="F329" i="5" s="1"/>
  <c r="D330" i="5"/>
  <c r="F330" i="5" s="1"/>
  <c r="D331" i="5"/>
  <c r="F331" i="5" s="1"/>
  <c r="D332" i="5"/>
  <c r="F332" i="5" s="1"/>
  <c r="D333" i="5"/>
  <c r="F333" i="5" s="1"/>
  <c r="D334" i="5"/>
  <c r="F334" i="5" s="1"/>
  <c r="D335" i="5"/>
  <c r="F335" i="5" s="1"/>
  <c r="D336" i="5"/>
  <c r="F336" i="5" s="1"/>
  <c r="D337" i="5"/>
  <c r="F337" i="5" s="1"/>
  <c r="D338" i="5"/>
  <c r="F338" i="5" s="1"/>
  <c r="D339" i="5"/>
  <c r="F339" i="5" s="1"/>
  <c r="D340" i="5"/>
  <c r="F340" i="5" s="1"/>
  <c r="D341" i="5"/>
  <c r="F341" i="5" s="1"/>
  <c r="D342" i="5"/>
  <c r="F342" i="5" s="1"/>
  <c r="D343" i="5"/>
  <c r="F343" i="5" s="1"/>
  <c r="D344" i="5"/>
  <c r="F344" i="5" s="1"/>
  <c r="D345" i="5"/>
  <c r="F345" i="5" s="1"/>
  <c r="D346" i="5"/>
  <c r="F346" i="5" s="1"/>
  <c r="D347" i="5"/>
  <c r="F347" i="5" s="1"/>
  <c r="D348" i="5"/>
  <c r="F348" i="5" s="1"/>
  <c r="D349" i="5"/>
  <c r="F349" i="5" s="1"/>
  <c r="D350" i="5"/>
  <c r="F350" i="5" s="1"/>
  <c r="D351" i="5"/>
  <c r="F351" i="5" s="1"/>
  <c r="D352" i="5"/>
  <c r="F352" i="5" s="1"/>
  <c r="D353" i="5"/>
  <c r="F353" i="5" s="1"/>
  <c r="D354" i="5"/>
  <c r="F354" i="5" s="1"/>
  <c r="D355" i="5"/>
  <c r="F355" i="5" s="1"/>
  <c r="D356" i="5"/>
  <c r="F356" i="5" s="1"/>
  <c r="D357" i="5"/>
  <c r="F357" i="5" s="1"/>
  <c r="D358" i="5"/>
  <c r="F358" i="5" s="1"/>
  <c r="D359" i="5"/>
  <c r="F359" i="5" s="1"/>
  <c r="D360" i="5"/>
  <c r="F360" i="5" s="1"/>
  <c r="D361" i="5"/>
  <c r="F361" i="5" s="1"/>
  <c r="D362" i="5"/>
  <c r="F362" i="5" s="1"/>
  <c r="D363" i="5"/>
  <c r="F363" i="5" s="1"/>
  <c r="D364" i="5"/>
  <c r="F364" i="5" s="1"/>
  <c r="D365" i="5"/>
  <c r="F365" i="5" s="1"/>
  <c r="D366" i="5"/>
  <c r="F366" i="5" s="1"/>
  <c r="D367" i="5"/>
  <c r="F367" i="5" s="1"/>
  <c r="D368" i="5"/>
  <c r="F368" i="5" s="1"/>
  <c r="D369" i="5"/>
  <c r="F369" i="5" s="1"/>
  <c r="D370" i="5"/>
  <c r="F370" i="5" s="1"/>
  <c r="D371" i="5"/>
  <c r="F371" i="5" s="1"/>
  <c r="D372" i="5"/>
  <c r="F372" i="5" s="1"/>
  <c r="D373" i="5"/>
  <c r="F373" i="5" s="1"/>
  <c r="D374" i="5"/>
  <c r="F374" i="5" s="1"/>
  <c r="D375" i="5"/>
  <c r="F375" i="5" s="1"/>
  <c r="D376" i="5"/>
  <c r="F376" i="5" s="1"/>
  <c r="D377" i="5"/>
  <c r="F377" i="5" s="1"/>
  <c r="D378" i="5"/>
  <c r="F378" i="5" s="1"/>
  <c r="D379" i="5"/>
  <c r="F379" i="5" s="1"/>
  <c r="D380" i="5"/>
  <c r="F380" i="5" s="1"/>
  <c r="D381" i="5"/>
  <c r="F381" i="5" s="1"/>
  <c r="D382" i="5"/>
  <c r="F382" i="5" s="1"/>
  <c r="D383" i="5"/>
  <c r="F383" i="5" s="1"/>
  <c r="D384" i="5"/>
  <c r="F384" i="5" s="1"/>
  <c r="D385" i="5"/>
  <c r="F385" i="5" s="1"/>
  <c r="D386" i="5"/>
  <c r="F386" i="5" s="1"/>
  <c r="D387" i="5"/>
  <c r="F387" i="5" s="1"/>
  <c r="D388" i="5"/>
  <c r="F388" i="5" s="1"/>
  <c r="D389" i="5"/>
  <c r="F389" i="5" s="1"/>
  <c r="D390" i="5"/>
  <c r="F390" i="5" s="1"/>
  <c r="D391" i="5"/>
  <c r="F391" i="5" s="1"/>
  <c r="D392" i="5"/>
  <c r="F392" i="5" s="1"/>
  <c r="D393" i="5"/>
  <c r="F393" i="5" s="1"/>
  <c r="D394" i="5"/>
  <c r="F394" i="5" s="1"/>
  <c r="D395" i="5"/>
  <c r="F395" i="5" s="1"/>
  <c r="D396" i="5"/>
  <c r="F396" i="5" s="1"/>
  <c r="D397" i="5"/>
  <c r="F397" i="5" s="1"/>
  <c r="D398" i="5"/>
  <c r="F398" i="5" s="1"/>
  <c r="D399" i="5"/>
  <c r="F399" i="5" s="1"/>
  <c r="D400" i="5"/>
  <c r="F400" i="5" s="1"/>
  <c r="D401" i="5"/>
  <c r="F401" i="5" s="1"/>
  <c r="D402" i="5"/>
  <c r="F402" i="5" s="1"/>
  <c r="D403" i="5"/>
  <c r="F403" i="5" s="1"/>
  <c r="D404" i="5"/>
  <c r="F404" i="5" s="1"/>
  <c r="D405" i="5"/>
  <c r="F405" i="5" s="1"/>
  <c r="D406" i="5"/>
  <c r="F406" i="5" s="1"/>
  <c r="D407" i="5"/>
  <c r="F407" i="5" s="1"/>
  <c r="D408" i="5"/>
  <c r="F408" i="5" s="1"/>
  <c r="D409" i="5"/>
  <c r="F409" i="5" s="1"/>
  <c r="D410" i="5"/>
  <c r="F410" i="5" s="1"/>
  <c r="D411" i="5"/>
  <c r="F411" i="5" s="1"/>
  <c r="D412" i="5"/>
  <c r="F412" i="5" s="1"/>
  <c r="D413" i="5"/>
  <c r="F413" i="5" s="1"/>
  <c r="D414" i="5"/>
  <c r="F414" i="5" s="1"/>
  <c r="D415" i="5"/>
  <c r="F415" i="5" s="1"/>
  <c r="D416" i="5"/>
  <c r="F416" i="5" s="1"/>
  <c r="D417" i="5"/>
  <c r="F417" i="5" s="1"/>
  <c r="D418" i="5"/>
  <c r="F418" i="5" s="1"/>
  <c r="D419" i="5"/>
  <c r="F419" i="5" s="1"/>
  <c r="D420" i="5"/>
  <c r="F420" i="5" s="1"/>
  <c r="D421" i="5"/>
  <c r="F421" i="5" s="1"/>
  <c r="D422" i="5"/>
  <c r="F422" i="5" s="1"/>
  <c r="D423" i="5"/>
  <c r="F423" i="5" s="1"/>
  <c r="D424" i="5"/>
  <c r="F424" i="5" s="1"/>
  <c r="D425" i="5"/>
  <c r="F425" i="5" s="1"/>
  <c r="D426" i="5"/>
  <c r="F426" i="5" s="1"/>
  <c r="D427" i="5"/>
  <c r="F427" i="5" s="1"/>
  <c r="D428" i="5"/>
  <c r="F428" i="5" s="1"/>
  <c r="D429" i="5"/>
  <c r="F429" i="5" s="1"/>
  <c r="D430" i="5"/>
  <c r="F430" i="5" s="1"/>
  <c r="D431" i="5"/>
  <c r="F431" i="5" s="1"/>
  <c r="D432" i="5"/>
  <c r="F432" i="5" s="1"/>
  <c r="D433" i="5"/>
  <c r="F433" i="5" s="1"/>
  <c r="D434" i="5"/>
  <c r="F434" i="5" s="1"/>
  <c r="D435" i="5"/>
  <c r="F435" i="5" s="1"/>
  <c r="D436" i="5"/>
  <c r="F436" i="5" s="1"/>
  <c r="D437" i="5"/>
  <c r="F437" i="5" s="1"/>
  <c r="D438" i="5"/>
  <c r="F438" i="5" s="1"/>
  <c r="D439" i="5"/>
  <c r="F439" i="5" s="1"/>
  <c r="D440" i="5"/>
  <c r="F440" i="5" s="1"/>
  <c r="D441" i="5"/>
  <c r="F441" i="5" s="1"/>
  <c r="D442" i="5"/>
  <c r="F442" i="5" s="1"/>
  <c r="D443" i="5"/>
  <c r="F443" i="5" s="1"/>
  <c r="D444" i="5"/>
  <c r="F444" i="5" s="1"/>
  <c r="D445" i="5"/>
  <c r="F445" i="5" s="1"/>
  <c r="D446" i="5"/>
  <c r="F446" i="5" s="1"/>
  <c r="D447" i="5"/>
  <c r="F447" i="5" s="1"/>
  <c r="D448" i="5"/>
  <c r="F448" i="5" s="1"/>
  <c r="D449" i="5"/>
  <c r="F449" i="5" s="1"/>
  <c r="D450" i="5"/>
  <c r="F450" i="5" s="1"/>
  <c r="D451" i="5"/>
  <c r="F451" i="5" s="1"/>
  <c r="D452" i="5"/>
  <c r="F452" i="5" s="1"/>
  <c r="D453" i="5"/>
  <c r="F453" i="5" s="1"/>
  <c r="D454" i="5"/>
  <c r="F454" i="5" s="1"/>
  <c r="D455" i="5"/>
  <c r="F455" i="5" s="1"/>
  <c r="D456" i="5"/>
  <c r="F456" i="5" s="1"/>
  <c r="D457" i="5"/>
  <c r="F457" i="5" s="1"/>
  <c r="D458" i="5"/>
  <c r="F458" i="5" s="1"/>
  <c r="D459" i="5"/>
  <c r="F459" i="5" s="1"/>
  <c r="D460" i="5"/>
  <c r="F460" i="5" s="1"/>
  <c r="D461" i="5"/>
  <c r="F461" i="5" s="1"/>
  <c r="D462" i="5"/>
  <c r="F462" i="5" s="1"/>
  <c r="D463" i="5"/>
  <c r="F463" i="5" s="1"/>
  <c r="D464" i="5"/>
  <c r="F464" i="5" s="1"/>
  <c r="D465" i="5"/>
  <c r="F465" i="5" s="1"/>
  <c r="D466" i="5"/>
  <c r="F466" i="5" s="1"/>
  <c r="D467" i="5"/>
  <c r="F467" i="5" s="1"/>
  <c r="D468" i="5"/>
  <c r="F468" i="5" s="1"/>
  <c r="D469" i="5"/>
  <c r="F469" i="5" s="1"/>
  <c r="D470" i="5"/>
  <c r="F470" i="5" s="1"/>
  <c r="D471" i="5"/>
  <c r="F471" i="5" s="1"/>
  <c r="D472" i="5"/>
  <c r="F472" i="5" s="1"/>
  <c r="D473" i="5"/>
  <c r="F473" i="5" s="1"/>
  <c r="D474" i="5"/>
  <c r="F474" i="5" s="1"/>
  <c r="D475" i="5"/>
  <c r="F475" i="5" s="1"/>
  <c r="D476" i="5"/>
  <c r="F476" i="5" s="1"/>
  <c r="D477" i="5"/>
  <c r="F477" i="5" s="1"/>
  <c r="D478" i="5"/>
  <c r="F478" i="5" s="1"/>
  <c r="D479" i="5"/>
  <c r="F479" i="5" s="1"/>
  <c r="D480" i="5"/>
  <c r="F480" i="5" s="1"/>
  <c r="D481" i="5"/>
  <c r="F481" i="5" s="1"/>
  <c r="D482" i="5"/>
  <c r="F482" i="5" s="1"/>
  <c r="D483" i="5"/>
  <c r="F483" i="5" s="1"/>
  <c r="D484" i="5"/>
  <c r="F484" i="5" s="1"/>
  <c r="D485" i="5"/>
  <c r="F485" i="5" s="1"/>
  <c r="D486" i="5"/>
  <c r="F486" i="5" s="1"/>
  <c r="D487" i="5"/>
  <c r="F487" i="5" s="1"/>
  <c r="D488" i="5"/>
  <c r="F488" i="5" s="1"/>
  <c r="D489" i="5"/>
  <c r="F489" i="5" s="1"/>
  <c r="D490" i="5"/>
  <c r="F490" i="5" s="1"/>
  <c r="D491" i="5"/>
  <c r="F491" i="5" s="1"/>
  <c r="D492" i="5"/>
  <c r="F492" i="5" s="1"/>
  <c r="D493" i="5"/>
  <c r="F493" i="5" s="1"/>
  <c r="D494" i="5"/>
  <c r="F494" i="5" s="1"/>
  <c r="D495" i="5"/>
  <c r="F495" i="5" s="1"/>
  <c r="D496" i="5"/>
  <c r="F496" i="5" s="1"/>
  <c r="D497" i="5"/>
  <c r="F497" i="5" s="1"/>
  <c r="D498" i="5"/>
  <c r="F498" i="5" s="1"/>
  <c r="D499" i="5"/>
  <c r="F499" i="5" s="1"/>
  <c r="D500" i="5"/>
  <c r="F500" i="5" s="1"/>
  <c r="D501" i="5"/>
  <c r="F501" i="5" s="1"/>
  <c r="D502" i="5"/>
  <c r="F502" i="5" s="1"/>
  <c r="D503" i="5"/>
  <c r="F503" i="5" s="1"/>
  <c r="D504" i="5"/>
  <c r="F504" i="5" s="1"/>
  <c r="D505" i="5"/>
  <c r="F505" i="5" s="1"/>
  <c r="D506" i="5"/>
  <c r="F506" i="5" s="1"/>
  <c r="D507" i="5"/>
  <c r="F507" i="5" s="1"/>
  <c r="D508" i="5"/>
  <c r="F508" i="5" s="1"/>
  <c r="D509" i="5"/>
  <c r="F509" i="5" s="1"/>
  <c r="D510" i="5"/>
  <c r="F510" i="5" s="1"/>
  <c r="D511" i="5"/>
  <c r="F511" i="5" s="1"/>
  <c r="D512" i="5"/>
  <c r="F512" i="5" s="1"/>
  <c r="D513" i="5"/>
  <c r="F513" i="5" s="1"/>
  <c r="D514" i="5"/>
  <c r="F514" i="5" s="1"/>
  <c r="D515" i="5"/>
  <c r="F515" i="5" s="1"/>
  <c r="D516" i="5"/>
  <c r="F516" i="5" s="1"/>
  <c r="D517" i="5"/>
  <c r="F517" i="5" s="1"/>
  <c r="D518" i="5"/>
  <c r="F518" i="5" s="1"/>
  <c r="D519" i="5"/>
  <c r="F519" i="5" s="1"/>
  <c r="D520" i="5"/>
  <c r="F520" i="5" s="1"/>
  <c r="D521" i="5"/>
  <c r="F521" i="5" s="1"/>
  <c r="D522" i="5"/>
  <c r="F522" i="5" s="1"/>
  <c r="D523" i="5"/>
  <c r="F523" i="5" s="1"/>
  <c r="D524" i="5"/>
  <c r="F524" i="5" s="1"/>
  <c r="D525" i="5"/>
  <c r="F525" i="5" s="1"/>
  <c r="D526" i="5"/>
  <c r="F526" i="5" s="1"/>
  <c r="D527" i="5"/>
  <c r="F527" i="5" s="1"/>
  <c r="D528" i="5"/>
  <c r="F528" i="5" s="1"/>
  <c r="D529" i="5"/>
  <c r="F529" i="5" s="1"/>
  <c r="D530" i="5"/>
  <c r="F530" i="5" s="1"/>
  <c r="D531" i="5"/>
  <c r="F531" i="5" s="1"/>
  <c r="D532" i="5"/>
  <c r="F532" i="5" s="1"/>
  <c r="D533" i="5"/>
  <c r="F533" i="5" s="1"/>
  <c r="D534" i="5"/>
  <c r="F534" i="5" s="1"/>
  <c r="D535" i="5"/>
  <c r="F535" i="5" s="1"/>
  <c r="D536" i="5"/>
  <c r="F536" i="5" s="1"/>
  <c r="D537" i="5"/>
  <c r="F537" i="5" s="1"/>
  <c r="D538" i="5"/>
  <c r="F538" i="5" s="1"/>
  <c r="D539" i="5"/>
  <c r="F539" i="5" s="1"/>
  <c r="D540" i="5"/>
  <c r="F540" i="5" s="1"/>
  <c r="D541" i="5"/>
  <c r="F541" i="5" s="1"/>
  <c r="D542" i="5"/>
  <c r="F542" i="5" s="1"/>
  <c r="D543" i="5"/>
  <c r="F543" i="5" s="1"/>
  <c r="D544" i="5"/>
  <c r="F544" i="5" s="1"/>
  <c r="D545" i="5"/>
  <c r="F545" i="5" s="1"/>
  <c r="D546" i="5"/>
  <c r="F546" i="5" s="1"/>
  <c r="D547" i="5"/>
  <c r="F547" i="5" s="1"/>
  <c r="D548" i="5"/>
  <c r="F548" i="5" s="1"/>
  <c r="D549" i="5"/>
  <c r="F549" i="5" s="1"/>
  <c r="D550" i="5"/>
  <c r="F550" i="5" s="1"/>
  <c r="D551" i="5"/>
  <c r="F551" i="5" s="1"/>
  <c r="D552" i="5"/>
  <c r="F552" i="5" s="1"/>
  <c r="D553" i="5"/>
  <c r="F553" i="5" s="1"/>
  <c r="D554" i="5"/>
  <c r="F554" i="5" s="1"/>
  <c r="D555" i="5"/>
  <c r="F555" i="5" s="1"/>
  <c r="D556" i="5"/>
  <c r="F556" i="5" s="1"/>
  <c r="D557" i="5"/>
  <c r="F557" i="5" s="1"/>
  <c r="D558" i="5"/>
  <c r="F558" i="5" s="1"/>
  <c r="D559" i="5"/>
  <c r="F559" i="5" s="1"/>
  <c r="D560" i="5"/>
  <c r="F560" i="5" s="1"/>
  <c r="D561" i="5"/>
  <c r="F561" i="5" s="1"/>
  <c r="D562" i="5"/>
  <c r="F562" i="5" s="1"/>
  <c r="D563" i="5"/>
  <c r="F563" i="5" s="1"/>
  <c r="D564" i="5"/>
  <c r="F564" i="5" s="1"/>
  <c r="D565" i="5"/>
  <c r="F565" i="5" s="1"/>
  <c r="D566" i="5"/>
  <c r="F566" i="5" s="1"/>
  <c r="D567" i="5"/>
  <c r="F567" i="5" s="1"/>
  <c r="D568" i="5"/>
  <c r="F568" i="5" s="1"/>
  <c r="D569" i="5"/>
  <c r="F569" i="5" s="1"/>
  <c r="D570" i="5"/>
  <c r="F570" i="5" s="1"/>
  <c r="D571" i="5"/>
  <c r="F571" i="5" s="1"/>
  <c r="D572" i="5"/>
  <c r="F572" i="5" s="1"/>
  <c r="D573" i="5"/>
  <c r="F573" i="5" s="1"/>
  <c r="D574" i="5"/>
  <c r="F574" i="5" s="1"/>
  <c r="D575" i="5"/>
  <c r="F575" i="5" s="1"/>
  <c r="D576" i="5"/>
  <c r="F576" i="5" s="1"/>
  <c r="D577" i="5"/>
  <c r="F577" i="5" s="1"/>
  <c r="D578" i="5"/>
  <c r="F578" i="5" s="1"/>
  <c r="D579" i="5"/>
  <c r="F579" i="5" s="1"/>
  <c r="D580" i="5"/>
  <c r="F580" i="5" s="1"/>
  <c r="D581" i="5"/>
  <c r="F581" i="5" s="1"/>
  <c r="D582" i="5"/>
  <c r="F582" i="5" s="1"/>
  <c r="D583" i="5"/>
  <c r="F583" i="5" s="1"/>
  <c r="D584" i="5"/>
  <c r="F584" i="5" s="1"/>
  <c r="D585" i="5"/>
  <c r="F585" i="5" s="1"/>
  <c r="D586" i="5"/>
  <c r="F586" i="5" s="1"/>
  <c r="D587" i="5"/>
  <c r="F587" i="5" s="1"/>
  <c r="D588" i="5"/>
  <c r="F588" i="5" s="1"/>
  <c r="D589" i="5"/>
  <c r="F589" i="5" s="1"/>
  <c r="D590" i="5"/>
  <c r="F590" i="5" s="1"/>
  <c r="D591" i="5"/>
  <c r="F591" i="5" s="1"/>
  <c r="D592" i="5"/>
  <c r="F592" i="5" s="1"/>
  <c r="D593" i="5"/>
  <c r="F593" i="5" s="1"/>
  <c r="D594" i="5"/>
  <c r="F594" i="5" s="1"/>
  <c r="D595" i="5"/>
  <c r="F595" i="5" s="1"/>
  <c r="D596" i="5"/>
  <c r="F596" i="5" s="1"/>
  <c r="D597" i="5"/>
  <c r="F597" i="5" s="1"/>
  <c r="D598" i="5"/>
  <c r="F598" i="5" s="1"/>
  <c r="D599" i="5"/>
  <c r="F599" i="5" s="1"/>
  <c r="D600" i="5"/>
  <c r="F600" i="5" s="1"/>
  <c r="D601" i="5"/>
  <c r="F601" i="5" s="1"/>
  <c r="D602" i="5"/>
  <c r="F602" i="5" s="1"/>
  <c r="D603" i="5"/>
  <c r="F603" i="5" s="1"/>
  <c r="D604" i="5"/>
  <c r="F604" i="5" s="1"/>
  <c r="D605" i="5"/>
  <c r="F605" i="5" s="1"/>
  <c r="D606" i="5"/>
  <c r="F606" i="5" s="1"/>
  <c r="D607" i="5"/>
  <c r="F607" i="5" s="1"/>
  <c r="D608" i="5"/>
  <c r="F608" i="5" s="1"/>
  <c r="D609" i="5"/>
  <c r="F609" i="5" s="1"/>
  <c r="D610" i="5"/>
  <c r="F610" i="5" s="1"/>
  <c r="D611" i="5"/>
  <c r="F611" i="5" s="1"/>
  <c r="D612" i="5"/>
  <c r="F612" i="5" s="1"/>
  <c r="D613" i="5"/>
  <c r="F613" i="5" s="1"/>
  <c r="D614" i="5"/>
  <c r="F614" i="5" s="1"/>
  <c r="D615" i="5"/>
  <c r="F615" i="5" s="1"/>
  <c r="D616" i="5"/>
  <c r="F616" i="5" s="1"/>
  <c r="D617" i="5"/>
  <c r="F617" i="5" s="1"/>
  <c r="D618" i="5"/>
  <c r="F618" i="5" s="1"/>
  <c r="D619" i="5"/>
  <c r="F619" i="5" s="1"/>
  <c r="D620" i="5"/>
  <c r="F620" i="5" s="1"/>
  <c r="D621" i="5"/>
  <c r="F621" i="5" s="1"/>
  <c r="D622" i="5"/>
  <c r="F622" i="5" s="1"/>
  <c r="D623" i="5"/>
  <c r="F623" i="5" s="1"/>
  <c r="D624" i="5"/>
  <c r="F624" i="5" s="1"/>
  <c r="D625" i="5"/>
  <c r="F625" i="5" s="1"/>
  <c r="D626" i="5"/>
  <c r="F626" i="5" s="1"/>
  <c r="D627" i="5"/>
  <c r="F627" i="5" s="1"/>
  <c r="D628" i="5"/>
  <c r="F628" i="5" s="1"/>
  <c r="D629" i="5"/>
  <c r="F629" i="5" s="1"/>
  <c r="D630" i="5"/>
  <c r="F630" i="5" s="1"/>
  <c r="D631" i="5"/>
  <c r="F631" i="5" s="1"/>
  <c r="D632" i="5"/>
  <c r="F632" i="5" s="1"/>
  <c r="D633" i="5"/>
  <c r="F633" i="5" s="1"/>
  <c r="D634" i="5"/>
  <c r="F634" i="5" s="1"/>
  <c r="D635" i="5"/>
  <c r="F635" i="5" s="1"/>
  <c r="D636" i="5"/>
  <c r="F636" i="5" s="1"/>
  <c r="D637" i="5"/>
  <c r="F637" i="5" s="1"/>
  <c r="D638" i="5"/>
  <c r="F638" i="5" s="1"/>
  <c r="D639" i="5"/>
  <c r="F639" i="5" s="1"/>
  <c r="D640" i="5"/>
  <c r="F640" i="5" s="1"/>
  <c r="D641" i="5"/>
  <c r="F641" i="5" s="1"/>
  <c r="D642" i="5"/>
  <c r="F642" i="5" s="1"/>
  <c r="D643" i="5"/>
  <c r="F643" i="5" s="1"/>
  <c r="D644" i="5"/>
  <c r="F644" i="5" s="1"/>
  <c r="D645" i="5"/>
  <c r="F645" i="5" s="1"/>
  <c r="D646" i="5"/>
  <c r="F646" i="5" s="1"/>
  <c r="D647" i="5"/>
  <c r="F647" i="5" s="1"/>
  <c r="D648" i="5"/>
  <c r="F648" i="5" s="1"/>
  <c r="D649" i="5"/>
  <c r="F649" i="5" s="1"/>
  <c r="D650" i="5"/>
  <c r="F650" i="5" s="1"/>
  <c r="D651" i="5"/>
  <c r="F651" i="5" s="1"/>
  <c r="D652" i="5"/>
  <c r="F652" i="5" s="1"/>
  <c r="D653" i="5"/>
  <c r="F653" i="5" s="1"/>
  <c r="D654" i="5"/>
  <c r="F654" i="5" s="1"/>
  <c r="D655" i="5"/>
  <c r="F655" i="5" s="1"/>
  <c r="D656" i="5"/>
  <c r="F656" i="5" s="1"/>
  <c r="D657" i="5"/>
  <c r="F657" i="5" s="1"/>
  <c r="D658" i="5"/>
  <c r="F658" i="5" s="1"/>
  <c r="D659" i="5"/>
  <c r="F659" i="5" s="1"/>
  <c r="D660" i="5"/>
  <c r="F660" i="5" s="1"/>
  <c r="D661" i="5"/>
  <c r="F661" i="5" s="1"/>
  <c r="D662" i="5"/>
  <c r="F662" i="5" s="1"/>
  <c r="D663" i="5"/>
  <c r="F663" i="5" s="1"/>
  <c r="D664" i="5"/>
  <c r="F664" i="5" s="1"/>
  <c r="D665" i="5"/>
  <c r="F665" i="5" s="1"/>
  <c r="D666" i="5"/>
  <c r="F666" i="5" s="1"/>
  <c r="D667" i="5"/>
  <c r="F667" i="5" s="1"/>
  <c r="D668" i="5"/>
  <c r="F668" i="5" s="1"/>
  <c r="D669" i="5"/>
  <c r="F669" i="5" s="1"/>
  <c r="D670" i="5"/>
  <c r="F670" i="5" s="1"/>
  <c r="D671" i="5"/>
  <c r="F671" i="5" s="1"/>
  <c r="D672" i="5"/>
  <c r="F672" i="5" s="1"/>
  <c r="D673" i="5"/>
  <c r="F673" i="5" s="1"/>
  <c r="D674" i="5"/>
  <c r="F674" i="5" s="1"/>
  <c r="D675" i="5"/>
  <c r="F675" i="5" s="1"/>
  <c r="D676" i="5"/>
  <c r="F676" i="5" s="1"/>
  <c r="D677" i="5"/>
  <c r="F677" i="5" s="1"/>
  <c r="D678" i="5"/>
  <c r="F678" i="5" s="1"/>
  <c r="D679" i="5"/>
  <c r="F679" i="5" s="1"/>
  <c r="D680" i="5"/>
  <c r="F680" i="5" s="1"/>
  <c r="D681" i="5"/>
  <c r="F681" i="5" s="1"/>
  <c r="D682" i="5"/>
  <c r="F682" i="5" s="1"/>
  <c r="D683" i="5"/>
  <c r="F683" i="5" s="1"/>
  <c r="D684" i="5"/>
  <c r="F684" i="5" s="1"/>
  <c r="D685" i="5"/>
  <c r="F685" i="5" s="1"/>
  <c r="D686" i="5"/>
  <c r="F686" i="5" s="1"/>
  <c r="D687" i="5"/>
  <c r="F687" i="5" s="1"/>
  <c r="D688" i="5"/>
  <c r="F688" i="5" s="1"/>
  <c r="D689" i="5"/>
  <c r="F689" i="5" s="1"/>
  <c r="D690" i="5"/>
  <c r="F690" i="5" s="1"/>
  <c r="D691" i="5"/>
  <c r="F691" i="5" s="1"/>
  <c r="D692" i="5"/>
  <c r="F692" i="5" s="1"/>
  <c r="D693" i="5"/>
  <c r="F693" i="5" s="1"/>
  <c r="D694" i="5"/>
  <c r="F694" i="5" s="1"/>
  <c r="D695" i="5"/>
  <c r="F695" i="5" s="1"/>
  <c r="D696" i="5"/>
  <c r="F696" i="5" s="1"/>
  <c r="D697" i="5"/>
  <c r="F697" i="5" s="1"/>
  <c r="D698" i="5"/>
  <c r="F698" i="5" s="1"/>
  <c r="D699" i="5"/>
  <c r="F699" i="5" s="1"/>
  <c r="D700" i="5"/>
  <c r="F700" i="5" s="1"/>
  <c r="D701" i="5"/>
  <c r="F701" i="5" s="1"/>
  <c r="D702" i="5"/>
  <c r="F702" i="5" s="1"/>
  <c r="D703" i="5"/>
  <c r="F703" i="5" s="1"/>
  <c r="D704" i="5"/>
  <c r="F704" i="5" s="1"/>
  <c r="D705" i="5"/>
  <c r="F705" i="5" s="1"/>
  <c r="D706" i="5"/>
  <c r="F706" i="5" s="1"/>
  <c r="D707" i="5"/>
  <c r="F707" i="5" s="1"/>
  <c r="D708" i="5"/>
  <c r="F708" i="5" s="1"/>
  <c r="D709" i="5"/>
  <c r="F709" i="5" s="1"/>
  <c r="D710" i="5"/>
  <c r="F710" i="5" s="1"/>
  <c r="D711" i="5"/>
  <c r="F711" i="5" s="1"/>
  <c r="D712" i="5"/>
  <c r="F712" i="5" s="1"/>
  <c r="D713" i="5"/>
  <c r="F713" i="5" s="1"/>
  <c r="D714" i="5"/>
  <c r="F714" i="5" s="1"/>
  <c r="D715" i="5"/>
  <c r="F715" i="5" s="1"/>
  <c r="D716" i="5"/>
  <c r="F716" i="5" s="1"/>
  <c r="D717" i="5"/>
  <c r="F717" i="5" s="1"/>
  <c r="D718" i="5"/>
  <c r="F718" i="5" s="1"/>
  <c r="D719" i="5"/>
  <c r="F719" i="5" s="1"/>
  <c r="D720" i="5"/>
  <c r="F720" i="5" s="1"/>
  <c r="D721" i="5"/>
  <c r="F721" i="5" s="1"/>
  <c r="D722" i="5"/>
  <c r="F722" i="5" s="1"/>
  <c r="D723" i="5"/>
  <c r="F723" i="5" s="1"/>
  <c r="D724" i="5"/>
  <c r="F724" i="5" s="1"/>
  <c r="D725" i="5"/>
  <c r="F725" i="5" s="1"/>
  <c r="D726" i="5"/>
  <c r="F726" i="5" s="1"/>
  <c r="D727" i="5"/>
  <c r="F727" i="5" s="1"/>
  <c r="D728" i="5"/>
  <c r="F728" i="5" s="1"/>
  <c r="D729" i="5"/>
  <c r="F729" i="5" s="1"/>
  <c r="D730" i="5"/>
  <c r="F730" i="5" s="1"/>
  <c r="D731" i="5"/>
  <c r="F731" i="5" s="1"/>
  <c r="D732" i="5"/>
  <c r="F732" i="5" s="1"/>
  <c r="D733" i="5"/>
  <c r="F733" i="5" s="1"/>
  <c r="D734" i="5"/>
  <c r="F734" i="5" s="1"/>
  <c r="D735" i="5"/>
  <c r="F735" i="5" s="1"/>
  <c r="D736" i="5"/>
  <c r="F736" i="5" s="1"/>
  <c r="D737" i="5"/>
  <c r="F737" i="5" s="1"/>
  <c r="D738" i="5"/>
  <c r="F738" i="5" s="1"/>
  <c r="D739" i="5"/>
  <c r="F739" i="5" s="1"/>
  <c r="D740" i="5"/>
  <c r="F740" i="5" s="1"/>
  <c r="D741" i="5"/>
  <c r="F741" i="5" s="1"/>
  <c r="D742" i="5"/>
  <c r="F742" i="5" s="1"/>
  <c r="D743" i="5"/>
  <c r="F743" i="5" s="1"/>
  <c r="D744" i="5"/>
  <c r="F744" i="5" s="1"/>
  <c r="D745" i="5"/>
  <c r="F745" i="5" s="1"/>
  <c r="D746" i="5"/>
  <c r="F746" i="5" s="1"/>
  <c r="D747" i="5"/>
  <c r="F747" i="5" s="1"/>
  <c r="D748" i="5"/>
  <c r="F748" i="5" s="1"/>
  <c r="D749" i="5"/>
  <c r="F749" i="5" s="1"/>
  <c r="D750" i="5"/>
  <c r="F750" i="5" s="1"/>
  <c r="D751" i="5"/>
  <c r="F751" i="5" s="1"/>
  <c r="D752" i="5"/>
  <c r="F752" i="5" s="1"/>
  <c r="D753" i="5"/>
  <c r="F753" i="5" s="1"/>
  <c r="D754" i="5"/>
  <c r="F754" i="5" s="1"/>
  <c r="D755" i="5"/>
  <c r="F755" i="5" s="1"/>
  <c r="D756" i="5"/>
  <c r="F756" i="5" s="1"/>
  <c r="D757" i="5"/>
  <c r="F757" i="5" s="1"/>
  <c r="D758" i="5"/>
  <c r="F758" i="5" s="1"/>
  <c r="D759" i="5"/>
  <c r="F759" i="5" s="1"/>
  <c r="D760" i="5"/>
  <c r="F760" i="5" s="1"/>
  <c r="D761" i="5"/>
  <c r="F761" i="5" s="1"/>
  <c r="D762" i="5"/>
  <c r="F762" i="5" s="1"/>
  <c r="D763" i="5"/>
  <c r="F763" i="5" s="1"/>
  <c r="D764" i="5"/>
  <c r="F764" i="5" s="1"/>
  <c r="D765" i="5"/>
  <c r="F765" i="5" s="1"/>
  <c r="D766" i="5"/>
  <c r="F766" i="5" s="1"/>
  <c r="D767" i="5"/>
  <c r="F767" i="5" s="1"/>
  <c r="D768" i="5"/>
  <c r="F768" i="5" s="1"/>
  <c r="D769" i="5"/>
  <c r="F769" i="5" s="1"/>
  <c r="D770" i="5"/>
  <c r="F770" i="5" s="1"/>
  <c r="D771" i="5"/>
  <c r="F771" i="5" s="1"/>
  <c r="D772" i="5"/>
  <c r="F772" i="5" s="1"/>
  <c r="D773" i="5"/>
  <c r="F773" i="5" s="1"/>
  <c r="D774" i="5"/>
  <c r="F774" i="5" s="1"/>
  <c r="D775" i="5"/>
  <c r="F775" i="5" s="1"/>
  <c r="D776" i="5"/>
  <c r="F776" i="5" s="1"/>
  <c r="D777" i="5"/>
  <c r="F777" i="5" s="1"/>
  <c r="D778" i="5"/>
  <c r="F778" i="5" s="1"/>
  <c r="D779" i="5"/>
  <c r="F779" i="5" s="1"/>
  <c r="D780" i="5"/>
  <c r="F780" i="5" s="1"/>
  <c r="D781" i="5"/>
  <c r="F781" i="5" s="1"/>
  <c r="D782" i="5"/>
  <c r="F782" i="5" s="1"/>
  <c r="D783" i="5"/>
  <c r="F783" i="5" s="1"/>
  <c r="D784" i="5"/>
  <c r="F784" i="5" s="1"/>
  <c r="D785" i="5"/>
  <c r="F785" i="5" s="1"/>
  <c r="D786" i="5"/>
  <c r="F786" i="5" s="1"/>
  <c r="D787" i="5"/>
  <c r="F787" i="5" s="1"/>
  <c r="D788" i="5"/>
  <c r="F788" i="5" s="1"/>
  <c r="D789" i="5"/>
  <c r="F789" i="5" s="1"/>
  <c r="D790" i="5"/>
  <c r="F790" i="5" s="1"/>
  <c r="D791" i="5"/>
  <c r="F791" i="5" s="1"/>
  <c r="D792" i="5"/>
  <c r="F792" i="5" s="1"/>
  <c r="D793" i="5"/>
  <c r="F793" i="5" s="1"/>
  <c r="D794" i="5"/>
  <c r="F794" i="5" s="1"/>
  <c r="D795" i="5"/>
  <c r="F795" i="5" s="1"/>
  <c r="D796" i="5"/>
  <c r="F796" i="5" s="1"/>
  <c r="D797" i="5"/>
  <c r="F797" i="5" s="1"/>
  <c r="D798" i="5"/>
  <c r="F798" i="5" s="1"/>
  <c r="D799" i="5"/>
  <c r="F799" i="5" s="1"/>
  <c r="D800" i="5"/>
  <c r="F800" i="5" s="1"/>
  <c r="D801" i="5"/>
  <c r="F801" i="5" s="1"/>
  <c r="D802" i="5"/>
  <c r="F802" i="5" s="1"/>
  <c r="D803" i="5"/>
  <c r="F803" i="5" s="1"/>
  <c r="D804" i="5"/>
  <c r="F804" i="5" s="1"/>
  <c r="D805" i="5"/>
  <c r="F805" i="5" s="1"/>
  <c r="D806" i="5"/>
  <c r="F806" i="5" s="1"/>
  <c r="D807" i="5"/>
  <c r="F807" i="5" s="1"/>
  <c r="D808" i="5"/>
  <c r="F808" i="5" s="1"/>
  <c r="D809" i="5"/>
  <c r="F809" i="5" s="1"/>
  <c r="D810" i="5"/>
  <c r="F810" i="5" s="1"/>
  <c r="D811" i="5"/>
  <c r="F811" i="5" s="1"/>
  <c r="D812" i="5"/>
  <c r="F812" i="5" s="1"/>
  <c r="D813" i="5"/>
  <c r="F813" i="5" s="1"/>
  <c r="D814" i="5"/>
  <c r="F814" i="5" s="1"/>
  <c r="D815" i="5"/>
  <c r="F815" i="5" s="1"/>
  <c r="D816" i="5"/>
  <c r="F816" i="5" s="1"/>
  <c r="D817" i="5"/>
  <c r="F817" i="5" s="1"/>
  <c r="D818" i="5"/>
  <c r="F818" i="5" s="1"/>
  <c r="D819" i="5"/>
  <c r="F819" i="5" s="1"/>
  <c r="D820" i="5"/>
  <c r="F820" i="5" s="1"/>
  <c r="D821" i="5"/>
  <c r="F821" i="5" s="1"/>
  <c r="D822" i="5"/>
  <c r="F822" i="5" s="1"/>
  <c r="D823" i="5"/>
  <c r="F823" i="5" s="1"/>
  <c r="D824" i="5"/>
  <c r="F824" i="5" s="1"/>
  <c r="D825" i="5"/>
  <c r="F825" i="5" s="1"/>
  <c r="D826" i="5"/>
  <c r="F826" i="5" s="1"/>
  <c r="D827" i="5"/>
  <c r="F827" i="5" s="1"/>
  <c r="D828" i="5"/>
  <c r="F828" i="5" s="1"/>
  <c r="D829" i="5"/>
  <c r="F829" i="5" s="1"/>
  <c r="D830" i="5"/>
  <c r="F830" i="5" s="1"/>
  <c r="D831" i="5"/>
  <c r="F831" i="5" s="1"/>
  <c r="D832" i="5"/>
  <c r="F832" i="5" s="1"/>
  <c r="D833" i="5"/>
  <c r="F833" i="5" s="1"/>
  <c r="D834" i="5"/>
  <c r="F834" i="5" s="1"/>
  <c r="D835" i="5"/>
  <c r="F835" i="5" s="1"/>
  <c r="D836" i="5"/>
  <c r="F836" i="5" s="1"/>
  <c r="D837" i="5"/>
  <c r="F837" i="5" s="1"/>
  <c r="D838" i="5"/>
  <c r="F838" i="5" s="1"/>
  <c r="D839" i="5"/>
  <c r="F839" i="5" s="1"/>
  <c r="D840" i="5"/>
  <c r="F840" i="5" s="1"/>
  <c r="D841" i="5"/>
  <c r="F841" i="5" s="1"/>
  <c r="D842" i="5"/>
  <c r="F842" i="5" s="1"/>
  <c r="D843" i="5"/>
  <c r="F843" i="5" s="1"/>
  <c r="D844" i="5"/>
  <c r="F844" i="5" s="1"/>
  <c r="D845" i="5"/>
  <c r="F845" i="5" s="1"/>
  <c r="D846" i="5"/>
  <c r="F846" i="5" s="1"/>
  <c r="D847" i="5"/>
  <c r="F847" i="5" s="1"/>
  <c r="D848" i="5"/>
  <c r="F848" i="5" s="1"/>
  <c r="D849" i="5"/>
  <c r="F849" i="5" s="1"/>
  <c r="D850" i="5"/>
  <c r="F850" i="5" s="1"/>
  <c r="D851" i="5"/>
  <c r="F851" i="5" s="1"/>
  <c r="D852" i="5"/>
  <c r="F852" i="5" s="1"/>
  <c r="D853" i="5"/>
  <c r="F853" i="5" s="1"/>
  <c r="D854" i="5"/>
  <c r="F854" i="5" s="1"/>
  <c r="D855" i="5"/>
  <c r="F855" i="5" s="1"/>
  <c r="D856" i="5"/>
  <c r="F856" i="5" s="1"/>
  <c r="D857" i="5"/>
  <c r="F857" i="5" s="1"/>
  <c r="D858" i="5"/>
  <c r="F858" i="5" s="1"/>
  <c r="D859" i="5"/>
  <c r="F859" i="5" s="1"/>
  <c r="D860" i="5"/>
  <c r="F860" i="5" s="1"/>
  <c r="D861" i="5"/>
  <c r="F861" i="5" s="1"/>
  <c r="D862" i="5"/>
  <c r="F862" i="5" s="1"/>
  <c r="D863" i="5"/>
  <c r="F863" i="5" s="1"/>
  <c r="D864" i="5"/>
  <c r="F864" i="5" s="1"/>
  <c r="D865" i="5"/>
  <c r="F865" i="5" s="1"/>
  <c r="D866" i="5"/>
  <c r="F866" i="5" s="1"/>
  <c r="D867" i="5"/>
  <c r="F867" i="5" s="1"/>
  <c r="D868" i="5"/>
  <c r="F868" i="5" s="1"/>
  <c r="D869" i="5"/>
  <c r="F869" i="5" s="1"/>
  <c r="D870" i="5"/>
  <c r="F870" i="5" s="1"/>
  <c r="D871" i="5"/>
  <c r="F871" i="5" s="1"/>
  <c r="D872" i="5"/>
  <c r="F872" i="5" s="1"/>
  <c r="D873" i="5"/>
  <c r="F873" i="5" s="1"/>
  <c r="D874" i="5"/>
  <c r="F874" i="5" s="1"/>
  <c r="D875" i="5"/>
  <c r="F875" i="5" s="1"/>
  <c r="D876" i="5"/>
  <c r="F876" i="5" s="1"/>
  <c r="D877" i="5"/>
  <c r="F877" i="5" s="1"/>
  <c r="D878" i="5"/>
  <c r="F878" i="5" s="1"/>
  <c r="D879" i="5"/>
  <c r="F879" i="5" s="1"/>
  <c r="D880" i="5"/>
  <c r="F880" i="5" s="1"/>
  <c r="D881" i="5"/>
  <c r="F881" i="5" s="1"/>
  <c r="D882" i="5"/>
  <c r="F882" i="5" s="1"/>
  <c r="D883" i="5"/>
  <c r="F883" i="5" s="1"/>
  <c r="D884" i="5"/>
  <c r="F884" i="5" s="1"/>
  <c r="D885" i="5"/>
  <c r="F885" i="5" s="1"/>
  <c r="D886" i="5"/>
  <c r="F886" i="5" s="1"/>
  <c r="D887" i="5"/>
  <c r="F887" i="5" s="1"/>
  <c r="D888" i="5"/>
  <c r="F888" i="5" s="1"/>
  <c r="D889" i="5"/>
  <c r="F889" i="5" s="1"/>
  <c r="D890" i="5"/>
  <c r="F890" i="5" s="1"/>
  <c r="D891" i="5"/>
  <c r="F891" i="5" s="1"/>
  <c r="D892" i="5"/>
  <c r="F892" i="5" s="1"/>
  <c r="D893" i="5"/>
  <c r="F893" i="5" s="1"/>
  <c r="D894" i="5"/>
  <c r="F894" i="5" s="1"/>
  <c r="D895" i="5"/>
  <c r="F895" i="5" s="1"/>
  <c r="D896" i="5"/>
  <c r="F896" i="5" s="1"/>
  <c r="D897" i="5"/>
  <c r="F897" i="5" s="1"/>
  <c r="D898" i="5"/>
  <c r="F898" i="5" s="1"/>
  <c r="D899" i="5"/>
  <c r="F899" i="5" s="1"/>
  <c r="D900" i="5"/>
  <c r="F900" i="5" s="1"/>
  <c r="D901" i="5"/>
  <c r="F901" i="5" s="1"/>
  <c r="D902" i="5"/>
  <c r="F902" i="5" s="1"/>
  <c r="D903" i="5"/>
  <c r="F903" i="5" s="1"/>
  <c r="D904" i="5"/>
  <c r="F904" i="5" s="1"/>
  <c r="D905" i="5"/>
  <c r="F905" i="5" s="1"/>
  <c r="D906" i="5"/>
  <c r="F906" i="5" s="1"/>
  <c r="D907" i="5"/>
  <c r="F907" i="5" s="1"/>
  <c r="D908" i="5"/>
  <c r="F908" i="5" s="1"/>
  <c r="D909" i="5"/>
  <c r="F909" i="5" s="1"/>
  <c r="D910" i="5"/>
  <c r="F910" i="5" s="1"/>
  <c r="D911" i="5"/>
  <c r="F911" i="5" s="1"/>
  <c r="D912" i="5"/>
  <c r="F912" i="5" s="1"/>
  <c r="D913" i="5"/>
  <c r="F913" i="5" s="1"/>
  <c r="D914" i="5"/>
  <c r="F914" i="5" s="1"/>
  <c r="D915" i="5"/>
  <c r="F915" i="5" s="1"/>
  <c r="D916" i="5"/>
  <c r="F916" i="5" s="1"/>
  <c r="D917" i="5"/>
  <c r="F917" i="5" s="1"/>
  <c r="D918" i="5"/>
  <c r="F918" i="5" s="1"/>
  <c r="D919" i="5"/>
  <c r="F919" i="5" s="1"/>
  <c r="D920" i="5"/>
  <c r="F920" i="5" s="1"/>
  <c r="D921" i="5"/>
  <c r="F921" i="5" s="1"/>
  <c r="D922" i="5"/>
  <c r="F922" i="5" s="1"/>
  <c r="D923" i="5"/>
  <c r="F923" i="5" s="1"/>
  <c r="D924" i="5"/>
  <c r="F924" i="5" s="1"/>
  <c r="D925" i="5"/>
  <c r="F925" i="5" s="1"/>
  <c r="D926" i="5"/>
  <c r="F926" i="5" s="1"/>
  <c r="D927" i="5"/>
  <c r="F927" i="5" s="1"/>
  <c r="D928" i="5"/>
  <c r="F928" i="5" s="1"/>
  <c r="D929" i="5"/>
  <c r="F929" i="5" s="1"/>
  <c r="D930" i="5"/>
  <c r="F930" i="5" s="1"/>
  <c r="D931" i="5"/>
  <c r="F931" i="5" s="1"/>
  <c r="D932" i="5"/>
  <c r="F932" i="5" s="1"/>
  <c r="D933" i="5"/>
  <c r="F933" i="5" s="1"/>
  <c r="D934" i="5"/>
  <c r="F934" i="5" s="1"/>
  <c r="D935" i="5"/>
  <c r="F935" i="5" s="1"/>
  <c r="D936" i="5"/>
  <c r="F936" i="5" s="1"/>
  <c r="D937" i="5"/>
  <c r="F937" i="5" s="1"/>
  <c r="D938" i="5"/>
  <c r="F938" i="5" s="1"/>
  <c r="D939" i="5"/>
  <c r="F939" i="5" s="1"/>
  <c r="D940" i="5"/>
  <c r="F940" i="5" s="1"/>
  <c r="D941" i="5"/>
  <c r="F941" i="5" s="1"/>
  <c r="D942" i="5"/>
  <c r="F942" i="5" s="1"/>
  <c r="D943" i="5"/>
  <c r="F943" i="5" s="1"/>
  <c r="D944" i="5"/>
  <c r="F944" i="5" s="1"/>
  <c r="D945" i="5"/>
  <c r="F945" i="5" s="1"/>
  <c r="D946" i="5"/>
  <c r="F946" i="5" s="1"/>
  <c r="D947" i="5"/>
  <c r="F947" i="5" s="1"/>
  <c r="D948" i="5"/>
  <c r="F948" i="5" s="1"/>
  <c r="D949" i="5"/>
  <c r="F949" i="5" s="1"/>
  <c r="D950" i="5"/>
  <c r="F950" i="5" s="1"/>
  <c r="D951" i="5"/>
  <c r="F951" i="5" s="1"/>
  <c r="D952" i="5"/>
  <c r="F952" i="5" s="1"/>
  <c r="D953" i="5"/>
  <c r="F953" i="5" s="1"/>
  <c r="D954" i="5"/>
  <c r="F954" i="5" s="1"/>
  <c r="D955" i="5"/>
  <c r="F955" i="5" s="1"/>
  <c r="D956" i="5"/>
  <c r="F956" i="5" s="1"/>
  <c r="D957" i="5"/>
  <c r="F957" i="5" s="1"/>
  <c r="D958" i="5"/>
  <c r="F958" i="5" s="1"/>
  <c r="D959" i="5"/>
  <c r="F959" i="5" s="1"/>
  <c r="D960" i="5"/>
  <c r="F960" i="5" s="1"/>
  <c r="D961" i="5"/>
  <c r="F961" i="5" s="1"/>
  <c r="D962" i="5"/>
  <c r="F962" i="5" s="1"/>
  <c r="D963" i="5"/>
  <c r="F963" i="5" s="1"/>
  <c r="D964" i="5"/>
  <c r="F964" i="5" s="1"/>
  <c r="D965" i="5"/>
  <c r="F965" i="5" s="1"/>
  <c r="D966" i="5"/>
  <c r="F966" i="5" s="1"/>
  <c r="D967" i="5"/>
  <c r="F967" i="5" s="1"/>
  <c r="D968" i="5"/>
  <c r="F968" i="5" s="1"/>
  <c r="D969" i="5"/>
  <c r="F969" i="5" s="1"/>
  <c r="D970" i="5"/>
  <c r="F970" i="5" s="1"/>
  <c r="D971" i="5"/>
  <c r="F971" i="5" s="1"/>
  <c r="D972" i="5"/>
  <c r="F972" i="5" s="1"/>
  <c r="D973" i="5"/>
  <c r="F973" i="5" s="1"/>
  <c r="D974" i="5"/>
  <c r="F974" i="5" s="1"/>
  <c r="D975" i="5"/>
  <c r="F975" i="5" s="1"/>
  <c r="D976" i="5"/>
  <c r="F976" i="5" s="1"/>
  <c r="D977" i="5"/>
  <c r="F977" i="5" s="1"/>
  <c r="D978" i="5"/>
  <c r="F978" i="5" s="1"/>
  <c r="D979" i="5"/>
  <c r="F979" i="5" s="1"/>
  <c r="D980" i="5"/>
  <c r="F980" i="5" s="1"/>
  <c r="D981" i="5"/>
  <c r="F981" i="5" s="1"/>
  <c r="D982" i="5"/>
  <c r="F982" i="5" s="1"/>
  <c r="D983" i="5"/>
  <c r="F983" i="5" s="1"/>
  <c r="D984" i="5"/>
  <c r="F984" i="5" s="1"/>
  <c r="D985" i="5"/>
  <c r="F985" i="5" s="1"/>
  <c r="D986" i="5"/>
  <c r="F986" i="5" s="1"/>
  <c r="D987" i="5"/>
  <c r="F987" i="5" s="1"/>
  <c r="D988" i="5"/>
  <c r="F988" i="5" s="1"/>
  <c r="D989" i="5"/>
  <c r="F989" i="5" s="1"/>
  <c r="D990" i="5"/>
  <c r="F990" i="5" s="1"/>
  <c r="D991" i="5"/>
  <c r="F991" i="5" s="1"/>
  <c r="D992" i="5"/>
  <c r="F992" i="5" s="1"/>
  <c r="D993" i="5"/>
  <c r="F993" i="5" s="1"/>
  <c r="D994" i="5"/>
  <c r="F994" i="5" s="1"/>
  <c r="D995" i="5"/>
  <c r="F995" i="5" s="1"/>
  <c r="D996" i="5"/>
  <c r="F996" i="5" s="1"/>
  <c r="D997" i="5"/>
  <c r="F997" i="5" s="1"/>
  <c r="D998" i="5"/>
  <c r="F998" i="5" s="1"/>
  <c r="D999" i="5"/>
  <c r="F999" i="5" s="1"/>
  <c r="D1000" i="5"/>
  <c r="F1000" i="5" s="1"/>
  <c r="D1001" i="5"/>
  <c r="F1001" i="5" s="1"/>
  <c r="D1002" i="5"/>
  <c r="F1002" i="5" s="1"/>
  <c r="D1003" i="5"/>
  <c r="F1003" i="5" s="1"/>
  <c r="D1004" i="5"/>
  <c r="F1004" i="5" s="1"/>
  <c r="D1005" i="5"/>
  <c r="F1005" i="5" s="1"/>
  <c r="D1006" i="5"/>
  <c r="F1006" i="5" s="1"/>
  <c r="D1007" i="5"/>
  <c r="F1007" i="5" s="1"/>
  <c r="D1008" i="5"/>
  <c r="F1008" i="5" s="1"/>
  <c r="D1009" i="5"/>
  <c r="F1009" i="5" s="1"/>
  <c r="D1010" i="5"/>
  <c r="F1010" i="5" s="1"/>
  <c r="D1011" i="5"/>
  <c r="F1011" i="5" s="1"/>
  <c r="D1012" i="5"/>
  <c r="F1012" i="5" s="1"/>
  <c r="D1013" i="5"/>
  <c r="F1013" i="5" s="1"/>
  <c r="D1014" i="5"/>
  <c r="F1014" i="5" s="1"/>
  <c r="D1015" i="5"/>
  <c r="F1015" i="5" s="1"/>
  <c r="D1016" i="5"/>
  <c r="F1016" i="5" s="1"/>
  <c r="D1017" i="5"/>
  <c r="F1017" i="5" s="1"/>
  <c r="D1018" i="5"/>
  <c r="F1018" i="5" s="1"/>
  <c r="D1019" i="5"/>
  <c r="F1019" i="5" s="1"/>
  <c r="D1020" i="5"/>
  <c r="F1020" i="5" s="1"/>
  <c r="D1021" i="5"/>
  <c r="F1021" i="5" s="1"/>
  <c r="D1022" i="5"/>
  <c r="F1022" i="5" s="1"/>
  <c r="D1023" i="5"/>
  <c r="F1023" i="5" s="1"/>
  <c r="D1024" i="5"/>
  <c r="F1024" i="5" s="1"/>
  <c r="D1025" i="5"/>
  <c r="F1025" i="5" s="1"/>
  <c r="D1026" i="5"/>
  <c r="F1026" i="5" s="1"/>
  <c r="D1027" i="5"/>
  <c r="F1027" i="5" s="1"/>
  <c r="D1028" i="5"/>
  <c r="F1028" i="5" s="1"/>
  <c r="D1029" i="5"/>
  <c r="F1029" i="5" s="1"/>
  <c r="D1030" i="5"/>
  <c r="F1030" i="5" s="1"/>
  <c r="D1031" i="5"/>
  <c r="F1031" i="5" s="1"/>
  <c r="D1032" i="5"/>
  <c r="F1032" i="5" s="1"/>
  <c r="D1033" i="5"/>
  <c r="F1033" i="5" s="1"/>
  <c r="D1034" i="5"/>
  <c r="F1034" i="5" s="1"/>
  <c r="D1035" i="5"/>
  <c r="F1035" i="5" s="1"/>
  <c r="D1036" i="5"/>
  <c r="F1036" i="5" s="1"/>
  <c r="D1037" i="5"/>
  <c r="F1037" i="5" s="1"/>
  <c r="D1038" i="5"/>
  <c r="F1038" i="5" s="1"/>
  <c r="D1039" i="5"/>
  <c r="F1039" i="5" s="1"/>
  <c r="D1040" i="5"/>
  <c r="F1040" i="5" s="1"/>
  <c r="D1041" i="5"/>
  <c r="F1041" i="5" s="1"/>
  <c r="D1042" i="5"/>
  <c r="F1042" i="5" s="1"/>
  <c r="D1043" i="5"/>
  <c r="F1043" i="5" s="1"/>
  <c r="D1044" i="5"/>
  <c r="F1044" i="5" s="1"/>
  <c r="D1045" i="5"/>
  <c r="F1045" i="5" s="1"/>
  <c r="D1046" i="5"/>
  <c r="F1046" i="5" s="1"/>
  <c r="D1047" i="5"/>
  <c r="F1047" i="5" s="1"/>
  <c r="D1048" i="5"/>
  <c r="F1048" i="5" s="1"/>
  <c r="D1049" i="5"/>
  <c r="F1049" i="5" s="1"/>
  <c r="D1050" i="5"/>
  <c r="F1050" i="5" s="1"/>
  <c r="D1051" i="5"/>
  <c r="F1051" i="5" s="1"/>
  <c r="D1052" i="5"/>
  <c r="F1052" i="5" s="1"/>
  <c r="D1053" i="5"/>
  <c r="F1053" i="5" s="1"/>
  <c r="D1054" i="5"/>
  <c r="F1054" i="5" s="1"/>
  <c r="D1055" i="5"/>
  <c r="F1055" i="5" s="1"/>
  <c r="D1056" i="5"/>
  <c r="F1056" i="5" s="1"/>
  <c r="D1057" i="5"/>
  <c r="F1057" i="5" s="1"/>
  <c r="D1058" i="5"/>
  <c r="F1058" i="5" s="1"/>
  <c r="D1059" i="5"/>
  <c r="F1059" i="5" s="1"/>
  <c r="D1060" i="5"/>
  <c r="F1060" i="5" s="1"/>
  <c r="D1061" i="5"/>
  <c r="F1061" i="5" s="1"/>
  <c r="D1062" i="5"/>
  <c r="F1062" i="5" s="1"/>
  <c r="D1063" i="5"/>
  <c r="F1063" i="5" s="1"/>
  <c r="D1064" i="5"/>
  <c r="F1064" i="5" s="1"/>
  <c r="D1065" i="5"/>
  <c r="F1065" i="5" s="1"/>
  <c r="D1066" i="5"/>
  <c r="F1066" i="5" s="1"/>
  <c r="D1067" i="5"/>
  <c r="F1067" i="5" s="1"/>
  <c r="D1068" i="5"/>
  <c r="F1068" i="5" s="1"/>
  <c r="D1069" i="5"/>
  <c r="F1069" i="5" s="1"/>
  <c r="D1070" i="5"/>
  <c r="F1070" i="5" s="1"/>
  <c r="D1071" i="5"/>
  <c r="F1071" i="5" s="1"/>
  <c r="D1072" i="5"/>
  <c r="F1072" i="5" s="1"/>
  <c r="D1073" i="5"/>
  <c r="F1073" i="5" s="1"/>
  <c r="D1074" i="5"/>
  <c r="F1074" i="5" s="1"/>
  <c r="D1075" i="5"/>
  <c r="F1075" i="5" s="1"/>
  <c r="D1076" i="5"/>
  <c r="F1076" i="5" s="1"/>
  <c r="D1077" i="5"/>
  <c r="F1077" i="5" s="1"/>
  <c r="D1078" i="5"/>
  <c r="F1078" i="5" s="1"/>
  <c r="D1079" i="5"/>
  <c r="F1079" i="5" s="1"/>
  <c r="D1080" i="5"/>
  <c r="F1080" i="5" s="1"/>
  <c r="D1081" i="5"/>
  <c r="F1081" i="5" s="1"/>
  <c r="D1082" i="5"/>
  <c r="F1082" i="5" s="1"/>
  <c r="D1083" i="5"/>
  <c r="F1083" i="5" s="1"/>
  <c r="D1084" i="5"/>
  <c r="F1084" i="5" s="1"/>
  <c r="D1085" i="5"/>
  <c r="F1085" i="5" s="1"/>
  <c r="D1086" i="5"/>
  <c r="F1086" i="5" s="1"/>
  <c r="D1087" i="5"/>
  <c r="F1087" i="5" s="1"/>
  <c r="D1088" i="5"/>
  <c r="F1088" i="5" s="1"/>
  <c r="D1089" i="5"/>
  <c r="F1089" i="5" s="1"/>
  <c r="D1090" i="5"/>
  <c r="F1090" i="5" s="1"/>
  <c r="D1091" i="5"/>
  <c r="F1091" i="5" s="1"/>
  <c r="D1092" i="5"/>
  <c r="F1092" i="5" s="1"/>
  <c r="D1093" i="5"/>
  <c r="F1093" i="5" s="1"/>
  <c r="D1094" i="5"/>
  <c r="F1094" i="5" s="1"/>
  <c r="D1095" i="5"/>
  <c r="F1095" i="5" s="1"/>
  <c r="D1096" i="5"/>
  <c r="F1096" i="5" s="1"/>
  <c r="D1097" i="5"/>
  <c r="F1097" i="5" s="1"/>
  <c r="D1098" i="5"/>
  <c r="F1098" i="5" s="1"/>
  <c r="D1099" i="5"/>
  <c r="F1099" i="5" s="1"/>
  <c r="D1100" i="5"/>
  <c r="F1100" i="5" s="1"/>
  <c r="D1101" i="5"/>
  <c r="F1101" i="5" s="1"/>
  <c r="D1102" i="5"/>
  <c r="F1102" i="5" s="1"/>
  <c r="D1103" i="5"/>
  <c r="F1103" i="5" s="1"/>
  <c r="D1104" i="5"/>
  <c r="F1104" i="5" s="1"/>
  <c r="D1105" i="5"/>
  <c r="F1105" i="5" s="1"/>
  <c r="D1106" i="5"/>
  <c r="F1106" i="5" s="1"/>
  <c r="D1107" i="5"/>
  <c r="F1107" i="5" s="1"/>
  <c r="D1108" i="5"/>
  <c r="F1108" i="5" s="1"/>
  <c r="D1109" i="5"/>
  <c r="F1109" i="5" s="1"/>
  <c r="D1110" i="5"/>
  <c r="F1110" i="5" s="1"/>
  <c r="D1111" i="5"/>
  <c r="F1111" i="5" s="1"/>
  <c r="D1112" i="5"/>
  <c r="F1112" i="5" s="1"/>
  <c r="D1113" i="5"/>
  <c r="F1113" i="5" s="1"/>
  <c r="D1114" i="5"/>
  <c r="F1114" i="5" s="1"/>
  <c r="D1115" i="5"/>
  <c r="F1115" i="5" s="1"/>
  <c r="D1116" i="5"/>
  <c r="F1116" i="5" s="1"/>
  <c r="D1117" i="5"/>
  <c r="F1117" i="5" s="1"/>
  <c r="D1118" i="5"/>
  <c r="F1118" i="5" s="1"/>
  <c r="D1119" i="5"/>
  <c r="F1119" i="5" s="1"/>
  <c r="D1120" i="5"/>
  <c r="F1120" i="5" s="1"/>
  <c r="D1121" i="5"/>
  <c r="F1121" i="5" s="1"/>
  <c r="D1122" i="5"/>
  <c r="F1122" i="5" s="1"/>
  <c r="D1123" i="5"/>
  <c r="F1123" i="5" s="1"/>
  <c r="D1124" i="5"/>
  <c r="F1124" i="5" s="1"/>
  <c r="D1125" i="5"/>
  <c r="F1125" i="5" s="1"/>
  <c r="D1126" i="5"/>
  <c r="F1126" i="5" s="1"/>
  <c r="D1127" i="5"/>
  <c r="F1127" i="5" s="1"/>
  <c r="D1128" i="5"/>
  <c r="F1128" i="5" s="1"/>
  <c r="D1129" i="5"/>
  <c r="F1129" i="5" s="1"/>
  <c r="D1130" i="5"/>
  <c r="F1130" i="5" s="1"/>
  <c r="D1131" i="5"/>
  <c r="F1131" i="5" s="1"/>
  <c r="D1132" i="5"/>
  <c r="F1132" i="5" s="1"/>
  <c r="D1133" i="5"/>
  <c r="F1133" i="5" s="1"/>
  <c r="D1134" i="5"/>
  <c r="F1134" i="5" s="1"/>
  <c r="D1135" i="5"/>
  <c r="F1135" i="5" s="1"/>
  <c r="D1136" i="5"/>
  <c r="F1136" i="5" s="1"/>
  <c r="D1137" i="5"/>
  <c r="F1137" i="5" s="1"/>
  <c r="D1138" i="5"/>
  <c r="F1138" i="5" s="1"/>
  <c r="D1139" i="5"/>
  <c r="F1139" i="5" s="1"/>
  <c r="D1140" i="5"/>
  <c r="F1140" i="5" s="1"/>
  <c r="D1141" i="5"/>
  <c r="F1141" i="5" s="1"/>
  <c r="D1142" i="5"/>
  <c r="F1142" i="5" s="1"/>
  <c r="D1143" i="5"/>
  <c r="F1143" i="5" s="1"/>
  <c r="D1144" i="5"/>
  <c r="F1144" i="5" s="1"/>
  <c r="D1145" i="5"/>
  <c r="F1145" i="5" s="1"/>
  <c r="D1146" i="5"/>
  <c r="F1146" i="5" s="1"/>
  <c r="D1147" i="5"/>
  <c r="F1147" i="5" s="1"/>
  <c r="D1148" i="5"/>
  <c r="F1148" i="5" s="1"/>
  <c r="D1149" i="5"/>
  <c r="F1149" i="5" s="1"/>
  <c r="D1150" i="5"/>
  <c r="F1150" i="5" s="1"/>
  <c r="D1151" i="5"/>
  <c r="F1151" i="5" s="1"/>
  <c r="D1152" i="5"/>
  <c r="F1152" i="5" s="1"/>
  <c r="D1153" i="5"/>
  <c r="F1153" i="5" s="1"/>
  <c r="D1154" i="5"/>
  <c r="F1154" i="5" s="1"/>
  <c r="D1155" i="5"/>
  <c r="F1155" i="5" s="1"/>
  <c r="D1156" i="5"/>
  <c r="F1156" i="5" s="1"/>
  <c r="D1157" i="5"/>
  <c r="F1157" i="5" s="1"/>
  <c r="D1158" i="5"/>
  <c r="F1158" i="5" s="1"/>
  <c r="D1159" i="5"/>
  <c r="F1159" i="5" s="1"/>
  <c r="D1160" i="5"/>
  <c r="F1160" i="5" s="1"/>
  <c r="D1161" i="5"/>
  <c r="F1161" i="5" s="1"/>
  <c r="D1162" i="5"/>
  <c r="F1162" i="5" s="1"/>
  <c r="D1163" i="5"/>
  <c r="F1163" i="5" s="1"/>
  <c r="D1164" i="5"/>
  <c r="F1164" i="5" s="1"/>
  <c r="D1165" i="5"/>
  <c r="F1165" i="5" s="1"/>
  <c r="D1166" i="5"/>
  <c r="F1166" i="5" s="1"/>
  <c r="D1167" i="5"/>
  <c r="F1167" i="5" s="1"/>
  <c r="D1168" i="5"/>
  <c r="F1168" i="5" s="1"/>
  <c r="D1169" i="5"/>
  <c r="F1169" i="5" s="1"/>
  <c r="D1170" i="5"/>
  <c r="F1170" i="5" s="1"/>
  <c r="D1171" i="5"/>
  <c r="F1171" i="5" s="1"/>
  <c r="D1172" i="5"/>
  <c r="F1172" i="5" s="1"/>
  <c r="D1173" i="5"/>
  <c r="F1173" i="5" s="1"/>
  <c r="D1174" i="5"/>
  <c r="F1174" i="5" s="1"/>
  <c r="D1175" i="5"/>
  <c r="F1175" i="5" s="1"/>
  <c r="D1176" i="5"/>
  <c r="F1176" i="5" s="1"/>
  <c r="D1177" i="5"/>
  <c r="F1177" i="5" s="1"/>
  <c r="D1178" i="5"/>
  <c r="F1178" i="5" s="1"/>
  <c r="D1179" i="5"/>
  <c r="F1179" i="5" s="1"/>
  <c r="D1180" i="5"/>
  <c r="F1180" i="5" s="1"/>
  <c r="D1181" i="5"/>
  <c r="F1181" i="5" s="1"/>
  <c r="D1182" i="5"/>
  <c r="F1182" i="5" s="1"/>
  <c r="D1183" i="5"/>
  <c r="F1183" i="5" s="1"/>
  <c r="D1184" i="5"/>
  <c r="F1184" i="5" s="1"/>
  <c r="D1185" i="5"/>
  <c r="F1185" i="5" s="1"/>
  <c r="D1186" i="5"/>
  <c r="F1186" i="5" s="1"/>
  <c r="D1187" i="5"/>
  <c r="F1187" i="5" s="1"/>
  <c r="D1188" i="5"/>
  <c r="F1188" i="5" s="1"/>
  <c r="D1189" i="5"/>
  <c r="F1189" i="5" s="1"/>
  <c r="D1190" i="5"/>
  <c r="F1190" i="5" s="1"/>
  <c r="D1191" i="5"/>
  <c r="F1191" i="5" s="1"/>
  <c r="D1192" i="5"/>
  <c r="F1192" i="5" s="1"/>
  <c r="D1193" i="5"/>
  <c r="F1193" i="5" s="1"/>
  <c r="D1194" i="5"/>
  <c r="F1194" i="5" s="1"/>
  <c r="D1195" i="5"/>
  <c r="F1195" i="5" s="1"/>
  <c r="D1196" i="5"/>
  <c r="F1196" i="5" s="1"/>
  <c r="D1197" i="5"/>
  <c r="F1197" i="5" s="1"/>
  <c r="D1198" i="5"/>
  <c r="F1198" i="5" s="1"/>
  <c r="D1199" i="5"/>
  <c r="F1199" i="5" s="1"/>
  <c r="D1200" i="5"/>
  <c r="F1200" i="5" s="1"/>
  <c r="D1201" i="5"/>
  <c r="F1201" i="5" s="1"/>
  <c r="D1202" i="5"/>
  <c r="F1202" i="5" s="1"/>
  <c r="D1203" i="5"/>
  <c r="F1203" i="5" s="1"/>
  <c r="D1204" i="5"/>
  <c r="F1204" i="5" s="1"/>
  <c r="D1205" i="5"/>
  <c r="F1205" i="5" s="1"/>
  <c r="D1206" i="5"/>
  <c r="F1206" i="5" s="1"/>
  <c r="D1207" i="5"/>
  <c r="F1207" i="5" s="1"/>
  <c r="D1208" i="5"/>
  <c r="F1208" i="5" s="1"/>
  <c r="D1209" i="5"/>
  <c r="F1209" i="5" s="1"/>
  <c r="D1210" i="5"/>
  <c r="F1210" i="5" s="1"/>
  <c r="D1211" i="5"/>
  <c r="F1211" i="5" s="1"/>
  <c r="D1212" i="5"/>
  <c r="F1212" i="5" s="1"/>
  <c r="D1213" i="5"/>
  <c r="F1213" i="5" s="1"/>
  <c r="D1214" i="5"/>
  <c r="F1214" i="5" s="1"/>
  <c r="D1215" i="5"/>
  <c r="F1215" i="5" s="1"/>
  <c r="D1216" i="5"/>
  <c r="F1216" i="5" s="1"/>
  <c r="D1217" i="5"/>
  <c r="F1217" i="5" s="1"/>
  <c r="D1218" i="5"/>
  <c r="F1218" i="5" s="1"/>
  <c r="D1219" i="5"/>
  <c r="F1219" i="5" s="1"/>
  <c r="D1220" i="5"/>
  <c r="F1220" i="5" s="1"/>
  <c r="D1221" i="5"/>
  <c r="F1221" i="5" s="1"/>
  <c r="D1222" i="5"/>
  <c r="F1222" i="5" s="1"/>
  <c r="D1223" i="5"/>
  <c r="F1223" i="5" s="1"/>
  <c r="D1224" i="5"/>
  <c r="F1224" i="5" s="1"/>
  <c r="D1225" i="5"/>
  <c r="F1225" i="5" s="1"/>
  <c r="D1226" i="5"/>
  <c r="F1226" i="5" s="1"/>
  <c r="D1227" i="5"/>
  <c r="F1227" i="5" s="1"/>
  <c r="D1228" i="5"/>
  <c r="F1228" i="5" s="1"/>
  <c r="D1229" i="5"/>
  <c r="F1229" i="5" s="1"/>
  <c r="D1230" i="5"/>
  <c r="F1230" i="5" s="1"/>
  <c r="D1231" i="5"/>
  <c r="F1231" i="5" s="1"/>
  <c r="D1232" i="5"/>
  <c r="F1232" i="5" s="1"/>
  <c r="D1233" i="5"/>
  <c r="F1233" i="5" s="1"/>
  <c r="D1234" i="5"/>
  <c r="F1234" i="5" s="1"/>
  <c r="D1235" i="5"/>
  <c r="F1235" i="5" s="1"/>
  <c r="D1236" i="5"/>
  <c r="F1236" i="5" s="1"/>
  <c r="D1237" i="5"/>
  <c r="F1237" i="5" s="1"/>
  <c r="D1238" i="5"/>
  <c r="F1238" i="5" s="1"/>
  <c r="D1239" i="5"/>
  <c r="F1239" i="5" s="1"/>
  <c r="D1240" i="5"/>
  <c r="F1240" i="5" s="1"/>
  <c r="D1241" i="5"/>
  <c r="F1241" i="5" s="1"/>
  <c r="D1242" i="5"/>
  <c r="F1242" i="5" s="1"/>
  <c r="D1243" i="5"/>
  <c r="F1243" i="5" s="1"/>
  <c r="D1244" i="5"/>
  <c r="F1244" i="5" s="1"/>
  <c r="D1245" i="5"/>
  <c r="F1245" i="5" s="1"/>
  <c r="D1246" i="5"/>
  <c r="F1246" i="5" s="1"/>
  <c r="D1247" i="5"/>
  <c r="F1247" i="5" s="1"/>
  <c r="D1248" i="5"/>
  <c r="F1248" i="5" s="1"/>
  <c r="D1249" i="5"/>
  <c r="F1249" i="5" s="1"/>
  <c r="D1250" i="5"/>
  <c r="F1250" i="5" s="1"/>
  <c r="D1251" i="5"/>
  <c r="F1251" i="5" s="1"/>
  <c r="D1252" i="5"/>
  <c r="F1252" i="5" s="1"/>
  <c r="D1253" i="5"/>
  <c r="F1253" i="5" s="1"/>
  <c r="D1254" i="5"/>
  <c r="F1254" i="5" s="1"/>
  <c r="D1255" i="5"/>
  <c r="F1255" i="5" s="1"/>
  <c r="D1256" i="5"/>
  <c r="F1256" i="5" s="1"/>
  <c r="D1257" i="5"/>
  <c r="F1257" i="5" s="1"/>
  <c r="D1258" i="5"/>
  <c r="F1258" i="5" s="1"/>
  <c r="D1259" i="5"/>
  <c r="F1259" i="5" s="1"/>
  <c r="D1260" i="5"/>
  <c r="F1260" i="5" s="1"/>
  <c r="D1261" i="5"/>
  <c r="F1261" i="5" s="1"/>
  <c r="D1262" i="5"/>
  <c r="F1262" i="5" s="1"/>
  <c r="D1263" i="5"/>
  <c r="F1263" i="5" s="1"/>
  <c r="D1264" i="5"/>
  <c r="F1264" i="5" s="1"/>
  <c r="D1265" i="5"/>
  <c r="F1265" i="5" s="1"/>
  <c r="D1266" i="5"/>
  <c r="F1266" i="5" s="1"/>
  <c r="D1267" i="5"/>
  <c r="F1267" i="5" s="1"/>
  <c r="D1268" i="5"/>
  <c r="F1268" i="5" s="1"/>
  <c r="D1269" i="5"/>
  <c r="F1269" i="5" s="1"/>
  <c r="D1270" i="5"/>
  <c r="F1270" i="5" s="1"/>
  <c r="D1271" i="5"/>
  <c r="F1271" i="5" s="1"/>
  <c r="D1272" i="5"/>
  <c r="F1272" i="5" s="1"/>
  <c r="D1273" i="5"/>
  <c r="F1273" i="5" s="1"/>
  <c r="D1274" i="5"/>
  <c r="F1274" i="5" s="1"/>
  <c r="D1275" i="5"/>
  <c r="F1275" i="5" s="1"/>
  <c r="D1276" i="5"/>
  <c r="F1276" i="5" s="1"/>
  <c r="D1277" i="5"/>
  <c r="F1277" i="5" s="1"/>
  <c r="D1278" i="5"/>
  <c r="F1278" i="5" s="1"/>
  <c r="D1279" i="5"/>
  <c r="F1279" i="5" s="1"/>
  <c r="D1280" i="5"/>
  <c r="F1280" i="5" s="1"/>
  <c r="D1281" i="5"/>
  <c r="F1281" i="5" s="1"/>
  <c r="D1282" i="5"/>
  <c r="F1282" i="5" s="1"/>
  <c r="D1283" i="5"/>
  <c r="F1283" i="5" s="1"/>
  <c r="D1284" i="5"/>
  <c r="F1284" i="5" s="1"/>
  <c r="D1285" i="5"/>
  <c r="F1285" i="5" s="1"/>
  <c r="D1286" i="5"/>
  <c r="F1286" i="5" s="1"/>
  <c r="D1287" i="5"/>
  <c r="F1287" i="5" s="1"/>
  <c r="D1288" i="5"/>
  <c r="F1288" i="5" s="1"/>
  <c r="D1289" i="5"/>
  <c r="F1289" i="5" s="1"/>
  <c r="D1290" i="5"/>
  <c r="F1290" i="5" s="1"/>
  <c r="D1291" i="5"/>
  <c r="F1291" i="5" s="1"/>
  <c r="D1292" i="5"/>
  <c r="F1292" i="5" s="1"/>
  <c r="D1293" i="5"/>
  <c r="F1293" i="5" s="1"/>
  <c r="D1294" i="5"/>
  <c r="F1294" i="5" s="1"/>
  <c r="D1295" i="5"/>
  <c r="F1295" i="5" s="1"/>
  <c r="D1296" i="5"/>
  <c r="F1296" i="5" s="1"/>
  <c r="D1297" i="5"/>
  <c r="F1297" i="5" s="1"/>
  <c r="D1298" i="5"/>
  <c r="F1298" i="5" s="1"/>
  <c r="D1299" i="5"/>
  <c r="F1299" i="5" s="1"/>
  <c r="D1300" i="5"/>
  <c r="F1300" i="5" s="1"/>
  <c r="D1301" i="5"/>
  <c r="F1301" i="5" s="1"/>
  <c r="D1302" i="5"/>
  <c r="F1302" i="5" s="1"/>
  <c r="D1303" i="5"/>
  <c r="F1303" i="5" s="1"/>
  <c r="D1304" i="5"/>
  <c r="F1304" i="5" s="1"/>
  <c r="D1305" i="5"/>
  <c r="F1305" i="5" s="1"/>
  <c r="D1306" i="5"/>
  <c r="F1306" i="5" s="1"/>
  <c r="D1307" i="5"/>
  <c r="F1307" i="5" s="1"/>
  <c r="D1308" i="5"/>
  <c r="F1308" i="5" s="1"/>
  <c r="D1309" i="5"/>
  <c r="F1309" i="5" s="1"/>
  <c r="D1310" i="5"/>
  <c r="F1310" i="5" s="1"/>
  <c r="D1311" i="5"/>
  <c r="F1311" i="5" s="1"/>
  <c r="D1312" i="5"/>
  <c r="F1312" i="5" s="1"/>
  <c r="D1313" i="5"/>
  <c r="F1313" i="5" s="1"/>
  <c r="D1314" i="5"/>
  <c r="F1314" i="5" s="1"/>
  <c r="D1315" i="5"/>
  <c r="F1315" i="5" s="1"/>
  <c r="D1316" i="5"/>
  <c r="F1316" i="5" s="1"/>
  <c r="D1317" i="5"/>
  <c r="F1317" i="5" s="1"/>
  <c r="D1318" i="5"/>
  <c r="F1318" i="5" s="1"/>
  <c r="D1319" i="5"/>
  <c r="F1319" i="5" s="1"/>
  <c r="D1320" i="5"/>
  <c r="F1320" i="5" s="1"/>
  <c r="D1321" i="5"/>
  <c r="F1321" i="5" s="1"/>
  <c r="D1322" i="5"/>
  <c r="F1322" i="5" s="1"/>
  <c r="D1323" i="5"/>
  <c r="F1323" i="5" s="1"/>
  <c r="D1324" i="5"/>
  <c r="F1324" i="5" s="1"/>
  <c r="D1325" i="5"/>
  <c r="F1325" i="5" s="1"/>
  <c r="D1326" i="5"/>
  <c r="F1326" i="5" s="1"/>
  <c r="D1327" i="5"/>
  <c r="F1327" i="5" s="1"/>
  <c r="D1328" i="5"/>
  <c r="F1328" i="5" s="1"/>
  <c r="D1329" i="5"/>
  <c r="F1329" i="5" s="1"/>
  <c r="D1330" i="5"/>
  <c r="F1330" i="5" s="1"/>
  <c r="D1331" i="5"/>
  <c r="F1331" i="5" s="1"/>
  <c r="D1332" i="5"/>
  <c r="F1332" i="5" s="1"/>
  <c r="D1333" i="5"/>
  <c r="F1333" i="5" s="1"/>
  <c r="D1334" i="5"/>
  <c r="F1334" i="5" s="1"/>
  <c r="D1335" i="5"/>
  <c r="F1335" i="5" s="1"/>
  <c r="D1336" i="5"/>
  <c r="F1336" i="5" s="1"/>
  <c r="D1337" i="5"/>
  <c r="F1337" i="5" s="1"/>
  <c r="D1338" i="5"/>
  <c r="F1338" i="5" s="1"/>
  <c r="D1339" i="5"/>
  <c r="F1339" i="5" s="1"/>
  <c r="D1340" i="5"/>
  <c r="F1340" i="5" s="1"/>
  <c r="D1341" i="5"/>
  <c r="F1341" i="5" s="1"/>
  <c r="D1342" i="5"/>
  <c r="F1342" i="5" s="1"/>
  <c r="D1343" i="5"/>
  <c r="F1343" i="5" s="1"/>
  <c r="D1344" i="5"/>
  <c r="F1344" i="5" s="1"/>
  <c r="D1345" i="5"/>
  <c r="F1345" i="5" s="1"/>
  <c r="D1346" i="5"/>
  <c r="F1346" i="5" s="1"/>
  <c r="D1347" i="5"/>
  <c r="F1347" i="5" s="1"/>
  <c r="D1348" i="5"/>
  <c r="F1348" i="5" s="1"/>
  <c r="D1349" i="5"/>
  <c r="F1349" i="5" s="1"/>
  <c r="D1350" i="5"/>
  <c r="F1350" i="5" s="1"/>
  <c r="D1351" i="5"/>
  <c r="F1351" i="5" s="1"/>
  <c r="D1352" i="5"/>
  <c r="F1352" i="5" s="1"/>
  <c r="D1353" i="5"/>
  <c r="F1353" i="5" s="1"/>
  <c r="D1354" i="5"/>
  <c r="F1354" i="5" s="1"/>
  <c r="D1355" i="5"/>
  <c r="F1355" i="5" s="1"/>
  <c r="D1356" i="5"/>
  <c r="F1356" i="5" s="1"/>
  <c r="D1357" i="5"/>
  <c r="F1357" i="5" s="1"/>
  <c r="D1358" i="5"/>
  <c r="F1358" i="5" s="1"/>
  <c r="D1359" i="5"/>
  <c r="F1359" i="5" s="1"/>
  <c r="D1360" i="5"/>
  <c r="F1360" i="5" s="1"/>
  <c r="D1361" i="5"/>
  <c r="F1361" i="5" s="1"/>
  <c r="D1362" i="5"/>
  <c r="F1362" i="5" s="1"/>
  <c r="D1363" i="5"/>
  <c r="F1363" i="5" s="1"/>
  <c r="D1364" i="5"/>
  <c r="F1364" i="5" s="1"/>
  <c r="D1365" i="5"/>
  <c r="F1365" i="5" s="1"/>
  <c r="D1366" i="5"/>
  <c r="F1366" i="5" s="1"/>
  <c r="D1367" i="5"/>
  <c r="F1367" i="5" s="1"/>
  <c r="D1368" i="5"/>
  <c r="F1368" i="5" s="1"/>
  <c r="D1369" i="5"/>
  <c r="F1369" i="5" s="1"/>
  <c r="D1370" i="5"/>
  <c r="F1370" i="5" s="1"/>
  <c r="D1371" i="5"/>
  <c r="F1371" i="5" s="1"/>
  <c r="D1372" i="5"/>
  <c r="F1372" i="5" s="1"/>
  <c r="D1373" i="5"/>
  <c r="F1373" i="5" s="1"/>
  <c r="D1374" i="5"/>
  <c r="F1374" i="5" s="1"/>
  <c r="D1375" i="5"/>
  <c r="F1375" i="5" s="1"/>
  <c r="D1376" i="5"/>
  <c r="F1376" i="5" s="1"/>
  <c r="D1377" i="5"/>
  <c r="F1377" i="5" s="1"/>
  <c r="D1378" i="5"/>
  <c r="F1378" i="5" s="1"/>
  <c r="D1379" i="5"/>
  <c r="F1379" i="5" s="1"/>
  <c r="D1380" i="5"/>
  <c r="F1380" i="5" s="1"/>
  <c r="D1381" i="5"/>
  <c r="F1381" i="5" s="1"/>
  <c r="D1382" i="5"/>
  <c r="F1382" i="5" s="1"/>
  <c r="D1383" i="5"/>
  <c r="F1383" i="5" s="1"/>
  <c r="D1384" i="5"/>
  <c r="F1384" i="5" s="1"/>
  <c r="D1385" i="5"/>
  <c r="F1385" i="5" s="1"/>
  <c r="D1386" i="5"/>
  <c r="F1386" i="5" s="1"/>
  <c r="D1387" i="5"/>
  <c r="F1387" i="5" s="1"/>
  <c r="D1388" i="5"/>
  <c r="F1388" i="5" s="1"/>
  <c r="D1389" i="5"/>
  <c r="F1389" i="5" s="1"/>
  <c r="D1390" i="5"/>
  <c r="F1390" i="5" s="1"/>
  <c r="D1391" i="5"/>
  <c r="F1391" i="5" s="1"/>
  <c r="D1392" i="5"/>
  <c r="F1392" i="5" s="1"/>
  <c r="D1393" i="5"/>
  <c r="F1393" i="5" s="1"/>
  <c r="D1394" i="5"/>
  <c r="F1394" i="5" s="1"/>
  <c r="D1395" i="5"/>
  <c r="F1395" i="5" s="1"/>
  <c r="D1396" i="5"/>
  <c r="F1396" i="5" s="1"/>
  <c r="D1397" i="5"/>
  <c r="F1397" i="5" s="1"/>
  <c r="D1398" i="5"/>
  <c r="F1398" i="5" s="1"/>
  <c r="D1399" i="5"/>
  <c r="F1399" i="5" s="1"/>
  <c r="D1400" i="5"/>
  <c r="F1400" i="5" s="1"/>
  <c r="D1401" i="5"/>
  <c r="F1401" i="5" s="1"/>
  <c r="D1402" i="5"/>
  <c r="F1402" i="5" s="1"/>
  <c r="D1403" i="5"/>
  <c r="F1403" i="5" s="1"/>
  <c r="D1404" i="5"/>
  <c r="F1404" i="5" s="1"/>
  <c r="D1405" i="5"/>
  <c r="F1405" i="5" s="1"/>
  <c r="D1406" i="5"/>
  <c r="F1406" i="5" s="1"/>
  <c r="D1407" i="5"/>
  <c r="F1407" i="5" s="1"/>
  <c r="D1408" i="5"/>
  <c r="F1408" i="5" s="1"/>
  <c r="D1409" i="5"/>
  <c r="F1409" i="5" s="1"/>
  <c r="D1410" i="5"/>
  <c r="F1410" i="5" s="1"/>
  <c r="D1411" i="5"/>
  <c r="F1411" i="5" s="1"/>
  <c r="D1412" i="5"/>
  <c r="F1412" i="5" s="1"/>
  <c r="D1413" i="5"/>
  <c r="F1413" i="5" s="1"/>
  <c r="D1414" i="5"/>
  <c r="F1414" i="5" s="1"/>
  <c r="D1415" i="5"/>
  <c r="F1415" i="5" s="1"/>
  <c r="D1416" i="5"/>
  <c r="F1416" i="5" s="1"/>
  <c r="D1417" i="5"/>
  <c r="F1417" i="5" s="1"/>
  <c r="D1418" i="5"/>
  <c r="F1418" i="5" s="1"/>
  <c r="D1419" i="5"/>
  <c r="F1419" i="5" s="1"/>
  <c r="D1420" i="5"/>
  <c r="F1420" i="5" s="1"/>
  <c r="D1421" i="5"/>
  <c r="F1421" i="5" s="1"/>
  <c r="D1422" i="5"/>
  <c r="F1422" i="5" s="1"/>
  <c r="D1423" i="5"/>
  <c r="F1423" i="5" s="1"/>
  <c r="D1424" i="5"/>
  <c r="F1424" i="5" s="1"/>
  <c r="D1425" i="5"/>
  <c r="F1425" i="5" s="1"/>
  <c r="D1426" i="5"/>
  <c r="F1426" i="5" s="1"/>
  <c r="D1427" i="5"/>
  <c r="F1427" i="5" s="1"/>
  <c r="D1428" i="5"/>
  <c r="F1428" i="5" s="1"/>
  <c r="D1429" i="5"/>
  <c r="F1429" i="5" s="1"/>
  <c r="D1430" i="5"/>
  <c r="F1430" i="5" s="1"/>
  <c r="D1431" i="5"/>
  <c r="F1431" i="5" s="1"/>
  <c r="D1432" i="5"/>
  <c r="F1432" i="5" s="1"/>
  <c r="D1433" i="5"/>
  <c r="F1433" i="5" s="1"/>
  <c r="D1434" i="5"/>
  <c r="F1434" i="5" s="1"/>
  <c r="D1435" i="5"/>
  <c r="F1435" i="5" s="1"/>
  <c r="D1436" i="5"/>
  <c r="F1436" i="5" s="1"/>
  <c r="D1437" i="5"/>
  <c r="F1437" i="5" s="1"/>
  <c r="D1438" i="5"/>
  <c r="F1438" i="5" s="1"/>
  <c r="D1439" i="5"/>
  <c r="F1439" i="5" s="1"/>
  <c r="D1440" i="5"/>
  <c r="F1440" i="5" s="1"/>
  <c r="D1441" i="5"/>
  <c r="F1441" i="5" s="1"/>
  <c r="D1442" i="5"/>
  <c r="F1442" i="5" s="1"/>
  <c r="D1443" i="5"/>
  <c r="F1443" i="5" s="1"/>
  <c r="D1444" i="5"/>
  <c r="F1444" i="5" s="1"/>
  <c r="D1445" i="5"/>
  <c r="F1445" i="5" s="1"/>
  <c r="D1446" i="5"/>
  <c r="F1446" i="5" s="1"/>
  <c r="D1447" i="5"/>
  <c r="F1447" i="5" s="1"/>
  <c r="D1448" i="5"/>
  <c r="F1448" i="5" s="1"/>
  <c r="D1449" i="5"/>
  <c r="F1449" i="5" s="1"/>
  <c r="D1450" i="5"/>
  <c r="F1450" i="5" s="1"/>
  <c r="D1451" i="5"/>
  <c r="F1451" i="5" s="1"/>
  <c r="D1452" i="5"/>
  <c r="F1452" i="5" s="1"/>
  <c r="D1453" i="5"/>
  <c r="F1453" i="5" s="1"/>
  <c r="D1454" i="5"/>
  <c r="F1454" i="5" s="1"/>
  <c r="D1455" i="5"/>
  <c r="F1455" i="5" s="1"/>
  <c r="D1456" i="5"/>
  <c r="F1456" i="5" s="1"/>
  <c r="D1457" i="5"/>
  <c r="F1457" i="5" s="1"/>
  <c r="D1458" i="5"/>
  <c r="F1458" i="5" s="1"/>
  <c r="D1459" i="5"/>
  <c r="F1459" i="5" s="1"/>
  <c r="D1460" i="5"/>
  <c r="F1460" i="5" s="1"/>
  <c r="D1461" i="5"/>
  <c r="F1461" i="5" s="1"/>
  <c r="D1462" i="5"/>
  <c r="F1462" i="5" s="1"/>
  <c r="D1463" i="5"/>
  <c r="F1463" i="5" s="1"/>
  <c r="D1464" i="5"/>
  <c r="F1464" i="5" s="1"/>
  <c r="D1465" i="5"/>
  <c r="F1465" i="5" s="1"/>
  <c r="D1466" i="5"/>
  <c r="F1466" i="5" s="1"/>
  <c r="D1467" i="5"/>
  <c r="F1467" i="5" s="1"/>
  <c r="D1468" i="5"/>
  <c r="F1468" i="5" s="1"/>
  <c r="D1469" i="5"/>
  <c r="F1469" i="5" s="1"/>
  <c r="D1470" i="5"/>
  <c r="F1470" i="5" s="1"/>
  <c r="D1471" i="5"/>
  <c r="F1471" i="5" s="1"/>
  <c r="D1472" i="5"/>
  <c r="F1472" i="5" s="1"/>
  <c r="D1473" i="5"/>
  <c r="F1473" i="5" s="1"/>
  <c r="D1474" i="5"/>
  <c r="F1474" i="5" s="1"/>
  <c r="D1475" i="5"/>
  <c r="F1475" i="5" s="1"/>
  <c r="D1476" i="5"/>
  <c r="F1476" i="5" s="1"/>
  <c r="D1477" i="5"/>
  <c r="F1477" i="5" s="1"/>
  <c r="D1478" i="5"/>
  <c r="F1478" i="5" s="1"/>
  <c r="D1479" i="5"/>
  <c r="F1479" i="5" s="1"/>
  <c r="D1480" i="5"/>
  <c r="F1480" i="5" s="1"/>
  <c r="D1481" i="5"/>
  <c r="F1481" i="5" s="1"/>
  <c r="D1482" i="5"/>
  <c r="F1482" i="5" s="1"/>
  <c r="D1483" i="5"/>
  <c r="F1483" i="5" s="1"/>
  <c r="D1484" i="5"/>
  <c r="F1484" i="5" s="1"/>
  <c r="D1485" i="5"/>
  <c r="F1485" i="5" s="1"/>
  <c r="D1486" i="5"/>
  <c r="F1486" i="5" s="1"/>
  <c r="D1487" i="5"/>
  <c r="F1487" i="5" s="1"/>
  <c r="D1488" i="5"/>
  <c r="F1488" i="5" s="1"/>
  <c r="D1489" i="5"/>
  <c r="F1489" i="5" s="1"/>
  <c r="D1490" i="5"/>
  <c r="F1490" i="5" s="1"/>
  <c r="D1491" i="5"/>
  <c r="F1491" i="5" s="1"/>
  <c r="D1492" i="5"/>
  <c r="F1492" i="5" s="1"/>
  <c r="D1493" i="5"/>
  <c r="F1493" i="5" s="1"/>
  <c r="D1494" i="5"/>
  <c r="F1494" i="5" s="1"/>
  <c r="D1495" i="5"/>
  <c r="F1495" i="5" s="1"/>
  <c r="D1496" i="5"/>
  <c r="F1496" i="5" s="1"/>
  <c r="D1497" i="5"/>
  <c r="F1497" i="5" s="1"/>
  <c r="D1498" i="5"/>
  <c r="F1498" i="5" s="1"/>
  <c r="D1499" i="5"/>
  <c r="F1499" i="5" s="1"/>
  <c r="D1500" i="5"/>
  <c r="F1500" i="5" s="1"/>
  <c r="D1501" i="5"/>
  <c r="F1501" i="5" s="1"/>
  <c r="D1502" i="5"/>
  <c r="F1502" i="5" s="1"/>
  <c r="D1503" i="5"/>
  <c r="F1503" i="5" s="1"/>
  <c r="D1504" i="5"/>
  <c r="F1504" i="5" s="1"/>
  <c r="D1505" i="5"/>
  <c r="F1505" i="5" s="1"/>
  <c r="D1506" i="5"/>
  <c r="F1506" i="5" s="1"/>
  <c r="D1507" i="5"/>
  <c r="F1507" i="5" s="1"/>
  <c r="D1508" i="5"/>
  <c r="F1508" i="5" s="1"/>
  <c r="D1509" i="5"/>
  <c r="F1509" i="5" s="1"/>
  <c r="D1510" i="5"/>
  <c r="F1510" i="5" s="1"/>
  <c r="D1511" i="5"/>
  <c r="F1511" i="5" s="1"/>
  <c r="D1512" i="5"/>
  <c r="F1512" i="5" s="1"/>
  <c r="D1513" i="5"/>
  <c r="F1513" i="5" s="1"/>
  <c r="D1514" i="5"/>
  <c r="F1514" i="5" s="1"/>
  <c r="D1515" i="5"/>
  <c r="F1515" i="5" s="1"/>
  <c r="D1516" i="5"/>
  <c r="F1516" i="5" s="1"/>
  <c r="D1517" i="5"/>
  <c r="F1517" i="5" s="1"/>
  <c r="D1518" i="5"/>
  <c r="F1518" i="5" s="1"/>
  <c r="D1519" i="5"/>
  <c r="F1519" i="5" s="1"/>
  <c r="D1520" i="5"/>
  <c r="F1520" i="5" s="1"/>
  <c r="D1521" i="5"/>
  <c r="F1521" i="5" s="1"/>
  <c r="D1522" i="5"/>
  <c r="F1522" i="5" s="1"/>
  <c r="D1523" i="5"/>
  <c r="F1523" i="5" s="1"/>
  <c r="D1524" i="5"/>
  <c r="F1524" i="5" s="1"/>
  <c r="D1525" i="5"/>
  <c r="F1525" i="5" s="1"/>
  <c r="D1526" i="5"/>
  <c r="F1526" i="5" s="1"/>
  <c r="D1527" i="5"/>
  <c r="F1527" i="5" s="1"/>
  <c r="D1528" i="5"/>
  <c r="F1528" i="5" s="1"/>
  <c r="D1529" i="5"/>
  <c r="F1529" i="5" s="1"/>
  <c r="D1530" i="5"/>
  <c r="F1530" i="5" s="1"/>
  <c r="D1531" i="5"/>
  <c r="F1531" i="5" s="1"/>
  <c r="D1532" i="5"/>
  <c r="F1532" i="5" s="1"/>
  <c r="D1533" i="5"/>
  <c r="F1533" i="5" s="1"/>
  <c r="D1534" i="5"/>
  <c r="F1534" i="5" s="1"/>
  <c r="D1535" i="5"/>
  <c r="F1535" i="5" s="1"/>
  <c r="D1536" i="5"/>
  <c r="F1536" i="5" s="1"/>
  <c r="D1537" i="5"/>
  <c r="F1537" i="5" s="1"/>
  <c r="D1538" i="5"/>
  <c r="F1538" i="5" s="1"/>
  <c r="D1539" i="5"/>
  <c r="F1539" i="5" s="1"/>
  <c r="D1540" i="5"/>
  <c r="F1540" i="5" s="1"/>
  <c r="D1541" i="5"/>
  <c r="F1541" i="5" s="1"/>
  <c r="D1542" i="5"/>
  <c r="F1542" i="5" s="1"/>
  <c r="D1543" i="5"/>
  <c r="F1543" i="5" s="1"/>
  <c r="D1544" i="5"/>
  <c r="F1544" i="5" s="1"/>
  <c r="D1545" i="5"/>
  <c r="F1545" i="5" s="1"/>
  <c r="D1546" i="5"/>
  <c r="F1546" i="5" s="1"/>
  <c r="D1547" i="5"/>
  <c r="F1547" i="5" s="1"/>
  <c r="D1548" i="5"/>
  <c r="F1548" i="5" s="1"/>
  <c r="D1549" i="5"/>
  <c r="F1549" i="5" s="1"/>
  <c r="D1550" i="5"/>
  <c r="F1550" i="5" s="1"/>
  <c r="D1551" i="5"/>
  <c r="F1551" i="5" s="1"/>
  <c r="D1552" i="5"/>
  <c r="F1552" i="5" s="1"/>
  <c r="D1553" i="5"/>
  <c r="F1553" i="5" s="1"/>
  <c r="D1554" i="5"/>
  <c r="F1554" i="5" s="1"/>
  <c r="D1555" i="5"/>
  <c r="F1555" i="5" s="1"/>
  <c r="D1556" i="5"/>
  <c r="F1556" i="5" s="1"/>
  <c r="D1557" i="5"/>
  <c r="F1557" i="5" s="1"/>
  <c r="D1558" i="5"/>
  <c r="F1558" i="5" s="1"/>
  <c r="D1559" i="5"/>
  <c r="F1559" i="5" s="1"/>
  <c r="D1560" i="5"/>
  <c r="F1560" i="5" s="1"/>
  <c r="D1561" i="5"/>
  <c r="F1561" i="5" s="1"/>
  <c r="D1562" i="5"/>
  <c r="F1562" i="5" s="1"/>
  <c r="D1563" i="5"/>
  <c r="F1563" i="5" s="1"/>
  <c r="D1564" i="5"/>
  <c r="F1564" i="5" s="1"/>
  <c r="D1565" i="5"/>
  <c r="F1565" i="5" s="1"/>
  <c r="D1566" i="5"/>
  <c r="F1566" i="5" s="1"/>
  <c r="D1567" i="5"/>
  <c r="F1567" i="5" s="1"/>
  <c r="D1568" i="5"/>
  <c r="F1568" i="5" s="1"/>
  <c r="D1569" i="5"/>
  <c r="F1569" i="5" s="1"/>
  <c r="D1570" i="5"/>
  <c r="F1570" i="5" s="1"/>
  <c r="D1571" i="5"/>
  <c r="F1571" i="5" s="1"/>
  <c r="D1572" i="5"/>
  <c r="F1572" i="5" s="1"/>
  <c r="D1573" i="5"/>
  <c r="F1573" i="5" s="1"/>
  <c r="D1574" i="5"/>
  <c r="F1574" i="5" s="1"/>
  <c r="D1575" i="5"/>
  <c r="F1575" i="5" s="1"/>
  <c r="D1576" i="5"/>
  <c r="F1576" i="5" s="1"/>
  <c r="D1577" i="5"/>
  <c r="F1577" i="5" s="1"/>
  <c r="D1578" i="5"/>
  <c r="F1578" i="5" s="1"/>
  <c r="D1579" i="5"/>
  <c r="F1579" i="5" s="1"/>
  <c r="D1580" i="5"/>
  <c r="F1580" i="5" s="1"/>
  <c r="D1581" i="5"/>
  <c r="F1581" i="5" s="1"/>
  <c r="D1582" i="5"/>
  <c r="F1582" i="5" s="1"/>
  <c r="D1583" i="5"/>
  <c r="F1583" i="5" s="1"/>
  <c r="D1584" i="5"/>
  <c r="F1584" i="5" s="1"/>
  <c r="D1585" i="5"/>
  <c r="F1585" i="5" s="1"/>
  <c r="D1586" i="5"/>
  <c r="F1586" i="5" s="1"/>
  <c r="D1587" i="5"/>
  <c r="F1587" i="5" s="1"/>
  <c r="D1588" i="5"/>
  <c r="F1588" i="5" s="1"/>
  <c r="D1589" i="5"/>
  <c r="F1589" i="5" s="1"/>
  <c r="D1590" i="5"/>
  <c r="F1590" i="5" s="1"/>
  <c r="D1591" i="5"/>
  <c r="F1591" i="5" s="1"/>
  <c r="D1592" i="5"/>
  <c r="F1592" i="5" s="1"/>
  <c r="D1593" i="5"/>
  <c r="F1593" i="5" s="1"/>
  <c r="D1594" i="5"/>
  <c r="F1594" i="5" s="1"/>
  <c r="D1595" i="5"/>
  <c r="F1595" i="5" s="1"/>
  <c r="D1596" i="5"/>
  <c r="F1596" i="5" s="1"/>
  <c r="D1597" i="5"/>
  <c r="F1597" i="5" s="1"/>
  <c r="D1598" i="5"/>
  <c r="F1598" i="5" s="1"/>
  <c r="D1599" i="5"/>
  <c r="F1599" i="5" s="1"/>
  <c r="D1600" i="5"/>
  <c r="F1600" i="5" s="1"/>
  <c r="D1601" i="5"/>
  <c r="F1601" i="5" s="1"/>
  <c r="D1602" i="5"/>
  <c r="F1602" i="5" s="1"/>
  <c r="D1603" i="5"/>
  <c r="F1603" i="5" s="1"/>
  <c r="D1604" i="5"/>
  <c r="F1604" i="5" s="1"/>
  <c r="D1605" i="5"/>
  <c r="F1605" i="5" s="1"/>
  <c r="D1606" i="5"/>
  <c r="F1606" i="5" s="1"/>
  <c r="D1607" i="5"/>
  <c r="F1607" i="5" s="1"/>
  <c r="D1608" i="5"/>
  <c r="F1608" i="5" s="1"/>
  <c r="D1609" i="5"/>
  <c r="F1609" i="5" s="1"/>
  <c r="D1610" i="5"/>
  <c r="F1610" i="5" s="1"/>
  <c r="D1611" i="5"/>
  <c r="F1611" i="5" s="1"/>
  <c r="D1612" i="5"/>
  <c r="F1612" i="5" s="1"/>
  <c r="D1613" i="5"/>
  <c r="F1613" i="5" s="1"/>
  <c r="D1614" i="5"/>
  <c r="F1614" i="5" s="1"/>
  <c r="D1615" i="5"/>
  <c r="F1615" i="5" s="1"/>
  <c r="D1616" i="5"/>
  <c r="F1616" i="5" s="1"/>
  <c r="D1617" i="5"/>
  <c r="F1617" i="5" s="1"/>
  <c r="D1618" i="5"/>
  <c r="F1618" i="5" s="1"/>
  <c r="D1619" i="5"/>
  <c r="F1619" i="5" s="1"/>
  <c r="D1620" i="5"/>
  <c r="F1620" i="5" s="1"/>
  <c r="D1621" i="5"/>
  <c r="F1621" i="5" s="1"/>
  <c r="D1622" i="5"/>
  <c r="F1622" i="5" s="1"/>
  <c r="D1623" i="5"/>
  <c r="F1623" i="5" s="1"/>
  <c r="D1624" i="5"/>
  <c r="F1624" i="5" s="1"/>
  <c r="D1625" i="5"/>
  <c r="F1625" i="5" s="1"/>
  <c r="D1626" i="5"/>
  <c r="F1626" i="5" s="1"/>
  <c r="D1627" i="5"/>
  <c r="F1627" i="5" s="1"/>
  <c r="D1628" i="5"/>
  <c r="F1628" i="5" s="1"/>
  <c r="D1629" i="5"/>
  <c r="F1629" i="5" s="1"/>
  <c r="D1630" i="5"/>
  <c r="F1630" i="5" s="1"/>
  <c r="D1631" i="5"/>
  <c r="F1631" i="5" s="1"/>
  <c r="D1632" i="5"/>
  <c r="F1632" i="5" s="1"/>
  <c r="D1633" i="5"/>
  <c r="F1633" i="5" s="1"/>
  <c r="D1634" i="5"/>
  <c r="F1634" i="5" s="1"/>
  <c r="D1635" i="5"/>
  <c r="F1635" i="5" s="1"/>
  <c r="D1636" i="5"/>
  <c r="F1636" i="5" s="1"/>
  <c r="D1637" i="5"/>
  <c r="F1637" i="5" s="1"/>
  <c r="D1638" i="5"/>
  <c r="F1638" i="5" s="1"/>
  <c r="D1639" i="5"/>
  <c r="F1639" i="5" s="1"/>
  <c r="D1640" i="5"/>
  <c r="F1640" i="5" s="1"/>
  <c r="D1641" i="5"/>
  <c r="F1641" i="5" s="1"/>
  <c r="D1642" i="5"/>
  <c r="F1642" i="5" s="1"/>
  <c r="D1643" i="5"/>
  <c r="F1643" i="5" s="1"/>
  <c r="D1644" i="5"/>
  <c r="F1644" i="5" s="1"/>
  <c r="D1645" i="5"/>
  <c r="F1645" i="5" s="1"/>
  <c r="D1646" i="5"/>
  <c r="F1646" i="5" s="1"/>
  <c r="D1647" i="5"/>
  <c r="F1647" i="5" s="1"/>
  <c r="D1648" i="5"/>
  <c r="F1648" i="5" s="1"/>
  <c r="D1649" i="5"/>
  <c r="F1649" i="5" s="1"/>
  <c r="D1650" i="5"/>
  <c r="F1650" i="5" s="1"/>
  <c r="D1651" i="5"/>
  <c r="F1651" i="5" s="1"/>
  <c r="D1652" i="5"/>
  <c r="F1652" i="5" s="1"/>
  <c r="D1653" i="5"/>
  <c r="F1653" i="5" s="1"/>
  <c r="D1654" i="5"/>
  <c r="F1654" i="5" s="1"/>
  <c r="D1655" i="5"/>
  <c r="F1655" i="5" s="1"/>
  <c r="D1656" i="5"/>
  <c r="F1656" i="5" s="1"/>
  <c r="D1657" i="5"/>
  <c r="F1657" i="5" s="1"/>
  <c r="D1658" i="5"/>
  <c r="F1658" i="5" s="1"/>
  <c r="D1659" i="5"/>
  <c r="F1659" i="5" s="1"/>
  <c r="D1660" i="5"/>
  <c r="F1660" i="5" s="1"/>
  <c r="D1661" i="5"/>
  <c r="F1661" i="5" s="1"/>
  <c r="D1662" i="5"/>
  <c r="F1662" i="5" s="1"/>
  <c r="D1663" i="5"/>
  <c r="F1663" i="5" s="1"/>
  <c r="D1664" i="5"/>
  <c r="F1664" i="5" s="1"/>
  <c r="D1665" i="5"/>
  <c r="F1665" i="5" s="1"/>
  <c r="D1666" i="5"/>
  <c r="F1666" i="5" s="1"/>
  <c r="D1667" i="5"/>
  <c r="F1667" i="5" s="1"/>
  <c r="D1668" i="5"/>
  <c r="F1668" i="5" s="1"/>
  <c r="D1669" i="5"/>
  <c r="F1669" i="5" s="1"/>
  <c r="D1670" i="5"/>
  <c r="F1670" i="5" s="1"/>
  <c r="D1671" i="5"/>
  <c r="F1671" i="5" s="1"/>
  <c r="D1672" i="5"/>
  <c r="F1672" i="5" s="1"/>
  <c r="D1673" i="5"/>
  <c r="F1673" i="5" s="1"/>
  <c r="D1674" i="5"/>
  <c r="F1674" i="5" s="1"/>
  <c r="D1675" i="5"/>
  <c r="F1675" i="5" s="1"/>
  <c r="D1676" i="5"/>
  <c r="F1676" i="5" s="1"/>
  <c r="D1677" i="5"/>
  <c r="F1677" i="5" s="1"/>
  <c r="D1678" i="5"/>
  <c r="F1678" i="5" s="1"/>
  <c r="D1679" i="5"/>
  <c r="F1679" i="5" s="1"/>
  <c r="D1680" i="5"/>
  <c r="F1680" i="5" s="1"/>
  <c r="D1681" i="5"/>
  <c r="F1681" i="5" s="1"/>
  <c r="D1682" i="5"/>
  <c r="F1682" i="5" s="1"/>
  <c r="D1683" i="5"/>
  <c r="F1683" i="5" s="1"/>
  <c r="D1684" i="5"/>
  <c r="F1684" i="5" s="1"/>
  <c r="D1685" i="5"/>
  <c r="F1685" i="5" s="1"/>
  <c r="D1686" i="5"/>
  <c r="F1686" i="5" s="1"/>
  <c r="D1687" i="5"/>
  <c r="F1687" i="5" s="1"/>
  <c r="D1688" i="5"/>
  <c r="F1688" i="5" s="1"/>
  <c r="D1689" i="5"/>
  <c r="F1689" i="5" s="1"/>
  <c r="D1690" i="5"/>
  <c r="F1690" i="5" s="1"/>
  <c r="D1691" i="5"/>
  <c r="F1691" i="5" s="1"/>
  <c r="D1692" i="5"/>
  <c r="F1692" i="5" s="1"/>
  <c r="D1693" i="5"/>
  <c r="F1693" i="5" s="1"/>
  <c r="D1694" i="5"/>
  <c r="F1694" i="5" s="1"/>
  <c r="D1695" i="5"/>
  <c r="F1695" i="5" s="1"/>
  <c r="D1696" i="5"/>
  <c r="F1696" i="5" s="1"/>
  <c r="D1697" i="5"/>
  <c r="F1697" i="5" s="1"/>
  <c r="D1698" i="5"/>
  <c r="F1698" i="5" s="1"/>
  <c r="D1699" i="5"/>
  <c r="F1699" i="5" s="1"/>
  <c r="D1700" i="5"/>
  <c r="F1700" i="5" s="1"/>
  <c r="D1701" i="5"/>
  <c r="F1701" i="5" s="1"/>
  <c r="D1702" i="5"/>
  <c r="F1702" i="5" s="1"/>
  <c r="D1703" i="5"/>
  <c r="F1703" i="5" s="1"/>
  <c r="D1704" i="5"/>
  <c r="F1704" i="5" s="1"/>
  <c r="D1705" i="5"/>
  <c r="F1705" i="5" s="1"/>
  <c r="D1706" i="5"/>
  <c r="F1706" i="5" s="1"/>
  <c r="D1707" i="5"/>
  <c r="F1707" i="5" s="1"/>
  <c r="D1708" i="5"/>
  <c r="F1708" i="5" s="1"/>
  <c r="D1709" i="5"/>
  <c r="F1709" i="5" s="1"/>
  <c r="D1710" i="5"/>
  <c r="F1710" i="5" s="1"/>
  <c r="D1711" i="5"/>
  <c r="F1711" i="5" s="1"/>
  <c r="D1712" i="5"/>
  <c r="F1712" i="5" s="1"/>
  <c r="D1713" i="5"/>
  <c r="F1713" i="5" s="1"/>
  <c r="D1714" i="5"/>
  <c r="F1714" i="5" s="1"/>
  <c r="D1715" i="5"/>
  <c r="F1715" i="5" s="1"/>
  <c r="D1716" i="5"/>
  <c r="F1716" i="5" s="1"/>
  <c r="D1717" i="5"/>
  <c r="F1717" i="5" s="1"/>
  <c r="D1718" i="5"/>
  <c r="F1718" i="5" s="1"/>
  <c r="D1719" i="5"/>
  <c r="F1719" i="5" s="1"/>
  <c r="D1720" i="5"/>
  <c r="F1720" i="5" s="1"/>
  <c r="D1721" i="5"/>
  <c r="F1721" i="5" s="1"/>
  <c r="D1722" i="5"/>
  <c r="F1722" i="5" s="1"/>
  <c r="D1723" i="5"/>
  <c r="F1723" i="5" s="1"/>
  <c r="D1724" i="5"/>
  <c r="F1724" i="5" s="1"/>
  <c r="D1725" i="5"/>
  <c r="F1725" i="5" s="1"/>
  <c r="D1726" i="5"/>
  <c r="F1726" i="5" s="1"/>
  <c r="D1727" i="5"/>
  <c r="F1727" i="5" s="1"/>
  <c r="D1728" i="5"/>
  <c r="F1728" i="5" s="1"/>
  <c r="D1729" i="5"/>
  <c r="F1729" i="5" s="1"/>
  <c r="D1730" i="5"/>
  <c r="F1730" i="5" s="1"/>
  <c r="D1731" i="5"/>
  <c r="F1731" i="5" s="1"/>
  <c r="D1732" i="5"/>
  <c r="F1732" i="5" s="1"/>
  <c r="D1733" i="5"/>
  <c r="F1733" i="5" s="1"/>
  <c r="D1734" i="5"/>
  <c r="F1734" i="5" s="1"/>
  <c r="D1735" i="5"/>
  <c r="F1735" i="5" s="1"/>
  <c r="D1736" i="5"/>
  <c r="F1736" i="5" s="1"/>
  <c r="D1737" i="5"/>
  <c r="F1737" i="5" s="1"/>
  <c r="D1738" i="5"/>
  <c r="F1738" i="5" s="1"/>
  <c r="D1739" i="5"/>
  <c r="F1739" i="5" s="1"/>
  <c r="D1740" i="5"/>
  <c r="F1740" i="5" s="1"/>
  <c r="D1741" i="5"/>
  <c r="F1741" i="5" s="1"/>
  <c r="D1742" i="5"/>
  <c r="F1742" i="5" s="1"/>
  <c r="D1743" i="5"/>
  <c r="F1743" i="5" s="1"/>
  <c r="D1744" i="5"/>
  <c r="F1744" i="5" s="1"/>
  <c r="D1745" i="5"/>
  <c r="F1745" i="5" s="1"/>
  <c r="D1746" i="5"/>
  <c r="F1746" i="5" s="1"/>
  <c r="D1747" i="5"/>
  <c r="F1747" i="5" s="1"/>
  <c r="D1748" i="5"/>
  <c r="F1748" i="5" s="1"/>
  <c r="D1749" i="5"/>
  <c r="F1749" i="5" s="1"/>
  <c r="D1750" i="5"/>
  <c r="F1750" i="5" s="1"/>
  <c r="D1751" i="5"/>
  <c r="F1751" i="5" s="1"/>
  <c r="D1752" i="5"/>
  <c r="F1752" i="5" s="1"/>
  <c r="D1753" i="5"/>
  <c r="F1753" i="5" s="1"/>
  <c r="D1754" i="5"/>
  <c r="F1754" i="5" s="1"/>
  <c r="D1755" i="5"/>
  <c r="F1755" i="5" s="1"/>
  <c r="D1756" i="5"/>
  <c r="F1756" i="5" s="1"/>
  <c r="D1757" i="5"/>
  <c r="F1757" i="5" s="1"/>
  <c r="D1758" i="5"/>
  <c r="F1758" i="5" s="1"/>
  <c r="D1759" i="5"/>
  <c r="F1759" i="5" s="1"/>
  <c r="D1760" i="5"/>
  <c r="F1760" i="5" s="1"/>
  <c r="D1761" i="5"/>
  <c r="F1761" i="5" s="1"/>
  <c r="D1762" i="5"/>
  <c r="F1762" i="5" s="1"/>
  <c r="D1763" i="5"/>
  <c r="F1763" i="5" s="1"/>
  <c r="D1764" i="5"/>
  <c r="F1764" i="5" s="1"/>
  <c r="D1765" i="5"/>
  <c r="F1765" i="5" s="1"/>
  <c r="D1766" i="5"/>
  <c r="F1766" i="5" s="1"/>
  <c r="D1767" i="5"/>
  <c r="F1767" i="5" s="1"/>
  <c r="D1768" i="5"/>
  <c r="F1768" i="5" s="1"/>
  <c r="D1769" i="5"/>
  <c r="F1769" i="5" s="1"/>
  <c r="D1770" i="5"/>
  <c r="F1770" i="5" s="1"/>
  <c r="D1771" i="5"/>
  <c r="F1771" i="5" s="1"/>
  <c r="D1772" i="5"/>
  <c r="F1772" i="5" s="1"/>
  <c r="D1773" i="5"/>
  <c r="F1773" i="5" s="1"/>
  <c r="D1774" i="5"/>
  <c r="F1774" i="5" s="1"/>
  <c r="D1775" i="5"/>
  <c r="F1775" i="5" s="1"/>
  <c r="D1776" i="5"/>
  <c r="F1776" i="5" s="1"/>
  <c r="D1777" i="5"/>
  <c r="F1777" i="5" s="1"/>
  <c r="D1778" i="5"/>
  <c r="F1778" i="5" s="1"/>
  <c r="D1779" i="5"/>
  <c r="F1779" i="5" s="1"/>
  <c r="D1780" i="5"/>
  <c r="F1780" i="5" s="1"/>
  <c r="D1781" i="5"/>
  <c r="F1781" i="5" s="1"/>
  <c r="D1782" i="5"/>
  <c r="F1782" i="5" s="1"/>
  <c r="D1783" i="5"/>
  <c r="F1783" i="5" s="1"/>
  <c r="D1784" i="5"/>
  <c r="F1784" i="5" s="1"/>
  <c r="D1785" i="5"/>
  <c r="F1785" i="5" s="1"/>
  <c r="D1786" i="5"/>
  <c r="F1786" i="5" s="1"/>
  <c r="D1787" i="5"/>
  <c r="F1787" i="5" s="1"/>
  <c r="D1788" i="5"/>
  <c r="F1788" i="5" s="1"/>
  <c r="D1789" i="5"/>
  <c r="F1789" i="5" s="1"/>
  <c r="D1790" i="5"/>
  <c r="F1790" i="5" s="1"/>
  <c r="D1791" i="5"/>
  <c r="F1791" i="5" s="1"/>
  <c r="D1792" i="5"/>
  <c r="F1792" i="5" s="1"/>
  <c r="D1793" i="5"/>
  <c r="F1793" i="5" s="1"/>
  <c r="D1794" i="5"/>
  <c r="F1794" i="5" s="1"/>
  <c r="D1795" i="5"/>
  <c r="F1795" i="5" s="1"/>
  <c r="D1796" i="5"/>
  <c r="F1796" i="5" s="1"/>
  <c r="D1797" i="5"/>
  <c r="F1797" i="5" s="1"/>
  <c r="D1798" i="5"/>
  <c r="F1798" i="5" s="1"/>
  <c r="D1799" i="5"/>
  <c r="F1799" i="5" s="1"/>
  <c r="D1800" i="5"/>
  <c r="F1800" i="5" s="1"/>
  <c r="D1801" i="5"/>
  <c r="F1801" i="5" s="1"/>
  <c r="D1802" i="5"/>
  <c r="F1802" i="5" s="1"/>
  <c r="D1803" i="5"/>
  <c r="F1803" i="5" s="1"/>
  <c r="D1804" i="5"/>
  <c r="F1804" i="5" s="1"/>
  <c r="D1805" i="5"/>
  <c r="F1805" i="5" s="1"/>
  <c r="D1806" i="5"/>
  <c r="F1806" i="5" s="1"/>
  <c r="D1807" i="5"/>
  <c r="F1807" i="5" s="1"/>
  <c r="D1808" i="5"/>
  <c r="F1808" i="5" s="1"/>
  <c r="D1809" i="5"/>
  <c r="F1809" i="5" s="1"/>
  <c r="D1810" i="5"/>
  <c r="F1810" i="5" s="1"/>
  <c r="D1811" i="5"/>
  <c r="F1811" i="5" s="1"/>
  <c r="D1812" i="5"/>
  <c r="F1812" i="5" s="1"/>
  <c r="D1813" i="5"/>
  <c r="F1813" i="5" s="1"/>
  <c r="D1814" i="5"/>
  <c r="F1814" i="5" s="1"/>
  <c r="D1815" i="5"/>
  <c r="F1815" i="5" s="1"/>
  <c r="D1816" i="5"/>
  <c r="F1816" i="5" s="1"/>
  <c r="D1817" i="5"/>
  <c r="F1817" i="5" s="1"/>
  <c r="D1818" i="5"/>
  <c r="F1818" i="5" s="1"/>
  <c r="D1819" i="5"/>
  <c r="F1819" i="5" s="1"/>
  <c r="D1820" i="5"/>
  <c r="F1820" i="5" s="1"/>
  <c r="D1821" i="5"/>
  <c r="F1821" i="5" s="1"/>
  <c r="D1822" i="5"/>
  <c r="F1822" i="5" s="1"/>
  <c r="D1823" i="5"/>
  <c r="F1823" i="5" s="1"/>
  <c r="D1824" i="5"/>
  <c r="F1824" i="5" s="1"/>
  <c r="D1825" i="5"/>
  <c r="F1825" i="5" s="1"/>
  <c r="D1826" i="5"/>
  <c r="F1826" i="5" s="1"/>
  <c r="D1827" i="5"/>
  <c r="F1827" i="5" s="1"/>
  <c r="D1828" i="5"/>
  <c r="F1828" i="5" s="1"/>
  <c r="D1829" i="5"/>
  <c r="F1829" i="5" s="1"/>
  <c r="D1830" i="5"/>
  <c r="F1830" i="5" s="1"/>
  <c r="D1831" i="5"/>
  <c r="F1831" i="5" s="1"/>
  <c r="D1832" i="5"/>
  <c r="F1832" i="5" s="1"/>
  <c r="D1833" i="5"/>
  <c r="F1833" i="5" s="1"/>
  <c r="D1834" i="5"/>
  <c r="F1834" i="5" s="1"/>
  <c r="D1835" i="5"/>
  <c r="F1835" i="5" s="1"/>
  <c r="D1836" i="5"/>
  <c r="F1836" i="5" s="1"/>
  <c r="D1837" i="5"/>
  <c r="F1837" i="5" s="1"/>
  <c r="D1838" i="5"/>
  <c r="F1838" i="5" s="1"/>
  <c r="D1839" i="5"/>
  <c r="F1839" i="5" s="1"/>
  <c r="D1840" i="5"/>
  <c r="F1840" i="5" s="1"/>
  <c r="D1841" i="5"/>
  <c r="F1841" i="5" s="1"/>
  <c r="D1842" i="5"/>
  <c r="F1842" i="5" s="1"/>
  <c r="D1843" i="5"/>
  <c r="F1843" i="5" s="1"/>
  <c r="D1844" i="5"/>
  <c r="F1844" i="5" s="1"/>
  <c r="D1845" i="5"/>
  <c r="F1845" i="5" s="1"/>
  <c r="D1846" i="5"/>
  <c r="F1846" i="5" s="1"/>
  <c r="D1847" i="5"/>
  <c r="F1847" i="5" s="1"/>
  <c r="D1848" i="5"/>
  <c r="F1848" i="5" s="1"/>
  <c r="D1849" i="5"/>
  <c r="F1849" i="5" s="1"/>
  <c r="D1850" i="5"/>
  <c r="F1850" i="5" s="1"/>
  <c r="D1851" i="5"/>
  <c r="F1851" i="5" s="1"/>
  <c r="D1852" i="5"/>
  <c r="F1852" i="5" s="1"/>
  <c r="D1853" i="5"/>
  <c r="F1853" i="5" s="1"/>
  <c r="D1854" i="5"/>
  <c r="F1854" i="5" s="1"/>
  <c r="D1855" i="5"/>
  <c r="F1855" i="5" s="1"/>
  <c r="D1856" i="5"/>
  <c r="F1856" i="5" s="1"/>
  <c r="D1857" i="5"/>
  <c r="F1857" i="5" s="1"/>
  <c r="D1858" i="5"/>
  <c r="F1858" i="5" s="1"/>
  <c r="D1859" i="5"/>
  <c r="F1859" i="5" s="1"/>
  <c r="D1860" i="5"/>
  <c r="F1860" i="5" s="1"/>
  <c r="D1861" i="5"/>
  <c r="F1861" i="5" s="1"/>
  <c r="D1862" i="5"/>
  <c r="F1862" i="5" s="1"/>
  <c r="D1863" i="5"/>
  <c r="F1863" i="5" s="1"/>
  <c r="D1864" i="5"/>
  <c r="F1864" i="5" s="1"/>
  <c r="D1865" i="5"/>
  <c r="F1865" i="5" s="1"/>
  <c r="D1866" i="5"/>
  <c r="F1866" i="5" s="1"/>
  <c r="D1867" i="5"/>
  <c r="F1867" i="5" s="1"/>
  <c r="D1868" i="5"/>
  <c r="F1868" i="5" s="1"/>
  <c r="D1869" i="5"/>
  <c r="F1869" i="5" s="1"/>
  <c r="D1870" i="5"/>
  <c r="F1870" i="5" s="1"/>
  <c r="D1871" i="5"/>
  <c r="F1871" i="5" s="1"/>
  <c r="D1872" i="5"/>
  <c r="F1872" i="5" s="1"/>
  <c r="D1873" i="5"/>
  <c r="F1873" i="5" s="1"/>
  <c r="D1874" i="5"/>
  <c r="F1874" i="5" s="1"/>
  <c r="D1875" i="5"/>
  <c r="F1875" i="5" s="1"/>
  <c r="D1876" i="5"/>
  <c r="F1876" i="5" s="1"/>
  <c r="D1877" i="5"/>
  <c r="F1877" i="5" s="1"/>
  <c r="D1878" i="5"/>
  <c r="F1878" i="5" s="1"/>
  <c r="D1879" i="5"/>
  <c r="F1879" i="5" s="1"/>
  <c r="D1880" i="5"/>
  <c r="F1880" i="5" s="1"/>
  <c r="D1881" i="5"/>
  <c r="F1881" i="5" s="1"/>
  <c r="D1882" i="5"/>
  <c r="F1882" i="5" s="1"/>
  <c r="D1883" i="5"/>
  <c r="F1883" i="5" s="1"/>
  <c r="D1884" i="5"/>
  <c r="F1884" i="5" s="1"/>
  <c r="D1885" i="5"/>
  <c r="F1885" i="5" s="1"/>
  <c r="D1886" i="5"/>
  <c r="F1886" i="5" s="1"/>
  <c r="D1887" i="5"/>
  <c r="F1887" i="5" s="1"/>
  <c r="D1888" i="5"/>
  <c r="F1888" i="5" s="1"/>
  <c r="D1889" i="5"/>
  <c r="F1889" i="5" s="1"/>
  <c r="D1890" i="5"/>
  <c r="F1890" i="5" s="1"/>
  <c r="D1891" i="5"/>
  <c r="F1891" i="5" s="1"/>
  <c r="D1892" i="5"/>
  <c r="F1892" i="5" s="1"/>
  <c r="D1893" i="5"/>
  <c r="F1893" i="5" s="1"/>
  <c r="D1894" i="5"/>
  <c r="F1894" i="5" s="1"/>
  <c r="D1895" i="5"/>
  <c r="F1895" i="5" s="1"/>
  <c r="D1896" i="5"/>
  <c r="F1896" i="5" s="1"/>
  <c r="D1897" i="5"/>
  <c r="F1897" i="5" s="1"/>
  <c r="D1898" i="5"/>
  <c r="F1898" i="5" s="1"/>
  <c r="D1899" i="5"/>
  <c r="F1899" i="5" s="1"/>
  <c r="D1900" i="5"/>
  <c r="F1900" i="5" s="1"/>
  <c r="D1901" i="5"/>
  <c r="F1901" i="5" s="1"/>
  <c r="D1902" i="5"/>
  <c r="F1902" i="5" s="1"/>
  <c r="D1903" i="5"/>
  <c r="F1903" i="5" s="1"/>
  <c r="D1904" i="5"/>
  <c r="F1904" i="5" s="1"/>
  <c r="D1905" i="5"/>
  <c r="F1905" i="5" s="1"/>
  <c r="D1906" i="5"/>
  <c r="F1906" i="5" s="1"/>
  <c r="D1907" i="5"/>
  <c r="F1907" i="5" s="1"/>
  <c r="D1908" i="5"/>
  <c r="F1908" i="5" s="1"/>
  <c r="D1909" i="5"/>
  <c r="F1909" i="5" s="1"/>
  <c r="D1910" i="5"/>
  <c r="F1910" i="5" s="1"/>
  <c r="D1911" i="5"/>
  <c r="F1911" i="5" s="1"/>
  <c r="D1912" i="5"/>
  <c r="F1912" i="5" s="1"/>
  <c r="D1913" i="5"/>
  <c r="F1913" i="5" s="1"/>
  <c r="D1914" i="5"/>
  <c r="F1914" i="5" s="1"/>
  <c r="D1915" i="5"/>
  <c r="F1915" i="5" s="1"/>
  <c r="D1916" i="5"/>
  <c r="F1916" i="5" s="1"/>
  <c r="D1917" i="5"/>
  <c r="F1917" i="5" s="1"/>
  <c r="D1918" i="5"/>
  <c r="F1918" i="5" s="1"/>
  <c r="D1919" i="5"/>
  <c r="F1919" i="5" s="1"/>
  <c r="D1920" i="5"/>
  <c r="F1920" i="5" s="1"/>
  <c r="D1921" i="5"/>
  <c r="F1921" i="5" s="1"/>
  <c r="D1922" i="5"/>
  <c r="F1922" i="5" s="1"/>
  <c r="D1923" i="5"/>
  <c r="F1923" i="5" s="1"/>
  <c r="D1924" i="5"/>
  <c r="F1924" i="5" s="1"/>
  <c r="D1925" i="5"/>
  <c r="F1925" i="5" s="1"/>
  <c r="D1926" i="5"/>
  <c r="F1926" i="5" s="1"/>
  <c r="D1927" i="5"/>
  <c r="F1927" i="5" s="1"/>
  <c r="D1928" i="5"/>
  <c r="F1928" i="5" s="1"/>
  <c r="D1929" i="5"/>
  <c r="F1929" i="5" s="1"/>
  <c r="D1930" i="5"/>
  <c r="F1930" i="5" s="1"/>
  <c r="D1931" i="5"/>
  <c r="F1931" i="5" s="1"/>
  <c r="D1932" i="5"/>
  <c r="F1932" i="5" s="1"/>
  <c r="D1933" i="5"/>
  <c r="F1933" i="5" s="1"/>
  <c r="D1934" i="5"/>
  <c r="F1934" i="5" s="1"/>
  <c r="D1935" i="5"/>
  <c r="F1935" i="5" s="1"/>
  <c r="D1936" i="5"/>
  <c r="F1936" i="5" s="1"/>
  <c r="D1937" i="5"/>
  <c r="F1937" i="5" s="1"/>
  <c r="D1938" i="5"/>
  <c r="F1938" i="5" s="1"/>
  <c r="D1939" i="5"/>
  <c r="F1939" i="5" s="1"/>
  <c r="D1940" i="5"/>
  <c r="F1940" i="5" s="1"/>
  <c r="D1941" i="5"/>
  <c r="F1941" i="5" s="1"/>
  <c r="D1942" i="5"/>
  <c r="F1942" i="5" s="1"/>
  <c r="D1943" i="5"/>
  <c r="F1943" i="5" s="1"/>
  <c r="D1944" i="5"/>
  <c r="F1944" i="5" s="1"/>
  <c r="D1945" i="5"/>
  <c r="F1945" i="5" s="1"/>
  <c r="D1946" i="5"/>
  <c r="F1946" i="5" s="1"/>
  <c r="D1947" i="5"/>
  <c r="F1947" i="5" s="1"/>
  <c r="D1948" i="5"/>
  <c r="F1948" i="5" s="1"/>
  <c r="D1949" i="5"/>
  <c r="F1949" i="5" s="1"/>
  <c r="D1950" i="5"/>
  <c r="F1950" i="5" s="1"/>
  <c r="D1951" i="5"/>
  <c r="F1951" i="5" s="1"/>
  <c r="D1952" i="5"/>
  <c r="F1952" i="5" s="1"/>
  <c r="D1953" i="5"/>
  <c r="F1953" i="5" s="1"/>
  <c r="D1954" i="5"/>
  <c r="F1954" i="5" s="1"/>
  <c r="D1955" i="5"/>
  <c r="F1955" i="5" s="1"/>
  <c r="D1956" i="5"/>
  <c r="F1956" i="5" s="1"/>
  <c r="D1957" i="5"/>
  <c r="F1957" i="5" s="1"/>
  <c r="D1958" i="5"/>
  <c r="F1958" i="5" s="1"/>
  <c r="D1959" i="5"/>
  <c r="F1959" i="5" s="1"/>
  <c r="D1960" i="5"/>
  <c r="F1960" i="5" s="1"/>
  <c r="D1961" i="5"/>
  <c r="F1961" i="5" s="1"/>
  <c r="D1962" i="5"/>
  <c r="F1962" i="5" s="1"/>
  <c r="D1963" i="5"/>
  <c r="F1963" i="5" s="1"/>
  <c r="D1964" i="5"/>
  <c r="F1964" i="5" s="1"/>
  <c r="D1965" i="5"/>
  <c r="F1965" i="5" s="1"/>
  <c r="D1966" i="5"/>
  <c r="F1966" i="5" s="1"/>
  <c r="D1967" i="5"/>
  <c r="F1967" i="5" s="1"/>
  <c r="D1968" i="5"/>
  <c r="F1968" i="5" s="1"/>
  <c r="D1969" i="5"/>
  <c r="F1969" i="5" s="1"/>
  <c r="D1970" i="5"/>
  <c r="F1970" i="5" s="1"/>
  <c r="D1971" i="5"/>
  <c r="F1971" i="5" s="1"/>
  <c r="D1972" i="5"/>
  <c r="F1972" i="5" s="1"/>
  <c r="D1973" i="5"/>
  <c r="F1973" i="5" s="1"/>
  <c r="D1974" i="5"/>
  <c r="F1974" i="5" s="1"/>
  <c r="D1975" i="5"/>
  <c r="F1975" i="5" s="1"/>
  <c r="D1976" i="5"/>
  <c r="F1976" i="5" s="1"/>
  <c r="D1977" i="5"/>
  <c r="F1977" i="5" s="1"/>
  <c r="D1978" i="5"/>
  <c r="F1978" i="5" s="1"/>
  <c r="D1979" i="5"/>
  <c r="F1979" i="5" s="1"/>
  <c r="D1980" i="5"/>
  <c r="F1980" i="5" s="1"/>
  <c r="D1981" i="5"/>
  <c r="F1981" i="5" s="1"/>
  <c r="D1982" i="5"/>
  <c r="F1982" i="5" s="1"/>
  <c r="D1983" i="5"/>
  <c r="F1983" i="5" s="1"/>
  <c r="D1984" i="5"/>
  <c r="F1984" i="5" s="1"/>
  <c r="D1985" i="5"/>
  <c r="F1985" i="5" s="1"/>
  <c r="D1986" i="5"/>
  <c r="F1986" i="5" s="1"/>
  <c r="D1987" i="5"/>
  <c r="F1987" i="5" s="1"/>
  <c r="D1988" i="5"/>
  <c r="F1988" i="5" s="1"/>
  <c r="D1989" i="5"/>
  <c r="F1989" i="5" s="1"/>
  <c r="D1990" i="5"/>
  <c r="F1990" i="5" s="1"/>
  <c r="D1991" i="5"/>
  <c r="F1991" i="5" s="1"/>
  <c r="D1992" i="5"/>
  <c r="F1992" i="5" s="1"/>
  <c r="D1993" i="5"/>
  <c r="F1993" i="5" s="1"/>
  <c r="D1994" i="5"/>
  <c r="F1994" i="5" s="1"/>
  <c r="D1995" i="5"/>
  <c r="F1995" i="5" s="1"/>
  <c r="D1996" i="5"/>
  <c r="F1996" i="5" s="1"/>
  <c r="D1997" i="5"/>
  <c r="F1997" i="5" s="1"/>
  <c r="D1998" i="5"/>
  <c r="F1998" i="5" s="1"/>
  <c r="D1999" i="5"/>
  <c r="F1999" i="5" s="1"/>
  <c r="D2000" i="5"/>
  <c r="F2000" i="5" s="1"/>
  <c r="D2001" i="5"/>
  <c r="F2001" i="5" s="1"/>
  <c r="D2002" i="5"/>
  <c r="F2002" i="5" s="1"/>
  <c r="D2003" i="5"/>
  <c r="F2003" i="5" s="1"/>
  <c r="D2004" i="5"/>
  <c r="F2004" i="5" s="1"/>
  <c r="D2005" i="5"/>
  <c r="F2005" i="5" s="1"/>
  <c r="D2006" i="5"/>
  <c r="F2006" i="5" s="1"/>
  <c r="D2007" i="5"/>
  <c r="F2007" i="5" s="1"/>
  <c r="D2008" i="5"/>
  <c r="F2008" i="5" s="1"/>
  <c r="D2009" i="5"/>
  <c r="F2009" i="5" s="1"/>
  <c r="D2010" i="5"/>
  <c r="F2010" i="5" s="1"/>
  <c r="D2011" i="5"/>
  <c r="F2011" i="5" s="1"/>
  <c r="D2012" i="5"/>
  <c r="F2012" i="5" s="1"/>
  <c r="D2013" i="5"/>
  <c r="F2013" i="5" s="1"/>
  <c r="D2014" i="5"/>
  <c r="F2014" i="5" s="1"/>
  <c r="D2015" i="5"/>
  <c r="F2015" i="5" s="1"/>
  <c r="D2016" i="5"/>
  <c r="F2016" i="5" s="1"/>
  <c r="D2017" i="5"/>
  <c r="F2017" i="5" s="1"/>
  <c r="D2018" i="5"/>
  <c r="F2018" i="5" s="1"/>
  <c r="D2019" i="5"/>
  <c r="F2019" i="5" s="1"/>
  <c r="D2020" i="5"/>
  <c r="F2020" i="5" s="1"/>
  <c r="D2021" i="5"/>
  <c r="F2021" i="5" s="1"/>
  <c r="D2022" i="5"/>
  <c r="F2022" i="5" s="1"/>
  <c r="D2023" i="5"/>
  <c r="F2023" i="5" s="1"/>
  <c r="D2024" i="5"/>
  <c r="F2024" i="5" s="1"/>
  <c r="D2025" i="5"/>
  <c r="F2025" i="5" s="1"/>
  <c r="D2026" i="5"/>
  <c r="F2026" i="5" s="1"/>
  <c r="D2027" i="5"/>
  <c r="F2027" i="5" s="1"/>
  <c r="D2028" i="5"/>
  <c r="F2028" i="5" s="1"/>
  <c r="D2029" i="5"/>
  <c r="F2029" i="5" s="1"/>
  <c r="D2030" i="5"/>
  <c r="F2030" i="5" s="1"/>
  <c r="D2031" i="5"/>
  <c r="F2031" i="5" s="1"/>
  <c r="D2032" i="5"/>
  <c r="F2032" i="5" s="1"/>
  <c r="D2033" i="5"/>
  <c r="F2033" i="5" s="1"/>
  <c r="D2034" i="5"/>
  <c r="F2034" i="5" s="1"/>
  <c r="D2035" i="5"/>
  <c r="F2035" i="5" s="1"/>
  <c r="D2036" i="5"/>
  <c r="F2036" i="5" s="1"/>
  <c r="D2037" i="5"/>
  <c r="F2037" i="5" s="1"/>
  <c r="D2038" i="5"/>
  <c r="F2038" i="5" s="1"/>
  <c r="D2039" i="5"/>
  <c r="F2039" i="5" s="1"/>
  <c r="D2040" i="5"/>
  <c r="F2040" i="5" s="1"/>
  <c r="D2041" i="5"/>
  <c r="F2041" i="5" s="1"/>
  <c r="D2042" i="5"/>
  <c r="F2042" i="5" s="1"/>
  <c r="D2043" i="5"/>
  <c r="F2043" i="5" s="1"/>
  <c r="D2044" i="5"/>
  <c r="F2044" i="5" s="1"/>
  <c r="D2045" i="5"/>
  <c r="F2045" i="5" s="1"/>
  <c r="D2046" i="5"/>
  <c r="F2046" i="5" s="1"/>
  <c r="D2047" i="5"/>
  <c r="F2047" i="5" s="1"/>
  <c r="D2048" i="5"/>
  <c r="F2048" i="5" s="1"/>
  <c r="D2049" i="5"/>
  <c r="F2049" i="5" s="1"/>
  <c r="D2050" i="5"/>
  <c r="F2050" i="5" s="1"/>
  <c r="D2051" i="5"/>
  <c r="F2051" i="5" s="1"/>
  <c r="D2052" i="5"/>
  <c r="F2052" i="5" s="1"/>
  <c r="D2053" i="5"/>
  <c r="F2053" i="5" s="1"/>
  <c r="D2054" i="5"/>
  <c r="F2054" i="5" s="1"/>
  <c r="D2055" i="5"/>
  <c r="F2055" i="5" s="1"/>
  <c r="D2056" i="5"/>
  <c r="F2056" i="5" s="1"/>
  <c r="D2057" i="5"/>
  <c r="F2057" i="5" s="1"/>
  <c r="D2058" i="5"/>
  <c r="F2058" i="5" s="1"/>
  <c r="D2059" i="5"/>
  <c r="F2059" i="5" s="1"/>
  <c r="D2060" i="5"/>
  <c r="F2060" i="5" s="1"/>
  <c r="D2061" i="5"/>
  <c r="F2061" i="5" s="1"/>
  <c r="D2062" i="5"/>
  <c r="F2062" i="5" s="1"/>
  <c r="D2063" i="5"/>
  <c r="F2063" i="5" s="1"/>
  <c r="D2064" i="5"/>
  <c r="F2064" i="5" s="1"/>
  <c r="D2065" i="5"/>
  <c r="F2065" i="5" s="1"/>
  <c r="D2066" i="5"/>
  <c r="F2066" i="5" s="1"/>
  <c r="D2067" i="5"/>
  <c r="F2067" i="5" s="1"/>
  <c r="D2068" i="5"/>
  <c r="F2068" i="5" s="1"/>
  <c r="D2069" i="5"/>
  <c r="F2069" i="5" s="1"/>
  <c r="D2070" i="5"/>
  <c r="F2070" i="5" s="1"/>
  <c r="D2071" i="5"/>
  <c r="F2071" i="5" s="1"/>
  <c r="D2072" i="5"/>
  <c r="F2072" i="5" s="1"/>
  <c r="D2073" i="5"/>
  <c r="F2073" i="5" s="1"/>
  <c r="D2074" i="5"/>
  <c r="F2074" i="5" s="1"/>
  <c r="D2075" i="5"/>
  <c r="F2075" i="5" s="1"/>
  <c r="D2076" i="5"/>
  <c r="F2076" i="5" s="1"/>
  <c r="D2077" i="5"/>
  <c r="F2077" i="5" s="1"/>
  <c r="D2078" i="5"/>
  <c r="F2078" i="5" s="1"/>
  <c r="D2079" i="5"/>
  <c r="F2079" i="5" s="1"/>
  <c r="D2080" i="5"/>
  <c r="F2080" i="5" s="1"/>
  <c r="D2081" i="5"/>
  <c r="F2081" i="5" s="1"/>
  <c r="D2082" i="5"/>
  <c r="F2082" i="5" s="1"/>
  <c r="D2083" i="5"/>
  <c r="F2083" i="5" s="1"/>
  <c r="D2084" i="5"/>
  <c r="F2084" i="5" s="1"/>
  <c r="D2085" i="5"/>
  <c r="F2085" i="5" s="1"/>
  <c r="D2086" i="5"/>
  <c r="F2086" i="5" s="1"/>
  <c r="D2087" i="5"/>
  <c r="F2087" i="5" s="1"/>
  <c r="D2088" i="5"/>
  <c r="F2088" i="5" s="1"/>
  <c r="D2089" i="5"/>
  <c r="F2089" i="5" s="1"/>
  <c r="D2090" i="5"/>
  <c r="F2090" i="5" s="1"/>
  <c r="D2091" i="5"/>
  <c r="F2091" i="5" s="1"/>
  <c r="D2092" i="5"/>
  <c r="F2092" i="5" s="1"/>
  <c r="D2093" i="5"/>
  <c r="F2093" i="5" s="1"/>
  <c r="D2094" i="5"/>
  <c r="F2094" i="5" s="1"/>
  <c r="D2095" i="5"/>
  <c r="F2095" i="5" s="1"/>
  <c r="D2096" i="5"/>
  <c r="F2096" i="5" s="1"/>
  <c r="D2097" i="5"/>
  <c r="F2097" i="5" s="1"/>
  <c r="D2098" i="5"/>
  <c r="F2098" i="5" s="1"/>
  <c r="D2099" i="5"/>
  <c r="F2099" i="5" s="1"/>
  <c r="D2100" i="5"/>
  <c r="F2100" i="5" s="1"/>
  <c r="D2101" i="5"/>
  <c r="F2101" i="5" s="1"/>
  <c r="D2102" i="5"/>
  <c r="F2102" i="5" s="1"/>
  <c r="D2103" i="5"/>
  <c r="F2103" i="5" s="1"/>
  <c r="D2104" i="5"/>
  <c r="F2104" i="5" s="1"/>
  <c r="D2105" i="5"/>
  <c r="F2105" i="5" s="1"/>
  <c r="D2106" i="5"/>
  <c r="F2106" i="5" s="1"/>
  <c r="D2107" i="5"/>
  <c r="F2107" i="5" s="1"/>
  <c r="D2108" i="5"/>
  <c r="F2108" i="5" s="1"/>
  <c r="D2109" i="5"/>
  <c r="F2109" i="5" s="1"/>
  <c r="D2110" i="5"/>
  <c r="F2110" i="5" s="1"/>
  <c r="D2111" i="5"/>
  <c r="F2111" i="5" s="1"/>
  <c r="D2112" i="5"/>
  <c r="F2112" i="5" s="1"/>
  <c r="D2113" i="5"/>
  <c r="F2113" i="5" s="1"/>
  <c r="D2114" i="5"/>
  <c r="F2114" i="5" s="1"/>
  <c r="D2115" i="5"/>
  <c r="F2115" i="5" s="1"/>
  <c r="D2116" i="5"/>
  <c r="F2116" i="5" s="1"/>
  <c r="D2117" i="5"/>
  <c r="F2117" i="5" s="1"/>
  <c r="D2118" i="5"/>
  <c r="F2118" i="5" s="1"/>
  <c r="D2119" i="5"/>
  <c r="F2119" i="5" s="1"/>
  <c r="D2120" i="5"/>
  <c r="F2120" i="5" s="1"/>
  <c r="D2121" i="5"/>
  <c r="F2121" i="5" s="1"/>
  <c r="D2122" i="5"/>
  <c r="F2122" i="5" s="1"/>
  <c r="D2123" i="5"/>
  <c r="F2123" i="5" s="1"/>
  <c r="D2124" i="5"/>
  <c r="F2124" i="5" s="1"/>
  <c r="D2125" i="5"/>
  <c r="F2125" i="5" s="1"/>
  <c r="D2126" i="5"/>
  <c r="F2126" i="5" s="1"/>
  <c r="D2127" i="5"/>
  <c r="F2127" i="5" s="1"/>
  <c r="D2128" i="5"/>
  <c r="F2128" i="5" s="1"/>
  <c r="D2129" i="5"/>
  <c r="F2129" i="5" s="1"/>
  <c r="D2130" i="5"/>
  <c r="F2130" i="5" s="1"/>
  <c r="D2131" i="5"/>
  <c r="F2131" i="5" s="1"/>
  <c r="D2132" i="5"/>
  <c r="F2132" i="5" s="1"/>
  <c r="D2133" i="5"/>
  <c r="F2133" i="5" s="1"/>
  <c r="D2134" i="5"/>
  <c r="F2134" i="5" s="1"/>
  <c r="D2135" i="5"/>
  <c r="F2135" i="5" s="1"/>
  <c r="D2136" i="5"/>
  <c r="F2136" i="5" s="1"/>
  <c r="D2137" i="5"/>
  <c r="F2137" i="5" s="1"/>
  <c r="D2138" i="5"/>
  <c r="F2138" i="5" s="1"/>
  <c r="D2139" i="5"/>
  <c r="F2139" i="5" s="1"/>
  <c r="D2140" i="5"/>
  <c r="F2140" i="5" s="1"/>
  <c r="D2141" i="5"/>
  <c r="F2141" i="5" s="1"/>
  <c r="D2142" i="5"/>
  <c r="F2142" i="5" s="1"/>
  <c r="D2143" i="5"/>
  <c r="F2143" i="5" s="1"/>
  <c r="D2144" i="5"/>
  <c r="F2144" i="5" s="1"/>
  <c r="D2145" i="5"/>
  <c r="F2145" i="5" s="1"/>
  <c r="D2146" i="5"/>
  <c r="F2146" i="5" s="1"/>
  <c r="D2147" i="5"/>
  <c r="F2147" i="5" s="1"/>
  <c r="D2148" i="5"/>
  <c r="F2148" i="5" s="1"/>
  <c r="D2149" i="5"/>
  <c r="F2149" i="5" s="1"/>
  <c r="D2150" i="5"/>
  <c r="F2150" i="5" s="1"/>
  <c r="D2151" i="5"/>
  <c r="F2151" i="5" s="1"/>
  <c r="D2152" i="5"/>
  <c r="F2152" i="5" s="1"/>
  <c r="D2153" i="5"/>
  <c r="F2153" i="5" s="1"/>
  <c r="D2154" i="5"/>
  <c r="F2154" i="5" s="1"/>
  <c r="D2155" i="5"/>
  <c r="F2155" i="5" s="1"/>
  <c r="D2156" i="5"/>
  <c r="F2156" i="5" s="1"/>
  <c r="D2157" i="5"/>
  <c r="F2157" i="5" s="1"/>
  <c r="D2158" i="5"/>
  <c r="F2158" i="5" s="1"/>
  <c r="D2159" i="5"/>
  <c r="F2159" i="5" s="1"/>
  <c r="D2160" i="5"/>
  <c r="F2160" i="5" s="1"/>
  <c r="D2161" i="5"/>
  <c r="F2161" i="5" s="1"/>
  <c r="D2162" i="5"/>
  <c r="F2162" i="5" s="1"/>
  <c r="D2163" i="5"/>
  <c r="F2163" i="5" s="1"/>
  <c r="D2164" i="5"/>
  <c r="F2164" i="5" s="1"/>
  <c r="D2165" i="5"/>
  <c r="F2165" i="5" s="1"/>
  <c r="D2166" i="5"/>
  <c r="F2166" i="5" s="1"/>
  <c r="D2167" i="5"/>
  <c r="F2167" i="5" s="1"/>
  <c r="D2168" i="5"/>
  <c r="F2168" i="5" s="1"/>
  <c r="D2169" i="5"/>
  <c r="F2169" i="5" s="1"/>
  <c r="D2170" i="5"/>
  <c r="F2170" i="5" s="1"/>
  <c r="D2171" i="5"/>
  <c r="F2171" i="5" s="1"/>
  <c r="D2172" i="5"/>
  <c r="F2172" i="5" s="1"/>
  <c r="D2173" i="5"/>
  <c r="F2173" i="5" s="1"/>
  <c r="D2174" i="5"/>
  <c r="F2174" i="5" s="1"/>
  <c r="D2175" i="5"/>
  <c r="F2175" i="5" s="1"/>
  <c r="D2176" i="5"/>
  <c r="F2176" i="5" s="1"/>
  <c r="D2177" i="5"/>
  <c r="F2177" i="5" s="1"/>
  <c r="D2178" i="5"/>
  <c r="F2178" i="5" s="1"/>
  <c r="D2179" i="5"/>
  <c r="F2179" i="5" s="1"/>
  <c r="D2180" i="5"/>
  <c r="F2180" i="5" s="1"/>
  <c r="D2181" i="5"/>
  <c r="F2181" i="5" s="1"/>
  <c r="D2182" i="5"/>
  <c r="F2182" i="5" s="1"/>
  <c r="D2183" i="5"/>
  <c r="F2183" i="5" s="1"/>
  <c r="D2184" i="5"/>
  <c r="F2184" i="5" s="1"/>
  <c r="D2185" i="5"/>
  <c r="F2185" i="5" s="1"/>
  <c r="D2186" i="5"/>
  <c r="F2186" i="5" s="1"/>
  <c r="D2187" i="5"/>
  <c r="F2187" i="5" s="1"/>
  <c r="D2188" i="5"/>
  <c r="F2188" i="5" s="1"/>
  <c r="D2189" i="5"/>
  <c r="F2189" i="5" s="1"/>
  <c r="D2190" i="5"/>
  <c r="F2190" i="5" s="1"/>
  <c r="D2191" i="5"/>
  <c r="F2191" i="5" s="1"/>
  <c r="D2192" i="5"/>
  <c r="F2192" i="5" s="1"/>
  <c r="D2193" i="5"/>
  <c r="F2193" i="5" s="1"/>
  <c r="D2194" i="5"/>
  <c r="F2194" i="5" s="1"/>
  <c r="D2195" i="5"/>
  <c r="F2195" i="5" s="1"/>
  <c r="D2196" i="5"/>
  <c r="F2196" i="5" s="1"/>
  <c r="D2197" i="5"/>
  <c r="F2197" i="5" s="1"/>
  <c r="D2198" i="5"/>
  <c r="F2198" i="5" s="1"/>
  <c r="D2199" i="5"/>
  <c r="F2199" i="5" s="1"/>
  <c r="D2200" i="5"/>
  <c r="F2200" i="5" s="1"/>
  <c r="D2201" i="5"/>
  <c r="F2201" i="5" s="1"/>
  <c r="D2202" i="5"/>
  <c r="F2202" i="5" s="1"/>
  <c r="D2203" i="5"/>
  <c r="F2203" i="5" s="1"/>
  <c r="D2204" i="5"/>
  <c r="F2204" i="5" s="1"/>
  <c r="D2205" i="5"/>
  <c r="F2205" i="5" s="1"/>
  <c r="D2206" i="5"/>
  <c r="F2206" i="5" s="1"/>
  <c r="D2207" i="5"/>
  <c r="F2207" i="5" s="1"/>
  <c r="D2208" i="5"/>
  <c r="F2208" i="5" s="1"/>
  <c r="D2209" i="5"/>
  <c r="F2209" i="5" s="1"/>
  <c r="D2210" i="5"/>
  <c r="F2210" i="5" s="1"/>
  <c r="D2211" i="5"/>
  <c r="F2211" i="5" s="1"/>
  <c r="D2212" i="5"/>
  <c r="F2212" i="5" s="1"/>
  <c r="D2213" i="5"/>
  <c r="F2213" i="5" s="1"/>
  <c r="D2214" i="5"/>
  <c r="F2214" i="5" s="1"/>
  <c r="D2215" i="5"/>
  <c r="F2215" i="5" s="1"/>
  <c r="D2216" i="5"/>
  <c r="F2216" i="5" s="1"/>
  <c r="D2217" i="5"/>
  <c r="F2217" i="5" s="1"/>
  <c r="D2218" i="5"/>
  <c r="F2218" i="5" s="1"/>
  <c r="D2219" i="5"/>
  <c r="F2219" i="5" s="1"/>
  <c r="D2220" i="5"/>
  <c r="F2220" i="5" s="1"/>
  <c r="D2221" i="5"/>
  <c r="F2221" i="5" s="1"/>
  <c r="D2222" i="5"/>
  <c r="F2222" i="5" s="1"/>
  <c r="D2223" i="5"/>
  <c r="F2223" i="5" s="1"/>
  <c r="D2224" i="5"/>
  <c r="F2224" i="5" s="1"/>
  <c r="D2225" i="5"/>
  <c r="F2225" i="5" s="1"/>
  <c r="D2226" i="5"/>
  <c r="F2226" i="5" s="1"/>
  <c r="D2227" i="5"/>
  <c r="F2227" i="5" s="1"/>
  <c r="D2228" i="5"/>
  <c r="F2228" i="5" s="1"/>
  <c r="D2229" i="5"/>
  <c r="F2229" i="5" s="1"/>
  <c r="D2230" i="5"/>
  <c r="F2230" i="5" s="1"/>
  <c r="D2231" i="5"/>
  <c r="F2231" i="5" s="1"/>
  <c r="D2232" i="5"/>
  <c r="F2232" i="5" s="1"/>
  <c r="D2233" i="5"/>
  <c r="F2233" i="5" s="1"/>
  <c r="D2234" i="5"/>
  <c r="F2234" i="5" s="1"/>
  <c r="D2235" i="5"/>
  <c r="F2235" i="5" s="1"/>
  <c r="D2236" i="5"/>
  <c r="F2236" i="5" s="1"/>
  <c r="D2237" i="5"/>
  <c r="F2237" i="5" s="1"/>
  <c r="D2238" i="5"/>
  <c r="F2238" i="5" s="1"/>
  <c r="D2239" i="5"/>
  <c r="F2239" i="5" s="1"/>
  <c r="D2240" i="5"/>
  <c r="F2240" i="5" s="1"/>
  <c r="D2241" i="5"/>
  <c r="F2241" i="5" s="1"/>
  <c r="D2242" i="5"/>
  <c r="F2242" i="5" s="1"/>
  <c r="D2243" i="5"/>
  <c r="F2243" i="5" s="1"/>
  <c r="D2244" i="5"/>
  <c r="F2244" i="5" s="1"/>
  <c r="D2245" i="5"/>
  <c r="F2245" i="5" s="1"/>
  <c r="D2246" i="5"/>
  <c r="F2246" i="5" s="1"/>
  <c r="D2247" i="5"/>
  <c r="F2247" i="5" s="1"/>
  <c r="D2248" i="5"/>
  <c r="F2248" i="5" s="1"/>
  <c r="D2249" i="5"/>
  <c r="F2249" i="5" s="1"/>
  <c r="D2250" i="5"/>
  <c r="F2250" i="5" s="1"/>
  <c r="D2251" i="5"/>
  <c r="F2251" i="5" s="1"/>
  <c r="D2252" i="5"/>
  <c r="F2252" i="5" s="1"/>
  <c r="D2253" i="5"/>
  <c r="F2253" i="5" s="1"/>
  <c r="D2254" i="5"/>
  <c r="F2254" i="5" s="1"/>
  <c r="D2255" i="5"/>
  <c r="F2255" i="5" s="1"/>
  <c r="D2256" i="5"/>
  <c r="F2256" i="5" s="1"/>
  <c r="D2257" i="5"/>
  <c r="F2257" i="5" s="1"/>
  <c r="D2258" i="5"/>
  <c r="F2258" i="5" s="1"/>
  <c r="D2259" i="5"/>
  <c r="F2259" i="5" s="1"/>
  <c r="D2260" i="5"/>
  <c r="F2260" i="5" s="1"/>
  <c r="D2261" i="5"/>
  <c r="F2261" i="5" s="1"/>
  <c r="D2262" i="5"/>
  <c r="F2262" i="5" s="1"/>
  <c r="D2263" i="5"/>
  <c r="F2263" i="5" s="1"/>
  <c r="D2264" i="5"/>
  <c r="F2264" i="5" s="1"/>
  <c r="D2265" i="5"/>
  <c r="F2265" i="5" s="1"/>
  <c r="D2266" i="5"/>
  <c r="F2266" i="5" s="1"/>
  <c r="D2267" i="5"/>
  <c r="F2267" i="5" s="1"/>
  <c r="D2268" i="5"/>
  <c r="F2268" i="5" s="1"/>
  <c r="D2269" i="5"/>
  <c r="F2269" i="5" s="1"/>
  <c r="D2270" i="5"/>
  <c r="F2270" i="5" s="1"/>
  <c r="D2271" i="5"/>
  <c r="F2271" i="5" s="1"/>
  <c r="D2272" i="5"/>
  <c r="F2272" i="5" s="1"/>
  <c r="D2273" i="5"/>
  <c r="F2273" i="5" s="1"/>
  <c r="D2274" i="5"/>
  <c r="F2274" i="5" s="1"/>
  <c r="D2275" i="5"/>
  <c r="F2275" i="5" s="1"/>
  <c r="D2276" i="5"/>
  <c r="F2276" i="5" s="1"/>
  <c r="D2277" i="5"/>
  <c r="F2277" i="5" s="1"/>
  <c r="D2278" i="5"/>
  <c r="F2278" i="5" s="1"/>
  <c r="D2279" i="5"/>
  <c r="F2279" i="5" s="1"/>
  <c r="D2280" i="5"/>
  <c r="F2280" i="5" s="1"/>
  <c r="D2281" i="5"/>
  <c r="F2281" i="5" s="1"/>
  <c r="D2282" i="5"/>
  <c r="F2282" i="5" s="1"/>
  <c r="D2283" i="5"/>
  <c r="F2283" i="5" s="1"/>
  <c r="D2284" i="5"/>
  <c r="F2284" i="5" s="1"/>
  <c r="D2285" i="5"/>
  <c r="F2285" i="5" s="1"/>
  <c r="D2286" i="5"/>
  <c r="F2286" i="5" s="1"/>
  <c r="D2287" i="5"/>
  <c r="F2287" i="5" s="1"/>
  <c r="D2288" i="5"/>
  <c r="F2288" i="5" s="1"/>
  <c r="D2289" i="5"/>
  <c r="F2289" i="5" s="1"/>
  <c r="D2290" i="5"/>
  <c r="F2290" i="5" s="1"/>
  <c r="D2291" i="5"/>
  <c r="F2291" i="5" s="1"/>
  <c r="D2292" i="5"/>
  <c r="F2292" i="5" s="1"/>
  <c r="D2293" i="5"/>
  <c r="F2293" i="5" s="1"/>
  <c r="D2294" i="5"/>
  <c r="F2294" i="5" s="1"/>
  <c r="D2295" i="5"/>
  <c r="F2295" i="5" s="1"/>
  <c r="D2296" i="5"/>
  <c r="F2296" i="5" s="1"/>
  <c r="D2297" i="5"/>
  <c r="F2297" i="5" s="1"/>
  <c r="D2298" i="5"/>
  <c r="F2298" i="5" s="1"/>
  <c r="D2299" i="5"/>
  <c r="F2299" i="5" s="1"/>
  <c r="D2300" i="5"/>
  <c r="F2300" i="5" s="1"/>
  <c r="D2301" i="5"/>
  <c r="F2301" i="5" s="1"/>
  <c r="D2302" i="5"/>
  <c r="F2302" i="5" s="1"/>
  <c r="D2303" i="5"/>
  <c r="F2303" i="5" s="1"/>
  <c r="D2304" i="5"/>
  <c r="F2304" i="5" s="1"/>
  <c r="D2305" i="5"/>
  <c r="F2305" i="5" s="1"/>
  <c r="D2306" i="5"/>
  <c r="F2306" i="5" s="1"/>
  <c r="D2307" i="5"/>
  <c r="F2307" i="5" s="1"/>
  <c r="D2308" i="5"/>
  <c r="F2308" i="5" s="1"/>
  <c r="D2309" i="5"/>
  <c r="F2309" i="5" s="1"/>
  <c r="D2310" i="5"/>
  <c r="F2310" i="5" s="1"/>
  <c r="D2311" i="5"/>
  <c r="F2311" i="5" s="1"/>
  <c r="D2312" i="5"/>
  <c r="F2312" i="5" s="1"/>
  <c r="D2313" i="5"/>
  <c r="F2313" i="5" s="1"/>
  <c r="D2314" i="5"/>
  <c r="F2314" i="5" s="1"/>
  <c r="D2315" i="5"/>
  <c r="F2315" i="5" s="1"/>
  <c r="D2316" i="5"/>
  <c r="F2316" i="5" s="1"/>
  <c r="D2317" i="5"/>
  <c r="F2317" i="5" s="1"/>
  <c r="D2318" i="5"/>
  <c r="F2318" i="5" s="1"/>
  <c r="D2319" i="5"/>
  <c r="F2319" i="5" s="1"/>
  <c r="D2320" i="5"/>
  <c r="F2320" i="5" s="1"/>
  <c r="D2321" i="5"/>
  <c r="F2321" i="5" s="1"/>
  <c r="D2322" i="5"/>
  <c r="F2322" i="5" s="1"/>
  <c r="D2323" i="5"/>
  <c r="F2323" i="5" s="1"/>
  <c r="D2324" i="5"/>
  <c r="F2324" i="5" s="1"/>
  <c r="D2325" i="5"/>
  <c r="F2325" i="5" s="1"/>
  <c r="D2326" i="5"/>
  <c r="F2326" i="5" s="1"/>
  <c r="D2327" i="5"/>
  <c r="F2327" i="5" s="1"/>
  <c r="D2328" i="5"/>
  <c r="F2328" i="5" s="1"/>
  <c r="D2329" i="5"/>
  <c r="F2329" i="5" s="1"/>
  <c r="D2330" i="5"/>
  <c r="F2330" i="5" s="1"/>
  <c r="D2331" i="5"/>
  <c r="F2331" i="5" s="1"/>
  <c r="D2332" i="5"/>
  <c r="F2332" i="5" s="1"/>
  <c r="D2333" i="5"/>
  <c r="F2333" i="5" s="1"/>
  <c r="D2334" i="5"/>
  <c r="F2334" i="5" s="1"/>
  <c r="D2335" i="5"/>
  <c r="F2335" i="5" s="1"/>
  <c r="D2336" i="5"/>
  <c r="F2336" i="5" s="1"/>
  <c r="D2337" i="5"/>
  <c r="F2337" i="5" s="1"/>
  <c r="D2338" i="5"/>
  <c r="F2338" i="5" s="1"/>
  <c r="D2339" i="5"/>
  <c r="F2339" i="5" s="1"/>
  <c r="D2340" i="5"/>
  <c r="F2340" i="5" s="1"/>
  <c r="D2341" i="5"/>
  <c r="F2341" i="5" s="1"/>
  <c r="D2342" i="5"/>
  <c r="F2342" i="5" s="1"/>
  <c r="D2343" i="5"/>
  <c r="F2343" i="5" s="1"/>
  <c r="D2344" i="5"/>
  <c r="F2344" i="5" s="1"/>
  <c r="D2345" i="5"/>
  <c r="F2345" i="5" s="1"/>
  <c r="D2346" i="5"/>
  <c r="F2346" i="5" s="1"/>
  <c r="D2347" i="5"/>
  <c r="F2347" i="5" s="1"/>
  <c r="D2348" i="5"/>
  <c r="F2348" i="5" s="1"/>
  <c r="D2349" i="5"/>
  <c r="F2349" i="5" s="1"/>
  <c r="D2350" i="5"/>
  <c r="F2350" i="5" s="1"/>
  <c r="D2351" i="5"/>
  <c r="F2351" i="5" s="1"/>
  <c r="D2352" i="5"/>
  <c r="F2352" i="5" s="1"/>
  <c r="D2353" i="5"/>
  <c r="F2353" i="5" s="1"/>
  <c r="D2354" i="5"/>
  <c r="F2354" i="5" s="1"/>
  <c r="D2355" i="5"/>
  <c r="F2355" i="5" s="1"/>
  <c r="D2356" i="5"/>
  <c r="F2356" i="5" s="1"/>
  <c r="D2357" i="5"/>
  <c r="F2357" i="5" s="1"/>
  <c r="D2358" i="5"/>
  <c r="F2358" i="5" s="1"/>
  <c r="D2359" i="5"/>
  <c r="F2359" i="5" s="1"/>
  <c r="D2360" i="5"/>
  <c r="F2360" i="5" s="1"/>
  <c r="D2361" i="5"/>
  <c r="F2361" i="5" s="1"/>
  <c r="D2362" i="5"/>
  <c r="F2362" i="5" s="1"/>
  <c r="D2363" i="5"/>
  <c r="F2363" i="5" s="1"/>
  <c r="D2364" i="5"/>
  <c r="F2364" i="5" s="1"/>
  <c r="D2365" i="5"/>
  <c r="F2365" i="5" s="1"/>
  <c r="D2366" i="5"/>
  <c r="F2366" i="5" s="1"/>
  <c r="D2367" i="5"/>
  <c r="F2367" i="5" s="1"/>
  <c r="D2368" i="5"/>
  <c r="F2368" i="5" s="1"/>
  <c r="D2369" i="5"/>
  <c r="F2369" i="5" s="1"/>
  <c r="D2370" i="5"/>
  <c r="F2370" i="5" s="1"/>
  <c r="D2371" i="5"/>
  <c r="F2371" i="5" s="1"/>
  <c r="D2372" i="5"/>
  <c r="F2372" i="5" s="1"/>
  <c r="D2373" i="5"/>
  <c r="F2373" i="5" s="1"/>
  <c r="D2374" i="5"/>
  <c r="F2374" i="5" s="1"/>
  <c r="D2375" i="5"/>
  <c r="F2375" i="5" s="1"/>
  <c r="D2376" i="5"/>
  <c r="F2376" i="5" s="1"/>
  <c r="D2377" i="5"/>
  <c r="F2377" i="5" s="1"/>
  <c r="D2378" i="5"/>
  <c r="F2378" i="5" s="1"/>
  <c r="D2379" i="5"/>
  <c r="F2379" i="5" s="1"/>
  <c r="D2380" i="5"/>
  <c r="F2380" i="5" s="1"/>
  <c r="D2381" i="5"/>
  <c r="F2381" i="5" s="1"/>
  <c r="D2382" i="5"/>
  <c r="F2382" i="5" s="1"/>
  <c r="D2383" i="5"/>
  <c r="F2383" i="5" s="1"/>
  <c r="D2384" i="5"/>
  <c r="F2384" i="5" s="1"/>
  <c r="D2385" i="5"/>
  <c r="F2385" i="5" s="1"/>
  <c r="D2386" i="5"/>
  <c r="F2386" i="5" s="1"/>
  <c r="D2387" i="5"/>
  <c r="F2387" i="5" s="1"/>
  <c r="D2388" i="5"/>
  <c r="F2388" i="5" s="1"/>
  <c r="D2389" i="5"/>
  <c r="F2389" i="5" s="1"/>
  <c r="D2390" i="5"/>
  <c r="F2390" i="5" s="1"/>
  <c r="D2391" i="5"/>
  <c r="F2391" i="5" s="1"/>
  <c r="D2392" i="5"/>
  <c r="F2392" i="5" s="1"/>
  <c r="D2393" i="5"/>
  <c r="F2393" i="5" s="1"/>
  <c r="D2394" i="5"/>
  <c r="F2394" i="5" s="1"/>
  <c r="D2395" i="5"/>
  <c r="F2395" i="5" s="1"/>
  <c r="D2396" i="5"/>
  <c r="F2396" i="5" s="1"/>
  <c r="D2397" i="5"/>
  <c r="F2397" i="5" s="1"/>
  <c r="D2398" i="5"/>
  <c r="F2398" i="5" s="1"/>
  <c r="D2399" i="5"/>
  <c r="F2399" i="5" s="1"/>
  <c r="D2400" i="5"/>
  <c r="F2400" i="5" s="1"/>
  <c r="D2401" i="5"/>
  <c r="F2401" i="5" s="1"/>
  <c r="D2402" i="5"/>
  <c r="F2402" i="5" s="1"/>
  <c r="D2403" i="5"/>
  <c r="F2403" i="5" s="1"/>
  <c r="D2404" i="5"/>
  <c r="F2404" i="5" s="1"/>
  <c r="D2405" i="5"/>
  <c r="F2405" i="5" s="1"/>
  <c r="D2406" i="5"/>
  <c r="F2406" i="5" s="1"/>
  <c r="D2407" i="5"/>
  <c r="F2407" i="5" s="1"/>
  <c r="D2408" i="5"/>
  <c r="F2408" i="5" s="1"/>
  <c r="D2409" i="5"/>
  <c r="F2409" i="5" s="1"/>
  <c r="D2410" i="5"/>
  <c r="F2410" i="5" s="1"/>
  <c r="D2411" i="5"/>
  <c r="F2411" i="5" s="1"/>
  <c r="D2412" i="5"/>
  <c r="F2412" i="5" s="1"/>
  <c r="D2413" i="5"/>
  <c r="F2413" i="5" s="1"/>
  <c r="D2414" i="5"/>
  <c r="F2414" i="5" s="1"/>
  <c r="D2415" i="5"/>
  <c r="F2415" i="5" s="1"/>
  <c r="D2416" i="5"/>
  <c r="F2416" i="5" s="1"/>
  <c r="D2417" i="5"/>
  <c r="F2417" i="5" s="1"/>
  <c r="D2418" i="5"/>
  <c r="F2418" i="5" s="1"/>
  <c r="D2419" i="5"/>
  <c r="F2419" i="5" s="1"/>
  <c r="D2420" i="5"/>
  <c r="F2420" i="5" s="1"/>
  <c r="D2421" i="5"/>
  <c r="F2421" i="5" s="1"/>
  <c r="D2422" i="5"/>
  <c r="F2422" i="5" s="1"/>
  <c r="D2423" i="5"/>
  <c r="F2423" i="5" s="1"/>
  <c r="D2424" i="5"/>
  <c r="F2424" i="5" s="1"/>
  <c r="D2425" i="5"/>
  <c r="F2425" i="5" s="1"/>
  <c r="D2426" i="5"/>
  <c r="F2426" i="5" s="1"/>
  <c r="D2427" i="5"/>
  <c r="F2427" i="5" s="1"/>
  <c r="D2428" i="5"/>
  <c r="F2428" i="5" s="1"/>
  <c r="D2429" i="5"/>
  <c r="F2429" i="5" s="1"/>
  <c r="D2430" i="5"/>
  <c r="F2430" i="5" s="1"/>
  <c r="D2431" i="5"/>
  <c r="F2431" i="5" s="1"/>
  <c r="D2432" i="5"/>
  <c r="F2432" i="5" s="1"/>
  <c r="D2433" i="5"/>
  <c r="F2433" i="5" s="1"/>
  <c r="D2434" i="5"/>
  <c r="F2434" i="5" s="1"/>
  <c r="D2435" i="5"/>
  <c r="F2435" i="5" s="1"/>
  <c r="D2436" i="5"/>
  <c r="F2436" i="5" s="1"/>
  <c r="D2437" i="5"/>
  <c r="F2437" i="5" s="1"/>
  <c r="D2438" i="5"/>
  <c r="F2438" i="5" s="1"/>
  <c r="D2439" i="5"/>
  <c r="F2439" i="5" s="1"/>
  <c r="D2440" i="5"/>
  <c r="F2440" i="5" s="1"/>
  <c r="D2441" i="5"/>
  <c r="F2441" i="5" s="1"/>
  <c r="D2442" i="5"/>
  <c r="F2442" i="5" s="1"/>
  <c r="D2443" i="5"/>
  <c r="F2443" i="5" s="1"/>
  <c r="D2444" i="5"/>
  <c r="F2444" i="5" s="1"/>
  <c r="D2445" i="5"/>
  <c r="F2445" i="5" s="1"/>
  <c r="D2446" i="5"/>
  <c r="F2446" i="5" s="1"/>
  <c r="D2447" i="5"/>
  <c r="F2447" i="5" s="1"/>
  <c r="D2448" i="5"/>
  <c r="F2448" i="5" s="1"/>
  <c r="D2449" i="5"/>
  <c r="F2449" i="5" s="1"/>
  <c r="D2450" i="5"/>
  <c r="F2450" i="5" s="1"/>
  <c r="D2451" i="5"/>
  <c r="F2451" i="5" s="1"/>
  <c r="D2452" i="5"/>
  <c r="F2452" i="5" s="1"/>
  <c r="D2453" i="5"/>
  <c r="F2453" i="5" s="1"/>
  <c r="D2454" i="5"/>
  <c r="F2454" i="5" s="1"/>
  <c r="D2455" i="5"/>
  <c r="F2455" i="5" s="1"/>
  <c r="D2456" i="5"/>
  <c r="F2456" i="5" s="1"/>
  <c r="D2457" i="5"/>
  <c r="F2457" i="5" s="1"/>
  <c r="D2458" i="5"/>
  <c r="F2458" i="5" s="1"/>
  <c r="D2459" i="5"/>
  <c r="F2459" i="5" s="1"/>
  <c r="D2460" i="5"/>
  <c r="F2460" i="5" s="1"/>
  <c r="D2461" i="5"/>
  <c r="F2461" i="5" s="1"/>
  <c r="D2462" i="5"/>
  <c r="F2462" i="5" s="1"/>
  <c r="D2463" i="5"/>
  <c r="F2463" i="5" s="1"/>
  <c r="D2464" i="5"/>
  <c r="F2464" i="5" s="1"/>
  <c r="D2465" i="5"/>
  <c r="F2465" i="5" s="1"/>
  <c r="D2466" i="5"/>
  <c r="F2466" i="5" s="1"/>
  <c r="D2467" i="5"/>
  <c r="F2467" i="5" s="1"/>
  <c r="D2468" i="5"/>
  <c r="F2468" i="5" s="1"/>
  <c r="D2469" i="5"/>
  <c r="F2469" i="5" s="1"/>
  <c r="D2470" i="5"/>
  <c r="F2470" i="5" s="1"/>
  <c r="D2471" i="5"/>
  <c r="F2471" i="5" s="1"/>
  <c r="D2472" i="5"/>
  <c r="F2472" i="5" s="1"/>
  <c r="D2473" i="5"/>
  <c r="F2473" i="5" s="1"/>
  <c r="D2474" i="5"/>
  <c r="F2474" i="5" s="1"/>
  <c r="D2475" i="5"/>
  <c r="F2475" i="5" s="1"/>
  <c r="D2476" i="5"/>
  <c r="F2476" i="5" s="1"/>
  <c r="D2477" i="5"/>
  <c r="F2477" i="5" s="1"/>
  <c r="D2478" i="5"/>
  <c r="F2478" i="5" s="1"/>
  <c r="D2479" i="5"/>
  <c r="F2479" i="5" s="1"/>
  <c r="D2480" i="5"/>
  <c r="F2480" i="5" s="1"/>
  <c r="D2481" i="5"/>
  <c r="F2481" i="5" s="1"/>
  <c r="D2482" i="5"/>
  <c r="F2482" i="5" s="1"/>
  <c r="D2483" i="5"/>
  <c r="F2483" i="5" s="1"/>
  <c r="D2484" i="5"/>
  <c r="F2484" i="5" s="1"/>
  <c r="D2485" i="5"/>
  <c r="F2485" i="5" s="1"/>
  <c r="D2486" i="5"/>
  <c r="F2486" i="5" s="1"/>
  <c r="D2487" i="5"/>
  <c r="F2487" i="5" s="1"/>
  <c r="D2488" i="5"/>
  <c r="F2488" i="5" s="1"/>
  <c r="D2489" i="5"/>
  <c r="F2489" i="5" s="1"/>
  <c r="D2490" i="5"/>
  <c r="F2490" i="5" s="1"/>
  <c r="D2491" i="5"/>
  <c r="F2491" i="5" s="1"/>
  <c r="D2492" i="5"/>
  <c r="F2492" i="5" s="1"/>
  <c r="D2493" i="5"/>
  <c r="F2493" i="5" s="1"/>
  <c r="D2494" i="5"/>
  <c r="F2494" i="5" s="1"/>
  <c r="D2495" i="5"/>
  <c r="F2495" i="5" s="1"/>
  <c r="D2496" i="5"/>
  <c r="F2496" i="5" s="1"/>
  <c r="D2497" i="5"/>
  <c r="F2497" i="5" s="1"/>
  <c r="D2498" i="5"/>
  <c r="F2498" i="5" s="1"/>
  <c r="D2499" i="5"/>
  <c r="F2499" i="5" s="1"/>
  <c r="D2500" i="5"/>
  <c r="F2500" i="5" s="1"/>
  <c r="D2501" i="5"/>
  <c r="F2501" i="5" s="1"/>
  <c r="D2502" i="5"/>
  <c r="F2502" i="5" s="1"/>
  <c r="D2503" i="5"/>
  <c r="F2503" i="5" s="1"/>
  <c r="D2504" i="5"/>
  <c r="F2504" i="5" s="1"/>
  <c r="D2505" i="5"/>
  <c r="F2505" i="5" s="1"/>
  <c r="D2506" i="5"/>
  <c r="F2506" i="5" s="1"/>
  <c r="D2507" i="5"/>
  <c r="F2507" i="5" s="1"/>
  <c r="D2508" i="5"/>
  <c r="F2508" i="5" s="1"/>
  <c r="D2509" i="5"/>
  <c r="F2509" i="5" s="1"/>
  <c r="D2510" i="5"/>
  <c r="F2510" i="5" s="1"/>
  <c r="D2511" i="5"/>
  <c r="F2511" i="5" s="1"/>
  <c r="D2512" i="5"/>
  <c r="F2512" i="5" s="1"/>
  <c r="D2513" i="5"/>
  <c r="F2513" i="5" s="1"/>
  <c r="D2514" i="5"/>
  <c r="F2514" i="5" s="1"/>
  <c r="D2515" i="5"/>
  <c r="F2515" i="5" s="1"/>
  <c r="D2516" i="5"/>
  <c r="F2516" i="5" s="1"/>
  <c r="D2517" i="5"/>
  <c r="F2517" i="5" s="1"/>
  <c r="D2518" i="5"/>
  <c r="F2518" i="5" s="1"/>
  <c r="D2519" i="5"/>
  <c r="F2519" i="5" s="1"/>
  <c r="D2520" i="5"/>
  <c r="F2520" i="5" s="1"/>
  <c r="D2521" i="5"/>
  <c r="F2521" i="5" s="1"/>
  <c r="D2522" i="5"/>
  <c r="F2522" i="5" s="1"/>
  <c r="D2523" i="5"/>
  <c r="F2523" i="5" s="1"/>
  <c r="D2524" i="5"/>
  <c r="F2524" i="5" s="1"/>
  <c r="D2525" i="5"/>
  <c r="F2525" i="5" s="1"/>
  <c r="D2526" i="5"/>
  <c r="F2526" i="5" s="1"/>
  <c r="D2527" i="5"/>
  <c r="F2527" i="5" s="1"/>
  <c r="D2528" i="5"/>
  <c r="F2528" i="5" s="1"/>
  <c r="D2529" i="5"/>
  <c r="F2529" i="5" s="1"/>
  <c r="D2530" i="5"/>
  <c r="F2530" i="5" s="1"/>
  <c r="D2531" i="5"/>
  <c r="F2531" i="5" s="1"/>
  <c r="D2532" i="5"/>
  <c r="F2532" i="5" s="1"/>
  <c r="D2533" i="5"/>
  <c r="F2533" i="5" s="1"/>
  <c r="D2534" i="5"/>
  <c r="F2534" i="5" s="1"/>
  <c r="D2535" i="5"/>
  <c r="F2535" i="5" s="1"/>
  <c r="D2536" i="5"/>
  <c r="F2536" i="5" s="1"/>
  <c r="D2537" i="5"/>
  <c r="F2537" i="5" s="1"/>
  <c r="D2538" i="5"/>
  <c r="F2538" i="5" s="1"/>
  <c r="D2539" i="5"/>
  <c r="F2539" i="5" s="1"/>
  <c r="D2540" i="5"/>
  <c r="F2540" i="5" s="1"/>
  <c r="D2541" i="5"/>
  <c r="F2541" i="5" s="1"/>
  <c r="D2542" i="5"/>
  <c r="F2542" i="5" s="1"/>
  <c r="D2543" i="5"/>
  <c r="F2543" i="5" s="1"/>
  <c r="D2544" i="5"/>
  <c r="F2544" i="5" s="1"/>
  <c r="D2545" i="5"/>
  <c r="F2545" i="5" s="1"/>
  <c r="D2546" i="5"/>
  <c r="F2546" i="5" s="1"/>
  <c r="D2547" i="5"/>
  <c r="F2547" i="5" s="1"/>
  <c r="D2548" i="5"/>
  <c r="F2548" i="5" s="1"/>
  <c r="D2549" i="5"/>
  <c r="F2549" i="5" s="1"/>
  <c r="D2550" i="5"/>
  <c r="F2550" i="5" s="1"/>
  <c r="D2551" i="5"/>
  <c r="F2551" i="5" s="1"/>
  <c r="D2552" i="5"/>
  <c r="F2552" i="5" s="1"/>
  <c r="D2553" i="5"/>
  <c r="F2553" i="5" s="1"/>
  <c r="D2554" i="5"/>
  <c r="F2554" i="5" s="1"/>
  <c r="D2555" i="5"/>
  <c r="F2555" i="5" s="1"/>
  <c r="D2556" i="5"/>
  <c r="F2556" i="5" s="1"/>
  <c r="D2557" i="5"/>
  <c r="F2557" i="5" s="1"/>
  <c r="D2558" i="5"/>
  <c r="F2558" i="5" s="1"/>
  <c r="D2559" i="5"/>
  <c r="F2559" i="5" s="1"/>
  <c r="D2560" i="5"/>
  <c r="F2560" i="5" s="1"/>
  <c r="D2561" i="5"/>
  <c r="F2561" i="5" s="1"/>
  <c r="D2562" i="5"/>
  <c r="F2562" i="5" s="1"/>
  <c r="D2563" i="5"/>
  <c r="F2563" i="5" s="1"/>
  <c r="D2564" i="5"/>
  <c r="F2564" i="5" s="1"/>
  <c r="D2565" i="5"/>
  <c r="F2565" i="5" s="1"/>
  <c r="D2566" i="5"/>
  <c r="F2566" i="5" s="1"/>
  <c r="D2567" i="5"/>
  <c r="F2567" i="5" s="1"/>
  <c r="D2568" i="5"/>
  <c r="F2568" i="5" s="1"/>
  <c r="D2569" i="5"/>
  <c r="F2569" i="5" s="1"/>
  <c r="D2570" i="5"/>
  <c r="F2570" i="5" s="1"/>
  <c r="D2571" i="5"/>
  <c r="F2571" i="5" s="1"/>
  <c r="D2572" i="5"/>
  <c r="F2572" i="5" s="1"/>
  <c r="D2573" i="5"/>
  <c r="F2573" i="5" s="1"/>
  <c r="D2574" i="5"/>
  <c r="F2574" i="5" s="1"/>
  <c r="D2575" i="5"/>
  <c r="F2575" i="5" s="1"/>
  <c r="D2576" i="5"/>
  <c r="F2576" i="5" s="1"/>
  <c r="D2577" i="5"/>
  <c r="F2577" i="5" s="1"/>
  <c r="D2578" i="5"/>
  <c r="F2578" i="5" s="1"/>
  <c r="D2579" i="5"/>
  <c r="F2579" i="5" s="1"/>
  <c r="D2580" i="5"/>
  <c r="F2580" i="5" s="1"/>
  <c r="D2581" i="5"/>
  <c r="F2581" i="5" s="1"/>
  <c r="D2582" i="5"/>
  <c r="F2582" i="5" s="1"/>
  <c r="D2583" i="5"/>
  <c r="F2583" i="5" s="1"/>
  <c r="D2584" i="5"/>
  <c r="F2584" i="5" s="1"/>
  <c r="D2585" i="5"/>
  <c r="F2585" i="5" s="1"/>
  <c r="D2586" i="5"/>
  <c r="F2586" i="5" s="1"/>
  <c r="D2587" i="5"/>
  <c r="F2587" i="5" s="1"/>
  <c r="D2588" i="5"/>
  <c r="F2588" i="5" s="1"/>
  <c r="D2589" i="5"/>
  <c r="F2589" i="5" s="1"/>
  <c r="D2590" i="5"/>
  <c r="F2590" i="5" s="1"/>
  <c r="D2591" i="5"/>
  <c r="F2591" i="5" s="1"/>
  <c r="D2592" i="5"/>
  <c r="F2592" i="5" s="1"/>
  <c r="D2593" i="5"/>
  <c r="F2593" i="5" s="1"/>
  <c r="D2594" i="5"/>
  <c r="F2594" i="5" s="1"/>
  <c r="D2595" i="5"/>
  <c r="F2595" i="5" s="1"/>
  <c r="D2596" i="5"/>
  <c r="F2596" i="5" s="1"/>
  <c r="D2597" i="5"/>
  <c r="F2597" i="5" s="1"/>
  <c r="D2598" i="5"/>
  <c r="F2598" i="5" s="1"/>
  <c r="D2599" i="5"/>
  <c r="F2599" i="5" s="1"/>
  <c r="D2600" i="5"/>
  <c r="F2600" i="5" s="1"/>
  <c r="D2601" i="5"/>
  <c r="F2601" i="5" s="1"/>
  <c r="D2602" i="5"/>
  <c r="F2602" i="5" s="1"/>
  <c r="D2603" i="5"/>
  <c r="F2603" i="5" s="1"/>
  <c r="D2604" i="5"/>
  <c r="F2604" i="5" s="1"/>
  <c r="D2605" i="5"/>
  <c r="F2605" i="5" s="1"/>
  <c r="D2606" i="5"/>
  <c r="F2606" i="5" s="1"/>
  <c r="D2607" i="5"/>
  <c r="F2607" i="5" s="1"/>
  <c r="D2608" i="5"/>
  <c r="F2608" i="5" s="1"/>
  <c r="D2609" i="5"/>
  <c r="F2609" i="5" s="1"/>
  <c r="D2610" i="5"/>
  <c r="F2610" i="5" s="1"/>
  <c r="D2611" i="5"/>
  <c r="F2611" i="5" s="1"/>
  <c r="D2612" i="5"/>
  <c r="F2612" i="5" s="1"/>
  <c r="D2613" i="5"/>
  <c r="F2613" i="5" s="1"/>
  <c r="D2614" i="5"/>
  <c r="F2614" i="5" s="1"/>
  <c r="D2615" i="5"/>
  <c r="F2615" i="5" s="1"/>
  <c r="D2616" i="5"/>
  <c r="F2616" i="5" s="1"/>
  <c r="D2617" i="5"/>
  <c r="F2617" i="5" s="1"/>
  <c r="D2618" i="5"/>
  <c r="F2618" i="5" s="1"/>
  <c r="D2619" i="5"/>
  <c r="F2619" i="5" s="1"/>
  <c r="D2620" i="5"/>
  <c r="F2620" i="5" s="1"/>
  <c r="D2621" i="5"/>
  <c r="F2621" i="5" s="1"/>
  <c r="D2622" i="5"/>
  <c r="F2622" i="5" s="1"/>
  <c r="D2623" i="5"/>
  <c r="F2623" i="5" s="1"/>
  <c r="D2624" i="5"/>
  <c r="F2624" i="5" s="1"/>
  <c r="D2625" i="5"/>
  <c r="F2625" i="5" s="1"/>
  <c r="D2626" i="5"/>
  <c r="F2626" i="5" s="1"/>
  <c r="D2627" i="5"/>
  <c r="F2627" i="5" s="1"/>
  <c r="D2628" i="5"/>
  <c r="F2628" i="5" s="1"/>
  <c r="D2629" i="5"/>
  <c r="F2629" i="5" s="1"/>
  <c r="D2630" i="5"/>
  <c r="F2630" i="5" s="1"/>
  <c r="D2631" i="5"/>
  <c r="F2631" i="5" s="1"/>
  <c r="D2632" i="5"/>
  <c r="F2632" i="5" s="1"/>
  <c r="D2633" i="5"/>
  <c r="F2633" i="5" s="1"/>
  <c r="D2634" i="5"/>
  <c r="F2634" i="5" s="1"/>
  <c r="D2635" i="5"/>
  <c r="F2635" i="5" s="1"/>
  <c r="D2636" i="5"/>
  <c r="F2636" i="5" s="1"/>
  <c r="D2637" i="5"/>
  <c r="F2637" i="5" s="1"/>
  <c r="D2638" i="5"/>
  <c r="F2638" i="5" s="1"/>
  <c r="D2639" i="5"/>
  <c r="F2639" i="5" s="1"/>
  <c r="D2640" i="5"/>
  <c r="F2640" i="5" s="1"/>
  <c r="D2641" i="5"/>
  <c r="F2641" i="5" s="1"/>
  <c r="D2642" i="5"/>
  <c r="F2642" i="5" s="1"/>
  <c r="D2643" i="5"/>
  <c r="F2643" i="5" s="1"/>
  <c r="D2644" i="5"/>
  <c r="F2644" i="5" s="1"/>
  <c r="D2645" i="5"/>
  <c r="F2645" i="5" s="1"/>
  <c r="D2646" i="5"/>
  <c r="F2646" i="5" s="1"/>
  <c r="D2647" i="5"/>
  <c r="F2647" i="5" s="1"/>
  <c r="D2648" i="5"/>
  <c r="F2648" i="5" s="1"/>
  <c r="D2649" i="5"/>
  <c r="F2649" i="5" s="1"/>
  <c r="D2650" i="5"/>
  <c r="F2650" i="5" s="1"/>
  <c r="D2651" i="5"/>
  <c r="F2651" i="5" s="1"/>
  <c r="D2652" i="5"/>
  <c r="F2652" i="5" s="1"/>
  <c r="D2653" i="5"/>
  <c r="F2653" i="5" s="1"/>
  <c r="D2654" i="5"/>
  <c r="F2654" i="5" s="1"/>
  <c r="D2655" i="5"/>
  <c r="F2655" i="5" s="1"/>
  <c r="D2656" i="5"/>
  <c r="F2656" i="5" s="1"/>
  <c r="D2657" i="5"/>
  <c r="F2657" i="5" s="1"/>
  <c r="D2658" i="5"/>
  <c r="F2658" i="5" s="1"/>
  <c r="D2659" i="5"/>
  <c r="F2659" i="5" s="1"/>
  <c r="D2660" i="5"/>
  <c r="F2660" i="5" s="1"/>
  <c r="D2661" i="5"/>
  <c r="F2661" i="5" s="1"/>
  <c r="D2662" i="5"/>
  <c r="F2662" i="5" s="1"/>
  <c r="D2663" i="5"/>
  <c r="F2663" i="5" s="1"/>
  <c r="D2664" i="5"/>
  <c r="F2664" i="5" s="1"/>
  <c r="D2665" i="5"/>
  <c r="F2665" i="5" s="1"/>
  <c r="D2666" i="5"/>
  <c r="F2666" i="5" s="1"/>
  <c r="D2667" i="5"/>
  <c r="F2667" i="5" s="1"/>
  <c r="D2668" i="5"/>
  <c r="F2668" i="5" s="1"/>
  <c r="D2669" i="5"/>
  <c r="F2669" i="5" s="1"/>
  <c r="D2670" i="5"/>
  <c r="F2670" i="5" s="1"/>
  <c r="D2671" i="5"/>
  <c r="F2671" i="5" s="1"/>
  <c r="D2672" i="5"/>
  <c r="F2672" i="5" s="1"/>
  <c r="D2673" i="5"/>
  <c r="F2673" i="5" s="1"/>
  <c r="D2674" i="5"/>
  <c r="F2674" i="5" s="1"/>
  <c r="D2675" i="5"/>
  <c r="F2675" i="5" s="1"/>
  <c r="D2676" i="5"/>
  <c r="F2676" i="5" s="1"/>
  <c r="D2677" i="5"/>
  <c r="F2677" i="5" s="1"/>
  <c r="D2678" i="5"/>
  <c r="F2678" i="5" s="1"/>
  <c r="D2679" i="5"/>
  <c r="F2679" i="5" s="1"/>
  <c r="D2680" i="5"/>
  <c r="F2680" i="5" s="1"/>
  <c r="D2681" i="5"/>
  <c r="F2681" i="5" s="1"/>
  <c r="D2682" i="5"/>
  <c r="F2682" i="5" s="1"/>
  <c r="D2683" i="5"/>
  <c r="F2683" i="5" s="1"/>
  <c r="D2684" i="5"/>
  <c r="F2684" i="5" s="1"/>
  <c r="D2685" i="5"/>
  <c r="F2685" i="5" s="1"/>
  <c r="D2686" i="5"/>
  <c r="F2686" i="5" s="1"/>
  <c r="D2687" i="5"/>
  <c r="F2687" i="5" s="1"/>
  <c r="D2688" i="5"/>
  <c r="F2688" i="5" s="1"/>
  <c r="D2689" i="5"/>
  <c r="F2689" i="5" s="1"/>
  <c r="D2690" i="5"/>
  <c r="F2690" i="5" s="1"/>
  <c r="D2691" i="5"/>
  <c r="F2691" i="5" s="1"/>
  <c r="D2692" i="5"/>
  <c r="F2692" i="5" s="1"/>
  <c r="D2693" i="5"/>
  <c r="F2693" i="5" s="1"/>
  <c r="D2694" i="5"/>
  <c r="F2694" i="5" s="1"/>
  <c r="D2695" i="5"/>
  <c r="F2695" i="5" s="1"/>
  <c r="D2696" i="5"/>
  <c r="F2696" i="5" s="1"/>
  <c r="D2697" i="5"/>
  <c r="F2697" i="5" s="1"/>
  <c r="D2698" i="5"/>
  <c r="F2698" i="5" s="1"/>
  <c r="D2699" i="5"/>
  <c r="F2699" i="5" s="1"/>
  <c r="D2700" i="5"/>
  <c r="F2700" i="5" s="1"/>
  <c r="D2701" i="5"/>
  <c r="F2701" i="5" s="1"/>
  <c r="D2702" i="5"/>
  <c r="F2702" i="5" s="1"/>
  <c r="D2703" i="5"/>
  <c r="F2703" i="5" s="1"/>
  <c r="D2704" i="5"/>
  <c r="F2704" i="5" s="1"/>
  <c r="D2705" i="5"/>
  <c r="F2705" i="5" s="1"/>
  <c r="D2706" i="5"/>
  <c r="F2706" i="5" s="1"/>
  <c r="D2707" i="5"/>
  <c r="F2707" i="5" s="1"/>
  <c r="D2708" i="5"/>
  <c r="F2708" i="5" s="1"/>
  <c r="D2709" i="5"/>
  <c r="F2709" i="5" s="1"/>
  <c r="D2710" i="5"/>
  <c r="F2710" i="5" s="1"/>
  <c r="D2711" i="5"/>
  <c r="F2711" i="5" s="1"/>
  <c r="D2712" i="5"/>
  <c r="F2712" i="5" s="1"/>
  <c r="D2713" i="5"/>
  <c r="F2713" i="5" s="1"/>
  <c r="D2714" i="5"/>
  <c r="F2714" i="5" s="1"/>
  <c r="D2715" i="5"/>
  <c r="F2715" i="5" s="1"/>
  <c r="D2716" i="5"/>
  <c r="F2716" i="5" s="1"/>
  <c r="D2717" i="5"/>
  <c r="F2717" i="5" s="1"/>
  <c r="D2718" i="5"/>
  <c r="F2718" i="5" s="1"/>
  <c r="D2719" i="5"/>
  <c r="F2719" i="5" s="1"/>
  <c r="D2720" i="5"/>
  <c r="F2720" i="5" s="1"/>
  <c r="D2721" i="5"/>
  <c r="F2721" i="5" s="1"/>
  <c r="D2722" i="5"/>
  <c r="F2722" i="5" s="1"/>
  <c r="D2723" i="5"/>
  <c r="F2723" i="5" s="1"/>
  <c r="D2724" i="5"/>
  <c r="F2724" i="5" s="1"/>
  <c r="D2725" i="5"/>
  <c r="F2725" i="5" s="1"/>
  <c r="D2726" i="5"/>
  <c r="F2726" i="5" s="1"/>
  <c r="D2727" i="5"/>
  <c r="F2727" i="5" s="1"/>
  <c r="D2728" i="5"/>
  <c r="F2728" i="5" s="1"/>
  <c r="D2729" i="5"/>
  <c r="F2729" i="5" s="1"/>
  <c r="D2730" i="5"/>
  <c r="F2730" i="5" s="1"/>
  <c r="D2731" i="5"/>
  <c r="F2731" i="5" s="1"/>
  <c r="D2732" i="5"/>
  <c r="F2732" i="5" s="1"/>
  <c r="D2733" i="5"/>
  <c r="F2733" i="5" s="1"/>
  <c r="D2734" i="5"/>
  <c r="F2734" i="5" s="1"/>
  <c r="D2735" i="5"/>
  <c r="F2735" i="5" s="1"/>
  <c r="D2736" i="5"/>
  <c r="F2736" i="5" s="1"/>
  <c r="D2737" i="5"/>
  <c r="F2737" i="5" s="1"/>
  <c r="D2738" i="5"/>
  <c r="F2738" i="5" s="1"/>
  <c r="D2739" i="5"/>
  <c r="F2739" i="5" s="1"/>
  <c r="D2740" i="5"/>
  <c r="F2740" i="5" s="1"/>
  <c r="D2741" i="5"/>
  <c r="F2741" i="5" s="1"/>
  <c r="D2742" i="5"/>
  <c r="F2742" i="5" s="1"/>
  <c r="D2743" i="5"/>
  <c r="F2743" i="5" s="1"/>
  <c r="D2744" i="5"/>
  <c r="F2744" i="5" s="1"/>
  <c r="D2745" i="5"/>
  <c r="F2745" i="5" s="1"/>
  <c r="D2746" i="5"/>
  <c r="F2746" i="5" s="1"/>
  <c r="D2747" i="5"/>
  <c r="F2747" i="5" s="1"/>
  <c r="D2748" i="5"/>
  <c r="F2748" i="5" s="1"/>
  <c r="D2749" i="5"/>
  <c r="F2749" i="5" s="1"/>
  <c r="D2750" i="5"/>
  <c r="F2750" i="5" s="1"/>
  <c r="D2751" i="5"/>
  <c r="F2751" i="5" s="1"/>
  <c r="D2752" i="5"/>
  <c r="F2752" i="5" s="1"/>
  <c r="D2753" i="5"/>
  <c r="F2753" i="5" s="1"/>
  <c r="D2754" i="5"/>
  <c r="F2754" i="5" s="1"/>
  <c r="D2755" i="5"/>
  <c r="F2755" i="5" s="1"/>
  <c r="D2756" i="5"/>
  <c r="F2756" i="5" s="1"/>
  <c r="D2757" i="5"/>
  <c r="F2757" i="5" s="1"/>
  <c r="D2758" i="5"/>
  <c r="F2758" i="5" s="1"/>
  <c r="D2759" i="5"/>
  <c r="F2759" i="5" s="1"/>
  <c r="D2760" i="5"/>
  <c r="F2760" i="5" s="1"/>
  <c r="D2761" i="5"/>
  <c r="F2761" i="5" s="1"/>
  <c r="D2762" i="5"/>
  <c r="F2762" i="5" s="1"/>
  <c r="D2763" i="5"/>
  <c r="F2763" i="5" s="1"/>
  <c r="D2764" i="5"/>
  <c r="F2764" i="5" s="1"/>
  <c r="D2765" i="5"/>
  <c r="F2765" i="5" s="1"/>
  <c r="D2766" i="5"/>
  <c r="F2766" i="5" s="1"/>
  <c r="D2767" i="5"/>
  <c r="F2767" i="5" s="1"/>
  <c r="D2768" i="5"/>
  <c r="F2768" i="5" s="1"/>
  <c r="D2769" i="5"/>
  <c r="F2769" i="5" s="1"/>
  <c r="D2770" i="5"/>
  <c r="F2770" i="5" s="1"/>
  <c r="D2771" i="5"/>
  <c r="F2771" i="5" s="1"/>
  <c r="D2772" i="5"/>
  <c r="F2772" i="5" s="1"/>
  <c r="D2773" i="5"/>
  <c r="F2773" i="5" s="1"/>
  <c r="D2774" i="5"/>
  <c r="F2774" i="5" s="1"/>
  <c r="D2775" i="5"/>
  <c r="F2775" i="5" s="1"/>
  <c r="D2776" i="5"/>
  <c r="F2776" i="5" s="1"/>
  <c r="D2777" i="5"/>
  <c r="F2777" i="5" s="1"/>
  <c r="D2778" i="5"/>
  <c r="F2778" i="5" s="1"/>
  <c r="D2779" i="5"/>
  <c r="F2779" i="5" s="1"/>
  <c r="D2780" i="5"/>
  <c r="F2780" i="5" s="1"/>
  <c r="D2781" i="5"/>
  <c r="F2781" i="5" s="1"/>
  <c r="D2782" i="5"/>
  <c r="F2782" i="5" s="1"/>
  <c r="D2783" i="5"/>
  <c r="F2783" i="5" s="1"/>
  <c r="D2784" i="5"/>
  <c r="F2784" i="5" s="1"/>
  <c r="D2785" i="5"/>
  <c r="F2785" i="5" s="1"/>
  <c r="D2786" i="5"/>
  <c r="F2786" i="5" s="1"/>
  <c r="D2787" i="5"/>
  <c r="F2787" i="5" s="1"/>
  <c r="D2788" i="5"/>
  <c r="F2788" i="5" s="1"/>
  <c r="D2789" i="5"/>
  <c r="F2789" i="5" s="1"/>
  <c r="D2790" i="5"/>
  <c r="F2790" i="5" s="1"/>
  <c r="D2791" i="5"/>
  <c r="F2791" i="5" s="1"/>
  <c r="D2792" i="5"/>
  <c r="F2792" i="5" s="1"/>
  <c r="D2793" i="5"/>
  <c r="F2793" i="5" s="1"/>
  <c r="D2794" i="5"/>
  <c r="F2794" i="5" s="1"/>
  <c r="D2795" i="5"/>
  <c r="F2795" i="5" s="1"/>
  <c r="D2796" i="5"/>
  <c r="F2796" i="5" s="1"/>
  <c r="D2797" i="5"/>
  <c r="F2797" i="5" s="1"/>
  <c r="D2798" i="5"/>
  <c r="F2798" i="5" s="1"/>
  <c r="D2799" i="5"/>
  <c r="F2799" i="5" s="1"/>
  <c r="D2800" i="5"/>
  <c r="F2800" i="5" s="1"/>
  <c r="D2801" i="5"/>
  <c r="F2801" i="5" s="1"/>
  <c r="D2802" i="5"/>
  <c r="F2802" i="5" s="1"/>
  <c r="D2803" i="5"/>
  <c r="F2803" i="5" s="1"/>
  <c r="D2804" i="5"/>
  <c r="F2804" i="5" s="1"/>
  <c r="D2805" i="5"/>
  <c r="F2805" i="5" s="1"/>
  <c r="D2806" i="5"/>
  <c r="F2806" i="5" s="1"/>
  <c r="D2807" i="5"/>
  <c r="F2807" i="5" s="1"/>
  <c r="D2808" i="5"/>
  <c r="F2808" i="5" s="1"/>
  <c r="D2809" i="5"/>
  <c r="F2809" i="5" s="1"/>
  <c r="D2810" i="5"/>
  <c r="F2810" i="5" s="1"/>
  <c r="D2811" i="5"/>
  <c r="F2811" i="5" s="1"/>
  <c r="D2812" i="5"/>
  <c r="F2812" i="5" s="1"/>
  <c r="D2813" i="5"/>
  <c r="F2813" i="5" s="1"/>
  <c r="D2814" i="5"/>
  <c r="F2814" i="5" s="1"/>
  <c r="D2815" i="5"/>
  <c r="F2815" i="5" s="1"/>
  <c r="D2816" i="5"/>
  <c r="F2816" i="5" s="1"/>
  <c r="D2817" i="5"/>
  <c r="F2817" i="5" s="1"/>
  <c r="D2818" i="5"/>
  <c r="F2818" i="5" s="1"/>
  <c r="D2819" i="5"/>
  <c r="F2819" i="5" s="1"/>
  <c r="D2820" i="5"/>
  <c r="F2820" i="5" s="1"/>
  <c r="D2821" i="5"/>
  <c r="F2821" i="5" s="1"/>
  <c r="D2822" i="5"/>
  <c r="F2822" i="5" s="1"/>
  <c r="D2823" i="5"/>
  <c r="F2823" i="5" s="1"/>
  <c r="D2824" i="5"/>
  <c r="F2824" i="5" s="1"/>
  <c r="D2825" i="5"/>
  <c r="F2825" i="5" s="1"/>
  <c r="D2826" i="5"/>
  <c r="F2826" i="5" s="1"/>
  <c r="D2827" i="5"/>
  <c r="F2827" i="5" s="1"/>
  <c r="D2828" i="5"/>
  <c r="F2828" i="5" s="1"/>
  <c r="D2829" i="5"/>
  <c r="F2829" i="5" s="1"/>
  <c r="D2830" i="5"/>
  <c r="F2830" i="5" s="1"/>
  <c r="D2831" i="5"/>
  <c r="F2831" i="5" s="1"/>
  <c r="D2832" i="5"/>
  <c r="F2832" i="5" s="1"/>
  <c r="D2833" i="5"/>
  <c r="F2833" i="5" s="1"/>
  <c r="D2834" i="5"/>
  <c r="F2834" i="5" s="1"/>
  <c r="D2835" i="5"/>
  <c r="F2835" i="5" s="1"/>
  <c r="D2836" i="5"/>
  <c r="F2836" i="5" s="1"/>
  <c r="D2837" i="5"/>
  <c r="F2837" i="5" s="1"/>
  <c r="D2838" i="5"/>
  <c r="F2838" i="5" s="1"/>
  <c r="D2839" i="5"/>
  <c r="F2839" i="5" s="1"/>
  <c r="D2840" i="5"/>
  <c r="F2840" i="5" s="1"/>
  <c r="D2841" i="5"/>
  <c r="F2841" i="5" s="1"/>
  <c r="D2842" i="5"/>
  <c r="F2842" i="5" s="1"/>
  <c r="D2843" i="5"/>
  <c r="F2843" i="5" s="1"/>
  <c r="D2844" i="5"/>
  <c r="F2844" i="5" s="1"/>
  <c r="D2845" i="5"/>
  <c r="F2845" i="5" s="1"/>
  <c r="D2846" i="5"/>
  <c r="F2846" i="5" s="1"/>
  <c r="D2847" i="5"/>
  <c r="F2847" i="5" s="1"/>
  <c r="D2848" i="5"/>
  <c r="F2848" i="5" s="1"/>
  <c r="D2849" i="5"/>
  <c r="F2849" i="5" s="1"/>
  <c r="D2850" i="5"/>
  <c r="F2850" i="5" s="1"/>
  <c r="D2851" i="5"/>
  <c r="F2851" i="5" s="1"/>
  <c r="D2852" i="5"/>
  <c r="F2852" i="5" s="1"/>
  <c r="D2853" i="5"/>
  <c r="F2853" i="5" s="1"/>
  <c r="D2854" i="5"/>
  <c r="F2854" i="5" s="1"/>
  <c r="D2855" i="5"/>
  <c r="F2855" i="5" s="1"/>
  <c r="D2856" i="5"/>
  <c r="F2856" i="5" s="1"/>
  <c r="D2857" i="5"/>
  <c r="F2857" i="5" s="1"/>
  <c r="D2858" i="5"/>
  <c r="F2858" i="5" s="1"/>
  <c r="D2859" i="5"/>
  <c r="F2859" i="5" s="1"/>
  <c r="D2860" i="5"/>
  <c r="F2860" i="5" s="1"/>
  <c r="D2861" i="5"/>
  <c r="F2861" i="5" s="1"/>
  <c r="D2862" i="5"/>
  <c r="F2862" i="5" s="1"/>
  <c r="D2863" i="5"/>
  <c r="F2863" i="5" s="1"/>
  <c r="D2864" i="5"/>
  <c r="F2864" i="5" s="1"/>
  <c r="D2865" i="5"/>
  <c r="F2865" i="5" s="1"/>
  <c r="D2866" i="5"/>
  <c r="F2866" i="5" s="1"/>
  <c r="D2867" i="5"/>
  <c r="F2867" i="5" s="1"/>
  <c r="D2868" i="5"/>
  <c r="F2868" i="5" s="1"/>
  <c r="D2869" i="5"/>
  <c r="F2869" i="5" s="1"/>
  <c r="D2870" i="5"/>
  <c r="F2870" i="5" s="1"/>
  <c r="D2871" i="5"/>
  <c r="F2871" i="5" s="1"/>
  <c r="D2872" i="5"/>
  <c r="F2872" i="5" s="1"/>
  <c r="D2873" i="5"/>
  <c r="F2873" i="5" s="1"/>
  <c r="D2874" i="5"/>
  <c r="F2874" i="5" s="1"/>
  <c r="D2875" i="5"/>
  <c r="F2875" i="5" s="1"/>
  <c r="D2876" i="5"/>
  <c r="F2876" i="5" s="1"/>
  <c r="D2877" i="5"/>
  <c r="F2877" i="5" s="1"/>
  <c r="D2878" i="5"/>
  <c r="F2878" i="5" s="1"/>
  <c r="D2879" i="5"/>
  <c r="F2879" i="5" s="1"/>
  <c r="D2880" i="5"/>
  <c r="F2880" i="5" s="1"/>
  <c r="D2881" i="5"/>
  <c r="F2881" i="5" s="1"/>
  <c r="D2882" i="5"/>
  <c r="F2882" i="5" s="1"/>
  <c r="D2883" i="5"/>
  <c r="F2883" i="5" s="1"/>
  <c r="D2884" i="5"/>
  <c r="F2884" i="5" s="1"/>
  <c r="D2885" i="5"/>
  <c r="F2885" i="5" s="1"/>
  <c r="D2886" i="5"/>
  <c r="F2886" i="5" s="1"/>
  <c r="D2887" i="5"/>
  <c r="F2887" i="5" s="1"/>
  <c r="D2888" i="5"/>
  <c r="F2888" i="5" s="1"/>
  <c r="D2889" i="5"/>
  <c r="F2889" i="5" s="1"/>
  <c r="D2890" i="5"/>
  <c r="F2890" i="5" s="1"/>
  <c r="D2891" i="5"/>
  <c r="F2891" i="5" s="1"/>
  <c r="D2892" i="5"/>
  <c r="F2892" i="5" s="1"/>
  <c r="D2893" i="5"/>
  <c r="F2893" i="5" s="1"/>
  <c r="D2894" i="5"/>
  <c r="F2894" i="5" s="1"/>
  <c r="D2895" i="5"/>
  <c r="F2895" i="5" s="1"/>
  <c r="D2896" i="5"/>
  <c r="F2896" i="5" s="1"/>
  <c r="D2897" i="5"/>
  <c r="F2897" i="5" s="1"/>
  <c r="D2898" i="5"/>
  <c r="F2898" i="5" s="1"/>
  <c r="D2899" i="5"/>
  <c r="F2899" i="5" s="1"/>
  <c r="D2900" i="5"/>
  <c r="F2900" i="5" s="1"/>
  <c r="D2901" i="5"/>
  <c r="F2901" i="5" s="1"/>
  <c r="D2902" i="5"/>
  <c r="F2902" i="5" s="1"/>
  <c r="D2903" i="5"/>
  <c r="F2903" i="5" s="1"/>
  <c r="D2904" i="5"/>
  <c r="F2904" i="5" s="1"/>
  <c r="D2905" i="5"/>
  <c r="F2905" i="5" s="1"/>
  <c r="D2906" i="5"/>
  <c r="F2906" i="5" s="1"/>
  <c r="D2907" i="5"/>
  <c r="F2907" i="5" s="1"/>
  <c r="D2908" i="5"/>
  <c r="F2908" i="5" s="1"/>
  <c r="D2909" i="5"/>
  <c r="F2909" i="5" s="1"/>
  <c r="D2910" i="5"/>
  <c r="F2910" i="5" s="1"/>
  <c r="D2911" i="5"/>
  <c r="F2911" i="5" s="1"/>
  <c r="D2912" i="5"/>
  <c r="F2912" i="5" s="1"/>
  <c r="D2913" i="5"/>
  <c r="F2913" i="5" s="1"/>
  <c r="D2914" i="5"/>
  <c r="F2914" i="5" s="1"/>
  <c r="D2915" i="5"/>
  <c r="F2915" i="5" s="1"/>
  <c r="D2916" i="5"/>
  <c r="F2916" i="5" s="1"/>
  <c r="D2917" i="5"/>
  <c r="F2917" i="5" s="1"/>
  <c r="D2918" i="5"/>
  <c r="F2918" i="5" s="1"/>
  <c r="D2919" i="5"/>
  <c r="F2919" i="5" s="1"/>
  <c r="D2920" i="5"/>
  <c r="F2920" i="5" s="1"/>
  <c r="D2921" i="5"/>
  <c r="F2921" i="5" s="1"/>
  <c r="D2922" i="5"/>
  <c r="F2922" i="5" s="1"/>
  <c r="D2923" i="5"/>
  <c r="F2923" i="5" s="1"/>
  <c r="D2924" i="5"/>
  <c r="F2924" i="5" s="1"/>
  <c r="D2925" i="5"/>
  <c r="F2925" i="5" s="1"/>
  <c r="D2926" i="5"/>
  <c r="F2926" i="5" s="1"/>
  <c r="D2927" i="5"/>
  <c r="F2927" i="5" s="1"/>
  <c r="D2928" i="5"/>
  <c r="F2928" i="5" s="1"/>
  <c r="D2929" i="5"/>
  <c r="F2929" i="5" s="1"/>
  <c r="D2930" i="5"/>
  <c r="F2930" i="5" s="1"/>
  <c r="D2931" i="5"/>
  <c r="F2931" i="5" s="1"/>
  <c r="D2932" i="5"/>
  <c r="F2932" i="5" s="1"/>
  <c r="D2933" i="5"/>
  <c r="F2933" i="5" s="1"/>
  <c r="D2934" i="5"/>
  <c r="F2934" i="5" s="1"/>
  <c r="D2935" i="5"/>
  <c r="F2935" i="5" s="1"/>
  <c r="D2936" i="5"/>
  <c r="F2936" i="5" s="1"/>
  <c r="D2937" i="5"/>
  <c r="F2937" i="5" s="1"/>
  <c r="D2938" i="5"/>
  <c r="F2938" i="5" s="1"/>
  <c r="D2939" i="5"/>
  <c r="F2939" i="5" s="1"/>
  <c r="D2940" i="5"/>
  <c r="F2940" i="5" s="1"/>
  <c r="D2941" i="5"/>
  <c r="F2941" i="5" s="1"/>
  <c r="D2942" i="5"/>
  <c r="F2942" i="5" s="1"/>
  <c r="D2943" i="5"/>
  <c r="F2943" i="5" s="1"/>
  <c r="D2944" i="5"/>
  <c r="F2944" i="5" s="1"/>
  <c r="D2945" i="5"/>
  <c r="F2945" i="5" s="1"/>
  <c r="D2946" i="5"/>
  <c r="F2946" i="5" s="1"/>
  <c r="D2947" i="5"/>
  <c r="F2947" i="5" s="1"/>
  <c r="D2948" i="5"/>
  <c r="F2948" i="5" s="1"/>
  <c r="D2949" i="5"/>
  <c r="F2949" i="5" s="1"/>
  <c r="D2950" i="5"/>
  <c r="F2950" i="5" s="1"/>
  <c r="D2951" i="5"/>
  <c r="F2951" i="5" s="1"/>
  <c r="D2952" i="5"/>
  <c r="F2952" i="5" s="1"/>
  <c r="D2953" i="5"/>
  <c r="F2953" i="5" s="1"/>
  <c r="D2954" i="5"/>
  <c r="F2954" i="5" s="1"/>
  <c r="D2955" i="5"/>
  <c r="F2955" i="5" s="1"/>
  <c r="D2956" i="5"/>
  <c r="F2956" i="5" s="1"/>
  <c r="D2957" i="5"/>
  <c r="F2957" i="5" s="1"/>
  <c r="D2958" i="5"/>
  <c r="F2958" i="5" s="1"/>
  <c r="D2959" i="5"/>
  <c r="F2959" i="5" s="1"/>
  <c r="D2960" i="5"/>
  <c r="F2960" i="5" s="1"/>
  <c r="D2961" i="5"/>
  <c r="F2961" i="5" s="1"/>
  <c r="D2962" i="5"/>
  <c r="F2962" i="5" s="1"/>
  <c r="D2963" i="5"/>
  <c r="F2963" i="5" s="1"/>
  <c r="D2964" i="5"/>
  <c r="F2964" i="5" s="1"/>
  <c r="D2965" i="5"/>
  <c r="F2965" i="5" s="1"/>
  <c r="D2966" i="5"/>
  <c r="F2966" i="5" s="1"/>
  <c r="D2967" i="5"/>
  <c r="F2967" i="5" s="1"/>
  <c r="D2968" i="5"/>
  <c r="F2968" i="5" s="1"/>
  <c r="D2969" i="5"/>
  <c r="F2969" i="5" s="1"/>
  <c r="D2970" i="5"/>
  <c r="F2970" i="5" s="1"/>
  <c r="D2971" i="5"/>
  <c r="F2971" i="5" s="1"/>
  <c r="D2972" i="5"/>
  <c r="F2972" i="5" s="1"/>
  <c r="D2973" i="5"/>
  <c r="F2973" i="5" s="1"/>
  <c r="D2974" i="5"/>
  <c r="F2974" i="5" s="1"/>
  <c r="D2975" i="5"/>
  <c r="F2975" i="5" s="1"/>
  <c r="D2976" i="5"/>
  <c r="F2976" i="5" s="1"/>
  <c r="D2977" i="5"/>
  <c r="F2977" i="5" s="1"/>
  <c r="D2978" i="5"/>
  <c r="F2978" i="5" s="1"/>
  <c r="D2979" i="5"/>
  <c r="F2979" i="5" s="1"/>
  <c r="D2980" i="5"/>
  <c r="F2980" i="5" s="1"/>
  <c r="D2981" i="5"/>
  <c r="F2981" i="5" s="1"/>
  <c r="D2982" i="5"/>
  <c r="F2982" i="5" s="1"/>
  <c r="D2983" i="5"/>
  <c r="F2983" i="5" s="1"/>
  <c r="D2984" i="5"/>
  <c r="F2984" i="5" s="1"/>
  <c r="D2985" i="5"/>
  <c r="F2985" i="5" s="1"/>
  <c r="D2986" i="5"/>
  <c r="F2986" i="5" s="1"/>
  <c r="D2987" i="5"/>
  <c r="F2987" i="5" s="1"/>
  <c r="D2988" i="5"/>
  <c r="F2988" i="5" s="1"/>
  <c r="D2989" i="5"/>
  <c r="F2989" i="5" s="1"/>
  <c r="D2990" i="5"/>
  <c r="F2990" i="5" s="1"/>
  <c r="D2991" i="5"/>
  <c r="F2991" i="5" s="1"/>
  <c r="D2992" i="5"/>
  <c r="F2992" i="5" s="1"/>
  <c r="D2993" i="5"/>
  <c r="F2993" i="5" s="1"/>
  <c r="D2994" i="5"/>
  <c r="F2994" i="5" s="1"/>
  <c r="D2995" i="5"/>
  <c r="F2995" i="5" s="1"/>
  <c r="D2996" i="5"/>
  <c r="F2996" i="5" s="1"/>
  <c r="D2997" i="5"/>
  <c r="F2997" i="5" s="1"/>
  <c r="D2998" i="5"/>
  <c r="F2998" i="5" s="1"/>
  <c r="D2999" i="5"/>
  <c r="F2999" i="5" s="1"/>
  <c r="D3000" i="5"/>
  <c r="F3000" i="5" s="1"/>
  <c r="D3001" i="5"/>
  <c r="F3001" i="5" s="1"/>
  <c r="D3002" i="5"/>
  <c r="F3002" i="5" s="1"/>
  <c r="D3003" i="5"/>
  <c r="F3003" i="5" s="1"/>
  <c r="D3004" i="5"/>
  <c r="F3004" i="5" s="1"/>
  <c r="D3005" i="5"/>
  <c r="F3005" i="5" s="1"/>
  <c r="D3006" i="5"/>
  <c r="F3006" i="5" s="1"/>
  <c r="D3007" i="5"/>
  <c r="F3007" i="5" s="1"/>
  <c r="D3008" i="5"/>
  <c r="F3008" i="5" s="1"/>
  <c r="D3009" i="5"/>
  <c r="F3009" i="5" s="1"/>
  <c r="D3010" i="5"/>
  <c r="F3010" i="5" s="1"/>
  <c r="D3011" i="5"/>
  <c r="F3011" i="5" s="1"/>
  <c r="D3012" i="5"/>
  <c r="F3012" i="5" s="1"/>
  <c r="D3013" i="5"/>
  <c r="F3013" i="5" s="1"/>
  <c r="D3014" i="5"/>
  <c r="F3014" i="5" s="1"/>
  <c r="D3015" i="5"/>
  <c r="F3015" i="5" s="1"/>
  <c r="D3016" i="5"/>
  <c r="F3016" i="5" s="1"/>
  <c r="D3017" i="5"/>
  <c r="F3017" i="5" s="1"/>
  <c r="D3018" i="5"/>
  <c r="F3018" i="5" s="1"/>
  <c r="D3019" i="5"/>
  <c r="F3019" i="5" s="1"/>
  <c r="D3020" i="5"/>
  <c r="F3020" i="5" s="1"/>
  <c r="D3021" i="5"/>
  <c r="F3021" i="5" s="1"/>
  <c r="D3022" i="5"/>
  <c r="F3022" i="5" s="1"/>
  <c r="D3023" i="5"/>
  <c r="F3023" i="5" s="1"/>
  <c r="D3024" i="5"/>
  <c r="F3024" i="5" s="1"/>
  <c r="D3025" i="5"/>
  <c r="F3025" i="5" s="1"/>
  <c r="D3026" i="5"/>
  <c r="F3026" i="5" s="1"/>
  <c r="D3027" i="5"/>
  <c r="F3027" i="5" s="1"/>
  <c r="D3028" i="5"/>
  <c r="F3028" i="5" s="1"/>
  <c r="D3029" i="5"/>
  <c r="F3029" i="5" s="1"/>
  <c r="D3030" i="5"/>
  <c r="F3030" i="5" s="1"/>
  <c r="D3031" i="5"/>
  <c r="F3031" i="5" s="1"/>
  <c r="D3032" i="5"/>
  <c r="F3032" i="5" s="1"/>
  <c r="D3033" i="5"/>
  <c r="F3033" i="5" s="1"/>
  <c r="D3034" i="5"/>
  <c r="F3034" i="5" s="1"/>
  <c r="D3035" i="5"/>
  <c r="F3035" i="5" s="1"/>
  <c r="D3036" i="5"/>
  <c r="F3036" i="5" s="1"/>
  <c r="D3037" i="5"/>
  <c r="F3037" i="5" s="1"/>
  <c r="D3038" i="5"/>
  <c r="F3038" i="5" s="1"/>
  <c r="D3039" i="5"/>
  <c r="F3039" i="5" s="1"/>
  <c r="D3040" i="5"/>
  <c r="F3040" i="5" s="1"/>
  <c r="D3041" i="5"/>
  <c r="F3041" i="5" s="1"/>
  <c r="D3042" i="5"/>
  <c r="F3042" i="5" s="1"/>
  <c r="D3043" i="5"/>
  <c r="F3043" i="5" s="1"/>
  <c r="D3044" i="5"/>
  <c r="F3044" i="5" s="1"/>
  <c r="D3045" i="5"/>
  <c r="F3045" i="5" s="1"/>
  <c r="D3046" i="5"/>
  <c r="F3046" i="5" s="1"/>
  <c r="D3047" i="5"/>
  <c r="F3047" i="5" s="1"/>
  <c r="D3048" i="5"/>
  <c r="F3048" i="5" s="1"/>
  <c r="D3049" i="5"/>
  <c r="F3049" i="5" s="1"/>
  <c r="D3050" i="5"/>
  <c r="F3050" i="5" s="1"/>
  <c r="D3051" i="5"/>
  <c r="F3051" i="5" s="1"/>
  <c r="D3052" i="5"/>
  <c r="F3052" i="5" s="1"/>
  <c r="D3053" i="5"/>
  <c r="F3053" i="5" s="1"/>
  <c r="D3054" i="5"/>
  <c r="F3054" i="5" s="1"/>
  <c r="D3055" i="5"/>
  <c r="F3055" i="5" s="1"/>
  <c r="D3056" i="5"/>
  <c r="F3056" i="5" s="1"/>
  <c r="D3057" i="5"/>
  <c r="F3057" i="5" s="1"/>
  <c r="D3058" i="5"/>
  <c r="F3058" i="5" s="1"/>
  <c r="D3059" i="5"/>
  <c r="F3059" i="5" s="1"/>
  <c r="D3060" i="5"/>
  <c r="F3060" i="5" s="1"/>
  <c r="D3061" i="5"/>
  <c r="F3061" i="5" s="1"/>
  <c r="D3062" i="5"/>
  <c r="F3062" i="5" s="1"/>
  <c r="D3063" i="5"/>
  <c r="F3063" i="5" s="1"/>
  <c r="D3064" i="5"/>
  <c r="F3064" i="5" s="1"/>
  <c r="D3065" i="5"/>
  <c r="F3065" i="5" s="1"/>
  <c r="D3066" i="5"/>
  <c r="F3066" i="5" s="1"/>
  <c r="D3067" i="5"/>
  <c r="F3067" i="5" s="1"/>
  <c r="D3068" i="5"/>
  <c r="F3068" i="5" s="1"/>
  <c r="D3069" i="5"/>
  <c r="F3069" i="5" s="1"/>
  <c r="D3070" i="5"/>
  <c r="F3070" i="5" s="1"/>
  <c r="D3071" i="5"/>
  <c r="F3071" i="5" s="1"/>
  <c r="D3072" i="5"/>
  <c r="F3072" i="5" s="1"/>
  <c r="D3073" i="5"/>
  <c r="F3073" i="5" s="1"/>
  <c r="D3074" i="5"/>
  <c r="F3074" i="5" s="1"/>
  <c r="D3075" i="5"/>
  <c r="F3075" i="5" s="1"/>
  <c r="D3076" i="5"/>
  <c r="F3076" i="5" s="1"/>
  <c r="D3077" i="5"/>
  <c r="F3077" i="5" s="1"/>
  <c r="D3078" i="5"/>
  <c r="F3078" i="5" s="1"/>
  <c r="D3079" i="5"/>
  <c r="F3079" i="5" s="1"/>
  <c r="D3080" i="5"/>
  <c r="F3080" i="5" s="1"/>
  <c r="D3081" i="5"/>
  <c r="F3081" i="5" s="1"/>
  <c r="D3082" i="5"/>
  <c r="F3082" i="5" s="1"/>
  <c r="D3083" i="5"/>
  <c r="F3083" i="5" s="1"/>
  <c r="D3084" i="5"/>
  <c r="F3084" i="5" s="1"/>
  <c r="D3085" i="5"/>
  <c r="F3085" i="5" s="1"/>
  <c r="D3086" i="5"/>
  <c r="F3086" i="5" s="1"/>
  <c r="D3087" i="5"/>
  <c r="F3087" i="5" s="1"/>
  <c r="D3088" i="5"/>
  <c r="F3088" i="5" s="1"/>
  <c r="D3089" i="5"/>
  <c r="F3089" i="5" s="1"/>
  <c r="D3090" i="5"/>
  <c r="F3090" i="5" s="1"/>
  <c r="D3091" i="5"/>
  <c r="F3091" i="5" s="1"/>
  <c r="D3092" i="5"/>
  <c r="F3092" i="5" s="1"/>
  <c r="D3093" i="5"/>
  <c r="F3093" i="5" s="1"/>
  <c r="D3094" i="5"/>
  <c r="F3094" i="5" s="1"/>
  <c r="D3095" i="5"/>
  <c r="F3095" i="5" s="1"/>
  <c r="D3096" i="5"/>
  <c r="F3096" i="5" s="1"/>
  <c r="D3097" i="5"/>
  <c r="F3097" i="5" s="1"/>
  <c r="D3098" i="5"/>
  <c r="F3098" i="5" s="1"/>
  <c r="D3099" i="5"/>
  <c r="F3099" i="5" s="1"/>
  <c r="D3100" i="5"/>
  <c r="F3100" i="5" s="1"/>
  <c r="D3101" i="5"/>
  <c r="F3101" i="5" s="1"/>
  <c r="D3102" i="5"/>
  <c r="F3102" i="5" s="1"/>
  <c r="D3103" i="5"/>
  <c r="F3103" i="5" s="1"/>
  <c r="D3104" i="5"/>
  <c r="F3104" i="5" s="1"/>
  <c r="D3105" i="5"/>
  <c r="F3105" i="5" s="1"/>
  <c r="D3106" i="5"/>
  <c r="F3106" i="5" s="1"/>
  <c r="D3107" i="5"/>
  <c r="F3107" i="5" s="1"/>
  <c r="D3108" i="5"/>
  <c r="F3108" i="5" s="1"/>
  <c r="D3109" i="5"/>
  <c r="F3109" i="5" s="1"/>
  <c r="D3110" i="5"/>
  <c r="F3110" i="5" s="1"/>
  <c r="D3111" i="5"/>
  <c r="F3111" i="5" s="1"/>
  <c r="D3112" i="5"/>
  <c r="F3112" i="5" s="1"/>
  <c r="D3113" i="5"/>
  <c r="F3113" i="5" s="1"/>
  <c r="D3114" i="5"/>
  <c r="F3114" i="5" s="1"/>
  <c r="D3115" i="5"/>
  <c r="F3115" i="5" s="1"/>
  <c r="D3116" i="5"/>
  <c r="F3116" i="5" s="1"/>
  <c r="D3117" i="5"/>
  <c r="F3117" i="5" s="1"/>
  <c r="D3118" i="5"/>
  <c r="F3118" i="5" s="1"/>
  <c r="D3119" i="5"/>
  <c r="F3119" i="5" s="1"/>
  <c r="D3120" i="5"/>
  <c r="F3120" i="5" s="1"/>
  <c r="D3121" i="5"/>
  <c r="F3121" i="5" s="1"/>
  <c r="D3122" i="5"/>
  <c r="F3122" i="5" s="1"/>
  <c r="D3123" i="5"/>
  <c r="F3123" i="5" s="1"/>
  <c r="D3124" i="5"/>
  <c r="F3124" i="5" s="1"/>
  <c r="D3125" i="5"/>
  <c r="F3125" i="5" s="1"/>
  <c r="D3126" i="5"/>
  <c r="F3126" i="5" s="1"/>
  <c r="D3127" i="5"/>
  <c r="F3127" i="5" s="1"/>
  <c r="D3128" i="5"/>
  <c r="F3128" i="5" s="1"/>
  <c r="D3129" i="5"/>
  <c r="F3129" i="5" s="1"/>
  <c r="D3130" i="5"/>
  <c r="F3130" i="5" s="1"/>
  <c r="D3131" i="5"/>
  <c r="F3131" i="5" s="1"/>
  <c r="D3132" i="5"/>
  <c r="F3132" i="5" s="1"/>
  <c r="D3133" i="5"/>
  <c r="F3133" i="5" s="1"/>
  <c r="D3134" i="5"/>
  <c r="F3134" i="5" s="1"/>
  <c r="D3135" i="5"/>
  <c r="F3135" i="5" s="1"/>
  <c r="D3136" i="5"/>
  <c r="F3136" i="5" s="1"/>
  <c r="D3137" i="5"/>
  <c r="F3137" i="5" s="1"/>
  <c r="D3138" i="5"/>
  <c r="F3138" i="5" s="1"/>
  <c r="D3139" i="5"/>
  <c r="F3139" i="5" s="1"/>
  <c r="D3140" i="5"/>
  <c r="F3140" i="5" s="1"/>
  <c r="D3141" i="5"/>
  <c r="F3141" i="5" s="1"/>
  <c r="D3142" i="5"/>
  <c r="F3142" i="5" s="1"/>
  <c r="D3143" i="5"/>
  <c r="F3143" i="5" s="1"/>
  <c r="D3144" i="5"/>
  <c r="F3144" i="5" s="1"/>
  <c r="D3145" i="5"/>
  <c r="F3145" i="5" s="1"/>
  <c r="D3146" i="5"/>
  <c r="F3146" i="5" s="1"/>
  <c r="D3147" i="5"/>
  <c r="F3147" i="5" s="1"/>
  <c r="D3148" i="5"/>
  <c r="F3148" i="5" s="1"/>
  <c r="D3149" i="5"/>
  <c r="F3149" i="5" s="1"/>
  <c r="D3150" i="5"/>
  <c r="F3150" i="5" s="1"/>
  <c r="D3151" i="5"/>
  <c r="F3151" i="5" s="1"/>
  <c r="D3152" i="5"/>
  <c r="F3152" i="5" s="1"/>
  <c r="D3153" i="5"/>
  <c r="F3153" i="5" s="1"/>
  <c r="D3154" i="5"/>
  <c r="F3154" i="5" s="1"/>
  <c r="D3155" i="5"/>
  <c r="F3155" i="5" s="1"/>
  <c r="D3156" i="5"/>
  <c r="F3156" i="5" s="1"/>
  <c r="D3157" i="5"/>
  <c r="F3157" i="5" s="1"/>
  <c r="D3158" i="5"/>
  <c r="F3158" i="5" s="1"/>
  <c r="D3159" i="5"/>
  <c r="F3159" i="5" s="1"/>
  <c r="D3160" i="5"/>
  <c r="F3160" i="5" s="1"/>
  <c r="D3161" i="5"/>
  <c r="F3161" i="5" s="1"/>
  <c r="D3162" i="5"/>
  <c r="F3162" i="5" s="1"/>
  <c r="D3163" i="5"/>
  <c r="F3163" i="5" s="1"/>
  <c r="D3164" i="5"/>
  <c r="F3164" i="5" s="1"/>
  <c r="D3165" i="5"/>
  <c r="F3165" i="5" s="1"/>
  <c r="D3166" i="5"/>
  <c r="F3166" i="5" s="1"/>
  <c r="D3167" i="5"/>
  <c r="F3167" i="5" s="1"/>
  <c r="D3168" i="5"/>
  <c r="F3168" i="5" s="1"/>
  <c r="D3169" i="5"/>
  <c r="F3169" i="5" s="1"/>
  <c r="D3170" i="5"/>
  <c r="F3170" i="5" s="1"/>
  <c r="D3171" i="5"/>
  <c r="F3171" i="5" s="1"/>
  <c r="D3172" i="5"/>
  <c r="F3172" i="5" s="1"/>
  <c r="D3173" i="5"/>
  <c r="F3173" i="5" s="1"/>
  <c r="D3174" i="5"/>
  <c r="F3174" i="5" s="1"/>
  <c r="D3175" i="5"/>
  <c r="F3175" i="5" s="1"/>
  <c r="D3176" i="5"/>
  <c r="F3176" i="5" s="1"/>
  <c r="D3177" i="5"/>
  <c r="F3177" i="5" s="1"/>
  <c r="D3178" i="5"/>
  <c r="F3178" i="5" s="1"/>
  <c r="D3179" i="5"/>
  <c r="F3179" i="5" s="1"/>
  <c r="D3180" i="5"/>
  <c r="F3180" i="5" s="1"/>
  <c r="D3181" i="5"/>
  <c r="F3181" i="5" s="1"/>
  <c r="D3182" i="5"/>
  <c r="F3182" i="5" s="1"/>
  <c r="D3183" i="5"/>
  <c r="F3183" i="5" s="1"/>
  <c r="D3184" i="5"/>
  <c r="F3184" i="5" s="1"/>
  <c r="D3185" i="5"/>
  <c r="F3185" i="5" s="1"/>
  <c r="D3186" i="5"/>
  <c r="F3186" i="5" s="1"/>
  <c r="D3187" i="5"/>
  <c r="F3187" i="5" s="1"/>
  <c r="D3188" i="5"/>
  <c r="F3188" i="5" s="1"/>
  <c r="D3189" i="5"/>
  <c r="F3189" i="5" s="1"/>
  <c r="D3190" i="5"/>
  <c r="F3190" i="5" s="1"/>
  <c r="D3191" i="5"/>
  <c r="F3191" i="5" s="1"/>
  <c r="D3192" i="5"/>
  <c r="F3192" i="5" s="1"/>
  <c r="D3193" i="5"/>
  <c r="F3193" i="5" s="1"/>
  <c r="D3194" i="5"/>
  <c r="F3194" i="5" s="1"/>
  <c r="D3195" i="5"/>
  <c r="F3195" i="5" s="1"/>
  <c r="D3196" i="5"/>
  <c r="F3196" i="5" s="1"/>
  <c r="D3197" i="5"/>
  <c r="F3197" i="5" s="1"/>
  <c r="D3198" i="5"/>
  <c r="F3198" i="5" s="1"/>
  <c r="D3199" i="5"/>
  <c r="F3199" i="5" s="1"/>
  <c r="D3200" i="5"/>
  <c r="F3200" i="5" s="1"/>
  <c r="D3201" i="5"/>
  <c r="F3201" i="5" s="1"/>
  <c r="D3202" i="5"/>
  <c r="F3202" i="5" s="1"/>
  <c r="D3203" i="5"/>
  <c r="F3203" i="5" s="1"/>
  <c r="D3204" i="5"/>
  <c r="F3204" i="5" s="1"/>
  <c r="D3205" i="5"/>
  <c r="F3205" i="5" s="1"/>
  <c r="D3206" i="5"/>
  <c r="F3206" i="5" s="1"/>
  <c r="D3207" i="5"/>
  <c r="F3207" i="5" s="1"/>
  <c r="D3208" i="5"/>
  <c r="F3208" i="5" s="1"/>
  <c r="D3209" i="5"/>
  <c r="F3209" i="5" s="1"/>
  <c r="D3210" i="5"/>
  <c r="F3210" i="5" s="1"/>
  <c r="D3211" i="5"/>
  <c r="F3211" i="5" s="1"/>
  <c r="D3212" i="5"/>
  <c r="F3212" i="5" s="1"/>
  <c r="D3213" i="5"/>
  <c r="F3213" i="5" s="1"/>
  <c r="D3214" i="5"/>
  <c r="F3214" i="5" s="1"/>
  <c r="D3215" i="5"/>
  <c r="F3215" i="5" s="1"/>
  <c r="D3216" i="5"/>
  <c r="F3216" i="5" s="1"/>
  <c r="D3217" i="5"/>
  <c r="F3217" i="5" s="1"/>
  <c r="D3218" i="5"/>
  <c r="F3218" i="5" s="1"/>
  <c r="D3219" i="5"/>
  <c r="F3219" i="5" s="1"/>
  <c r="D3220" i="5"/>
  <c r="F3220" i="5" s="1"/>
  <c r="D3221" i="5"/>
  <c r="F3221" i="5" s="1"/>
  <c r="D3222" i="5"/>
  <c r="F3222" i="5" s="1"/>
  <c r="D3223" i="5"/>
  <c r="F3223" i="5" s="1"/>
  <c r="D3224" i="5"/>
  <c r="F3224" i="5" s="1"/>
  <c r="D3225" i="5"/>
  <c r="F3225" i="5" s="1"/>
  <c r="D3226" i="5"/>
  <c r="F3226" i="5" s="1"/>
  <c r="D3227" i="5"/>
  <c r="F3227" i="5" s="1"/>
  <c r="D3228" i="5"/>
  <c r="F3228" i="5" s="1"/>
  <c r="D3229" i="5"/>
  <c r="F3229" i="5" s="1"/>
  <c r="D3230" i="5"/>
  <c r="F3230" i="5" s="1"/>
  <c r="D3231" i="5"/>
  <c r="F3231" i="5" s="1"/>
  <c r="D3232" i="5"/>
  <c r="F3232" i="5" s="1"/>
  <c r="D3233" i="5"/>
  <c r="F3233" i="5" s="1"/>
  <c r="D3234" i="5"/>
  <c r="F3234" i="5" s="1"/>
  <c r="D3235" i="5"/>
  <c r="F3235" i="5" s="1"/>
  <c r="D3236" i="5"/>
  <c r="F3236" i="5" s="1"/>
  <c r="D3237" i="5"/>
  <c r="F3237" i="5" s="1"/>
  <c r="D3238" i="5"/>
  <c r="F3238" i="5" s="1"/>
  <c r="D3239" i="5"/>
  <c r="F3239" i="5" s="1"/>
  <c r="D3240" i="5"/>
  <c r="F3240" i="5" s="1"/>
  <c r="D3241" i="5"/>
  <c r="F3241" i="5" s="1"/>
  <c r="D3242" i="5"/>
  <c r="F3242" i="5" s="1"/>
  <c r="D3243" i="5"/>
  <c r="F3243" i="5" s="1"/>
  <c r="D3244" i="5"/>
  <c r="F3244" i="5" s="1"/>
  <c r="D3245" i="5"/>
  <c r="F3245" i="5" s="1"/>
  <c r="D3246" i="5"/>
  <c r="F3246" i="5" s="1"/>
  <c r="D3247" i="5"/>
  <c r="F3247" i="5" s="1"/>
  <c r="D3248" i="5"/>
  <c r="F3248" i="5" s="1"/>
  <c r="D3249" i="5"/>
  <c r="F3249" i="5" s="1"/>
  <c r="D3250" i="5"/>
  <c r="F3250" i="5" s="1"/>
  <c r="D3251" i="5"/>
  <c r="F3251" i="5" s="1"/>
  <c r="D3252" i="5"/>
  <c r="F3252" i="5" s="1"/>
  <c r="D3253" i="5"/>
  <c r="F3253" i="5" s="1"/>
  <c r="D3254" i="5"/>
  <c r="F3254" i="5" s="1"/>
  <c r="D3255" i="5"/>
  <c r="F3255" i="5" s="1"/>
  <c r="D3256" i="5"/>
  <c r="F3256" i="5" s="1"/>
  <c r="D3257" i="5"/>
  <c r="F3257" i="5" s="1"/>
  <c r="D3258" i="5"/>
  <c r="F3258" i="5" s="1"/>
  <c r="D3259" i="5"/>
  <c r="F3259" i="5" s="1"/>
  <c r="D3260" i="5"/>
  <c r="F3260" i="5" s="1"/>
  <c r="D3261" i="5"/>
  <c r="F3261" i="5" s="1"/>
  <c r="D3262" i="5"/>
  <c r="F3262" i="5" s="1"/>
  <c r="D3263" i="5"/>
  <c r="F3263" i="5" s="1"/>
  <c r="D3264" i="5"/>
  <c r="F3264" i="5" s="1"/>
  <c r="D3265" i="5"/>
  <c r="F3265" i="5" s="1"/>
  <c r="D3266" i="5"/>
  <c r="F3266" i="5" s="1"/>
  <c r="D3267" i="5"/>
  <c r="F3267" i="5" s="1"/>
  <c r="D3268" i="5"/>
  <c r="F3268" i="5" s="1"/>
  <c r="D3269" i="5"/>
  <c r="F3269" i="5" s="1"/>
  <c r="D3270" i="5"/>
  <c r="F3270" i="5" s="1"/>
  <c r="D3271" i="5"/>
  <c r="F3271" i="5" s="1"/>
  <c r="D3272" i="5"/>
  <c r="F3272" i="5" s="1"/>
  <c r="D3273" i="5"/>
  <c r="F3273" i="5" s="1"/>
  <c r="D3274" i="5"/>
  <c r="F3274" i="5" s="1"/>
  <c r="D3275" i="5"/>
  <c r="F3275" i="5" s="1"/>
  <c r="D3276" i="5"/>
  <c r="F3276" i="5" s="1"/>
  <c r="D3277" i="5"/>
  <c r="F3277" i="5" s="1"/>
  <c r="D3278" i="5"/>
  <c r="F3278" i="5" s="1"/>
  <c r="D3279" i="5"/>
  <c r="F3279" i="5" s="1"/>
  <c r="D3280" i="5"/>
  <c r="F3280" i="5" s="1"/>
  <c r="D3281" i="5"/>
  <c r="F3281" i="5" s="1"/>
  <c r="D3282" i="5"/>
  <c r="F3282" i="5" s="1"/>
  <c r="D3283" i="5"/>
  <c r="F3283" i="5" s="1"/>
  <c r="D3284" i="5"/>
  <c r="F3284" i="5" s="1"/>
  <c r="D3285" i="5"/>
  <c r="F3285" i="5" s="1"/>
  <c r="D3286" i="5"/>
  <c r="F3286" i="5" s="1"/>
  <c r="D3287" i="5"/>
  <c r="F3287" i="5" s="1"/>
  <c r="D3288" i="5"/>
  <c r="F3288" i="5" s="1"/>
  <c r="D3289" i="5"/>
  <c r="F3289" i="5" s="1"/>
  <c r="D3290" i="5"/>
  <c r="F3290" i="5" s="1"/>
  <c r="D3291" i="5"/>
  <c r="F3291" i="5" s="1"/>
  <c r="D3292" i="5"/>
  <c r="F3292" i="5" s="1"/>
  <c r="D3293" i="5"/>
  <c r="F3293" i="5" s="1"/>
  <c r="D3294" i="5"/>
  <c r="F3294" i="5" s="1"/>
  <c r="D3295" i="5"/>
  <c r="F3295" i="5" s="1"/>
  <c r="D3296" i="5"/>
  <c r="F3296" i="5" s="1"/>
  <c r="D3297" i="5"/>
  <c r="F3297" i="5" s="1"/>
  <c r="D3298" i="5"/>
  <c r="F3298" i="5" s="1"/>
  <c r="D3299" i="5"/>
  <c r="F3299" i="5" s="1"/>
  <c r="D3300" i="5"/>
  <c r="F3300" i="5" s="1"/>
  <c r="D3301" i="5"/>
  <c r="F3301" i="5" s="1"/>
  <c r="D3302" i="5"/>
  <c r="F3302" i="5" s="1"/>
  <c r="D3303" i="5"/>
  <c r="F3303" i="5" s="1"/>
  <c r="D3304" i="5"/>
  <c r="F3304" i="5" s="1"/>
  <c r="D3305" i="5"/>
  <c r="F3305" i="5" s="1"/>
  <c r="D3306" i="5"/>
  <c r="F3306" i="5" s="1"/>
  <c r="D3307" i="5"/>
  <c r="F3307" i="5" s="1"/>
  <c r="D3308" i="5"/>
  <c r="F3308" i="5" s="1"/>
  <c r="D3309" i="5"/>
  <c r="F3309" i="5" s="1"/>
  <c r="D3310" i="5"/>
  <c r="F3310" i="5" s="1"/>
  <c r="D3311" i="5"/>
  <c r="F3311" i="5" s="1"/>
  <c r="D3312" i="5"/>
  <c r="F3312" i="5" s="1"/>
  <c r="D3313" i="5"/>
  <c r="F3313" i="5" s="1"/>
  <c r="D3314" i="5"/>
  <c r="F3314" i="5" s="1"/>
  <c r="D3315" i="5"/>
  <c r="F3315" i="5" s="1"/>
  <c r="D3316" i="5"/>
  <c r="F3316" i="5" s="1"/>
  <c r="D3317" i="5"/>
  <c r="F3317" i="5" s="1"/>
  <c r="D3318" i="5"/>
  <c r="F3318" i="5" s="1"/>
  <c r="D3319" i="5"/>
  <c r="F3319" i="5" s="1"/>
  <c r="D3320" i="5"/>
  <c r="F3320" i="5" s="1"/>
  <c r="D3321" i="5"/>
  <c r="F3321" i="5" s="1"/>
  <c r="D3322" i="5"/>
  <c r="F3322" i="5" s="1"/>
  <c r="D3323" i="5"/>
  <c r="F3323" i="5" s="1"/>
  <c r="D3324" i="5"/>
  <c r="F3324" i="5" s="1"/>
  <c r="D3325" i="5"/>
  <c r="F3325" i="5" s="1"/>
  <c r="D3326" i="5"/>
  <c r="F3326" i="5" s="1"/>
  <c r="D3327" i="5"/>
  <c r="F3327" i="5" s="1"/>
  <c r="D3328" i="5"/>
  <c r="F3328" i="5" s="1"/>
  <c r="D3329" i="5"/>
  <c r="F3329" i="5" s="1"/>
  <c r="D3330" i="5"/>
  <c r="F3330" i="5" s="1"/>
  <c r="D3331" i="5"/>
  <c r="F3331" i="5" s="1"/>
  <c r="D3332" i="5"/>
  <c r="F3332" i="5" s="1"/>
  <c r="D3333" i="5"/>
  <c r="F3333" i="5" s="1"/>
  <c r="D3334" i="5"/>
  <c r="F3334" i="5" s="1"/>
  <c r="D3335" i="5"/>
  <c r="F3335" i="5" s="1"/>
  <c r="D3336" i="5"/>
  <c r="F3336" i="5" s="1"/>
  <c r="D3337" i="5"/>
  <c r="F3337" i="5" s="1"/>
  <c r="D3338" i="5"/>
  <c r="F3338" i="5" s="1"/>
  <c r="D3339" i="5"/>
  <c r="F3339" i="5" s="1"/>
  <c r="D3340" i="5"/>
  <c r="F3340" i="5" s="1"/>
  <c r="D3341" i="5"/>
  <c r="F3341" i="5" s="1"/>
  <c r="D3342" i="5"/>
  <c r="F3342" i="5" s="1"/>
  <c r="D3343" i="5"/>
  <c r="F3343" i="5" s="1"/>
  <c r="D3344" i="5"/>
  <c r="F3344" i="5" s="1"/>
  <c r="D3345" i="5"/>
  <c r="F3345" i="5" s="1"/>
  <c r="D3346" i="5"/>
  <c r="F3346" i="5" s="1"/>
  <c r="D3347" i="5"/>
  <c r="F3347" i="5" s="1"/>
  <c r="D3348" i="5"/>
  <c r="F3348" i="5" s="1"/>
  <c r="D3349" i="5"/>
  <c r="F3349" i="5" s="1"/>
  <c r="D3350" i="5"/>
  <c r="F3350" i="5" s="1"/>
  <c r="D3351" i="5"/>
  <c r="F3351" i="5" s="1"/>
  <c r="D3352" i="5"/>
  <c r="F3352" i="5" s="1"/>
  <c r="D3353" i="5"/>
  <c r="F3353" i="5" s="1"/>
  <c r="D3354" i="5"/>
  <c r="F3354" i="5" s="1"/>
  <c r="D3355" i="5"/>
  <c r="F3355" i="5" s="1"/>
  <c r="D3356" i="5"/>
  <c r="F3356" i="5" s="1"/>
  <c r="D3357" i="5"/>
  <c r="F3357" i="5" s="1"/>
  <c r="D3358" i="5"/>
  <c r="F3358" i="5" s="1"/>
  <c r="D3359" i="5"/>
  <c r="F3359" i="5" s="1"/>
  <c r="D3360" i="5"/>
  <c r="F3360" i="5" s="1"/>
  <c r="D3361" i="5"/>
  <c r="F3361" i="5" s="1"/>
  <c r="D3362" i="5"/>
  <c r="F3362" i="5" s="1"/>
  <c r="D3363" i="5"/>
  <c r="F3363" i="5" s="1"/>
  <c r="D3364" i="5"/>
  <c r="F3364" i="5" s="1"/>
  <c r="D3365" i="5"/>
  <c r="F3365" i="5" s="1"/>
  <c r="D3366" i="5"/>
  <c r="F3366" i="5" s="1"/>
  <c r="D3367" i="5"/>
  <c r="F3367" i="5" s="1"/>
  <c r="D3368" i="5"/>
  <c r="F3368" i="5" s="1"/>
  <c r="D3369" i="5"/>
  <c r="F3369" i="5" s="1"/>
  <c r="D3370" i="5"/>
  <c r="F3370" i="5" s="1"/>
  <c r="D3371" i="5"/>
  <c r="F3371" i="5" s="1"/>
  <c r="D3372" i="5"/>
  <c r="F3372" i="5" s="1"/>
  <c r="D3373" i="5"/>
  <c r="F3373" i="5" s="1"/>
  <c r="D3374" i="5"/>
  <c r="F3374" i="5" s="1"/>
  <c r="D3375" i="5"/>
  <c r="F3375" i="5" s="1"/>
  <c r="D3376" i="5"/>
  <c r="F3376" i="5" s="1"/>
  <c r="D3377" i="5"/>
  <c r="F3377" i="5" s="1"/>
  <c r="D3378" i="5"/>
  <c r="F3378" i="5" s="1"/>
  <c r="D3379" i="5"/>
  <c r="F3379" i="5" s="1"/>
  <c r="D3380" i="5"/>
  <c r="F3380" i="5" s="1"/>
  <c r="D3381" i="5"/>
  <c r="F3381" i="5" s="1"/>
  <c r="D3382" i="5"/>
  <c r="F3382" i="5" s="1"/>
  <c r="D3383" i="5"/>
  <c r="F3383" i="5" s="1"/>
  <c r="D3384" i="5"/>
  <c r="F3384" i="5" s="1"/>
  <c r="D3385" i="5"/>
  <c r="F3385" i="5" s="1"/>
  <c r="D3386" i="5"/>
  <c r="F3386" i="5" s="1"/>
  <c r="D3387" i="5"/>
  <c r="F3387" i="5" s="1"/>
  <c r="D3388" i="5"/>
  <c r="F3388" i="5" s="1"/>
  <c r="D3389" i="5"/>
  <c r="F3389" i="5" s="1"/>
  <c r="D3390" i="5"/>
  <c r="F3390" i="5" s="1"/>
  <c r="D3391" i="5"/>
  <c r="F3391" i="5" s="1"/>
  <c r="D3392" i="5"/>
  <c r="F3392" i="5" s="1"/>
  <c r="D3393" i="5"/>
  <c r="F3393" i="5" s="1"/>
  <c r="D3394" i="5"/>
  <c r="F3394" i="5" s="1"/>
  <c r="D3395" i="5"/>
  <c r="F3395" i="5" s="1"/>
  <c r="D3396" i="5"/>
  <c r="F3396" i="5" s="1"/>
  <c r="D3397" i="5"/>
  <c r="F3397" i="5" s="1"/>
  <c r="D3398" i="5"/>
  <c r="F3398" i="5" s="1"/>
  <c r="D3399" i="5"/>
  <c r="F3399" i="5" s="1"/>
  <c r="D3400" i="5"/>
  <c r="F3400" i="5" s="1"/>
  <c r="D3401" i="5"/>
  <c r="F3401" i="5" s="1"/>
  <c r="D3402" i="5"/>
  <c r="F3402" i="5" s="1"/>
  <c r="D3403" i="5"/>
  <c r="F3403" i="5" s="1"/>
  <c r="D3404" i="5"/>
  <c r="F3404" i="5" s="1"/>
  <c r="D3405" i="5"/>
  <c r="F3405" i="5" s="1"/>
  <c r="D3406" i="5"/>
  <c r="F3406" i="5" s="1"/>
  <c r="D3407" i="5"/>
  <c r="F3407" i="5" s="1"/>
  <c r="D3408" i="5"/>
  <c r="F3408" i="5" s="1"/>
  <c r="D3409" i="5"/>
  <c r="F3409" i="5" s="1"/>
  <c r="D3410" i="5"/>
  <c r="F3410" i="5" s="1"/>
  <c r="D3411" i="5"/>
  <c r="F3411" i="5" s="1"/>
  <c r="D3412" i="5"/>
  <c r="F3412" i="5" s="1"/>
  <c r="D3413" i="5"/>
  <c r="F3413" i="5" s="1"/>
  <c r="D3414" i="5"/>
  <c r="F3414" i="5" s="1"/>
  <c r="D3415" i="5"/>
  <c r="F3415" i="5" s="1"/>
  <c r="D3416" i="5"/>
  <c r="F3416" i="5" s="1"/>
  <c r="D3417" i="5"/>
  <c r="F3417" i="5" s="1"/>
  <c r="D3418" i="5"/>
  <c r="F3418" i="5" s="1"/>
  <c r="D3419" i="5"/>
  <c r="F3419" i="5" s="1"/>
  <c r="D3420" i="5"/>
  <c r="F3420" i="5" s="1"/>
  <c r="D3421" i="5"/>
  <c r="F3421" i="5" s="1"/>
  <c r="D3422" i="5"/>
  <c r="F3422" i="5" s="1"/>
  <c r="D3423" i="5"/>
  <c r="F3423" i="5" s="1"/>
  <c r="D3424" i="5"/>
  <c r="F3424" i="5" s="1"/>
  <c r="D3425" i="5"/>
  <c r="F3425" i="5" s="1"/>
  <c r="D3426" i="5"/>
  <c r="F3426" i="5" s="1"/>
  <c r="D3427" i="5"/>
  <c r="F3427" i="5" s="1"/>
  <c r="D3428" i="5"/>
  <c r="F3428" i="5" s="1"/>
  <c r="D3429" i="5"/>
  <c r="F3429" i="5" s="1"/>
  <c r="D3430" i="5"/>
  <c r="F3430" i="5" s="1"/>
  <c r="D3431" i="5"/>
  <c r="F3431" i="5" s="1"/>
  <c r="D3432" i="5"/>
  <c r="F3432" i="5" s="1"/>
  <c r="D3433" i="5"/>
  <c r="F3433" i="5" s="1"/>
  <c r="D3434" i="5"/>
  <c r="F3434" i="5" s="1"/>
  <c r="D3435" i="5"/>
  <c r="F3435" i="5" s="1"/>
  <c r="D3436" i="5"/>
  <c r="F3436" i="5" s="1"/>
  <c r="D3437" i="5"/>
  <c r="F3437" i="5" s="1"/>
  <c r="D3438" i="5"/>
  <c r="F3438" i="5" s="1"/>
  <c r="D3439" i="5"/>
  <c r="F3439" i="5" s="1"/>
  <c r="D3440" i="5"/>
  <c r="F3440" i="5" s="1"/>
  <c r="D3441" i="5"/>
  <c r="F3441" i="5" s="1"/>
  <c r="D3442" i="5"/>
  <c r="F3442" i="5" s="1"/>
  <c r="D3443" i="5"/>
  <c r="F3443" i="5" s="1"/>
  <c r="D3444" i="5"/>
  <c r="F3444" i="5" s="1"/>
  <c r="D3445" i="5"/>
  <c r="F3445" i="5" s="1"/>
  <c r="D3446" i="5"/>
  <c r="F3446" i="5" s="1"/>
  <c r="D3447" i="5"/>
  <c r="F3447" i="5" s="1"/>
  <c r="D3448" i="5"/>
  <c r="F3448" i="5" s="1"/>
  <c r="D3449" i="5"/>
  <c r="F3449" i="5" s="1"/>
  <c r="D3450" i="5"/>
  <c r="F3450" i="5" s="1"/>
  <c r="D3451" i="5"/>
  <c r="F3451" i="5" s="1"/>
  <c r="D3452" i="5"/>
  <c r="F3452" i="5" s="1"/>
  <c r="D3453" i="5"/>
  <c r="F3453" i="5" s="1"/>
  <c r="D3454" i="5"/>
  <c r="F3454" i="5" s="1"/>
  <c r="D3455" i="5"/>
  <c r="F3455" i="5" s="1"/>
  <c r="D3456" i="5"/>
  <c r="F3456" i="5" s="1"/>
  <c r="D3457" i="5"/>
  <c r="F3457" i="5" s="1"/>
  <c r="D3458" i="5"/>
  <c r="F3458" i="5" s="1"/>
  <c r="D3459" i="5"/>
  <c r="F3459" i="5" s="1"/>
  <c r="D3460" i="5"/>
  <c r="F3460" i="5" s="1"/>
  <c r="D3461" i="5"/>
  <c r="F3461" i="5" s="1"/>
  <c r="D3462" i="5"/>
  <c r="F3462" i="5" s="1"/>
  <c r="D3463" i="5"/>
  <c r="F3463" i="5" s="1"/>
  <c r="D3464" i="5"/>
  <c r="F3464" i="5" s="1"/>
  <c r="D3465" i="5"/>
  <c r="F3465" i="5" s="1"/>
  <c r="D3466" i="5"/>
  <c r="F3466" i="5" s="1"/>
  <c r="D3467" i="5"/>
  <c r="F3467" i="5" s="1"/>
  <c r="D3468" i="5"/>
  <c r="F3468" i="5" s="1"/>
  <c r="D3469" i="5"/>
  <c r="F3469" i="5" s="1"/>
  <c r="D3470" i="5"/>
  <c r="F3470" i="5" s="1"/>
  <c r="D3471" i="5"/>
  <c r="F3471" i="5" s="1"/>
  <c r="D3472" i="5"/>
  <c r="F3472" i="5" s="1"/>
  <c r="D3473" i="5"/>
  <c r="F3473" i="5" s="1"/>
  <c r="D3474" i="5"/>
  <c r="F3474" i="5" s="1"/>
  <c r="D3475" i="5"/>
  <c r="F3475" i="5" s="1"/>
  <c r="D3476" i="5"/>
  <c r="F3476" i="5" s="1"/>
  <c r="D3477" i="5"/>
  <c r="F3477" i="5" s="1"/>
  <c r="D3478" i="5"/>
  <c r="F3478" i="5" s="1"/>
  <c r="D3479" i="5"/>
  <c r="F3479" i="5" s="1"/>
  <c r="D3480" i="5"/>
  <c r="F3480" i="5" s="1"/>
  <c r="D3481" i="5"/>
  <c r="F3481" i="5" s="1"/>
  <c r="D3482" i="5"/>
  <c r="F3482" i="5" s="1"/>
  <c r="D3483" i="5"/>
  <c r="F3483" i="5" s="1"/>
  <c r="D3484" i="5"/>
  <c r="F3484" i="5" s="1"/>
  <c r="D3485" i="5"/>
  <c r="F3485" i="5" s="1"/>
  <c r="D3486" i="5"/>
  <c r="F3486" i="5" s="1"/>
  <c r="D3487" i="5"/>
  <c r="F3487" i="5" s="1"/>
  <c r="D3488" i="5"/>
  <c r="F3488" i="5" s="1"/>
  <c r="D3489" i="5"/>
  <c r="F3489" i="5" s="1"/>
  <c r="D3490" i="5"/>
  <c r="F3490" i="5" s="1"/>
  <c r="D3491" i="5"/>
  <c r="F3491" i="5" s="1"/>
  <c r="D3492" i="5"/>
  <c r="F3492" i="5" s="1"/>
  <c r="D3493" i="5"/>
  <c r="F3493" i="5" s="1"/>
  <c r="D3494" i="5"/>
  <c r="F3494" i="5" s="1"/>
  <c r="D3495" i="5"/>
  <c r="F3495" i="5" s="1"/>
  <c r="D3496" i="5"/>
  <c r="F3496" i="5" s="1"/>
  <c r="D3497" i="5"/>
  <c r="F3497" i="5" s="1"/>
  <c r="D3498" i="5"/>
  <c r="F3498" i="5" s="1"/>
  <c r="D3499" i="5"/>
  <c r="F3499" i="5" s="1"/>
  <c r="D3500" i="5"/>
  <c r="F3500" i="5" s="1"/>
  <c r="D3501" i="5"/>
  <c r="F3501" i="5" s="1"/>
  <c r="D3502" i="5"/>
  <c r="F3502" i="5" s="1"/>
  <c r="D3503" i="5"/>
  <c r="F3503" i="5" s="1"/>
  <c r="D3504" i="5"/>
  <c r="F3504" i="5" s="1"/>
  <c r="D3505" i="5"/>
  <c r="F3505" i="5" s="1"/>
  <c r="D3506" i="5"/>
  <c r="F3506" i="5" s="1"/>
  <c r="D3507" i="5"/>
  <c r="F3507" i="5" s="1"/>
  <c r="D3508" i="5"/>
  <c r="F3508" i="5" s="1"/>
  <c r="D3509" i="5"/>
  <c r="F3509" i="5" s="1"/>
  <c r="D3510" i="5"/>
  <c r="F3510" i="5" s="1"/>
  <c r="D3511" i="5"/>
  <c r="F3511" i="5" s="1"/>
  <c r="D3512" i="5"/>
  <c r="F3512" i="5" s="1"/>
  <c r="D3513" i="5"/>
  <c r="F3513" i="5" s="1"/>
  <c r="D3514" i="5"/>
  <c r="F3514" i="5" s="1"/>
  <c r="D3515" i="5"/>
  <c r="F3515" i="5" s="1"/>
  <c r="D3516" i="5"/>
  <c r="F3516" i="5" s="1"/>
  <c r="D3517" i="5"/>
  <c r="F3517" i="5" s="1"/>
  <c r="D3518" i="5"/>
  <c r="F3518" i="5" s="1"/>
  <c r="D3519" i="5"/>
  <c r="F3519" i="5" s="1"/>
  <c r="D3520" i="5"/>
  <c r="F3520" i="5" s="1"/>
  <c r="D3521" i="5"/>
  <c r="F3521" i="5" s="1"/>
  <c r="D3522" i="5"/>
  <c r="F3522" i="5" s="1"/>
  <c r="D3523" i="5"/>
  <c r="F3523" i="5" s="1"/>
  <c r="D3524" i="5"/>
  <c r="F3524" i="5" s="1"/>
  <c r="D3525" i="5"/>
  <c r="F3525" i="5" s="1"/>
  <c r="D3526" i="5"/>
  <c r="F3526" i="5" s="1"/>
  <c r="D3527" i="5"/>
  <c r="F3527" i="5" s="1"/>
  <c r="D3528" i="5"/>
  <c r="F3528" i="5" s="1"/>
  <c r="D3529" i="5"/>
  <c r="F3529" i="5" s="1"/>
  <c r="D3530" i="5"/>
  <c r="F3530" i="5" s="1"/>
  <c r="D3531" i="5"/>
  <c r="F3531" i="5" s="1"/>
  <c r="D3532" i="5"/>
  <c r="F3532" i="5" s="1"/>
  <c r="D3533" i="5"/>
  <c r="F3533" i="5" s="1"/>
  <c r="D3534" i="5"/>
  <c r="F3534" i="5" s="1"/>
  <c r="D3535" i="5"/>
  <c r="F3535" i="5" s="1"/>
  <c r="D3536" i="5"/>
  <c r="F3536" i="5" s="1"/>
  <c r="D3537" i="5"/>
  <c r="F3537" i="5" s="1"/>
  <c r="D3538" i="5"/>
  <c r="F3538" i="5" s="1"/>
  <c r="D3539" i="5"/>
  <c r="F3539" i="5" s="1"/>
  <c r="D3540" i="5"/>
  <c r="F3540" i="5" s="1"/>
  <c r="D3541" i="5"/>
  <c r="F3541" i="5" s="1"/>
  <c r="D3542" i="5"/>
  <c r="F3542" i="5" s="1"/>
  <c r="D3543" i="5"/>
  <c r="F3543" i="5" s="1"/>
  <c r="D3544" i="5"/>
  <c r="F3544" i="5" s="1"/>
  <c r="D3545" i="5"/>
  <c r="F3545" i="5" s="1"/>
  <c r="D3546" i="5"/>
  <c r="F3546" i="5" s="1"/>
  <c r="D3547" i="5"/>
  <c r="F3547" i="5" s="1"/>
  <c r="D3548" i="5"/>
  <c r="F3548" i="5" s="1"/>
  <c r="D3549" i="5"/>
  <c r="F3549" i="5" s="1"/>
  <c r="D3550" i="5"/>
  <c r="F3550" i="5" s="1"/>
  <c r="D3551" i="5"/>
  <c r="F3551" i="5" s="1"/>
  <c r="D3552" i="5"/>
  <c r="F3552" i="5" s="1"/>
  <c r="D3553" i="5"/>
  <c r="F3553" i="5" s="1"/>
  <c r="D3554" i="5"/>
  <c r="F3554" i="5" s="1"/>
  <c r="D3555" i="5"/>
  <c r="F3555" i="5" s="1"/>
  <c r="D3556" i="5"/>
  <c r="F3556" i="5" s="1"/>
  <c r="D3557" i="5"/>
  <c r="F3557" i="5" s="1"/>
  <c r="D3558" i="5"/>
  <c r="F3558" i="5" s="1"/>
  <c r="D3559" i="5"/>
  <c r="F3559" i="5" s="1"/>
  <c r="D3560" i="5"/>
  <c r="F3560" i="5" s="1"/>
  <c r="D3561" i="5"/>
  <c r="F3561" i="5" s="1"/>
  <c r="D3562" i="5"/>
  <c r="F3562" i="5" s="1"/>
  <c r="D3563" i="5"/>
  <c r="F3563" i="5" s="1"/>
  <c r="D3564" i="5"/>
  <c r="F3564" i="5" s="1"/>
  <c r="D3565" i="5"/>
  <c r="F3565" i="5" s="1"/>
  <c r="D3566" i="5"/>
  <c r="F3566" i="5" s="1"/>
  <c r="D3567" i="5"/>
  <c r="F3567" i="5" s="1"/>
  <c r="D3568" i="5"/>
  <c r="F3568" i="5" s="1"/>
  <c r="D3569" i="5"/>
  <c r="F3569" i="5" s="1"/>
  <c r="D3570" i="5"/>
  <c r="F3570" i="5" s="1"/>
  <c r="D3571" i="5"/>
  <c r="F3571" i="5" s="1"/>
  <c r="D3572" i="5"/>
  <c r="F3572" i="5" s="1"/>
  <c r="D3573" i="5"/>
  <c r="F3573" i="5" s="1"/>
  <c r="D3574" i="5"/>
  <c r="F3574" i="5" s="1"/>
  <c r="D3575" i="5"/>
  <c r="F3575" i="5" s="1"/>
  <c r="D3576" i="5"/>
  <c r="F3576" i="5" s="1"/>
  <c r="D3577" i="5"/>
  <c r="F3577" i="5" s="1"/>
  <c r="D3578" i="5"/>
  <c r="F3578" i="5" s="1"/>
  <c r="D3579" i="5"/>
  <c r="F3579" i="5" s="1"/>
  <c r="D3580" i="5"/>
  <c r="F3580" i="5" s="1"/>
  <c r="D3581" i="5"/>
  <c r="F3581" i="5" s="1"/>
  <c r="D3582" i="5"/>
  <c r="F3582" i="5" s="1"/>
  <c r="D3583" i="5"/>
  <c r="F3583" i="5" s="1"/>
  <c r="D3584" i="5"/>
  <c r="F3584" i="5" s="1"/>
  <c r="D3585" i="5"/>
  <c r="F3585" i="5" s="1"/>
  <c r="D3586" i="5"/>
  <c r="F3586" i="5" s="1"/>
  <c r="D3587" i="5"/>
  <c r="F3587" i="5" s="1"/>
  <c r="D3588" i="5"/>
  <c r="F3588" i="5" s="1"/>
  <c r="D3589" i="5"/>
  <c r="F3589" i="5" s="1"/>
  <c r="D3590" i="5"/>
  <c r="F3590" i="5" s="1"/>
  <c r="D3591" i="5"/>
  <c r="F3591" i="5" s="1"/>
  <c r="D3592" i="5"/>
  <c r="F3592" i="5" s="1"/>
  <c r="D3593" i="5"/>
  <c r="F3593" i="5" s="1"/>
  <c r="D3594" i="5"/>
  <c r="F3594" i="5" s="1"/>
  <c r="D3595" i="5"/>
  <c r="F3595" i="5" s="1"/>
  <c r="D3596" i="5"/>
  <c r="F3596" i="5" s="1"/>
  <c r="D3597" i="5"/>
  <c r="F3597" i="5" s="1"/>
  <c r="D3598" i="5"/>
  <c r="F3598" i="5" s="1"/>
  <c r="D3599" i="5"/>
  <c r="F3599" i="5" s="1"/>
  <c r="D3600" i="5"/>
  <c r="F3600" i="5" s="1"/>
  <c r="D3601" i="5"/>
  <c r="F3601" i="5" s="1"/>
  <c r="D3602" i="5"/>
  <c r="F3602" i="5" s="1"/>
  <c r="D3603" i="5"/>
  <c r="F3603" i="5" s="1"/>
  <c r="D3604" i="5"/>
  <c r="F3604" i="5" s="1"/>
  <c r="D3605" i="5"/>
  <c r="F3605" i="5" s="1"/>
  <c r="D3606" i="5"/>
  <c r="F3606" i="5" s="1"/>
  <c r="D3607" i="5"/>
  <c r="F3607" i="5" s="1"/>
  <c r="D3608" i="5"/>
  <c r="F3608" i="5" s="1"/>
  <c r="D3609" i="5"/>
  <c r="F3609" i="5" s="1"/>
  <c r="D3610" i="5"/>
  <c r="F3610" i="5" s="1"/>
  <c r="D3611" i="5"/>
  <c r="F3611" i="5" s="1"/>
  <c r="D3612" i="5"/>
  <c r="F3612" i="5" s="1"/>
  <c r="D3613" i="5"/>
  <c r="F3613" i="5" s="1"/>
  <c r="D3614" i="5"/>
  <c r="F3614" i="5" s="1"/>
  <c r="D3615" i="5"/>
  <c r="F3615" i="5" s="1"/>
  <c r="D3616" i="5"/>
  <c r="F3616" i="5" s="1"/>
  <c r="D3617" i="5"/>
  <c r="F3617" i="5" s="1"/>
  <c r="D3618" i="5"/>
  <c r="F3618" i="5" s="1"/>
  <c r="D3619" i="5"/>
  <c r="F3619" i="5" s="1"/>
  <c r="D3620" i="5"/>
  <c r="F3620" i="5" s="1"/>
  <c r="D3621" i="5"/>
  <c r="F3621" i="5" s="1"/>
  <c r="D3622" i="5"/>
  <c r="F3622" i="5" s="1"/>
  <c r="D3623" i="5"/>
  <c r="F3623" i="5" s="1"/>
  <c r="D3624" i="5"/>
  <c r="F3624" i="5" s="1"/>
  <c r="D3625" i="5"/>
  <c r="F3625" i="5" s="1"/>
  <c r="D3626" i="5"/>
  <c r="F3626" i="5" s="1"/>
  <c r="D3627" i="5"/>
  <c r="F3627" i="5" s="1"/>
  <c r="D3628" i="5"/>
  <c r="F3628" i="5" s="1"/>
  <c r="D3629" i="5"/>
  <c r="F3629" i="5" s="1"/>
  <c r="D3630" i="5"/>
  <c r="F3630" i="5" s="1"/>
  <c r="D3631" i="5"/>
  <c r="F3631" i="5" s="1"/>
  <c r="D3632" i="5"/>
  <c r="F3632" i="5" s="1"/>
  <c r="D3633" i="5"/>
  <c r="F3633" i="5" s="1"/>
  <c r="D3634" i="5"/>
  <c r="F3634" i="5" s="1"/>
  <c r="D3635" i="5"/>
  <c r="F3635" i="5" s="1"/>
  <c r="D3636" i="5"/>
  <c r="F3636" i="5" s="1"/>
  <c r="D3637" i="5"/>
  <c r="F3637" i="5" s="1"/>
  <c r="D3638" i="5"/>
  <c r="F3638" i="5" s="1"/>
  <c r="D3639" i="5"/>
  <c r="F3639" i="5" s="1"/>
  <c r="D3640" i="5"/>
  <c r="F3640" i="5" s="1"/>
  <c r="D3641" i="5"/>
  <c r="F3641" i="5" s="1"/>
  <c r="D3642" i="5"/>
  <c r="F3642" i="5" s="1"/>
  <c r="D3643" i="5"/>
  <c r="F3643" i="5" s="1"/>
  <c r="D3644" i="5"/>
  <c r="F3644" i="5" s="1"/>
  <c r="D3645" i="5"/>
  <c r="F3645" i="5" s="1"/>
  <c r="D3646" i="5"/>
  <c r="F3646" i="5" s="1"/>
  <c r="D3647" i="5"/>
  <c r="F3647" i="5" s="1"/>
  <c r="D3648" i="5"/>
  <c r="F3648" i="5" s="1"/>
  <c r="D3649" i="5"/>
  <c r="F3649" i="5" s="1"/>
  <c r="D3650" i="5"/>
  <c r="F3650" i="5" s="1"/>
  <c r="D3651" i="5"/>
  <c r="F3651" i="5" s="1"/>
  <c r="D3652" i="5"/>
  <c r="F3652" i="5" s="1"/>
  <c r="D3653" i="5"/>
  <c r="F3653" i="5" s="1"/>
  <c r="D3654" i="5"/>
  <c r="F3654" i="5" s="1"/>
  <c r="D3655" i="5"/>
  <c r="F3655" i="5" s="1"/>
  <c r="D3656" i="5"/>
  <c r="F3656" i="5" s="1"/>
  <c r="D3657" i="5"/>
  <c r="F3657" i="5" s="1"/>
  <c r="D3658" i="5"/>
  <c r="F3658" i="5" s="1"/>
  <c r="D3659" i="5"/>
  <c r="F3659" i="5" s="1"/>
  <c r="D3660" i="5"/>
  <c r="F3660" i="5" s="1"/>
  <c r="D3661" i="5"/>
  <c r="F3661" i="5" s="1"/>
  <c r="D3662" i="5"/>
  <c r="F3662" i="5" s="1"/>
  <c r="D3663" i="5"/>
  <c r="F3663" i="5" s="1"/>
  <c r="D3664" i="5"/>
  <c r="F3664" i="5" s="1"/>
  <c r="D3665" i="5"/>
  <c r="F3665" i="5" s="1"/>
  <c r="D3666" i="5"/>
  <c r="F3666" i="5" s="1"/>
  <c r="D3667" i="5"/>
  <c r="F3667" i="5" s="1"/>
  <c r="D3668" i="5"/>
  <c r="F3668" i="5" s="1"/>
  <c r="D3669" i="5"/>
  <c r="F3669" i="5" s="1"/>
  <c r="D3670" i="5"/>
  <c r="F3670" i="5" s="1"/>
  <c r="D3671" i="5"/>
  <c r="F3671" i="5" s="1"/>
  <c r="D3672" i="5"/>
  <c r="F3672" i="5" s="1"/>
  <c r="D3673" i="5"/>
  <c r="F3673" i="5" s="1"/>
  <c r="D3674" i="5"/>
  <c r="F3674" i="5" s="1"/>
  <c r="D3675" i="5"/>
  <c r="F3675" i="5" s="1"/>
  <c r="D3676" i="5"/>
  <c r="F3676" i="5" s="1"/>
  <c r="D3677" i="5"/>
  <c r="F3677" i="5" s="1"/>
  <c r="D3678" i="5"/>
  <c r="F3678" i="5" s="1"/>
  <c r="D3679" i="5"/>
  <c r="F3679" i="5" s="1"/>
  <c r="D3680" i="5"/>
  <c r="F3680" i="5" s="1"/>
  <c r="D3681" i="5"/>
  <c r="F3681" i="5" s="1"/>
  <c r="D3682" i="5"/>
  <c r="F3682" i="5" s="1"/>
  <c r="D3683" i="5"/>
  <c r="F3683" i="5" s="1"/>
  <c r="D3684" i="5"/>
  <c r="F3684" i="5" s="1"/>
  <c r="D3685" i="5"/>
  <c r="F3685" i="5" s="1"/>
  <c r="D3686" i="5"/>
  <c r="F3686" i="5" s="1"/>
  <c r="D3687" i="5"/>
  <c r="F3687" i="5" s="1"/>
  <c r="D3688" i="5"/>
  <c r="F3688" i="5" s="1"/>
  <c r="D3689" i="5"/>
  <c r="F3689" i="5" s="1"/>
  <c r="D3690" i="5"/>
  <c r="F3690" i="5" s="1"/>
  <c r="D3691" i="5"/>
  <c r="F3691" i="5" s="1"/>
  <c r="D3692" i="5"/>
  <c r="F3692" i="5" s="1"/>
  <c r="D3693" i="5"/>
  <c r="F3693" i="5" s="1"/>
  <c r="D3694" i="5"/>
  <c r="F3694" i="5" s="1"/>
  <c r="D3695" i="5"/>
  <c r="F3695" i="5" s="1"/>
  <c r="D3696" i="5"/>
  <c r="F3696" i="5" s="1"/>
  <c r="D3697" i="5"/>
  <c r="F3697" i="5" s="1"/>
  <c r="D3698" i="5"/>
  <c r="F3698" i="5" s="1"/>
  <c r="D3699" i="5"/>
  <c r="F3699" i="5" s="1"/>
  <c r="D3700" i="5"/>
  <c r="F3700" i="5" s="1"/>
  <c r="D3701" i="5"/>
  <c r="F3701" i="5" s="1"/>
  <c r="D3702" i="5"/>
  <c r="F3702" i="5" s="1"/>
  <c r="D3703" i="5"/>
  <c r="F3703" i="5" s="1"/>
  <c r="D3704" i="5"/>
  <c r="F3704" i="5" s="1"/>
  <c r="D3705" i="5"/>
  <c r="F3705" i="5" s="1"/>
  <c r="D3706" i="5"/>
  <c r="F3706" i="5" s="1"/>
  <c r="D3707" i="5"/>
  <c r="F3707" i="5" s="1"/>
  <c r="D3708" i="5"/>
  <c r="F3708" i="5" s="1"/>
  <c r="D3709" i="5"/>
  <c r="F3709" i="5" s="1"/>
  <c r="D3710" i="5"/>
  <c r="F3710" i="5" s="1"/>
  <c r="D3711" i="5"/>
  <c r="F3711" i="5" s="1"/>
  <c r="D3712" i="5"/>
  <c r="F3712" i="5" s="1"/>
  <c r="D3713" i="5"/>
  <c r="F3713" i="5" s="1"/>
  <c r="D3714" i="5"/>
  <c r="F3714" i="5" s="1"/>
  <c r="D3715" i="5"/>
  <c r="F3715" i="5" s="1"/>
  <c r="D3716" i="5"/>
  <c r="F3716" i="5" s="1"/>
  <c r="D3717" i="5"/>
  <c r="F3717" i="5" s="1"/>
  <c r="D3718" i="5"/>
  <c r="F3718" i="5" s="1"/>
  <c r="D3719" i="5"/>
  <c r="F3719" i="5" s="1"/>
  <c r="D3720" i="5"/>
  <c r="F3720" i="5" s="1"/>
  <c r="D3721" i="5"/>
  <c r="F3721" i="5" s="1"/>
  <c r="D3722" i="5"/>
  <c r="F3722" i="5" s="1"/>
  <c r="D3723" i="5"/>
  <c r="F3723" i="5" s="1"/>
  <c r="D3724" i="5"/>
  <c r="F3724" i="5" s="1"/>
  <c r="D3725" i="5"/>
  <c r="F3725" i="5" s="1"/>
  <c r="D3726" i="5"/>
  <c r="F3726" i="5" s="1"/>
  <c r="D3727" i="5"/>
  <c r="F3727" i="5" s="1"/>
  <c r="D3728" i="5"/>
  <c r="F3728" i="5" s="1"/>
  <c r="D3729" i="5"/>
  <c r="F3729" i="5" s="1"/>
  <c r="D3730" i="5"/>
  <c r="F3730" i="5" s="1"/>
  <c r="D3731" i="5"/>
  <c r="F3731" i="5" s="1"/>
  <c r="D3732" i="5"/>
  <c r="F3732" i="5" s="1"/>
  <c r="D3733" i="5"/>
  <c r="F3733" i="5" s="1"/>
  <c r="D3734" i="5"/>
  <c r="F3734" i="5" s="1"/>
  <c r="D3735" i="5"/>
  <c r="F3735" i="5" s="1"/>
  <c r="D3736" i="5"/>
  <c r="F3736" i="5" s="1"/>
  <c r="D3737" i="5"/>
  <c r="F3737" i="5" s="1"/>
  <c r="D3738" i="5"/>
  <c r="F3738" i="5" s="1"/>
  <c r="D3739" i="5"/>
  <c r="F3739" i="5" s="1"/>
  <c r="D3740" i="5"/>
  <c r="F3740" i="5" s="1"/>
  <c r="D3741" i="5"/>
  <c r="F3741" i="5" s="1"/>
  <c r="D3742" i="5"/>
  <c r="F3742" i="5" s="1"/>
  <c r="D3743" i="5"/>
  <c r="F3743" i="5" s="1"/>
  <c r="D3744" i="5"/>
  <c r="F3744" i="5" s="1"/>
  <c r="D3745" i="5"/>
  <c r="F3745" i="5" s="1"/>
  <c r="D3746" i="5"/>
  <c r="F3746" i="5" s="1"/>
  <c r="D3747" i="5"/>
  <c r="F3747" i="5" s="1"/>
  <c r="D3748" i="5"/>
  <c r="F3748" i="5" s="1"/>
  <c r="D3749" i="5"/>
  <c r="F3749" i="5" s="1"/>
  <c r="D3750" i="5"/>
  <c r="F3750" i="5" s="1"/>
  <c r="D3751" i="5"/>
  <c r="F3751" i="5" s="1"/>
  <c r="D3752" i="5"/>
  <c r="F3752" i="5" s="1"/>
  <c r="D3753" i="5"/>
  <c r="F3753" i="5" s="1"/>
  <c r="D3754" i="5"/>
  <c r="F3754" i="5" s="1"/>
  <c r="D3755" i="5"/>
  <c r="F3755" i="5" s="1"/>
  <c r="D3756" i="5"/>
  <c r="F3756" i="5" s="1"/>
  <c r="D3757" i="5"/>
  <c r="F3757" i="5" s="1"/>
  <c r="D3758" i="5"/>
  <c r="F3758" i="5" s="1"/>
  <c r="D3759" i="5"/>
  <c r="F3759" i="5" s="1"/>
  <c r="D3760" i="5"/>
  <c r="F3760" i="5" s="1"/>
  <c r="D3761" i="5"/>
  <c r="F3761" i="5" s="1"/>
  <c r="D3762" i="5"/>
  <c r="F3762" i="5" s="1"/>
  <c r="D3763" i="5"/>
  <c r="F3763" i="5" s="1"/>
  <c r="D3764" i="5"/>
  <c r="F3764" i="5" s="1"/>
  <c r="D3765" i="5"/>
  <c r="F3765" i="5" s="1"/>
  <c r="D3766" i="5"/>
  <c r="F3766" i="5" s="1"/>
  <c r="D3767" i="5"/>
  <c r="F3767" i="5" s="1"/>
  <c r="D3768" i="5"/>
  <c r="F3768" i="5" s="1"/>
  <c r="D3769" i="5"/>
  <c r="F3769" i="5" s="1"/>
  <c r="D3770" i="5"/>
  <c r="F3770" i="5" s="1"/>
  <c r="D3771" i="5"/>
  <c r="F3771" i="5" s="1"/>
  <c r="D3772" i="5"/>
  <c r="F3772" i="5" s="1"/>
  <c r="D3773" i="5"/>
  <c r="F3773" i="5" s="1"/>
  <c r="D3774" i="5"/>
  <c r="F3774" i="5" s="1"/>
  <c r="D3775" i="5"/>
  <c r="F3775" i="5" s="1"/>
  <c r="D3776" i="5"/>
  <c r="F3776" i="5" s="1"/>
  <c r="D3777" i="5"/>
  <c r="F3777" i="5" s="1"/>
  <c r="D3778" i="5"/>
  <c r="F3778" i="5" s="1"/>
  <c r="D3779" i="5"/>
  <c r="F3779" i="5" s="1"/>
  <c r="D3780" i="5"/>
  <c r="F3780" i="5" s="1"/>
  <c r="D3781" i="5"/>
  <c r="F3781" i="5" s="1"/>
  <c r="D3782" i="5"/>
  <c r="F3782" i="5" s="1"/>
  <c r="D3783" i="5"/>
  <c r="F3783" i="5" s="1"/>
  <c r="D3784" i="5"/>
  <c r="F3784" i="5" s="1"/>
  <c r="D3785" i="5"/>
  <c r="F3785" i="5" s="1"/>
  <c r="D3786" i="5"/>
  <c r="F3786" i="5" s="1"/>
  <c r="D3787" i="5"/>
  <c r="F3787" i="5" s="1"/>
  <c r="D3788" i="5"/>
  <c r="F3788" i="5" s="1"/>
  <c r="D3789" i="5"/>
  <c r="F3789" i="5" s="1"/>
  <c r="D3790" i="5"/>
  <c r="F3790" i="5" s="1"/>
  <c r="D3791" i="5"/>
  <c r="F3791" i="5" s="1"/>
  <c r="D3792" i="5"/>
  <c r="F3792" i="5" s="1"/>
  <c r="D3793" i="5"/>
  <c r="F3793" i="5" s="1"/>
  <c r="D3794" i="5"/>
  <c r="F3794" i="5" s="1"/>
  <c r="D3795" i="5"/>
  <c r="F3795" i="5" s="1"/>
  <c r="D3796" i="5"/>
  <c r="F3796" i="5" s="1"/>
  <c r="D3797" i="5"/>
  <c r="F3797" i="5" s="1"/>
  <c r="D3798" i="5"/>
  <c r="F3798" i="5" s="1"/>
  <c r="D3799" i="5"/>
  <c r="F3799" i="5" s="1"/>
  <c r="D3800" i="5"/>
  <c r="F3800" i="5" s="1"/>
  <c r="D3801" i="5"/>
  <c r="F3801" i="5" s="1"/>
  <c r="D3802" i="5"/>
  <c r="F3802" i="5" s="1"/>
  <c r="D3803" i="5"/>
  <c r="F3803" i="5" s="1"/>
  <c r="D3804" i="5"/>
  <c r="F3804" i="5" s="1"/>
  <c r="D3805" i="5"/>
  <c r="F3805" i="5" s="1"/>
  <c r="D3806" i="5"/>
  <c r="F3806" i="5" s="1"/>
  <c r="D3807" i="5"/>
  <c r="F3807" i="5" s="1"/>
  <c r="D3808" i="5"/>
  <c r="F3808" i="5" s="1"/>
  <c r="D3809" i="5"/>
  <c r="F3809" i="5" s="1"/>
  <c r="D3810" i="5"/>
  <c r="F3810" i="5" s="1"/>
  <c r="D3811" i="5"/>
  <c r="F3811" i="5" s="1"/>
  <c r="D3812" i="5"/>
  <c r="F3812" i="5" s="1"/>
  <c r="D3813" i="5"/>
  <c r="F3813" i="5" s="1"/>
  <c r="D3814" i="5"/>
  <c r="F3814" i="5" s="1"/>
  <c r="D3815" i="5"/>
  <c r="F3815" i="5" s="1"/>
  <c r="D3816" i="5"/>
  <c r="F3816" i="5" s="1"/>
  <c r="D3817" i="5"/>
  <c r="F3817" i="5" s="1"/>
  <c r="D3818" i="5"/>
  <c r="F3818" i="5" s="1"/>
  <c r="D3819" i="5"/>
  <c r="F3819" i="5" s="1"/>
  <c r="D3820" i="5"/>
  <c r="F3820" i="5" s="1"/>
  <c r="D3821" i="5"/>
  <c r="F3821" i="5" s="1"/>
  <c r="D3822" i="5"/>
  <c r="F3822" i="5" s="1"/>
  <c r="D3823" i="5"/>
  <c r="F3823" i="5" s="1"/>
  <c r="D3824" i="5"/>
  <c r="F3824" i="5" s="1"/>
  <c r="D3825" i="5"/>
  <c r="F3825" i="5" s="1"/>
  <c r="D3826" i="5"/>
  <c r="F3826" i="5" s="1"/>
  <c r="D3827" i="5"/>
  <c r="F3827" i="5" s="1"/>
  <c r="D3828" i="5"/>
  <c r="F3828" i="5" s="1"/>
  <c r="D3829" i="5"/>
  <c r="F3829" i="5" s="1"/>
  <c r="D3830" i="5"/>
  <c r="F3830" i="5" s="1"/>
  <c r="D3831" i="5"/>
  <c r="F3831" i="5" s="1"/>
  <c r="D3832" i="5"/>
  <c r="F3832" i="5" s="1"/>
  <c r="D3833" i="5"/>
  <c r="F3833" i="5" s="1"/>
  <c r="D3834" i="5"/>
  <c r="F3834" i="5" s="1"/>
  <c r="D3835" i="5"/>
  <c r="F3835" i="5" s="1"/>
  <c r="D3836" i="5"/>
  <c r="F3836" i="5" s="1"/>
  <c r="D3837" i="5"/>
  <c r="F3837" i="5" s="1"/>
  <c r="D3838" i="5"/>
  <c r="F3838" i="5" s="1"/>
  <c r="D3839" i="5"/>
  <c r="F3839" i="5" s="1"/>
  <c r="D3840" i="5"/>
  <c r="F3840" i="5" s="1"/>
  <c r="D3841" i="5"/>
  <c r="F3841" i="5" s="1"/>
  <c r="D3842" i="5"/>
  <c r="F3842" i="5" s="1"/>
  <c r="D3843" i="5"/>
  <c r="F3843" i="5" s="1"/>
  <c r="D3844" i="5"/>
  <c r="F3844" i="5" s="1"/>
  <c r="D3845" i="5"/>
  <c r="F3845" i="5" s="1"/>
  <c r="D3846" i="5"/>
  <c r="F3846" i="5" s="1"/>
  <c r="D3847" i="5"/>
  <c r="F3847" i="5" s="1"/>
  <c r="D3848" i="5"/>
  <c r="F3848" i="5" s="1"/>
  <c r="D3849" i="5"/>
  <c r="F3849" i="5" s="1"/>
  <c r="D3850" i="5"/>
  <c r="F3850" i="5" s="1"/>
  <c r="D3851" i="5"/>
  <c r="F3851" i="5" s="1"/>
  <c r="D3852" i="5"/>
  <c r="F3852" i="5" s="1"/>
  <c r="D3853" i="5"/>
  <c r="F3853" i="5" s="1"/>
  <c r="D3854" i="5"/>
  <c r="F3854" i="5" s="1"/>
  <c r="D3855" i="5"/>
  <c r="F3855" i="5" s="1"/>
  <c r="D3856" i="5"/>
  <c r="F3856" i="5" s="1"/>
  <c r="D3857" i="5"/>
  <c r="F3857" i="5" s="1"/>
  <c r="D3858" i="5"/>
  <c r="F3858" i="5" s="1"/>
  <c r="D3859" i="5"/>
  <c r="F3859" i="5" s="1"/>
  <c r="D3860" i="5"/>
  <c r="F3860" i="5" s="1"/>
  <c r="D3861" i="5"/>
  <c r="F3861" i="5" s="1"/>
  <c r="D3862" i="5"/>
  <c r="F3862" i="5" s="1"/>
  <c r="D3863" i="5"/>
  <c r="F3863" i="5" s="1"/>
  <c r="D3864" i="5"/>
  <c r="F3864" i="5" s="1"/>
  <c r="D3865" i="5"/>
  <c r="F3865" i="5" s="1"/>
  <c r="D3866" i="5"/>
  <c r="F3866" i="5" s="1"/>
  <c r="D3867" i="5"/>
  <c r="F3867" i="5" s="1"/>
  <c r="D3868" i="5"/>
  <c r="F3868" i="5" s="1"/>
  <c r="D3869" i="5"/>
  <c r="F3869" i="5" s="1"/>
  <c r="D3870" i="5"/>
  <c r="F3870" i="5" s="1"/>
  <c r="D3871" i="5"/>
  <c r="F3871" i="5" s="1"/>
  <c r="D3872" i="5"/>
  <c r="F3872" i="5" s="1"/>
  <c r="D3873" i="5"/>
  <c r="F3873" i="5" s="1"/>
  <c r="D3874" i="5"/>
  <c r="F3874" i="5" s="1"/>
  <c r="D3875" i="5"/>
  <c r="F3875" i="5" s="1"/>
  <c r="D3876" i="5"/>
  <c r="F3876" i="5" s="1"/>
  <c r="D3877" i="5"/>
  <c r="F3877" i="5" s="1"/>
  <c r="D3878" i="5"/>
  <c r="F3878" i="5" s="1"/>
  <c r="D3879" i="5"/>
  <c r="F3879" i="5" s="1"/>
  <c r="D3880" i="5"/>
  <c r="F3880" i="5" s="1"/>
  <c r="D3881" i="5"/>
  <c r="F3881" i="5" s="1"/>
  <c r="D3882" i="5"/>
  <c r="F3882" i="5" s="1"/>
  <c r="D3883" i="5"/>
  <c r="F3883" i="5" s="1"/>
  <c r="D3884" i="5"/>
  <c r="F3884" i="5" s="1"/>
  <c r="D3885" i="5"/>
  <c r="F3885" i="5" s="1"/>
  <c r="D3886" i="5"/>
  <c r="F3886" i="5" s="1"/>
  <c r="D3887" i="5"/>
  <c r="F3887" i="5" s="1"/>
  <c r="D3888" i="5"/>
  <c r="F3888" i="5" s="1"/>
  <c r="D3889" i="5"/>
  <c r="F3889" i="5" s="1"/>
  <c r="D3890" i="5"/>
  <c r="F3890" i="5" s="1"/>
  <c r="D3891" i="5"/>
  <c r="F3891" i="5" s="1"/>
  <c r="D3892" i="5"/>
  <c r="F3892" i="5" s="1"/>
  <c r="G20" i="6" l="1"/>
  <c r="H20" i="6" s="1"/>
  <c r="J20" i="6" s="1"/>
  <c r="K20" i="6" s="1"/>
  <c r="M20" i="6" s="1"/>
  <c r="N20" i="6" s="1"/>
  <c r="G22" i="6"/>
  <c r="H22" i="6" s="1"/>
  <c r="J22" i="6" s="1"/>
  <c r="K22" i="6" s="1"/>
  <c r="M22" i="6" s="1"/>
  <c r="N22" i="6" s="1"/>
  <c r="G26" i="6"/>
  <c r="H26" i="6" s="1"/>
  <c r="J26" i="6" s="1"/>
  <c r="K26" i="6" s="1"/>
  <c r="M26" i="6" s="1"/>
  <c r="N26" i="6" s="1"/>
  <c r="G69" i="6"/>
  <c r="H69" i="6" s="1"/>
  <c r="J69" i="6" s="1"/>
  <c r="K69" i="6" s="1"/>
  <c r="M69" i="6" s="1"/>
  <c r="N69" i="6" s="1"/>
  <c r="J118" i="6"/>
  <c r="K118" i="6" s="1"/>
  <c r="M118" i="6" s="1"/>
  <c r="N118" i="6" s="1"/>
  <c r="M124" i="6"/>
  <c r="N124" i="6" s="1"/>
  <c r="M130" i="6"/>
  <c r="N130" i="6" s="1"/>
  <c r="J143" i="6"/>
  <c r="K143" i="6" s="1"/>
  <c r="M143" i="6" s="1"/>
  <c r="N143" i="6" s="1"/>
  <c r="G159" i="6"/>
  <c r="H159" i="6" s="1"/>
  <c r="J159" i="6" s="1"/>
  <c r="K159" i="6" s="1"/>
  <c r="M159" i="6" s="1"/>
  <c r="N159" i="6" s="1"/>
  <c r="G161" i="6"/>
  <c r="H161" i="6" s="1"/>
  <c r="J161" i="6" s="1"/>
  <c r="K161" i="6" s="1"/>
  <c r="M161" i="6" s="1"/>
  <c r="N161" i="6" s="1"/>
  <c r="J165" i="6"/>
  <c r="K165" i="6" s="1"/>
  <c r="M165" i="6" s="1"/>
  <c r="N165" i="6" s="1"/>
  <c r="M210" i="6"/>
  <c r="N210" i="6" s="1"/>
  <c r="M232" i="6"/>
  <c r="N232" i="6" s="1"/>
  <c r="J337" i="6"/>
  <c r="K337" i="6" s="1"/>
  <c r="M337" i="6" s="1"/>
  <c r="N337" i="6" s="1"/>
  <c r="M390" i="6"/>
  <c r="N390" i="6" s="1"/>
  <c r="J397" i="6"/>
  <c r="K397" i="6" s="1"/>
  <c r="M397" i="6" s="1"/>
  <c r="N397" i="6" s="1"/>
  <c r="G3" i="6"/>
  <c r="H3" i="6" s="1"/>
  <c r="J3" i="6" s="1"/>
  <c r="K3" i="6" s="1"/>
  <c r="M3" i="6" s="1"/>
  <c r="N3" i="6" s="1"/>
  <c r="G5" i="6"/>
  <c r="H5" i="6" s="1"/>
  <c r="J5" i="6" s="1"/>
  <c r="K5" i="6" s="1"/>
  <c r="M5" i="6" s="1"/>
  <c r="N5" i="6" s="1"/>
  <c r="G18" i="6"/>
  <c r="H18" i="6" s="1"/>
  <c r="J18" i="6" s="1"/>
  <c r="K18" i="6" s="1"/>
  <c r="M18" i="6" s="1"/>
  <c r="N18" i="6" s="1"/>
  <c r="G56" i="6"/>
  <c r="H56" i="6" s="1"/>
  <c r="J56" i="6" s="1"/>
  <c r="K56" i="6" s="1"/>
  <c r="M56" i="6" s="1"/>
  <c r="N56" i="6" s="1"/>
  <c r="G65" i="6"/>
  <c r="H65" i="6" s="1"/>
  <c r="J65" i="6" s="1"/>
  <c r="K65" i="6" s="1"/>
  <c r="M65" i="6" s="1"/>
  <c r="N65" i="6" s="1"/>
  <c r="G90" i="6"/>
  <c r="H90" i="6" s="1"/>
  <c r="J90" i="6" s="1"/>
  <c r="K90" i="6" s="1"/>
  <c r="M90" i="6" s="1"/>
  <c r="N90" i="6" s="1"/>
  <c r="G110" i="6"/>
  <c r="H110" i="6" s="1"/>
  <c r="J110" i="6" s="1"/>
  <c r="K110" i="6" s="1"/>
  <c r="M110" i="6" s="1"/>
  <c r="N110" i="6" s="1"/>
  <c r="G120" i="6"/>
  <c r="H120" i="6" s="1"/>
  <c r="J120" i="6" s="1"/>
  <c r="K120" i="6" s="1"/>
  <c r="M120" i="6" s="1"/>
  <c r="N120" i="6" s="1"/>
  <c r="J177" i="6"/>
  <c r="K177" i="6" s="1"/>
  <c r="M177" i="6" s="1"/>
  <c r="N177" i="6" s="1"/>
  <c r="J181" i="6"/>
  <c r="K181" i="6" s="1"/>
  <c r="M181" i="6" s="1"/>
  <c r="N181" i="6" s="1"/>
  <c r="G206" i="6"/>
  <c r="H206" i="6" s="1"/>
  <c r="J206" i="6" s="1"/>
  <c r="K206" i="6" s="1"/>
  <c r="M206" i="6" s="1"/>
  <c r="N206" i="6" s="1"/>
  <c r="J286" i="6"/>
  <c r="K286" i="6" s="1"/>
  <c r="M286" i="6" s="1"/>
  <c r="N286" i="6" s="1"/>
  <c r="G317" i="6"/>
  <c r="H317" i="6" s="1"/>
  <c r="J317" i="6" s="1"/>
  <c r="K317" i="6" s="1"/>
  <c r="M317" i="6" s="1"/>
  <c r="N317" i="6" s="1"/>
  <c r="J466" i="6"/>
  <c r="K466" i="6" s="1"/>
  <c r="M466" i="6" s="1"/>
  <c r="N466" i="6" s="1"/>
  <c r="J510" i="6"/>
  <c r="K510" i="6" s="1"/>
  <c r="M510" i="6" s="1"/>
  <c r="N510" i="6" s="1"/>
  <c r="G10" i="6"/>
  <c r="H10" i="6" s="1"/>
  <c r="J10" i="6" s="1"/>
  <c r="K10" i="6" s="1"/>
  <c r="M10" i="6" s="1"/>
  <c r="N10" i="6" s="1"/>
  <c r="G12" i="6"/>
  <c r="H12" i="6" s="1"/>
  <c r="J12" i="6" s="1"/>
  <c r="K12" i="6" s="1"/>
  <c r="M12" i="6" s="1"/>
  <c r="N12" i="6" s="1"/>
  <c r="G37" i="6"/>
  <c r="H37" i="6" s="1"/>
  <c r="J37" i="6" s="1"/>
  <c r="K37" i="6" s="1"/>
  <c r="M37" i="6" s="1"/>
  <c r="N37" i="6" s="1"/>
  <c r="G39" i="6"/>
  <c r="H39" i="6" s="1"/>
  <c r="J39" i="6" s="1"/>
  <c r="K39" i="6" s="1"/>
  <c r="M39" i="6" s="1"/>
  <c r="N39" i="6" s="1"/>
  <c r="G54" i="6"/>
  <c r="H54" i="6" s="1"/>
  <c r="J54" i="6" s="1"/>
  <c r="K54" i="6" s="1"/>
  <c r="M54" i="6" s="1"/>
  <c r="N54" i="6" s="1"/>
  <c r="G58" i="6"/>
  <c r="H58" i="6" s="1"/>
  <c r="J58" i="6" s="1"/>
  <c r="K58" i="6" s="1"/>
  <c r="M58" i="6" s="1"/>
  <c r="N58" i="6" s="1"/>
  <c r="J63" i="6"/>
  <c r="K63" i="6" s="1"/>
  <c r="M63" i="6" s="1"/>
  <c r="N63" i="6" s="1"/>
  <c r="G67" i="6"/>
  <c r="H67" i="6" s="1"/>
  <c r="J67" i="6" s="1"/>
  <c r="K67" i="6" s="1"/>
  <c r="M67" i="6" s="1"/>
  <c r="N67" i="6" s="1"/>
  <c r="M96" i="6"/>
  <c r="N96" i="6" s="1"/>
  <c r="M98" i="6"/>
  <c r="N98" i="6" s="1"/>
  <c r="G108" i="6"/>
  <c r="H108" i="6" s="1"/>
  <c r="J108" i="6" s="1"/>
  <c r="K108" i="6" s="1"/>
  <c r="M108" i="6" s="1"/>
  <c r="N108" i="6" s="1"/>
  <c r="G150" i="6"/>
  <c r="H150" i="6" s="1"/>
  <c r="J150" i="6" s="1"/>
  <c r="K150" i="6" s="1"/>
  <c r="M150" i="6" s="1"/>
  <c r="N150" i="6" s="1"/>
  <c r="G168" i="6"/>
  <c r="H168" i="6" s="1"/>
  <c r="J168" i="6" s="1"/>
  <c r="K168" i="6" s="1"/>
  <c r="M168" i="6" s="1"/>
  <c r="N168" i="6" s="1"/>
  <c r="G175" i="6"/>
  <c r="H175" i="6" s="1"/>
  <c r="J175" i="6" s="1"/>
  <c r="K175" i="6" s="1"/>
  <c r="M175" i="6" s="1"/>
  <c r="N175" i="6" s="1"/>
  <c r="M195" i="6"/>
  <c r="N195" i="6" s="1"/>
  <c r="J239" i="6"/>
  <c r="K239" i="6" s="1"/>
  <c r="M239" i="6" s="1"/>
  <c r="N239" i="6" s="1"/>
  <c r="G27" i="6"/>
  <c r="H27" i="6" s="1"/>
  <c r="J27" i="6" s="1"/>
  <c r="K27" i="6" s="1"/>
  <c r="M27" i="6" s="1"/>
  <c r="N27" i="6" s="1"/>
  <c r="G35" i="6"/>
  <c r="H35" i="6" s="1"/>
  <c r="J35" i="6" s="1"/>
  <c r="K35" i="6" s="1"/>
  <c r="M35" i="6" s="1"/>
  <c r="N35" i="6" s="1"/>
  <c r="G102" i="6"/>
  <c r="H102" i="6" s="1"/>
  <c r="J102" i="6" s="1"/>
  <c r="K102" i="6" s="1"/>
  <c r="M102" i="6" s="1"/>
  <c r="N102" i="6" s="1"/>
  <c r="G133" i="6"/>
  <c r="H133" i="6" s="1"/>
  <c r="J133" i="6" s="1"/>
  <c r="K133" i="6" s="1"/>
  <c r="M133" i="6" s="1"/>
  <c r="N133" i="6" s="1"/>
  <c r="G139" i="6"/>
  <c r="H139" i="6" s="1"/>
  <c r="J139" i="6" s="1"/>
  <c r="K139" i="6" s="1"/>
  <c r="M139" i="6" s="1"/>
  <c r="N139" i="6" s="1"/>
  <c r="G198" i="6"/>
  <c r="H198" i="6" s="1"/>
  <c r="J198" i="6" s="1"/>
  <c r="K198" i="6" s="1"/>
  <c r="M198" i="6" s="1"/>
  <c r="N198" i="6" s="1"/>
  <c r="J213" i="6"/>
  <c r="K213" i="6" s="1"/>
  <c r="M213" i="6" s="1"/>
  <c r="N213" i="6" s="1"/>
  <c r="G222" i="6"/>
  <c r="H222" i="6" s="1"/>
  <c r="J222" i="6" s="1"/>
  <c r="K222" i="6" s="1"/>
  <c r="G320" i="6"/>
  <c r="H320" i="6" s="1"/>
  <c r="J320" i="6" s="1"/>
  <c r="K320" i="6" s="1"/>
  <c r="M320" i="6" s="1"/>
  <c r="N320" i="6" s="1"/>
  <c r="J567" i="6"/>
  <c r="K567" i="6" s="1"/>
  <c r="M567" i="6" s="1"/>
  <c r="N567" i="6" s="1"/>
  <c r="G6" i="6"/>
  <c r="H6" i="6" s="1"/>
  <c r="J6" i="6" s="1"/>
  <c r="K6" i="6" s="1"/>
  <c r="M6" i="6" s="1"/>
  <c r="N6" i="6" s="1"/>
  <c r="G43" i="6"/>
  <c r="H43" i="6" s="1"/>
  <c r="J43" i="6" s="1"/>
  <c r="K43" i="6" s="1"/>
  <c r="M43" i="6" s="1"/>
  <c r="N43" i="6" s="1"/>
  <c r="G47" i="6"/>
  <c r="H47" i="6" s="1"/>
  <c r="J47" i="6" s="1"/>
  <c r="K47" i="6" s="1"/>
  <c r="M47" i="6" s="1"/>
  <c r="N47" i="6" s="1"/>
  <c r="G70" i="6"/>
  <c r="H70" i="6" s="1"/>
  <c r="J70" i="6" s="1"/>
  <c r="K70" i="6" s="1"/>
  <c r="M70" i="6" s="1"/>
  <c r="N70" i="6" s="1"/>
  <c r="M19" i="6"/>
  <c r="N19" i="6" s="1"/>
  <c r="M62" i="6"/>
  <c r="N62" i="6" s="1"/>
  <c r="M64" i="6"/>
  <c r="N64" i="6" s="1"/>
  <c r="M89" i="6"/>
  <c r="N89" i="6" s="1"/>
  <c r="M117" i="6"/>
  <c r="N117" i="6" s="1"/>
  <c r="M123" i="6"/>
  <c r="N123" i="6" s="1"/>
  <c r="G125" i="6"/>
  <c r="H125" i="6" s="1"/>
  <c r="J125" i="6" s="1"/>
  <c r="K125" i="6" s="1"/>
  <c r="M125" i="6" s="1"/>
  <c r="N125" i="6" s="1"/>
  <c r="M164" i="6"/>
  <c r="N164" i="6" s="1"/>
  <c r="J187" i="6"/>
  <c r="K187" i="6" s="1"/>
  <c r="M187" i="6" s="1"/>
  <c r="N187" i="6" s="1"/>
  <c r="M269" i="6"/>
  <c r="N269" i="6" s="1"/>
  <c r="G287" i="6"/>
  <c r="H287" i="6" s="1"/>
  <c r="J287" i="6" s="1"/>
  <c r="K287" i="6" s="1"/>
  <c r="M287" i="6" s="1"/>
  <c r="N287" i="6" s="1"/>
  <c r="M292" i="6"/>
  <c r="N292" i="6" s="1"/>
  <c r="M25" i="6"/>
  <c r="N25" i="6" s="1"/>
  <c r="G17" i="6"/>
  <c r="H17" i="6" s="1"/>
  <c r="J17" i="6" s="1"/>
  <c r="K17" i="6" s="1"/>
  <c r="M17" i="6" s="1"/>
  <c r="N17" i="6" s="1"/>
  <c r="G30" i="6"/>
  <c r="H30" i="6" s="1"/>
  <c r="J30" i="6" s="1"/>
  <c r="K30" i="6" s="1"/>
  <c r="M30" i="6" s="1"/>
  <c r="N30" i="6" s="1"/>
  <c r="G40" i="6"/>
  <c r="H40" i="6" s="1"/>
  <c r="J40" i="6" s="1"/>
  <c r="K40" i="6" s="1"/>
  <c r="M40" i="6" s="1"/>
  <c r="N40" i="6" s="1"/>
  <c r="G55" i="6"/>
  <c r="H55" i="6" s="1"/>
  <c r="J55" i="6" s="1"/>
  <c r="K55" i="6" s="1"/>
  <c r="M55" i="6" s="1"/>
  <c r="N55" i="6" s="1"/>
  <c r="G76" i="6"/>
  <c r="H76" i="6" s="1"/>
  <c r="J76" i="6" s="1"/>
  <c r="K76" i="6" s="1"/>
  <c r="M76" i="6" s="1"/>
  <c r="N76" i="6" s="1"/>
  <c r="G105" i="6"/>
  <c r="H105" i="6" s="1"/>
  <c r="J105" i="6" s="1"/>
  <c r="K105" i="6" s="1"/>
  <c r="M105" i="6" s="1"/>
  <c r="N105" i="6" s="1"/>
  <c r="G140" i="6"/>
  <c r="H140" i="6" s="1"/>
  <c r="J140" i="6" s="1"/>
  <c r="K140" i="6" s="1"/>
  <c r="G147" i="6"/>
  <c r="H147" i="6" s="1"/>
  <c r="J147" i="6" s="1"/>
  <c r="K147" i="6" s="1"/>
  <c r="M147" i="6" s="1"/>
  <c r="N147" i="6" s="1"/>
  <c r="G194" i="6"/>
  <c r="H194" i="6" s="1"/>
  <c r="J194" i="6" s="1"/>
  <c r="K194" i="6" s="1"/>
  <c r="M194" i="6" s="1"/>
  <c r="N194" i="6" s="1"/>
  <c r="J205" i="6"/>
  <c r="K205" i="6" s="1"/>
  <c r="M205" i="6" s="1"/>
  <c r="N205" i="6" s="1"/>
  <c r="G216" i="6"/>
  <c r="H216" i="6" s="1"/>
  <c r="J216" i="6" s="1"/>
  <c r="K216" i="6" s="1"/>
  <c r="M216" i="6" s="1"/>
  <c r="N216" i="6" s="1"/>
  <c r="G243" i="6"/>
  <c r="H243" i="6" s="1"/>
  <c r="J243" i="6" s="1"/>
  <c r="K243" i="6" s="1"/>
  <c r="M243" i="6" s="1"/>
  <c r="N243" i="6" s="1"/>
  <c r="J247" i="6"/>
  <c r="K247" i="6" s="1"/>
  <c r="M247" i="6" s="1"/>
  <c r="N247" i="6" s="1"/>
  <c r="M290" i="6"/>
  <c r="N290" i="6" s="1"/>
  <c r="M417" i="6"/>
  <c r="N417" i="6" s="1"/>
  <c r="J493" i="6"/>
  <c r="K493" i="6" s="1"/>
  <c r="M493" i="6" s="1"/>
  <c r="N493" i="6" s="1"/>
  <c r="J514" i="6"/>
  <c r="K514" i="6" s="1"/>
  <c r="M514" i="6" s="1"/>
  <c r="N514" i="6" s="1"/>
  <c r="M68" i="6"/>
  <c r="N68" i="6" s="1"/>
  <c r="G9" i="6"/>
  <c r="H9" i="6" s="1"/>
  <c r="J9" i="6" s="1"/>
  <c r="K9" i="6" s="1"/>
  <c r="M9" i="6" s="1"/>
  <c r="N9" i="6" s="1"/>
  <c r="G13" i="6"/>
  <c r="H13" i="6" s="1"/>
  <c r="J13" i="6" s="1"/>
  <c r="K13" i="6" s="1"/>
  <c r="M13" i="6" s="1"/>
  <c r="N13" i="6" s="1"/>
  <c r="G15" i="6"/>
  <c r="H15" i="6" s="1"/>
  <c r="J15" i="6" s="1"/>
  <c r="K15" i="6" s="1"/>
  <c r="M15" i="6" s="1"/>
  <c r="N15" i="6" s="1"/>
  <c r="G28" i="6"/>
  <c r="H28" i="6" s="1"/>
  <c r="J28" i="6" s="1"/>
  <c r="K28" i="6" s="1"/>
  <c r="M28" i="6" s="1"/>
  <c r="N28" i="6" s="1"/>
  <c r="G36" i="6"/>
  <c r="H36" i="6" s="1"/>
  <c r="J36" i="6" s="1"/>
  <c r="K36" i="6" s="1"/>
  <c r="M36" i="6" s="1"/>
  <c r="N36" i="6" s="1"/>
  <c r="G50" i="6"/>
  <c r="H50" i="6" s="1"/>
  <c r="J50" i="6" s="1"/>
  <c r="K50" i="6" s="1"/>
  <c r="M50" i="6" s="1"/>
  <c r="N50" i="6" s="1"/>
  <c r="G78" i="6"/>
  <c r="H78" i="6" s="1"/>
  <c r="J78" i="6" s="1"/>
  <c r="K78" i="6" s="1"/>
  <c r="M78" i="6" s="1"/>
  <c r="N78" i="6" s="1"/>
  <c r="G83" i="6"/>
  <c r="H83" i="6" s="1"/>
  <c r="J83" i="6" s="1"/>
  <c r="K83" i="6" s="1"/>
  <c r="M83" i="6" s="1"/>
  <c r="N83" i="6" s="1"/>
  <c r="G87" i="6"/>
  <c r="H87" i="6" s="1"/>
  <c r="J87" i="6" s="1"/>
  <c r="K87" i="6" s="1"/>
  <c r="M87" i="6" s="1"/>
  <c r="N87" i="6" s="1"/>
  <c r="G95" i="6"/>
  <c r="H95" i="6" s="1"/>
  <c r="J95" i="6" s="1"/>
  <c r="K95" i="6" s="1"/>
  <c r="M95" i="6" s="1"/>
  <c r="N95" i="6" s="1"/>
  <c r="G101" i="6"/>
  <c r="H101" i="6" s="1"/>
  <c r="J101" i="6" s="1"/>
  <c r="K101" i="6" s="1"/>
  <c r="M101" i="6" s="1"/>
  <c r="N101" i="6" s="1"/>
  <c r="J107" i="6"/>
  <c r="K107" i="6" s="1"/>
  <c r="M107" i="6" s="1"/>
  <c r="N107" i="6" s="1"/>
  <c r="J136" i="6"/>
  <c r="K136" i="6" s="1"/>
  <c r="M136" i="6" s="1"/>
  <c r="N136" i="6" s="1"/>
  <c r="J138" i="6"/>
  <c r="K138" i="6" s="1"/>
  <c r="M138" i="6" s="1"/>
  <c r="N138" i="6" s="1"/>
  <c r="G149" i="6"/>
  <c r="H149" i="6" s="1"/>
  <c r="J149" i="6" s="1"/>
  <c r="K149" i="6" s="1"/>
  <c r="M149" i="6" s="1"/>
  <c r="N149" i="6" s="1"/>
  <c r="G167" i="6"/>
  <c r="H167" i="6" s="1"/>
  <c r="J167" i="6" s="1"/>
  <c r="K167" i="6" s="1"/>
  <c r="M167" i="6" s="1"/>
  <c r="N167" i="6" s="1"/>
  <c r="J169" i="6"/>
  <c r="K169" i="6" s="1"/>
  <c r="M169" i="6" s="1"/>
  <c r="N169" i="6" s="1"/>
  <c r="J174" i="6"/>
  <c r="K174" i="6" s="1"/>
  <c r="M174" i="6" s="1"/>
  <c r="N174" i="6" s="1"/>
  <c r="M227" i="6"/>
  <c r="N227" i="6" s="1"/>
  <c r="M229" i="6"/>
  <c r="N229" i="6" s="1"/>
  <c r="M236" i="6"/>
  <c r="N236" i="6" s="1"/>
  <c r="G279" i="6"/>
  <c r="H279" i="6" s="1"/>
  <c r="J279" i="6" s="1"/>
  <c r="K279" i="6" s="1"/>
  <c r="M279" i="6" s="1"/>
  <c r="N279" i="6" s="1"/>
  <c r="M378" i="6"/>
  <c r="N378" i="6" s="1"/>
  <c r="M456" i="6"/>
  <c r="N456" i="6" s="1"/>
  <c r="M491" i="6"/>
  <c r="N491" i="6" s="1"/>
  <c r="J613" i="6"/>
  <c r="K613" i="6" s="1"/>
  <c r="M613" i="6" s="1"/>
  <c r="N613" i="6" s="1"/>
  <c r="G352" i="6"/>
  <c r="H352" i="6" s="1"/>
  <c r="J352" i="6" s="1"/>
  <c r="K352" i="6" s="1"/>
  <c r="M352" i="6" s="1"/>
  <c r="N352" i="6" s="1"/>
  <c r="G596" i="6"/>
  <c r="H596" i="6" s="1"/>
  <c r="J596" i="6" s="1"/>
  <c r="K596" i="6" s="1"/>
  <c r="M596" i="6" s="1"/>
  <c r="N596" i="6" s="1"/>
  <c r="G122" i="6"/>
  <c r="H122" i="6" s="1"/>
  <c r="J122" i="6" s="1"/>
  <c r="K122" i="6" s="1"/>
  <c r="G132" i="6"/>
  <c r="H132" i="6" s="1"/>
  <c r="G145" i="6"/>
  <c r="H145" i="6" s="1"/>
  <c r="J145" i="6" s="1"/>
  <c r="K145" i="6" s="1"/>
  <c r="M145" i="6" s="1"/>
  <c r="N145" i="6" s="1"/>
  <c r="G166" i="6"/>
  <c r="H166" i="6" s="1"/>
  <c r="J166" i="6" s="1"/>
  <c r="K166" i="6" s="1"/>
  <c r="M166" i="6" s="1"/>
  <c r="N166" i="6" s="1"/>
  <c r="G173" i="6"/>
  <c r="H173" i="6" s="1"/>
  <c r="J173" i="6" s="1"/>
  <c r="K173" i="6" s="1"/>
  <c r="M173" i="6" s="1"/>
  <c r="N173" i="6" s="1"/>
  <c r="G192" i="6"/>
  <c r="H192" i="6" s="1"/>
  <c r="J192" i="6" s="1"/>
  <c r="K192" i="6" s="1"/>
  <c r="M192" i="6" s="1"/>
  <c r="N192" i="6" s="1"/>
  <c r="G207" i="6"/>
  <c r="H207" i="6" s="1"/>
  <c r="J207" i="6" s="1"/>
  <c r="K207" i="6" s="1"/>
  <c r="M207" i="6" s="1"/>
  <c r="N207" i="6" s="1"/>
  <c r="G254" i="6"/>
  <c r="H254" i="6" s="1"/>
  <c r="J254" i="6" s="1"/>
  <c r="K254" i="6" s="1"/>
  <c r="M254" i="6" s="1"/>
  <c r="N254" i="6" s="1"/>
  <c r="G268" i="6"/>
  <c r="H268" i="6" s="1"/>
  <c r="J268" i="6" s="1"/>
  <c r="K268" i="6" s="1"/>
  <c r="M268" i="6" s="1"/>
  <c r="N268" i="6" s="1"/>
  <c r="G278" i="6"/>
  <c r="H278" i="6" s="1"/>
  <c r="J278" i="6" s="1"/>
  <c r="K278" i="6" s="1"/>
  <c r="M278" i="6" s="1"/>
  <c r="N278" i="6" s="1"/>
  <c r="G303" i="6"/>
  <c r="H303" i="6" s="1"/>
  <c r="J303" i="6" s="1"/>
  <c r="K303" i="6" s="1"/>
  <c r="M303" i="6" s="1"/>
  <c r="N303" i="6" s="1"/>
  <c r="G323" i="6"/>
  <c r="H323" i="6" s="1"/>
  <c r="J323" i="6" s="1"/>
  <c r="K323" i="6" s="1"/>
  <c r="M323" i="6" s="1"/>
  <c r="N323" i="6" s="1"/>
  <c r="G336" i="6"/>
  <c r="H336" i="6" s="1"/>
  <c r="J336" i="6" s="1"/>
  <c r="K336" i="6" s="1"/>
  <c r="M336" i="6" s="1"/>
  <c r="N336" i="6" s="1"/>
  <c r="G341" i="6"/>
  <c r="H341" i="6" s="1"/>
  <c r="J341" i="6" s="1"/>
  <c r="K341" i="6" s="1"/>
  <c r="M341" i="6" s="1"/>
  <c r="N341" i="6" s="1"/>
  <c r="G404" i="6"/>
  <c r="H404" i="6" s="1"/>
  <c r="J404" i="6" s="1"/>
  <c r="K404" i="6" s="1"/>
  <c r="M404" i="6" s="1"/>
  <c r="N404" i="6" s="1"/>
  <c r="G421" i="6"/>
  <c r="H421" i="6" s="1"/>
  <c r="J421" i="6" s="1"/>
  <c r="K421" i="6" s="1"/>
  <c r="M421" i="6" s="1"/>
  <c r="N421" i="6" s="1"/>
  <c r="G447" i="6"/>
  <c r="H447" i="6" s="1"/>
  <c r="J447" i="6" s="1"/>
  <c r="K447" i="6" s="1"/>
  <c r="M447" i="6" s="1"/>
  <c r="N447" i="6" s="1"/>
  <c r="G451" i="6"/>
  <c r="H451" i="6" s="1"/>
  <c r="J451" i="6" s="1"/>
  <c r="K451" i="6" s="1"/>
  <c r="M451" i="6" s="1"/>
  <c r="N451" i="6" s="1"/>
  <c r="G488" i="6"/>
  <c r="H488" i="6" s="1"/>
  <c r="J488" i="6" s="1"/>
  <c r="K488" i="6" s="1"/>
  <c r="M488" i="6" s="1"/>
  <c r="N488" i="6" s="1"/>
  <c r="G494" i="6"/>
  <c r="H494" i="6" s="1"/>
  <c r="J494" i="6" s="1"/>
  <c r="K494" i="6" s="1"/>
  <c r="M494" i="6" s="1"/>
  <c r="N494" i="6" s="1"/>
  <c r="G536" i="6"/>
  <c r="H536" i="6" s="1"/>
  <c r="J536" i="6" s="1"/>
  <c r="K536" i="6" s="1"/>
  <c r="M536" i="6" s="1"/>
  <c r="N536" i="6" s="1"/>
  <c r="G570" i="6"/>
  <c r="H570" i="6" s="1"/>
  <c r="J570" i="6" s="1"/>
  <c r="K570" i="6" s="1"/>
  <c r="M570" i="6" s="1"/>
  <c r="N570" i="6" s="1"/>
  <c r="J582" i="6"/>
  <c r="K582" i="6" s="1"/>
  <c r="M582" i="6" s="1"/>
  <c r="N582" i="6" s="1"/>
  <c r="G669" i="6"/>
  <c r="H669" i="6" s="1"/>
  <c r="G704" i="6"/>
  <c r="H704" i="6" s="1"/>
  <c r="J704" i="6" s="1"/>
  <c r="K704" i="6" s="1"/>
  <c r="M704" i="6" s="1"/>
  <c r="N704" i="6" s="1"/>
  <c r="M722" i="6"/>
  <c r="N722" i="6" s="1"/>
  <c r="M729" i="6"/>
  <c r="N729" i="6" s="1"/>
  <c r="M771" i="6"/>
  <c r="N771" i="6" s="1"/>
  <c r="J217" i="6"/>
  <c r="K217" i="6" s="1"/>
  <c r="M217" i="6" s="1"/>
  <c r="N217" i="6" s="1"/>
  <c r="J249" i="6"/>
  <c r="K249" i="6" s="1"/>
  <c r="M249" i="6" s="1"/>
  <c r="N249" i="6" s="1"/>
  <c r="J276" i="6"/>
  <c r="K276" i="6" s="1"/>
  <c r="M276" i="6" s="1"/>
  <c r="N276" i="6" s="1"/>
  <c r="J293" i="6"/>
  <c r="K293" i="6" s="1"/>
  <c r="M293" i="6" s="1"/>
  <c r="N293" i="6" s="1"/>
  <c r="J334" i="6"/>
  <c r="K334" i="6" s="1"/>
  <c r="M334" i="6" s="1"/>
  <c r="N334" i="6" s="1"/>
  <c r="J359" i="6"/>
  <c r="K359" i="6" s="1"/>
  <c r="M359" i="6" s="1"/>
  <c r="N359" i="6" s="1"/>
  <c r="J402" i="6"/>
  <c r="K402" i="6" s="1"/>
  <c r="M402" i="6" s="1"/>
  <c r="N402" i="6" s="1"/>
  <c r="J406" i="6"/>
  <c r="K406" i="6" s="1"/>
  <c r="M406" i="6" s="1"/>
  <c r="N406" i="6" s="1"/>
  <c r="J408" i="6"/>
  <c r="K408" i="6" s="1"/>
  <c r="M408" i="6" s="1"/>
  <c r="N408" i="6" s="1"/>
  <c r="J435" i="6"/>
  <c r="K435" i="6" s="1"/>
  <c r="M435" i="6" s="1"/>
  <c r="N435" i="6" s="1"/>
  <c r="G457" i="6"/>
  <c r="H457" i="6" s="1"/>
  <c r="J457" i="6" s="1"/>
  <c r="K457" i="6" s="1"/>
  <c r="M457" i="6" s="1"/>
  <c r="N457" i="6" s="1"/>
  <c r="J465" i="6"/>
  <c r="K465" i="6" s="1"/>
  <c r="M465" i="6" s="1"/>
  <c r="N465" i="6" s="1"/>
  <c r="J584" i="6"/>
  <c r="K584" i="6" s="1"/>
  <c r="M584" i="6" s="1"/>
  <c r="N584" i="6" s="1"/>
  <c r="J588" i="6"/>
  <c r="K588" i="6" s="1"/>
  <c r="M588" i="6" s="1"/>
  <c r="N588" i="6" s="1"/>
  <c r="M662" i="6"/>
  <c r="N662" i="6" s="1"/>
  <c r="J791" i="6"/>
  <c r="K791" i="6" s="1"/>
  <c r="M791" i="6" s="1"/>
  <c r="N791" i="6" s="1"/>
  <c r="J808" i="6"/>
  <c r="K808" i="6" s="1"/>
  <c r="M808" i="6" s="1"/>
  <c r="N808" i="6" s="1"/>
  <c r="G894" i="6"/>
  <c r="H894" i="6" s="1"/>
  <c r="J894" i="6" s="1"/>
  <c r="K894" i="6" s="1"/>
  <c r="M894" i="6" s="1"/>
  <c r="N894" i="6" s="1"/>
  <c r="G924" i="6"/>
  <c r="H924" i="6" s="1"/>
  <c r="J924" i="6" s="1"/>
  <c r="K924" i="6" s="1"/>
  <c r="M924" i="6" s="1"/>
  <c r="N924" i="6" s="1"/>
  <c r="G100" i="6"/>
  <c r="H100" i="6" s="1"/>
  <c r="J100" i="6" s="1"/>
  <c r="K100" i="6" s="1"/>
  <c r="M100" i="6" s="1"/>
  <c r="N100" i="6" s="1"/>
  <c r="G115" i="6"/>
  <c r="H115" i="6" s="1"/>
  <c r="J115" i="6" s="1"/>
  <c r="K115" i="6" s="1"/>
  <c r="M115" i="6" s="1"/>
  <c r="N115" i="6" s="1"/>
  <c r="G141" i="6"/>
  <c r="H141" i="6" s="1"/>
  <c r="J141" i="6" s="1"/>
  <c r="K141" i="6" s="1"/>
  <c r="M141" i="6" s="1"/>
  <c r="N141" i="6" s="1"/>
  <c r="G148" i="6"/>
  <c r="H148" i="6" s="1"/>
  <c r="J148" i="6" s="1"/>
  <c r="K148" i="6" s="1"/>
  <c r="M148" i="6" s="1"/>
  <c r="N148" i="6" s="1"/>
  <c r="G190" i="6"/>
  <c r="H190" i="6" s="1"/>
  <c r="J190" i="6" s="1"/>
  <c r="K190" i="6" s="1"/>
  <c r="M190" i="6" s="1"/>
  <c r="N190" i="6" s="1"/>
  <c r="G203" i="6"/>
  <c r="H203" i="6" s="1"/>
  <c r="J203" i="6" s="1"/>
  <c r="K203" i="6" s="1"/>
  <c r="M203" i="6" s="1"/>
  <c r="N203" i="6" s="1"/>
  <c r="G223" i="6"/>
  <c r="H223" i="6" s="1"/>
  <c r="J223" i="6" s="1"/>
  <c r="K223" i="6" s="1"/>
  <c r="M223" i="6" s="1"/>
  <c r="N223" i="6" s="1"/>
  <c r="G231" i="6"/>
  <c r="H231" i="6" s="1"/>
  <c r="J231" i="6" s="1"/>
  <c r="K231" i="6" s="1"/>
  <c r="M231" i="6" s="1"/>
  <c r="N231" i="6" s="1"/>
  <c r="G244" i="6"/>
  <c r="H244" i="6" s="1"/>
  <c r="J244" i="6" s="1"/>
  <c r="K244" i="6" s="1"/>
  <c r="M244" i="6" s="1"/>
  <c r="N244" i="6" s="1"/>
  <c r="G252" i="6"/>
  <c r="H252" i="6" s="1"/>
  <c r="J252" i="6" s="1"/>
  <c r="K252" i="6" s="1"/>
  <c r="M252" i="6" s="1"/>
  <c r="N252" i="6" s="1"/>
  <c r="G263" i="6"/>
  <c r="H263" i="6" s="1"/>
  <c r="J263" i="6" s="1"/>
  <c r="K263" i="6" s="1"/>
  <c r="M263" i="6" s="1"/>
  <c r="N263" i="6" s="1"/>
  <c r="G308" i="6"/>
  <c r="H308" i="6" s="1"/>
  <c r="J308" i="6" s="1"/>
  <c r="K308" i="6" s="1"/>
  <c r="M308" i="6" s="1"/>
  <c r="N308" i="6" s="1"/>
  <c r="G318" i="6"/>
  <c r="H318" i="6" s="1"/>
  <c r="J318" i="6" s="1"/>
  <c r="K318" i="6" s="1"/>
  <c r="M318" i="6" s="1"/>
  <c r="N318" i="6" s="1"/>
  <c r="G340" i="6"/>
  <c r="H340" i="6" s="1"/>
  <c r="J340" i="6" s="1"/>
  <c r="K340" i="6" s="1"/>
  <c r="M340" i="6" s="1"/>
  <c r="N340" i="6" s="1"/>
  <c r="J365" i="6"/>
  <c r="K365" i="6" s="1"/>
  <c r="M365" i="6" s="1"/>
  <c r="N365" i="6" s="1"/>
  <c r="G400" i="6"/>
  <c r="H400" i="6" s="1"/>
  <c r="J400" i="6" s="1"/>
  <c r="K400" i="6" s="1"/>
  <c r="M400" i="6" s="1"/>
  <c r="N400" i="6" s="1"/>
  <c r="G437" i="6"/>
  <c r="H437" i="6" s="1"/>
  <c r="J437" i="6" s="1"/>
  <c r="K437" i="6" s="1"/>
  <c r="M437" i="6" s="1"/>
  <c r="N437" i="6" s="1"/>
  <c r="G441" i="6"/>
  <c r="H441" i="6" s="1"/>
  <c r="J441" i="6" s="1"/>
  <c r="K441" i="6" s="1"/>
  <c r="M441" i="6" s="1"/>
  <c r="N441" i="6" s="1"/>
  <c r="G445" i="6"/>
  <c r="H445" i="6" s="1"/>
  <c r="J445" i="6" s="1"/>
  <c r="K445" i="6" s="1"/>
  <c r="M445" i="6" s="1"/>
  <c r="N445" i="6" s="1"/>
  <c r="G461" i="6"/>
  <c r="H461" i="6" s="1"/>
  <c r="J461" i="6" s="1"/>
  <c r="K461" i="6" s="1"/>
  <c r="M461" i="6" s="1"/>
  <c r="N461" i="6" s="1"/>
  <c r="G463" i="6"/>
  <c r="H463" i="6" s="1"/>
  <c r="J463" i="6" s="1"/>
  <c r="K463" i="6" s="1"/>
  <c r="M463" i="6" s="1"/>
  <c r="N463" i="6" s="1"/>
  <c r="M479" i="6"/>
  <c r="N479" i="6" s="1"/>
  <c r="J482" i="6"/>
  <c r="K482" i="6" s="1"/>
  <c r="M482" i="6" s="1"/>
  <c r="N482" i="6" s="1"/>
  <c r="J486" i="6"/>
  <c r="K486" i="6" s="1"/>
  <c r="G528" i="6"/>
  <c r="H528" i="6" s="1"/>
  <c r="J528" i="6" s="1"/>
  <c r="K528" i="6" s="1"/>
  <c r="M528" i="6" s="1"/>
  <c r="N528" i="6" s="1"/>
  <c r="G539" i="6"/>
  <c r="H539" i="6" s="1"/>
  <c r="J539" i="6" s="1"/>
  <c r="K539" i="6" s="1"/>
  <c r="M539" i="6" s="1"/>
  <c r="N539" i="6" s="1"/>
  <c r="J559" i="6"/>
  <c r="K559" i="6" s="1"/>
  <c r="M559" i="6" s="1"/>
  <c r="N559" i="6" s="1"/>
  <c r="G649" i="6"/>
  <c r="H649" i="6" s="1"/>
  <c r="G676" i="6"/>
  <c r="H676" i="6" s="1"/>
  <c r="J676" i="6" s="1"/>
  <c r="K676" i="6" s="1"/>
  <c r="M676" i="6" s="1"/>
  <c r="N676" i="6" s="1"/>
  <c r="G754" i="6"/>
  <c r="H754" i="6" s="1"/>
  <c r="J754" i="6" s="1"/>
  <c r="K754" i="6" s="1"/>
  <c r="M754" i="6" s="1"/>
  <c r="N754" i="6" s="1"/>
  <c r="M246" i="6"/>
  <c r="N246" i="6" s="1"/>
  <c r="J250" i="6"/>
  <c r="K250" i="6" s="1"/>
  <c r="M250" i="6" s="1"/>
  <c r="N250" i="6" s="1"/>
  <c r="J259" i="6"/>
  <c r="K259" i="6" s="1"/>
  <c r="M259" i="6" s="1"/>
  <c r="N259" i="6" s="1"/>
  <c r="J271" i="6"/>
  <c r="K271" i="6" s="1"/>
  <c r="M271" i="6" s="1"/>
  <c r="N271" i="6" s="1"/>
  <c r="J284" i="6"/>
  <c r="K284" i="6" s="1"/>
  <c r="M284" i="6" s="1"/>
  <c r="N284" i="6" s="1"/>
  <c r="J306" i="6"/>
  <c r="K306" i="6" s="1"/>
  <c r="M306" i="6" s="1"/>
  <c r="N306" i="6" s="1"/>
  <c r="M327" i="6"/>
  <c r="N327" i="6" s="1"/>
  <c r="J329" i="6"/>
  <c r="K329" i="6" s="1"/>
  <c r="M329" i="6" s="1"/>
  <c r="N329" i="6" s="1"/>
  <c r="J382" i="6"/>
  <c r="K382" i="6" s="1"/>
  <c r="M382" i="6" s="1"/>
  <c r="N382" i="6" s="1"/>
  <c r="J394" i="6"/>
  <c r="K394" i="6" s="1"/>
  <c r="M394" i="6" s="1"/>
  <c r="N394" i="6" s="1"/>
  <c r="J430" i="6"/>
  <c r="K430" i="6" s="1"/>
  <c r="M430" i="6" s="1"/>
  <c r="N430" i="6" s="1"/>
  <c r="J472" i="6"/>
  <c r="K472" i="6" s="1"/>
  <c r="M472" i="6" s="1"/>
  <c r="N472" i="6" s="1"/>
  <c r="J476" i="6"/>
  <c r="K476" i="6" s="1"/>
  <c r="M476" i="6" s="1"/>
  <c r="N476" i="6" s="1"/>
  <c r="J478" i="6"/>
  <c r="K478" i="6" s="1"/>
  <c r="M478" i="6" s="1"/>
  <c r="N478" i="6" s="1"/>
  <c r="J480" i="6"/>
  <c r="K480" i="6" s="1"/>
  <c r="J499" i="6"/>
  <c r="K499" i="6" s="1"/>
  <c r="M499" i="6" s="1"/>
  <c r="N499" i="6" s="1"/>
  <c r="J503" i="6"/>
  <c r="K503" i="6" s="1"/>
  <c r="M503" i="6" s="1"/>
  <c r="N503" i="6" s="1"/>
  <c r="J526" i="6"/>
  <c r="K526" i="6" s="1"/>
  <c r="M526" i="6" s="1"/>
  <c r="N526" i="6" s="1"/>
  <c r="J550" i="6"/>
  <c r="K550" i="6" s="1"/>
  <c r="M550" i="6" s="1"/>
  <c r="N550" i="6" s="1"/>
  <c r="J591" i="6"/>
  <c r="K591" i="6" s="1"/>
  <c r="M591" i="6" s="1"/>
  <c r="N591" i="6" s="1"/>
  <c r="J608" i="6"/>
  <c r="K608" i="6" s="1"/>
  <c r="M608" i="6" s="1"/>
  <c r="N608" i="6" s="1"/>
  <c r="J621" i="6"/>
  <c r="K621" i="6" s="1"/>
  <c r="M621" i="6" s="1"/>
  <c r="N621" i="6" s="1"/>
  <c r="J629" i="6"/>
  <c r="K629" i="6" s="1"/>
  <c r="M629" i="6" s="1"/>
  <c r="N629" i="6" s="1"/>
  <c r="J789" i="6"/>
  <c r="K789" i="6" s="1"/>
  <c r="M789" i="6" s="1"/>
  <c r="N789" i="6" s="1"/>
  <c r="J892" i="6"/>
  <c r="K892" i="6" s="1"/>
  <c r="M892" i="6" s="1"/>
  <c r="N892" i="6" s="1"/>
  <c r="G193" i="6"/>
  <c r="H193" i="6" s="1"/>
  <c r="J193" i="6" s="1"/>
  <c r="K193" i="6" s="1"/>
  <c r="M193" i="6" s="1"/>
  <c r="N193" i="6" s="1"/>
  <c r="G197" i="6"/>
  <c r="H197" i="6" s="1"/>
  <c r="J197" i="6" s="1"/>
  <c r="K197" i="6" s="1"/>
  <c r="M197" i="6" s="1"/>
  <c r="N197" i="6" s="1"/>
  <c r="G201" i="6"/>
  <c r="H201" i="6" s="1"/>
  <c r="J201" i="6" s="1"/>
  <c r="K201" i="6" s="1"/>
  <c r="M201" i="6" s="1"/>
  <c r="N201" i="6" s="1"/>
  <c r="G208" i="6"/>
  <c r="H208" i="6" s="1"/>
  <c r="J208" i="6" s="1"/>
  <c r="K208" i="6" s="1"/>
  <c r="M208" i="6" s="1"/>
  <c r="N208" i="6" s="1"/>
  <c r="G242" i="6"/>
  <c r="H242" i="6" s="1"/>
  <c r="J242" i="6" s="1"/>
  <c r="K242" i="6" s="1"/>
  <c r="M242" i="6" s="1"/>
  <c r="N242" i="6" s="1"/>
  <c r="J248" i="6"/>
  <c r="K248" i="6" s="1"/>
  <c r="M248" i="6" s="1"/>
  <c r="N248" i="6" s="1"/>
  <c r="G288" i="6"/>
  <c r="H288" i="6" s="1"/>
  <c r="J288" i="6" s="1"/>
  <c r="K288" i="6" s="1"/>
  <c r="M288" i="6" s="1"/>
  <c r="N288" i="6" s="1"/>
  <c r="G298" i="6"/>
  <c r="H298" i="6" s="1"/>
  <c r="J298" i="6" s="1"/>
  <c r="K298" i="6" s="1"/>
  <c r="M298" i="6" s="1"/>
  <c r="N298" i="6" s="1"/>
  <c r="G304" i="6"/>
  <c r="H304" i="6" s="1"/>
  <c r="J304" i="6" s="1"/>
  <c r="K304" i="6" s="1"/>
  <c r="M304" i="6" s="1"/>
  <c r="N304" i="6" s="1"/>
  <c r="G316" i="6"/>
  <c r="H316" i="6" s="1"/>
  <c r="J316" i="6" s="1"/>
  <c r="K316" i="6" s="1"/>
  <c r="M316" i="6" s="1"/>
  <c r="N316" i="6" s="1"/>
  <c r="G324" i="6"/>
  <c r="H324" i="6" s="1"/>
  <c r="J324" i="6" s="1"/>
  <c r="K324" i="6" s="1"/>
  <c r="M324" i="6" s="1"/>
  <c r="N324" i="6" s="1"/>
  <c r="G342" i="6"/>
  <c r="H342" i="6" s="1"/>
  <c r="J342" i="6" s="1"/>
  <c r="K342" i="6" s="1"/>
  <c r="G349" i="6"/>
  <c r="H349" i="6" s="1"/>
  <c r="J349" i="6" s="1"/>
  <c r="K349" i="6" s="1"/>
  <c r="M349" i="6" s="1"/>
  <c r="N349" i="6" s="1"/>
  <c r="G366" i="6"/>
  <c r="H366" i="6" s="1"/>
  <c r="J366" i="6" s="1"/>
  <c r="K366" i="6" s="1"/>
  <c r="M366" i="6" s="1"/>
  <c r="N366" i="6" s="1"/>
  <c r="G370" i="6"/>
  <c r="H370" i="6" s="1"/>
  <c r="J370" i="6" s="1"/>
  <c r="K370" i="6" s="1"/>
  <c r="M370" i="6" s="1"/>
  <c r="N370" i="6" s="1"/>
  <c r="J373" i="6"/>
  <c r="K373" i="6" s="1"/>
  <c r="G380" i="6"/>
  <c r="H380" i="6" s="1"/>
  <c r="J380" i="6" s="1"/>
  <c r="K380" i="6" s="1"/>
  <c r="M380" i="6" s="1"/>
  <c r="N380" i="6" s="1"/>
  <c r="G384" i="6"/>
  <c r="H384" i="6" s="1"/>
  <c r="J384" i="6" s="1"/>
  <c r="K384" i="6" s="1"/>
  <c r="M384" i="6" s="1"/>
  <c r="N384" i="6" s="1"/>
  <c r="G386" i="6"/>
  <c r="H386" i="6" s="1"/>
  <c r="J386" i="6" s="1"/>
  <c r="K386" i="6" s="1"/>
  <c r="M386" i="6" s="1"/>
  <c r="N386" i="6" s="1"/>
  <c r="G411" i="6"/>
  <c r="H411" i="6" s="1"/>
  <c r="J411" i="6" s="1"/>
  <c r="K411" i="6" s="1"/>
  <c r="M411" i="6" s="1"/>
  <c r="N411" i="6" s="1"/>
  <c r="G422" i="6"/>
  <c r="H422" i="6" s="1"/>
  <c r="G426" i="6"/>
  <c r="H426" i="6" s="1"/>
  <c r="J426" i="6" s="1"/>
  <c r="K426" i="6" s="1"/>
  <c r="M426" i="6" s="1"/>
  <c r="N426" i="6" s="1"/>
  <c r="G448" i="6"/>
  <c r="H448" i="6" s="1"/>
  <c r="J448" i="6" s="1"/>
  <c r="K448" i="6" s="1"/>
  <c r="M448" i="6" s="1"/>
  <c r="N448" i="6" s="1"/>
  <c r="G452" i="6"/>
  <c r="H452" i="6" s="1"/>
  <c r="J452" i="6" s="1"/>
  <c r="K452" i="6" s="1"/>
  <c r="M452" i="6" s="1"/>
  <c r="N452" i="6" s="1"/>
  <c r="G489" i="6"/>
  <c r="H489" i="6" s="1"/>
  <c r="J489" i="6" s="1"/>
  <c r="K489" i="6" s="1"/>
  <c r="M489" i="6" s="1"/>
  <c r="N489" i="6" s="1"/>
  <c r="G495" i="6"/>
  <c r="H495" i="6" s="1"/>
  <c r="J495" i="6" s="1"/>
  <c r="K495" i="6" s="1"/>
  <c r="M495" i="6" s="1"/>
  <c r="N495" i="6" s="1"/>
  <c r="G537" i="6"/>
  <c r="H537" i="6" s="1"/>
  <c r="J537" i="6" s="1"/>
  <c r="K537" i="6" s="1"/>
  <c r="M537" i="6" s="1"/>
  <c r="N537" i="6" s="1"/>
  <c r="G548" i="6"/>
  <c r="H548" i="6" s="1"/>
  <c r="J548" i="6" s="1"/>
  <c r="K548" i="6" s="1"/>
  <c r="M548" i="6" s="1"/>
  <c r="N548" i="6" s="1"/>
  <c r="G557" i="6"/>
  <c r="H557" i="6" s="1"/>
  <c r="J557" i="6" s="1"/>
  <c r="K557" i="6" s="1"/>
  <c r="M557" i="6" s="1"/>
  <c r="N557" i="6" s="1"/>
  <c r="M615" i="6"/>
  <c r="N615" i="6" s="1"/>
  <c r="M635" i="6"/>
  <c r="N635" i="6" s="1"/>
  <c r="G739" i="6"/>
  <c r="H739" i="6" s="1"/>
  <c r="J739" i="6" s="1"/>
  <c r="K739" i="6" s="1"/>
  <c r="M739" i="6" s="1"/>
  <c r="N739" i="6" s="1"/>
  <c r="J799" i="6"/>
  <c r="K799" i="6" s="1"/>
  <c r="M799" i="6" s="1"/>
  <c r="N799" i="6" s="1"/>
  <c r="M864" i="6"/>
  <c r="N864" i="6" s="1"/>
  <c r="M362" i="6"/>
  <c r="N362" i="6" s="1"/>
  <c r="M376" i="6"/>
  <c r="N376" i="6" s="1"/>
  <c r="M409" i="6"/>
  <c r="N409" i="6" s="1"/>
  <c r="G428" i="6"/>
  <c r="H428" i="6" s="1"/>
  <c r="J428" i="6" s="1"/>
  <c r="K428" i="6" s="1"/>
  <c r="M428" i="6" s="1"/>
  <c r="N428" i="6" s="1"/>
  <c r="M486" i="6"/>
  <c r="N486" i="6" s="1"/>
  <c r="M497" i="6"/>
  <c r="N497" i="6" s="1"/>
  <c r="M520" i="6"/>
  <c r="N520" i="6" s="1"/>
  <c r="M542" i="6"/>
  <c r="N542" i="6" s="1"/>
  <c r="M555" i="6"/>
  <c r="N555" i="6" s="1"/>
  <c r="G563" i="6"/>
  <c r="H563" i="6" s="1"/>
  <c r="J563" i="6" s="1"/>
  <c r="K563" i="6" s="1"/>
  <c r="M563" i="6" s="1"/>
  <c r="N563" i="6" s="1"/>
  <c r="M565" i="6"/>
  <c r="N565" i="6" s="1"/>
  <c r="M581" i="6"/>
  <c r="N581" i="6" s="1"/>
  <c r="G625" i="6"/>
  <c r="H625" i="6" s="1"/>
  <c r="J625" i="6" s="1"/>
  <c r="K625" i="6" s="1"/>
  <c r="M625" i="6" s="1"/>
  <c r="N625" i="6" s="1"/>
  <c r="M685" i="6"/>
  <c r="N685" i="6" s="1"/>
  <c r="J757" i="6"/>
  <c r="K757" i="6" s="1"/>
  <c r="M757" i="6" s="1"/>
  <c r="N757" i="6" s="1"/>
  <c r="M930" i="6"/>
  <c r="N930" i="6" s="1"/>
  <c r="M944" i="6"/>
  <c r="N944" i="6" s="1"/>
  <c r="G116" i="6"/>
  <c r="H116" i="6" s="1"/>
  <c r="J116" i="6" s="1"/>
  <c r="K116" i="6" s="1"/>
  <c r="M116" i="6" s="1"/>
  <c r="N116" i="6" s="1"/>
  <c r="G142" i="6"/>
  <c r="H142" i="6" s="1"/>
  <c r="J142" i="6" s="1"/>
  <c r="K142" i="6" s="1"/>
  <c r="M142" i="6" s="1"/>
  <c r="N142" i="6" s="1"/>
  <c r="G144" i="6"/>
  <c r="H144" i="6" s="1"/>
  <c r="J144" i="6" s="1"/>
  <c r="K144" i="6" s="1"/>
  <c r="M144" i="6" s="1"/>
  <c r="N144" i="6" s="1"/>
  <c r="G172" i="6"/>
  <c r="H172" i="6" s="1"/>
  <c r="J172" i="6" s="1"/>
  <c r="K172" i="6" s="1"/>
  <c r="M172" i="6" s="1"/>
  <c r="N172" i="6" s="1"/>
  <c r="G191" i="6"/>
  <c r="H191" i="6" s="1"/>
  <c r="J191" i="6" s="1"/>
  <c r="K191" i="6" s="1"/>
  <c r="M191" i="6" s="1"/>
  <c r="N191" i="6" s="1"/>
  <c r="G204" i="6"/>
  <c r="H204" i="6" s="1"/>
  <c r="J204" i="6" s="1"/>
  <c r="K204" i="6" s="1"/>
  <c r="M204" i="6" s="1"/>
  <c r="N204" i="6" s="1"/>
  <c r="G245" i="6"/>
  <c r="H245" i="6" s="1"/>
  <c r="J245" i="6" s="1"/>
  <c r="K245" i="6" s="1"/>
  <c r="M245" i="6" s="1"/>
  <c r="N245" i="6" s="1"/>
  <c r="G253" i="6"/>
  <c r="H253" i="6" s="1"/>
  <c r="J253" i="6" s="1"/>
  <c r="K253" i="6" s="1"/>
  <c r="M253" i="6" s="1"/>
  <c r="N253" i="6" s="1"/>
  <c r="J257" i="6"/>
  <c r="K257" i="6" s="1"/>
  <c r="M257" i="6" s="1"/>
  <c r="N257" i="6" s="1"/>
  <c r="G262" i="6"/>
  <c r="H262" i="6" s="1"/>
  <c r="J262" i="6" s="1"/>
  <c r="K262" i="6" s="1"/>
  <c r="M262" i="6" s="1"/>
  <c r="N262" i="6" s="1"/>
  <c r="G282" i="6"/>
  <c r="H282" i="6" s="1"/>
  <c r="J282" i="6" s="1"/>
  <c r="K282" i="6" s="1"/>
  <c r="M282" i="6" s="1"/>
  <c r="N282" i="6" s="1"/>
  <c r="G302" i="6"/>
  <c r="H302" i="6" s="1"/>
  <c r="J302" i="6" s="1"/>
  <c r="K302" i="6" s="1"/>
  <c r="M302" i="6" s="1"/>
  <c r="N302" i="6" s="1"/>
  <c r="J314" i="6"/>
  <c r="K314" i="6" s="1"/>
  <c r="M314" i="6" s="1"/>
  <c r="N314" i="6" s="1"/>
  <c r="G322" i="6"/>
  <c r="H322" i="6" s="1"/>
  <c r="J322" i="6" s="1"/>
  <c r="K322" i="6" s="1"/>
  <c r="M322" i="6" s="1"/>
  <c r="N322" i="6" s="1"/>
  <c r="G358" i="6"/>
  <c r="H358" i="6" s="1"/>
  <c r="J358" i="6" s="1"/>
  <c r="K358" i="6" s="1"/>
  <c r="G374" i="6"/>
  <c r="H374" i="6" s="1"/>
  <c r="J374" i="6" s="1"/>
  <c r="K374" i="6" s="1"/>
  <c r="M374" i="6" s="1"/>
  <c r="N374" i="6" s="1"/>
  <c r="G405" i="6"/>
  <c r="H405" i="6" s="1"/>
  <c r="J405" i="6" s="1"/>
  <c r="K405" i="6" s="1"/>
  <c r="M405" i="6" s="1"/>
  <c r="N405" i="6" s="1"/>
  <c r="G420" i="6"/>
  <c r="H420" i="6" s="1"/>
  <c r="J420" i="6" s="1"/>
  <c r="K420" i="6" s="1"/>
  <c r="M420" i="6" s="1"/>
  <c r="N420" i="6" s="1"/>
  <c r="J443" i="6"/>
  <c r="K443" i="6" s="1"/>
  <c r="M443" i="6" s="1"/>
  <c r="N443" i="6" s="1"/>
  <c r="G446" i="6"/>
  <c r="H446" i="6" s="1"/>
  <c r="G468" i="6"/>
  <c r="H468" i="6" s="1"/>
  <c r="J468" i="6" s="1"/>
  <c r="K468" i="6" s="1"/>
  <c r="M468" i="6" s="1"/>
  <c r="N468" i="6" s="1"/>
  <c r="G487" i="6"/>
  <c r="H487" i="6" s="1"/>
  <c r="J487" i="6" s="1"/>
  <c r="K487" i="6" s="1"/>
  <c r="M487" i="6" s="1"/>
  <c r="N487" i="6" s="1"/>
  <c r="G506" i="6"/>
  <c r="H506" i="6" s="1"/>
  <c r="J506" i="6" s="1"/>
  <c r="K506" i="6" s="1"/>
  <c r="M506" i="6" s="1"/>
  <c r="N506" i="6" s="1"/>
  <c r="G518" i="6"/>
  <c r="H518" i="6" s="1"/>
  <c r="J518" i="6" s="1"/>
  <c r="K518" i="6" s="1"/>
  <c r="M518" i="6" s="1"/>
  <c r="N518" i="6" s="1"/>
  <c r="G560" i="6"/>
  <c r="H560" i="6" s="1"/>
  <c r="J560" i="6" s="1"/>
  <c r="K560" i="6" s="1"/>
  <c r="M560" i="6" s="1"/>
  <c r="N560" i="6" s="1"/>
  <c r="G569" i="6"/>
  <c r="H569" i="6" s="1"/>
  <c r="J569" i="6" s="1"/>
  <c r="K569" i="6" s="1"/>
  <c r="M569" i="6" s="1"/>
  <c r="N569" i="6" s="1"/>
  <c r="G583" i="6"/>
  <c r="H583" i="6" s="1"/>
  <c r="J583" i="6" s="1"/>
  <c r="K583" i="6" s="1"/>
  <c r="M583" i="6" s="1"/>
  <c r="N583" i="6" s="1"/>
  <c r="G618" i="6"/>
  <c r="H618" i="6" s="1"/>
  <c r="J618" i="6" s="1"/>
  <c r="K618" i="6" s="1"/>
  <c r="M618" i="6" s="1"/>
  <c r="N618" i="6" s="1"/>
  <c r="G650" i="6"/>
  <c r="H650" i="6" s="1"/>
  <c r="J650" i="6" s="1"/>
  <c r="K650" i="6" s="1"/>
  <c r="M650" i="6" s="1"/>
  <c r="N650" i="6" s="1"/>
  <c r="G661" i="6"/>
  <c r="H661" i="6" s="1"/>
  <c r="J661" i="6" s="1"/>
  <c r="K661" i="6" s="1"/>
  <c r="M661" i="6" s="1"/>
  <c r="N661" i="6" s="1"/>
  <c r="G677" i="6"/>
  <c r="H677" i="6" s="1"/>
  <c r="J677" i="6" s="1"/>
  <c r="K677" i="6" s="1"/>
  <c r="M677" i="6" s="1"/>
  <c r="N677" i="6" s="1"/>
  <c r="G683" i="6"/>
  <c r="H683" i="6" s="1"/>
  <c r="J683" i="6" s="1"/>
  <c r="K683" i="6" s="1"/>
  <c r="M683" i="6" s="1"/>
  <c r="N683" i="6" s="1"/>
  <c r="M710" i="6"/>
  <c r="N710" i="6" s="1"/>
  <c r="M728" i="6"/>
  <c r="N728" i="6" s="1"/>
  <c r="M737" i="6"/>
  <c r="N737" i="6" s="1"/>
  <c r="J862" i="6"/>
  <c r="K862" i="6" s="1"/>
  <c r="M862" i="6" s="1"/>
  <c r="N862" i="6" s="1"/>
  <c r="M934" i="6"/>
  <c r="N934" i="6" s="1"/>
  <c r="G226" i="6"/>
  <c r="H226" i="6" s="1"/>
  <c r="J226" i="6" s="1"/>
  <c r="K226" i="6" s="1"/>
  <c r="M226" i="6" s="1"/>
  <c r="N226" i="6" s="1"/>
  <c r="J230" i="6"/>
  <c r="K230" i="6" s="1"/>
  <c r="M230" i="6" s="1"/>
  <c r="N230" i="6" s="1"/>
  <c r="G275" i="6"/>
  <c r="H275" i="6" s="1"/>
  <c r="J275" i="6" s="1"/>
  <c r="K275" i="6" s="1"/>
  <c r="M275" i="6" s="1"/>
  <c r="N275" i="6" s="1"/>
  <c r="G277" i="6"/>
  <c r="H277" i="6" s="1"/>
  <c r="J277" i="6" s="1"/>
  <c r="K277" i="6" s="1"/>
  <c r="M277" i="6" s="1"/>
  <c r="N277" i="6" s="1"/>
  <c r="G285" i="6"/>
  <c r="H285" i="6" s="1"/>
  <c r="J285" i="6" s="1"/>
  <c r="K285" i="6" s="1"/>
  <c r="M285" i="6" s="1"/>
  <c r="N285" i="6" s="1"/>
  <c r="G328" i="6"/>
  <c r="H328" i="6" s="1"/>
  <c r="J328" i="6" s="1"/>
  <c r="K328" i="6" s="1"/>
  <c r="M328" i="6" s="1"/>
  <c r="N328" i="6" s="1"/>
  <c r="G330" i="6"/>
  <c r="H330" i="6" s="1"/>
  <c r="J330" i="6" s="1"/>
  <c r="K330" i="6" s="1"/>
  <c r="M330" i="6" s="1"/>
  <c r="N330" i="6" s="1"/>
  <c r="M342" i="6"/>
  <c r="N342" i="6" s="1"/>
  <c r="G403" i="6"/>
  <c r="H403" i="6" s="1"/>
  <c r="J403" i="6" s="1"/>
  <c r="K403" i="6" s="1"/>
  <c r="M403" i="6" s="1"/>
  <c r="N403" i="6" s="1"/>
  <c r="G414" i="6"/>
  <c r="H414" i="6" s="1"/>
  <c r="J414" i="6" s="1"/>
  <c r="K414" i="6" s="1"/>
  <c r="M414" i="6" s="1"/>
  <c r="N414" i="6" s="1"/>
  <c r="G436" i="6"/>
  <c r="H436" i="6" s="1"/>
  <c r="J436" i="6" s="1"/>
  <c r="K436" i="6" s="1"/>
  <c r="M436" i="6" s="1"/>
  <c r="N436" i="6" s="1"/>
  <c r="G442" i="6"/>
  <c r="H442" i="6" s="1"/>
  <c r="J442" i="6" s="1"/>
  <c r="K442" i="6" s="1"/>
  <c r="M442" i="6" s="1"/>
  <c r="N442" i="6" s="1"/>
  <c r="G458" i="6"/>
  <c r="H458" i="6" s="1"/>
  <c r="J458" i="6" s="1"/>
  <c r="K458" i="6" s="1"/>
  <c r="M458" i="6" s="1"/>
  <c r="N458" i="6" s="1"/>
  <c r="G483" i="6"/>
  <c r="H483" i="6" s="1"/>
  <c r="J483" i="6" s="1"/>
  <c r="K483" i="6" s="1"/>
  <c r="M483" i="6" s="1"/>
  <c r="N483" i="6" s="1"/>
  <c r="G502" i="6"/>
  <c r="H502" i="6" s="1"/>
  <c r="J502" i="6" s="1"/>
  <c r="K502" i="6" s="1"/>
  <c r="M502" i="6" s="1"/>
  <c r="N502" i="6" s="1"/>
  <c r="G504" i="6"/>
  <c r="H504" i="6" s="1"/>
  <c r="J504" i="6" s="1"/>
  <c r="K504" i="6" s="1"/>
  <c r="M504" i="6" s="1"/>
  <c r="N504" i="6" s="1"/>
  <c r="G516" i="6"/>
  <c r="H516" i="6" s="1"/>
  <c r="J516" i="6" s="1"/>
  <c r="K516" i="6" s="1"/>
  <c r="M516" i="6" s="1"/>
  <c r="N516" i="6" s="1"/>
  <c r="G553" i="6"/>
  <c r="H553" i="6" s="1"/>
  <c r="J553" i="6" s="1"/>
  <c r="K553" i="6" s="1"/>
  <c r="M553" i="6" s="1"/>
  <c r="N553" i="6" s="1"/>
  <c r="J592" i="6"/>
  <c r="K592" i="6" s="1"/>
  <c r="M592" i="6" s="1"/>
  <c r="N592" i="6" s="1"/>
  <c r="G611" i="6"/>
  <c r="H611" i="6" s="1"/>
  <c r="J643" i="6"/>
  <c r="K643" i="6" s="1"/>
  <c r="M643" i="6" s="1"/>
  <c r="N643" i="6" s="1"/>
  <c r="J795" i="6"/>
  <c r="K795" i="6" s="1"/>
  <c r="M795" i="6" s="1"/>
  <c r="N795" i="6" s="1"/>
  <c r="J911" i="6"/>
  <c r="K911" i="6" s="1"/>
  <c r="M911" i="6" s="1"/>
  <c r="N911" i="6" s="1"/>
  <c r="G746" i="6"/>
  <c r="H746" i="6" s="1"/>
  <c r="J746" i="6" s="1"/>
  <c r="K746" i="6" s="1"/>
  <c r="M746" i="6" s="1"/>
  <c r="N746" i="6" s="1"/>
  <c r="J759" i="6"/>
  <c r="K759" i="6" s="1"/>
  <c r="M759" i="6" s="1"/>
  <c r="N759" i="6" s="1"/>
  <c r="G766" i="6"/>
  <c r="H766" i="6" s="1"/>
  <c r="J766" i="6" s="1"/>
  <c r="K766" i="6" s="1"/>
  <c r="M766" i="6" s="1"/>
  <c r="N766" i="6" s="1"/>
  <c r="G772" i="6"/>
  <c r="H772" i="6" s="1"/>
  <c r="J772" i="6" s="1"/>
  <c r="K772" i="6" s="1"/>
  <c r="M772" i="6" s="1"/>
  <c r="N772" i="6" s="1"/>
  <c r="M827" i="6"/>
  <c r="N827" i="6" s="1"/>
  <c r="G908" i="6"/>
  <c r="H908" i="6" s="1"/>
  <c r="J908" i="6" s="1"/>
  <c r="K908" i="6" s="1"/>
  <c r="M908" i="6" s="1"/>
  <c r="N908" i="6" s="1"/>
  <c r="G918" i="6"/>
  <c r="H918" i="6" s="1"/>
  <c r="G922" i="6"/>
  <c r="H922" i="6" s="1"/>
  <c r="J922" i="6" s="1"/>
  <c r="K922" i="6" s="1"/>
  <c r="M922" i="6" s="1"/>
  <c r="N922" i="6" s="1"/>
  <c r="G933" i="6"/>
  <c r="H933" i="6" s="1"/>
  <c r="J933" i="6" s="1"/>
  <c r="K933" i="6" s="1"/>
  <c r="M933" i="6" s="1"/>
  <c r="N933" i="6" s="1"/>
  <c r="G943" i="6"/>
  <c r="H943" i="6" s="1"/>
  <c r="J943" i="6" s="1"/>
  <c r="K943" i="6" s="1"/>
  <c r="M943" i="6" s="1"/>
  <c r="N943" i="6" s="1"/>
  <c r="M954" i="6"/>
  <c r="N954" i="6" s="1"/>
  <c r="J646" i="6"/>
  <c r="K646" i="6" s="1"/>
  <c r="M646" i="6" s="1"/>
  <c r="N646" i="6" s="1"/>
  <c r="M709" i="6"/>
  <c r="N709" i="6" s="1"/>
  <c r="J727" i="6"/>
  <c r="K727" i="6" s="1"/>
  <c r="M727" i="6" s="1"/>
  <c r="N727" i="6" s="1"/>
  <c r="J742" i="6"/>
  <c r="K742" i="6" s="1"/>
  <c r="M742" i="6" s="1"/>
  <c r="N742" i="6" s="1"/>
  <c r="J779" i="6"/>
  <c r="K779" i="6" s="1"/>
  <c r="M779" i="6" s="1"/>
  <c r="N779" i="6" s="1"/>
  <c r="J785" i="6"/>
  <c r="K785" i="6" s="1"/>
  <c r="M785" i="6" s="1"/>
  <c r="N785" i="6" s="1"/>
  <c r="J817" i="6"/>
  <c r="K817" i="6" s="1"/>
  <c r="M817" i="6" s="1"/>
  <c r="N817" i="6" s="1"/>
  <c r="J819" i="6"/>
  <c r="K819" i="6" s="1"/>
  <c r="M819" i="6" s="1"/>
  <c r="N819" i="6" s="1"/>
  <c r="G835" i="6"/>
  <c r="H835" i="6" s="1"/>
  <c r="J863" i="6"/>
  <c r="K863" i="6" s="1"/>
  <c r="M863" i="6" s="1"/>
  <c r="N863" i="6" s="1"/>
  <c r="J883" i="6"/>
  <c r="K883" i="6" s="1"/>
  <c r="J891" i="6"/>
  <c r="K891" i="6" s="1"/>
  <c r="M891" i="6" s="1"/>
  <c r="N891" i="6" s="1"/>
  <c r="J912" i="6"/>
  <c r="K912" i="6" s="1"/>
  <c r="M912" i="6" s="1"/>
  <c r="N912" i="6" s="1"/>
  <c r="G522" i="6"/>
  <c r="H522" i="6" s="1"/>
  <c r="J522" i="6" s="1"/>
  <c r="K522" i="6" s="1"/>
  <c r="M522" i="6" s="1"/>
  <c r="N522" i="6" s="1"/>
  <c r="G532" i="6"/>
  <c r="H532" i="6" s="1"/>
  <c r="J532" i="6" s="1"/>
  <c r="K532" i="6" s="1"/>
  <c r="M532" i="6" s="1"/>
  <c r="N532" i="6" s="1"/>
  <c r="G538" i="6"/>
  <c r="H538" i="6" s="1"/>
  <c r="J538" i="6" s="1"/>
  <c r="K538" i="6" s="1"/>
  <c r="M538" i="6" s="1"/>
  <c r="N538" i="6" s="1"/>
  <c r="G540" i="6"/>
  <c r="H540" i="6" s="1"/>
  <c r="J540" i="6" s="1"/>
  <c r="K540" i="6" s="1"/>
  <c r="M540" i="6" s="1"/>
  <c r="N540" i="6" s="1"/>
  <c r="G544" i="6"/>
  <c r="H544" i="6" s="1"/>
  <c r="J544" i="6" s="1"/>
  <c r="K544" i="6" s="1"/>
  <c r="M544" i="6" s="1"/>
  <c r="N544" i="6" s="1"/>
  <c r="G564" i="6"/>
  <c r="H564" i="6" s="1"/>
  <c r="J564" i="6" s="1"/>
  <c r="K564" i="6" s="1"/>
  <c r="M564" i="6" s="1"/>
  <c r="N564" i="6" s="1"/>
  <c r="G572" i="6"/>
  <c r="H572" i="6" s="1"/>
  <c r="J572" i="6" s="1"/>
  <c r="K572" i="6" s="1"/>
  <c r="M572" i="6" s="1"/>
  <c r="N572" i="6" s="1"/>
  <c r="J586" i="6"/>
  <c r="K586" i="6" s="1"/>
  <c r="M586" i="6" s="1"/>
  <c r="N586" i="6" s="1"/>
  <c r="G598" i="6"/>
  <c r="H598" i="6" s="1"/>
  <c r="J598" i="6" s="1"/>
  <c r="K598" i="6" s="1"/>
  <c r="M598" i="6" s="1"/>
  <c r="N598" i="6" s="1"/>
  <c r="G600" i="6"/>
  <c r="H600" i="6" s="1"/>
  <c r="G602" i="6"/>
  <c r="H602" i="6" s="1"/>
  <c r="J602" i="6" s="1"/>
  <c r="K602" i="6" s="1"/>
  <c r="G604" i="6"/>
  <c r="H604" i="6" s="1"/>
  <c r="J604" i="6" s="1"/>
  <c r="K604" i="6" s="1"/>
  <c r="M604" i="6" s="1"/>
  <c r="N604" i="6" s="1"/>
  <c r="G614" i="6"/>
  <c r="H614" i="6" s="1"/>
  <c r="J614" i="6" s="1"/>
  <c r="K614" i="6" s="1"/>
  <c r="M614" i="6" s="1"/>
  <c r="N614" i="6" s="1"/>
  <c r="G620" i="6"/>
  <c r="H620" i="6" s="1"/>
  <c r="J620" i="6" s="1"/>
  <c r="K620" i="6" s="1"/>
  <c r="M620" i="6" s="1"/>
  <c r="N620" i="6" s="1"/>
  <c r="G622" i="6"/>
  <c r="H622" i="6" s="1"/>
  <c r="J622" i="6" s="1"/>
  <c r="K622" i="6" s="1"/>
  <c r="M622" i="6" s="1"/>
  <c r="N622" i="6" s="1"/>
  <c r="G657" i="6"/>
  <c r="H657" i="6" s="1"/>
  <c r="J657" i="6" s="1"/>
  <c r="K657" i="6" s="1"/>
  <c r="M657" i="6" s="1"/>
  <c r="N657" i="6" s="1"/>
  <c r="G663" i="6"/>
  <c r="H663" i="6" s="1"/>
  <c r="J663" i="6" s="1"/>
  <c r="K663" i="6" s="1"/>
  <c r="M663" i="6" s="1"/>
  <c r="N663" i="6" s="1"/>
  <c r="J669" i="6"/>
  <c r="K669" i="6" s="1"/>
  <c r="M669" i="6" s="1"/>
  <c r="N669" i="6" s="1"/>
  <c r="G715" i="6"/>
  <c r="H715" i="6" s="1"/>
  <c r="J715" i="6" s="1"/>
  <c r="K715" i="6" s="1"/>
  <c r="M715" i="6" s="1"/>
  <c r="N715" i="6" s="1"/>
  <c r="G725" i="6"/>
  <c r="H725" i="6" s="1"/>
  <c r="J725" i="6" s="1"/>
  <c r="K725" i="6" s="1"/>
  <c r="M725" i="6" s="1"/>
  <c r="N725" i="6" s="1"/>
  <c r="G776" i="6"/>
  <c r="H776" i="6" s="1"/>
  <c r="G792" i="6"/>
  <c r="H792" i="6" s="1"/>
  <c r="J792" i="6" s="1"/>
  <c r="K792" i="6" s="1"/>
  <c r="M792" i="6" s="1"/>
  <c r="N792" i="6" s="1"/>
  <c r="G794" i="6"/>
  <c r="H794" i="6" s="1"/>
  <c r="J794" i="6" s="1"/>
  <c r="K794" i="6" s="1"/>
  <c r="M794" i="6" s="1"/>
  <c r="N794" i="6" s="1"/>
  <c r="G798" i="6"/>
  <c r="H798" i="6" s="1"/>
  <c r="J798" i="6" s="1"/>
  <c r="K798" i="6" s="1"/>
  <c r="M798" i="6" s="1"/>
  <c r="N798" i="6" s="1"/>
  <c r="G850" i="6"/>
  <c r="H850" i="6" s="1"/>
  <c r="J850" i="6" s="1"/>
  <c r="K850" i="6" s="1"/>
  <c r="M850" i="6" s="1"/>
  <c r="N850" i="6" s="1"/>
  <c r="J865" i="6"/>
  <c r="K865" i="6" s="1"/>
  <c r="M865" i="6" s="1"/>
  <c r="N865" i="6" s="1"/>
  <c r="G877" i="6"/>
  <c r="H877" i="6" s="1"/>
  <c r="J877" i="6" s="1"/>
  <c r="K877" i="6" s="1"/>
  <c r="M877" i="6" s="1"/>
  <c r="N877" i="6" s="1"/>
  <c r="G881" i="6"/>
  <c r="H881" i="6" s="1"/>
  <c r="J881" i="6" s="1"/>
  <c r="K881" i="6" s="1"/>
  <c r="M881" i="6" s="1"/>
  <c r="N881" i="6" s="1"/>
  <c r="G929" i="6"/>
  <c r="H929" i="6" s="1"/>
  <c r="J929" i="6" s="1"/>
  <c r="K929" i="6" s="1"/>
  <c r="M929" i="6" s="1"/>
  <c r="N929" i="6" s="1"/>
  <c r="G947" i="6"/>
  <c r="H947" i="6" s="1"/>
  <c r="J947" i="6" s="1"/>
  <c r="K947" i="6" s="1"/>
  <c r="M947" i="6" s="1"/>
  <c r="N947" i="6" s="1"/>
  <c r="G638" i="6"/>
  <c r="H638" i="6" s="1"/>
  <c r="G655" i="6"/>
  <c r="H655" i="6" s="1"/>
  <c r="J655" i="6" s="1"/>
  <c r="K655" i="6" s="1"/>
  <c r="M655" i="6" s="1"/>
  <c r="N655" i="6" s="1"/>
  <c r="G753" i="6"/>
  <c r="H753" i="6" s="1"/>
  <c r="J758" i="6"/>
  <c r="K758" i="6" s="1"/>
  <c r="M758" i="6" s="1"/>
  <c r="N758" i="6" s="1"/>
  <c r="J768" i="6"/>
  <c r="K768" i="6" s="1"/>
  <c r="M768" i="6" s="1"/>
  <c r="N768" i="6" s="1"/>
  <c r="G796" i="6"/>
  <c r="H796" i="6" s="1"/>
  <c r="J796" i="6" s="1"/>
  <c r="K796" i="6" s="1"/>
  <c r="M796" i="6" s="1"/>
  <c r="N796" i="6" s="1"/>
  <c r="G809" i="6"/>
  <c r="H809" i="6" s="1"/>
  <c r="J809" i="6" s="1"/>
  <c r="K809" i="6" s="1"/>
  <c r="M809" i="6" s="1"/>
  <c r="N809" i="6" s="1"/>
  <c r="J830" i="6"/>
  <c r="K830" i="6" s="1"/>
  <c r="M830" i="6" s="1"/>
  <c r="N830" i="6" s="1"/>
  <c r="M843" i="6"/>
  <c r="N843" i="6" s="1"/>
  <c r="J854" i="6"/>
  <c r="K854" i="6" s="1"/>
  <c r="M854" i="6" s="1"/>
  <c r="N854" i="6" s="1"/>
  <c r="G893" i="6"/>
  <c r="H893" i="6" s="1"/>
  <c r="J893" i="6" s="1"/>
  <c r="K893" i="6" s="1"/>
  <c r="M893" i="6" s="1"/>
  <c r="N893" i="6" s="1"/>
  <c r="J895" i="6"/>
  <c r="K895" i="6" s="1"/>
  <c r="J899" i="6"/>
  <c r="K899" i="6" s="1"/>
  <c r="M899" i="6" s="1"/>
  <c r="N899" i="6" s="1"/>
  <c r="J923" i="6"/>
  <c r="K923" i="6" s="1"/>
  <c r="M923" i="6" s="1"/>
  <c r="N923" i="6" s="1"/>
  <c r="J925" i="6"/>
  <c r="K925" i="6" s="1"/>
  <c r="M925" i="6" s="1"/>
  <c r="N925" i="6" s="1"/>
  <c r="G689" i="6"/>
  <c r="H689" i="6" s="1"/>
  <c r="J689" i="6" s="1"/>
  <c r="K689" i="6" s="1"/>
  <c r="M689" i="6" s="1"/>
  <c r="N689" i="6" s="1"/>
  <c r="G745" i="6"/>
  <c r="H745" i="6" s="1"/>
  <c r="J745" i="6" s="1"/>
  <c r="K745" i="6" s="1"/>
  <c r="M745" i="6" s="1"/>
  <c r="N745" i="6" s="1"/>
  <c r="G747" i="6"/>
  <c r="H747" i="6" s="1"/>
  <c r="J747" i="6" s="1"/>
  <c r="K747" i="6" s="1"/>
  <c r="M747" i="6" s="1"/>
  <c r="N747" i="6" s="1"/>
  <c r="G751" i="6"/>
  <c r="H751" i="6" s="1"/>
  <c r="J751" i="6" s="1"/>
  <c r="K751" i="6" s="1"/>
  <c r="M751" i="6" s="1"/>
  <c r="N751" i="6" s="1"/>
  <c r="G778" i="6"/>
  <c r="H778" i="6" s="1"/>
  <c r="J778" i="6" s="1"/>
  <c r="K778" i="6" s="1"/>
  <c r="M778" i="6" s="1"/>
  <c r="N778" i="6" s="1"/>
  <c r="G813" i="6"/>
  <c r="H813" i="6" s="1"/>
  <c r="J813" i="6" s="1"/>
  <c r="K813" i="6" s="1"/>
  <c r="G822" i="6"/>
  <c r="H822" i="6" s="1"/>
  <c r="J822" i="6" s="1"/>
  <c r="K822" i="6" s="1"/>
  <c r="M822" i="6" s="1"/>
  <c r="N822" i="6" s="1"/>
  <c r="G828" i="6"/>
  <c r="H828" i="6" s="1"/>
  <c r="J828" i="6" s="1"/>
  <c r="K828" i="6" s="1"/>
  <c r="M828" i="6" s="1"/>
  <c r="N828" i="6" s="1"/>
  <c r="G841" i="6"/>
  <c r="H841" i="6" s="1"/>
  <c r="J841" i="6" s="1"/>
  <c r="K841" i="6" s="1"/>
  <c r="M841" i="6" s="1"/>
  <c r="N841" i="6" s="1"/>
  <c r="G858" i="6"/>
  <c r="H858" i="6" s="1"/>
  <c r="J858" i="6" s="1"/>
  <c r="K858" i="6" s="1"/>
  <c r="M858" i="6" s="1"/>
  <c r="N858" i="6" s="1"/>
  <c r="G866" i="6"/>
  <c r="H866" i="6" s="1"/>
  <c r="J866" i="6" s="1"/>
  <c r="K866" i="6" s="1"/>
  <c r="M866" i="6" s="1"/>
  <c r="N866" i="6" s="1"/>
  <c r="G903" i="6"/>
  <c r="H903" i="6" s="1"/>
  <c r="J903" i="6" s="1"/>
  <c r="K903" i="6" s="1"/>
  <c r="M903" i="6" s="1"/>
  <c r="N903" i="6" s="1"/>
  <c r="G905" i="6"/>
  <c r="H905" i="6" s="1"/>
  <c r="J905" i="6" s="1"/>
  <c r="K905" i="6" s="1"/>
  <c r="M905" i="6" s="1"/>
  <c r="N905" i="6" s="1"/>
  <c r="G917" i="6"/>
  <c r="H917" i="6" s="1"/>
  <c r="J917" i="6" s="1"/>
  <c r="K917" i="6" s="1"/>
  <c r="G921" i="6"/>
  <c r="H921" i="6" s="1"/>
  <c r="J921" i="6" s="1"/>
  <c r="K921" i="6" s="1"/>
  <c r="M921" i="6" s="1"/>
  <c r="N921" i="6" s="1"/>
  <c r="G936" i="6"/>
  <c r="H936" i="6" s="1"/>
  <c r="J765" i="6"/>
  <c r="K765" i="6" s="1"/>
  <c r="M765" i="6" s="1"/>
  <c r="N765" i="6" s="1"/>
  <c r="G806" i="6"/>
  <c r="H806" i="6" s="1"/>
  <c r="J806" i="6" s="1"/>
  <c r="K806" i="6" s="1"/>
  <c r="M806" i="6" s="1"/>
  <c r="N806" i="6" s="1"/>
  <c r="G888" i="6"/>
  <c r="H888" i="6" s="1"/>
  <c r="J888" i="6" s="1"/>
  <c r="K888" i="6" s="1"/>
  <c r="M888" i="6" s="1"/>
  <c r="N888" i="6" s="1"/>
  <c r="G919" i="6"/>
  <c r="H919" i="6" s="1"/>
  <c r="J919" i="6" s="1"/>
  <c r="K919" i="6" s="1"/>
  <c r="M919" i="6" s="1"/>
  <c r="N919" i="6" s="1"/>
  <c r="G938" i="6"/>
  <c r="H938" i="6" s="1"/>
  <c r="G599" i="6"/>
  <c r="H599" i="6" s="1"/>
  <c r="J599" i="6" s="1"/>
  <c r="K599" i="6" s="1"/>
  <c r="M599" i="6" s="1"/>
  <c r="N599" i="6" s="1"/>
  <c r="G605" i="6"/>
  <c r="H605" i="6" s="1"/>
  <c r="J605" i="6" s="1"/>
  <c r="K605" i="6" s="1"/>
  <c r="M605" i="6" s="1"/>
  <c r="N605" i="6" s="1"/>
  <c r="G619" i="6"/>
  <c r="H619" i="6" s="1"/>
  <c r="J619" i="6" s="1"/>
  <c r="K619" i="6" s="1"/>
  <c r="M619" i="6" s="1"/>
  <c r="N619" i="6" s="1"/>
  <c r="G628" i="6"/>
  <c r="H628" i="6" s="1"/>
  <c r="J628" i="6" s="1"/>
  <c r="K628" i="6" s="1"/>
  <c r="M628" i="6" s="1"/>
  <c r="N628" i="6" s="1"/>
  <c r="J638" i="6"/>
  <c r="K638" i="6" s="1"/>
  <c r="M638" i="6" s="1"/>
  <c r="N638" i="6" s="1"/>
  <c r="M644" i="6"/>
  <c r="N644" i="6" s="1"/>
  <c r="G658" i="6"/>
  <c r="H658" i="6" s="1"/>
  <c r="J658" i="6" s="1"/>
  <c r="K658" i="6" s="1"/>
  <c r="M658" i="6" s="1"/>
  <c r="N658" i="6" s="1"/>
  <c r="G680" i="6"/>
  <c r="H680" i="6" s="1"/>
  <c r="G735" i="6"/>
  <c r="H735" i="6" s="1"/>
  <c r="J735" i="6" s="1"/>
  <c r="K735" i="6" s="1"/>
  <c r="M735" i="6" s="1"/>
  <c r="N735" i="6" s="1"/>
  <c r="G743" i="6"/>
  <c r="H743" i="6" s="1"/>
  <c r="J743" i="6" s="1"/>
  <c r="K743" i="6" s="1"/>
  <c r="M743" i="6" s="1"/>
  <c r="N743" i="6" s="1"/>
  <c r="G767" i="6"/>
  <c r="H767" i="6" s="1"/>
  <c r="J767" i="6" s="1"/>
  <c r="K767" i="6" s="1"/>
  <c r="M767" i="6" s="1"/>
  <c r="N767" i="6" s="1"/>
  <c r="G775" i="6"/>
  <c r="H775" i="6" s="1"/>
  <c r="J775" i="6" s="1"/>
  <c r="K775" i="6" s="1"/>
  <c r="M775" i="6" s="1"/>
  <c r="N775" i="6" s="1"/>
  <c r="G784" i="6"/>
  <c r="H784" i="6" s="1"/>
  <c r="J784" i="6" s="1"/>
  <c r="K784" i="6" s="1"/>
  <c r="M784" i="6" s="1"/>
  <c r="N784" i="6" s="1"/>
  <c r="G844" i="6"/>
  <c r="H844" i="6" s="1"/>
  <c r="J844" i="6" s="1"/>
  <c r="K844" i="6" s="1"/>
  <c r="G868" i="6"/>
  <c r="H868" i="6" s="1"/>
  <c r="J868" i="6" s="1"/>
  <c r="K868" i="6" s="1"/>
  <c r="M868" i="6" s="1"/>
  <c r="N868" i="6" s="1"/>
  <c r="G876" i="6"/>
  <c r="H876" i="6" s="1"/>
  <c r="J876" i="6" s="1"/>
  <c r="K876" i="6" s="1"/>
  <c r="M876" i="6" s="1"/>
  <c r="N876" i="6" s="1"/>
  <c r="G932" i="6"/>
  <c r="H932" i="6" s="1"/>
  <c r="J932" i="6" s="1"/>
  <c r="K932" i="6" s="1"/>
  <c r="M932" i="6" s="1"/>
  <c r="N932" i="6" s="1"/>
  <c r="M950" i="6"/>
  <c r="N950" i="6" s="1"/>
  <c r="M956" i="6"/>
  <c r="N956" i="6" s="1"/>
  <c r="J645" i="6"/>
  <c r="K645" i="6" s="1"/>
  <c r="M645" i="6" s="1"/>
  <c r="N645" i="6" s="1"/>
  <c r="J708" i="6"/>
  <c r="K708" i="6" s="1"/>
  <c r="M708" i="6" s="1"/>
  <c r="N708" i="6" s="1"/>
  <c r="J718" i="6"/>
  <c r="K718" i="6" s="1"/>
  <c r="M718" i="6" s="1"/>
  <c r="N718" i="6" s="1"/>
  <c r="G786" i="6"/>
  <c r="H786" i="6" s="1"/>
  <c r="J786" i="6" s="1"/>
  <c r="K786" i="6" s="1"/>
  <c r="M786" i="6" s="1"/>
  <c r="N786" i="6" s="1"/>
  <c r="J793" i="6"/>
  <c r="K793" i="6" s="1"/>
  <c r="M793" i="6" s="1"/>
  <c r="N793" i="6" s="1"/>
  <c r="J797" i="6"/>
  <c r="K797" i="6" s="1"/>
  <c r="M797" i="6" s="1"/>
  <c r="N797" i="6" s="1"/>
  <c r="J803" i="6"/>
  <c r="K803" i="6" s="1"/>
  <c r="M803" i="6" s="1"/>
  <c r="N803" i="6" s="1"/>
  <c r="J816" i="6"/>
  <c r="K816" i="6" s="1"/>
  <c r="M816" i="6" s="1"/>
  <c r="N816" i="6" s="1"/>
  <c r="J818" i="6"/>
  <c r="K818" i="6" s="1"/>
  <c r="M818" i="6" s="1"/>
  <c r="N818" i="6" s="1"/>
  <c r="J842" i="6"/>
  <c r="K842" i="6" s="1"/>
  <c r="M842" i="6" s="1"/>
  <c r="N842" i="6" s="1"/>
  <c r="J855" i="6"/>
  <c r="K855" i="6" s="1"/>
  <c r="M855" i="6" s="1"/>
  <c r="N855" i="6" s="1"/>
  <c r="J890" i="6"/>
  <c r="K890" i="6" s="1"/>
  <c r="M890" i="6" s="1"/>
  <c r="N890" i="6" s="1"/>
  <c r="J896" i="6"/>
  <c r="K896" i="6" s="1"/>
  <c r="M896" i="6" s="1"/>
  <c r="N896" i="6" s="1"/>
  <c r="G928" i="6"/>
  <c r="H928" i="6" s="1"/>
  <c r="J928" i="6" s="1"/>
  <c r="K928" i="6" s="1"/>
  <c r="M928" i="6" s="1"/>
  <c r="N928" i="6" s="1"/>
  <c r="J946" i="6"/>
  <c r="K946" i="6" s="1"/>
  <c r="M946" i="6" s="1"/>
  <c r="N946" i="6" s="1"/>
  <c r="G484" i="6"/>
  <c r="H484" i="6" s="1"/>
  <c r="J484" i="6" s="1"/>
  <c r="K484" i="6" s="1"/>
  <c r="M484" i="6" s="1"/>
  <c r="N484" i="6" s="1"/>
  <c r="G507" i="6"/>
  <c r="H507" i="6" s="1"/>
  <c r="J507" i="6" s="1"/>
  <c r="K507" i="6" s="1"/>
  <c r="M507" i="6" s="1"/>
  <c r="N507" i="6" s="1"/>
  <c r="G511" i="6"/>
  <c r="H511" i="6" s="1"/>
  <c r="J511" i="6" s="1"/>
  <c r="K511" i="6" s="1"/>
  <c r="M511" i="6" s="1"/>
  <c r="N511" i="6" s="1"/>
  <c r="G533" i="6"/>
  <c r="H533" i="6" s="1"/>
  <c r="J533" i="6" s="1"/>
  <c r="K533" i="6" s="1"/>
  <c r="M533" i="6" s="1"/>
  <c r="N533" i="6" s="1"/>
  <c r="G535" i="6"/>
  <c r="H535" i="6" s="1"/>
  <c r="J535" i="6" s="1"/>
  <c r="K535" i="6" s="1"/>
  <c r="M535" i="6" s="1"/>
  <c r="N535" i="6" s="1"/>
  <c r="G556" i="6"/>
  <c r="H556" i="6" s="1"/>
  <c r="J556" i="6" s="1"/>
  <c r="K556" i="6" s="1"/>
  <c r="M556" i="6" s="1"/>
  <c r="N556" i="6" s="1"/>
  <c r="G571" i="6"/>
  <c r="H571" i="6" s="1"/>
  <c r="J571" i="6" s="1"/>
  <c r="K571" i="6" s="1"/>
  <c r="M571" i="6" s="1"/>
  <c r="N571" i="6" s="1"/>
  <c r="G577" i="6"/>
  <c r="H577" i="6" s="1"/>
  <c r="J577" i="6" s="1"/>
  <c r="K577" i="6" s="1"/>
  <c r="M577" i="6" s="1"/>
  <c r="N577" i="6" s="1"/>
  <c r="G603" i="6"/>
  <c r="H603" i="6" s="1"/>
  <c r="J603" i="6" s="1"/>
  <c r="K603" i="6" s="1"/>
  <c r="M603" i="6" s="1"/>
  <c r="N603" i="6" s="1"/>
  <c r="M607" i="6"/>
  <c r="N607" i="6" s="1"/>
  <c r="G682" i="6"/>
  <c r="H682" i="6" s="1"/>
  <c r="J682" i="6" s="1"/>
  <c r="K682" i="6" s="1"/>
  <c r="M682" i="6" s="1"/>
  <c r="N682" i="6" s="1"/>
  <c r="J699" i="6"/>
  <c r="K699" i="6" s="1"/>
  <c r="M699" i="6" s="1"/>
  <c r="N699" i="6" s="1"/>
  <c r="G726" i="6"/>
  <c r="H726" i="6" s="1"/>
  <c r="J726" i="6" s="1"/>
  <c r="K726" i="6" s="1"/>
  <c r="M726" i="6" s="1"/>
  <c r="N726" i="6" s="1"/>
  <c r="G741" i="6"/>
  <c r="H741" i="6" s="1"/>
  <c r="J741" i="6" s="1"/>
  <c r="K741" i="6" s="1"/>
  <c r="M741" i="6" s="1"/>
  <c r="N741" i="6" s="1"/>
  <c r="G814" i="6"/>
  <c r="H814" i="6" s="1"/>
  <c r="J814" i="6" s="1"/>
  <c r="K814" i="6" s="1"/>
  <c r="M814" i="6" s="1"/>
  <c r="N814" i="6" s="1"/>
  <c r="G878" i="6"/>
  <c r="H878" i="6" s="1"/>
  <c r="J878" i="6" s="1"/>
  <c r="K878" i="6" s="1"/>
  <c r="M878" i="6" s="1"/>
  <c r="N878" i="6" s="1"/>
  <c r="G898" i="6"/>
  <c r="H898" i="6" s="1"/>
  <c r="J898" i="6" s="1"/>
  <c r="K898" i="6" s="1"/>
  <c r="M898" i="6" s="1"/>
  <c r="N898" i="6" s="1"/>
  <c r="G906" i="6"/>
  <c r="H906" i="6" s="1"/>
  <c r="J906" i="6" s="1"/>
  <c r="K906" i="6" s="1"/>
  <c r="M906" i="6" s="1"/>
  <c r="N906" i="6" s="1"/>
  <c r="G937" i="6"/>
  <c r="H937" i="6" s="1"/>
  <c r="J937" i="6" s="1"/>
  <c r="K937" i="6" s="1"/>
  <c r="M937" i="6" s="1"/>
  <c r="N937" i="6" s="1"/>
  <c r="G948" i="6"/>
  <c r="H948" i="6" s="1"/>
  <c r="J948" i="6" s="1"/>
  <c r="K948" i="6" s="1"/>
  <c r="M122" i="6"/>
  <c r="N122" i="6" s="1"/>
  <c r="J132" i="6"/>
  <c r="K132" i="6" s="1"/>
  <c r="M132" i="6" s="1"/>
  <c r="N132" i="6" s="1"/>
  <c r="G2" i="6"/>
  <c r="H2" i="6" s="1"/>
  <c r="J2" i="6" s="1"/>
  <c r="K2" i="6" s="1"/>
  <c r="M2" i="6" s="1"/>
  <c r="N2" i="6" s="1"/>
  <c r="M140" i="6"/>
  <c r="N140" i="6" s="1"/>
  <c r="J163" i="6"/>
  <c r="K163" i="6" s="1"/>
  <c r="M163" i="6" s="1"/>
  <c r="N163" i="6" s="1"/>
  <c r="G170" i="6"/>
  <c r="H170" i="6" s="1"/>
  <c r="J170" i="6" s="1"/>
  <c r="K170" i="6" s="1"/>
  <c r="M170" i="6" s="1"/>
  <c r="N170" i="6" s="1"/>
  <c r="G270" i="6"/>
  <c r="H270" i="6" s="1"/>
  <c r="J270" i="6" s="1"/>
  <c r="K270" i="6" s="1"/>
  <c r="M270" i="6" s="1"/>
  <c r="N270" i="6" s="1"/>
  <c r="M373" i="6"/>
  <c r="N373" i="6" s="1"/>
  <c r="J416" i="6"/>
  <c r="K416" i="6" s="1"/>
  <c r="M416" i="6" s="1"/>
  <c r="N416" i="6" s="1"/>
  <c r="G363" i="6"/>
  <c r="H363" i="6" s="1"/>
  <c r="J363" i="6" s="1"/>
  <c r="K363" i="6" s="1"/>
  <c r="M363" i="6" s="1"/>
  <c r="N363" i="6" s="1"/>
  <c r="G178" i="6"/>
  <c r="H178" i="6" s="1"/>
  <c r="J178" i="6" s="1"/>
  <c r="K178" i="6" s="1"/>
  <c r="M178" i="6" s="1"/>
  <c r="N178" i="6" s="1"/>
  <c r="G260" i="6"/>
  <c r="H260" i="6" s="1"/>
  <c r="J260" i="6" s="1"/>
  <c r="K260" i="6" s="1"/>
  <c r="M260" i="6" s="1"/>
  <c r="N260" i="6" s="1"/>
  <c r="G357" i="6"/>
  <c r="H357" i="6" s="1"/>
  <c r="J357" i="6" s="1"/>
  <c r="K357" i="6" s="1"/>
  <c r="M357" i="6" s="1"/>
  <c r="N357" i="6" s="1"/>
  <c r="M398" i="6"/>
  <c r="N398" i="6" s="1"/>
  <c r="G415" i="6"/>
  <c r="H415" i="6" s="1"/>
  <c r="J415" i="6" s="1"/>
  <c r="K415" i="6" s="1"/>
  <c r="M415" i="6" s="1"/>
  <c r="N415" i="6" s="1"/>
  <c r="J332" i="6"/>
  <c r="K332" i="6" s="1"/>
  <c r="M332" i="6" s="1"/>
  <c r="N332" i="6" s="1"/>
  <c r="M372" i="6"/>
  <c r="N372" i="6" s="1"/>
  <c r="J364" i="6"/>
  <c r="K364" i="6" s="1"/>
  <c r="M364" i="6" s="1"/>
  <c r="N364" i="6" s="1"/>
  <c r="M419" i="6"/>
  <c r="N419" i="6" s="1"/>
  <c r="J422" i="6"/>
  <c r="K422" i="6" s="1"/>
  <c r="M422" i="6" s="1"/>
  <c r="N422" i="6" s="1"/>
  <c r="G176" i="6"/>
  <c r="H176" i="6" s="1"/>
  <c r="J176" i="6" s="1"/>
  <c r="K176" i="6" s="1"/>
  <c r="M176" i="6" s="1"/>
  <c r="N176" i="6" s="1"/>
  <c r="M222" i="6"/>
  <c r="N222" i="6" s="1"/>
  <c r="G225" i="6"/>
  <c r="H225" i="6" s="1"/>
  <c r="J225" i="6" s="1"/>
  <c r="K225" i="6" s="1"/>
  <c r="M225" i="6" s="1"/>
  <c r="N225" i="6" s="1"/>
  <c r="G235" i="6"/>
  <c r="H235" i="6" s="1"/>
  <c r="J235" i="6" s="1"/>
  <c r="K235" i="6" s="1"/>
  <c r="M235" i="6" s="1"/>
  <c r="N235" i="6" s="1"/>
  <c r="G255" i="6"/>
  <c r="H255" i="6" s="1"/>
  <c r="J255" i="6" s="1"/>
  <c r="K255" i="6" s="1"/>
  <c r="M255" i="6" s="1"/>
  <c r="N255" i="6" s="1"/>
  <c r="G261" i="6"/>
  <c r="H261" i="6" s="1"/>
  <c r="J261" i="6" s="1"/>
  <c r="K261" i="6" s="1"/>
  <c r="M261" i="6" s="1"/>
  <c r="N261" i="6" s="1"/>
  <c r="G312" i="6"/>
  <c r="H312" i="6" s="1"/>
  <c r="J312" i="6" s="1"/>
  <c r="K312" i="6" s="1"/>
  <c r="M312" i="6" s="1"/>
  <c r="N312" i="6" s="1"/>
  <c r="J331" i="6"/>
  <c r="K331" i="6" s="1"/>
  <c r="M331" i="6" s="1"/>
  <c r="N331" i="6" s="1"/>
  <c r="G354" i="6"/>
  <c r="H354" i="6" s="1"/>
  <c r="J354" i="6" s="1"/>
  <c r="K354" i="6" s="1"/>
  <c r="M354" i="6" s="1"/>
  <c r="N354" i="6" s="1"/>
  <c r="M391" i="6"/>
  <c r="N391" i="6" s="1"/>
  <c r="G126" i="6"/>
  <c r="H126" i="6" s="1"/>
  <c r="J126" i="6" s="1"/>
  <c r="K126" i="6" s="1"/>
  <c r="M126" i="6" s="1"/>
  <c r="N126" i="6" s="1"/>
  <c r="G228" i="6"/>
  <c r="H228" i="6" s="1"/>
  <c r="J228" i="6" s="1"/>
  <c r="K228" i="6" s="1"/>
  <c r="M228" i="6" s="1"/>
  <c r="N228" i="6" s="1"/>
  <c r="G265" i="6"/>
  <c r="H265" i="6" s="1"/>
  <c r="J265" i="6" s="1"/>
  <c r="K265" i="6" s="1"/>
  <c r="M265" i="6" s="1"/>
  <c r="N265" i="6" s="1"/>
  <c r="G294" i="6"/>
  <c r="H294" i="6" s="1"/>
  <c r="J294" i="6" s="1"/>
  <c r="K294" i="6" s="1"/>
  <c r="M294" i="6" s="1"/>
  <c r="N294" i="6" s="1"/>
  <c r="J305" i="6"/>
  <c r="K305" i="6" s="1"/>
  <c r="M305" i="6" s="1"/>
  <c r="N305" i="6" s="1"/>
  <c r="J321" i="6"/>
  <c r="K321" i="6" s="1"/>
  <c r="M321" i="6" s="1"/>
  <c r="N321" i="6" s="1"/>
  <c r="G375" i="6"/>
  <c r="H375" i="6" s="1"/>
  <c r="J375" i="6" s="1"/>
  <c r="K375" i="6" s="1"/>
  <c r="M375" i="6" s="1"/>
  <c r="N375" i="6" s="1"/>
  <c r="G388" i="6"/>
  <c r="H388" i="6" s="1"/>
  <c r="J388" i="6" s="1"/>
  <c r="K388" i="6" s="1"/>
  <c r="M388" i="6" s="1"/>
  <c r="N388" i="6" s="1"/>
  <c r="G413" i="6"/>
  <c r="H413" i="6" s="1"/>
  <c r="J413" i="6" s="1"/>
  <c r="K413" i="6" s="1"/>
  <c r="M413" i="6" s="1"/>
  <c r="N413" i="6" s="1"/>
  <c r="G424" i="6"/>
  <c r="H424" i="6" s="1"/>
  <c r="J424" i="6" s="1"/>
  <c r="K424" i="6" s="1"/>
  <c r="M424" i="6" s="1"/>
  <c r="N424" i="6" s="1"/>
  <c r="G454" i="6"/>
  <c r="H454" i="6" s="1"/>
  <c r="J454" i="6" s="1"/>
  <c r="K454" i="6" s="1"/>
  <c r="M454" i="6" s="1"/>
  <c r="N454" i="6" s="1"/>
  <c r="M480" i="6"/>
  <c r="N480" i="6" s="1"/>
  <c r="G462" i="6"/>
  <c r="H462" i="6" s="1"/>
  <c r="J462" i="6" s="1"/>
  <c r="K462" i="6" s="1"/>
  <c r="M462" i="6" s="1"/>
  <c r="N462" i="6" s="1"/>
  <c r="G529" i="6"/>
  <c r="H529" i="6" s="1"/>
  <c r="J529" i="6" s="1"/>
  <c r="K529" i="6" s="1"/>
  <c r="M529" i="6" s="1"/>
  <c r="N529" i="6" s="1"/>
  <c r="M358" i="6"/>
  <c r="N358" i="6" s="1"/>
  <c r="G412" i="6"/>
  <c r="H412" i="6" s="1"/>
  <c r="J412" i="6" s="1"/>
  <c r="K412" i="6" s="1"/>
  <c r="M412" i="6" s="1"/>
  <c r="N412" i="6" s="1"/>
  <c r="G258" i="6"/>
  <c r="H258" i="6" s="1"/>
  <c r="J258" i="6" s="1"/>
  <c r="K258" i="6" s="1"/>
  <c r="M258" i="6" s="1"/>
  <c r="N258" i="6" s="1"/>
  <c r="J295" i="6"/>
  <c r="K295" i="6" s="1"/>
  <c r="M295" i="6" s="1"/>
  <c r="N295" i="6" s="1"/>
  <c r="M353" i="6"/>
  <c r="N353" i="6" s="1"/>
  <c r="J369" i="6"/>
  <c r="K369" i="6" s="1"/>
  <c r="M369" i="6" s="1"/>
  <c r="N369" i="6" s="1"/>
  <c r="G238" i="6"/>
  <c r="H238" i="6" s="1"/>
  <c r="J238" i="6" s="1"/>
  <c r="K238" i="6" s="1"/>
  <c r="M238" i="6" s="1"/>
  <c r="N238" i="6" s="1"/>
  <c r="G272" i="6"/>
  <c r="H272" i="6" s="1"/>
  <c r="J272" i="6" s="1"/>
  <c r="K272" i="6" s="1"/>
  <c r="M272" i="6" s="1"/>
  <c r="N272" i="6" s="1"/>
  <c r="G344" i="6"/>
  <c r="H344" i="6" s="1"/>
  <c r="J344" i="6" s="1"/>
  <c r="K344" i="6" s="1"/>
  <c r="M344" i="6" s="1"/>
  <c r="N344" i="6" s="1"/>
  <c r="G395" i="6"/>
  <c r="H395" i="6" s="1"/>
  <c r="J395" i="6" s="1"/>
  <c r="K395" i="6" s="1"/>
  <c r="M395" i="6" s="1"/>
  <c r="N395" i="6" s="1"/>
  <c r="J432" i="6"/>
  <c r="K432" i="6" s="1"/>
  <c r="M432" i="6" s="1"/>
  <c r="N432" i="6" s="1"/>
  <c r="G552" i="6"/>
  <c r="H552" i="6" s="1"/>
  <c r="J552" i="6" s="1"/>
  <c r="K552" i="6" s="1"/>
  <c r="M552" i="6" s="1"/>
  <c r="N552" i="6" s="1"/>
  <c r="J594" i="6"/>
  <c r="K594" i="6" s="1"/>
  <c r="M594" i="6" s="1"/>
  <c r="N594" i="6" s="1"/>
  <c r="G339" i="6"/>
  <c r="H339" i="6" s="1"/>
  <c r="J339" i="6" s="1"/>
  <c r="K339" i="6" s="1"/>
  <c r="M339" i="6" s="1"/>
  <c r="N339" i="6" s="1"/>
  <c r="G345" i="6"/>
  <c r="H345" i="6" s="1"/>
  <c r="J345" i="6" s="1"/>
  <c r="K345" i="6" s="1"/>
  <c r="M345" i="6" s="1"/>
  <c r="N345" i="6" s="1"/>
  <c r="M546" i="6"/>
  <c r="N546" i="6" s="1"/>
  <c r="M589" i="6"/>
  <c r="N589" i="6" s="1"/>
  <c r="J609" i="6"/>
  <c r="K609" i="6" s="1"/>
  <c r="M609" i="6" s="1"/>
  <c r="N609" i="6" s="1"/>
  <c r="M671" i="6"/>
  <c r="N671" i="6" s="1"/>
  <c r="M602" i="6"/>
  <c r="N602" i="6" s="1"/>
  <c r="J649" i="6"/>
  <c r="K649" i="6" s="1"/>
  <c r="M649" i="6" s="1"/>
  <c r="N649" i="6" s="1"/>
  <c r="J600" i="6"/>
  <c r="K600" i="6" s="1"/>
  <c r="M600" i="6" s="1"/>
  <c r="N600" i="6" s="1"/>
  <c r="G346" i="6"/>
  <c r="H346" i="6" s="1"/>
  <c r="J346" i="6" s="1"/>
  <c r="K346" i="6" s="1"/>
  <c r="M346" i="6" s="1"/>
  <c r="N346" i="6" s="1"/>
  <c r="G512" i="6"/>
  <c r="H512" i="6" s="1"/>
  <c r="J512" i="6" s="1"/>
  <c r="K512" i="6" s="1"/>
  <c r="M512" i="6" s="1"/>
  <c r="N512" i="6" s="1"/>
  <c r="J379" i="6"/>
  <c r="K379" i="6" s="1"/>
  <c r="M379" i="6" s="1"/>
  <c r="N379" i="6" s="1"/>
  <c r="J399" i="6"/>
  <c r="K399" i="6" s="1"/>
  <c r="M399" i="6" s="1"/>
  <c r="N399" i="6" s="1"/>
  <c r="J446" i="6"/>
  <c r="K446" i="6" s="1"/>
  <c r="M446" i="6" s="1"/>
  <c r="N446" i="6" s="1"/>
  <c r="M558" i="6"/>
  <c r="N558" i="6" s="1"/>
  <c r="J692" i="6"/>
  <c r="K692" i="6" s="1"/>
  <c r="M692" i="6" s="1"/>
  <c r="N692" i="6" s="1"/>
  <c r="G439" i="6"/>
  <c r="H439" i="6" s="1"/>
  <c r="J439" i="6" s="1"/>
  <c r="K439" i="6" s="1"/>
  <c r="M439" i="6" s="1"/>
  <c r="N439" i="6" s="1"/>
  <c r="G459" i="6"/>
  <c r="H459" i="6" s="1"/>
  <c r="J459" i="6" s="1"/>
  <c r="K459" i="6" s="1"/>
  <c r="M459" i="6" s="1"/>
  <c r="N459" i="6" s="1"/>
  <c r="G509" i="6"/>
  <c r="H509" i="6" s="1"/>
  <c r="J509" i="6" s="1"/>
  <c r="K509" i="6" s="1"/>
  <c r="M509" i="6" s="1"/>
  <c r="N509" i="6" s="1"/>
  <c r="G524" i="6"/>
  <c r="H524" i="6" s="1"/>
  <c r="J524" i="6" s="1"/>
  <c r="K524" i="6" s="1"/>
  <c r="M524" i="6" s="1"/>
  <c r="N524" i="6" s="1"/>
  <c r="G519" i="6"/>
  <c r="H519" i="6" s="1"/>
  <c r="J519" i="6" s="1"/>
  <c r="K519" i="6" s="1"/>
  <c r="M519" i="6" s="1"/>
  <c r="N519" i="6" s="1"/>
  <c r="G616" i="6"/>
  <c r="H616" i="6" s="1"/>
  <c r="J616" i="6" s="1"/>
  <c r="K616" i="6" s="1"/>
  <c r="M616" i="6" s="1"/>
  <c r="N616" i="6" s="1"/>
  <c r="J634" i="6"/>
  <c r="K634" i="6" s="1"/>
  <c r="M634" i="6" s="1"/>
  <c r="N634" i="6" s="1"/>
  <c r="J672" i="6"/>
  <c r="K672" i="6" s="1"/>
  <c r="M672" i="6" s="1"/>
  <c r="N672" i="6" s="1"/>
  <c r="G469" i="6"/>
  <c r="H469" i="6" s="1"/>
  <c r="J469" i="6" s="1"/>
  <c r="K469" i="6" s="1"/>
  <c r="M469" i="6" s="1"/>
  <c r="N469" i="6" s="1"/>
  <c r="G633" i="6"/>
  <c r="H633" i="6" s="1"/>
  <c r="J633" i="6" s="1"/>
  <c r="K633" i="6" s="1"/>
  <c r="M633" i="6" s="1"/>
  <c r="N633" i="6" s="1"/>
  <c r="M691" i="6"/>
  <c r="N691" i="6" s="1"/>
  <c r="J716" i="6"/>
  <c r="K716" i="6" s="1"/>
  <c r="M716" i="6" s="1"/>
  <c r="N716" i="6" s="1"/>
  <c r="G606" i="6"/>
  <c r="H606" i="6" s="1"/>
  <c r="J606" i="6" s="1"/>
  <c r="K606" i="6" s="1"/>
  <c r="M606" i="6" s="1"/>
  <c r="N606" i="6" s="1"/>
  <c r="J611" i="6"/>
  <c r="K611" i="6" s="1"/>
  <c r="M611" i="6" s="1"/>
  <c r="N611" i="6" s="1"/>
  <c r="M641" i="6"/>
  <c r="N641" i="6" s="1"/>
  <c r="G667" i="6"/>
  <c r="H667" i="6" s="1"/>
  <c r="J667" i="6" s="1"/>
  <c r="K667" i="6" s="1"/>
  <c r="M667" i="6" s="1"/>
  <c r="N667" i="6" s="1"/>
  <c r="G749" i="6"/>
  <c r="H749" i="6" s="1"/>
  <c r="J749" i="6" s="1"/>
  <c r="K749" i="6" s="1"/>
  <c r="M749" i="6" s="1"/>
  <c r="N749" i="6" s="1"/>
  <c r="J777" i="6"/>
  <c r="K777" i="6" s="1"/>
  <c r="M777" i="6" s="1"/>
  <c r="N777" i="6" s="1"/>
  <c r="J587" i="6"/>
  <c r="K587" i="6" s="1"/>
  <c r="M587" i="6" s="1"/>
  <c r="N587" i="6" s="1"/>
  <c r="G610" i="6"/>
  <c r="H610" i="6" s="1"/>
  <c r="J610" i="6" s="1"/>
  <c r="K610" i="6" s="1"/>
  <c r="M610" i="6" s="1"/>
  <c r="N610" i="6" s="1"/>
  <c r="G647" i="6"/>
  <c r="H647" i="6" s="1"/>
  <c r="J647" i="6" s="1"/>
  <c r="K647" i="6" s="1"/>
  <c r="M647" i="6" s="1"/>
  <c r="N647" i="6" s="1"/>
  <c r="J654" i="6"/>
  <c r="K654" i="6" s="1"/>
  <c r="M654" i="6" s="1"/>
  <c r="N654" i="6" s="1"/>
  <c r="M674" i="6"/>
  <c r="N674" i="6" s="1"/>
  <c r="J680" i="6"/>
  <c r="K680" i="6" s="1"/>
  <c r="M680" i="6" s="1"/>
  <c r="N680" i="6" s="1"/>
  <c r="G693" i="6"/>
  <c r="H693" i="6" s="1"/>
  <c r="J693" i="6" s="1"/>
  <c r="K693" i="6" s="1"/>
  <c r="M693" i="6" s="1"/>
  <c r="N693" i="6" s="1"/>
  <c r="G695" i="6"/>
  <c r="H695" i="6" s="1"/>
  <c r="J695" i="6" s="1"/>
  <c r="K695" i="6" s="1"/>
  <c r="M695" i="6" s="1"/>
  <c r="N695" i="6" s="1"/>
  <c r="J810" i="6"/>
  <c r="K810" i="6" s="1"/>
  <c r="M810" i="6" s="1"/>
  <c r="N810" i="6" s="1"/>
  <c r="G617" i="6"/>
  <c r="H617" i="6" s="1"/>
  <c r="J617" i="6" s="1"/>
  <c r="K617" i="6" s="1"/>
  <c r="M617" i="6" s="1"/>
  <c r="N617" i="6" s="1"/>
  <c r="G665" i="6"/>
  <c r="H665" i="6" s="1"/>
  <c r="J665" i="6" s="1"/>
  <c r="K665" i="6" s="1"/>
  <c r="M665" i="6" s="1"/>
  <c r="N665" i="6" s="1"/>
  <c r="J753" i="6"/>
  <c r="K753" i="6" s="1"/>
  <c r="M753" i="6" s="1"/>
  <c r="N753" i="6" s="1"/>
  <c r="J780" i="6"/>
  <c r="K780" i="6" s="1"/>
  <c r="M780" i="6" s="1"/>
  <c r="N780" i="6" s="1"/>
  <c r="M813" i="6"/>
  <c r="N813" i="6" s="1"/>
  <c r="G815" i="6"/>
  <c r="H815" i="6" s="1"/>
  <c r="J815" i="6" s="1"/>
  <c r="K815" i="6" s="1"/>
  <c r="M815" i="6" s="1"/>
  <c r="N815" i="6" s="1"/>
  <c r="J835" i="6"/>
  <c r="K835" i="6" s="1"/>
  <c r="M835" i="6" s="1"/>
  <c r="N835" i="6" s="1"/>
  <c r="G882" i="6"/>
  <c r="H882" i="6" s="1"/>
  <c r="J882" i="6" s="1"/>
  <c r="K882" i="6" s="1"/>
  <c r="M882" i="6" s="1"/>
  <c r="N882" i="6" s="1"/>
  <c r="M844" i="6"/>
  <c r="N844" i="6" s="1"/>
  <c r="M849" i="6"/>
  <c r="N849" i="6" s="1"/>
  <c r="M883" i="6"/>
  <c r="N883" i="6" s="1"/>
  <c r="G711" i="6"/>
  <c r="H711" i="6" s="1"/>
  <c r="J711" i="6" s="1"/>
  <c r="K711" i="6" s="1"/>
  <c r="M711" i="6" s="1"/>
  <c r="N711" i="6" s="1"/>
  <c r="J800" i="6"/>
  <c r="K800" i="6" s="1"/>
  <c r="M800" i="6" s="1"/>
  <c r="N800" i="6" s="1"/>
  <c r="M885" i="6"/>
  <c r="N885" i="6" s="1"/>
  <c r="G697" i="6"/>
  <c r="H697" i="6" s="1"/>
  <c r="J697" i="6" s="1"/>
  <c r="K697" i="6" s="1"/>
  <c r="M697" i="6" s="1"/>
  <c r="N697" i="6" s="1"/>
  <c r="J787" i="6"/>
  <c r="K787" i="6" s="1"/>
  <c r="M787" i="6" s="1"/>
  <c r="N787" i="6" s="1"/>
  <c r="M897" i="6"/>
  <c r="N897" i="6" s="1"/>
  <c r="G670" i="6"/>
  <c r="H670" i="6" s="1"/>
  <c r="J670" i="6" s="1"/>
  <c r="K670" i="6" s="1"/>
  <c r="M670" i="6" s="1"/>
  <c r="N670" i="6" s="1"/>
  <c r="J770" i="6"/>
  <c r="K770" i="6" s="1"/>
  <c r="M770" i="6" s="1"/>
  <c r="N770" i="6" s="1"/>
  <c r="G700" i="6"/>
  <c r="H700" i="6" s="1"/>
  <c r="J700" i="6" s="1"/>
  <c r="K700" i="6" s="1"/>
  <c r="M700" i="6" s="1"/>
  <c r="N700" i="6" s="1"/>
  <c r="M948" i="6"/>
  <c r="N948" i="6" s="1"/>
  <c r="G690" i="6"/>
  <c r="H690" i="6" s="1"/>
  <c r="J690" i="6" s="1"/>
  <c r="K690" i="6" s="1"/>
  <c r="M690" i="6" s="1"/>
  <c r="N690" i="6" s="1"/>
  <c r="J712" i="6"/>
  <c r="K712" i="6" s="1"/>
  <c r="M712" i="6" s="1"/>
  <c r="N712" i="6" s="1"/>
  <c r="G719" i="6"/>
  <c r="H719" i="6" s="1"/>
  <c r="J719" i="6" s="1"/>
  <c r="K719" i="6" s="1"/>
  <c r="M719" i="6" s="1"/>
  <c r="N719" i="6" s="1"/>
  <c r="J776" i="6"/>
  <c r="K776" i="6" s="1"/>
  <c r="M776" i="6" s="1"/>
  <c r="N776" i="6" s="1"/>
  <c r="J918" i="6"/>
  <c r="K918" i="6" s="1"/>
  <c r="M918" i="6" s="1"/>
  <c r="N918" i="6" s="1"/>
  <c r="G942" i="6"/>
  <c r="H942" i="6" s="1"/>
  <c r="J942" i="6" s="1"/>
  <c r="K942" i="6" s="1"/>
  <c r="M942" i="6" s="1"/>
  <c r="N942" i="6" s="1"/>
  <c r="M917" i="6"/>
  <c r="N917" i="6" s="1"/>
  <c r="J936" i="6"/>
  <c r="K936" i="6" s="1"/>
  <c r="M936" i="6" s="1"/>
  <c r="N936" i="6" s="1"/>
  <c r="M886" i="6"/>
  <c r="N886" i="6" s="1"/>
  <c r="M895" i="6"/>
  <c r="N895" i="6" s="1"/>
  <c r="G874" i="6"/>
  <c r="H874" i="6" s="1"/>
  <c r="J874" i="6" s="1"/>
  <c r="K874" i="6" s="1"/>
  <c r="M874" i="6" s="1"/>
  <c r="N874" i="6" s="1"/>
  <c r="J926" i="6"/>
  <c r="K926" i="6" s="1"/>
  <c r="M926" i="6" s="1"/>
  <c r="N926" i="6" s="1"/>
  <c r="J927" i="6"/>
  <c r="K927" i="6" s="1"/>
  <c r="M927" i="6" s="1"/>
  <c r="N927" i="6" s="1"/>
  <c r="J938" i="6"/>
  <c r="K938" i="6" s="1"/>
  <c r="M938" i="6" s="1"/>
  <c r="N938" i="6" s="1"/>
  <c r="G851" i="6"/>
  <c r="H851" i="6" s="1"/>
  <c r="J851" i="6" s="1"/>
  <c r="K851" i="6" s="1"/>
  <c r="M851" i="6" s="1"/>
  <c r="N851" i="6" s="1"/>
  <c r="G884" i="6"/>
  <c r="H884" i="6" s="1"/>
  <c r="J884" i="6" s="1"/>
  <c r="K884" i="6" s="1"/>
  <c r="M884" i="6" s="1"/>
  <c r="N884" i="6" s="1"/>
  <c r="J916" i="6"/>
  <c r="K916" i="6" s="1"/>
  <c r="M916" i="6" s="1"/>
  <c r="N916" i="6" s="1"/>
  <c r="F99" i="3" l="1"/>
  <c r="F91" i="3"/>
  <c r="F88" i="3"/>
  <c r="F87" i="3"/>
  <c r="F59" i="3"/>
  <c r="F58" i="3"/>
  <c r="F57" i="3"/>
  <c r="F51" i="3"/>
  <c r="F48" i="3"/>
  <c r="F39" i="3"/>
  <c r="F38" i="3"/>
  <c r="F37" i="3"/>
  <c r="F30" i="3"/>
  <c r="F29" i="3"/>
  <c r="F28" i="3"/>
  <c r="F27" i="3"/>
  <c r="F20" i="3"/>
  <c r="F17" i="3"/>
  <c r="F11" i="3"/>
  <c r="F10" i="3"/>
  <c r="A92" i="3"/>
  <c r="F92" i="3" s="1"/>
  <c r="A19" i="3"/>
  <c r="F19" i="3" s="1"/>
  <c r="A34" i="3"/>
  <c r="F34" i="3" s="1"/>
  <c r="A14" i="3"/>
  <c r="F14" i="3" s="1"/>
  <c r="A81" i="3"/>
  <c r="F81" i="3" s="1"/>
  <c r="A61" i="3"/>
  <c r="F61" i="3" s="1"/>
  <c r="A13" i="3"/>
  <c r="F13" i="3" s="1"/>
  <c r="A7" i="3"/>
  <c r="F7" i="3" s="1"/>
  <c r="A48" i="3"/>
  <c r="A42" i="3"/>
  <c r="F42" i="3" s="1"/>
  <c r="A90" i="3"/>
  <c r="F90" i="3" s="1"/>
  <c r="A38" i="3"/>
  <c r="A44" i="3"/>
  <c r="F44" i="3" s="1"/>
  <c r="A36" i="3"/>
  <c r="F36" i="3" s="1"/>
  <c r="A104" i="3"/>
  <c r="F104" i="3" s="1"/>
  <c r="A24" i="3"/>
  <c r="F24" i="3" s="1"/>
  <c r="A46" i="3"/>
  <c r="F46" i="3" s="1"/>
  <c r="A63" i="3"/>
  <c r="F63" i="3" s="1"/>
  <c r="A30" i="3"/>
  <c r="A88" i="3"/>
  <c r="A55" i="3"/>
  <c r="F55" i="3" s="1"/>
  <c r="A10" i="3"/>
  <c r="A40" i="3"/>
  <c r="F40" i="3" s="1"/>
  <c r="A76" i="3"/>
  <c r="F76" i="3" s="1"/>
  <c r="A53" i="3"/>
  <c r="F53" i="3" s="1"/>
  <c r="A5" i="3"/>
  <c r="F5" i="3" s="1"/>
  <c r="A72" i="3"/>
  <c r="F72" i="3" s="1"/>
  <c r="A65" i="3"/>
  <c r="F65" i="3" s="1"/>
  <c r="A99" i="3"/>
  <c r="A20" i="3"/>
  <c r="A101" i="3"/>
  <c r="F101" i="3" s="1"/>
  <c r="A74" i="3"/>
  <c r="F74" i="3" s="1"/>
  <c r="A77" i="3"/>
  <c r="F77" i="3" s="1"/>
  <c r="A85" i="3"/>
  <c r="F85" i="3" s="1"/>
  <c r="A17" i="3"/>
  <c r="A32" i="3"/>
  <c r="F32" i="3" s="1"/>
  <c r="A69" i="3"/>
  <c r="F69" i="3" s="1"/>
  <c r="A49" i="3"/>
  <c r="F49" i="3" s="1"/>
  <c r="A11" i="3"/>
  <c r="A59" i="3"/>
  <c r="A26" i="3"/>
  <c r="F26" i="3" s="1"/>
  <c r="A22" i="3"/>
  <c r="F22" i="3" s="1"/>
  <c r="A67" i="3"/>
  <c r="F67" i="3" s="1"/>
  <c r="A57" i="3"/>
  <c r="A80" i="3"/>
  <c r="F80" i="3" s="1"/>
  <c r="A18" i="3"/>
  <c r="F18" i="3" s="1"/>
  <c r="A12" i="3"/>
  <c r="F12" i="3" s="1"/>
  <c r="A27" i="3"/>
  <c r="A91" i="3"/>
  <c r="A83" i="3"/>
  <c r="F83" i="3" s="1"/>
  <c r="A98" i="3"/>
  <c r="F98" i="3" s="1"/>
  <c r="A50" i="3"/>
  <c r="F50" i="3" s="1"/>
  <c r="A68" i="3"/>
  <c r="F68" i="3" s="1"/>
  <c r="A28" i="3"/>
  <c r="A8" i="3"/>
  <c r="F8" i="3" s="1"/>
  <c r="A64" i="3"/>
  <c r="F64" i="3" s="1"/>
  <c r="A96" i="3"/>
  <c r="F96" i="3" s="1"/>
  <c r="A21" i="3"/>
  <c r="F21" i="3" s="1"/>
  <c r="A87" i="3"/>
  <c r="A15" i="3"/>
  <c r="F15" i="3" s="1"/>
  <c r="A29" i="3"/>
  <c r="A25" i="3"/>
  <c r="F25" i="3" s="1"/>
  <c r="A102" i="3"/>
  <c r="F102" i="3" s="1"/>
  <c r="A94" i="3"/>
  <c r="F94" i="3" s="1"/>
  <c r="A66" i="3"/>
  <c r="F66" i="3" s="1"/>
  <c r="A45" i="3"/>
  <c r="F45" i="3" s="1"/>
  <c r="A9" i="3"/>
  <c r="F9" i="3" s="1"/>
  <c r="A71" i="3"/>
  <c r="F71" i="3" s="1"/>
  <c r="A51" i="3"/>
  <c r="A62" i="3"/>
  <c r="F62" i="3" s="1"/>
  <c r="A35" i="3"/>
  <c r="F35" i="3" s="1"/>
  <c r="A33" i="3"/>
  <c r="F33" i="3" s="1"/>
  <c r="A103" i="3"/>
  <c r="F103" i="3" s="1"/>
  <c r="A95" i="3"/>
  <c r="F95" i="3" s="1"/>
  <c r="A93" i="3"/>
  <c r="F93" i="3" s="1"/>
  <c r="A47" i="3"/>
  <c r="F47" i="3" s="1"/>
  <c r="A75" i="3"/>
  <c r="F75" i="3" s="1"/>
  <c r="A60" i="3"/>
  <c r="F60" i="3" s="1"/>
  <c r="A58" i="3"/>
  <c r="A2" i="3"/>
  <c r="F2" i="3" s="1"/>
  <c r="A52" i="3"/>
  <c r="F52" i="3" s="1"/>
  <c r="A82" i="3"/>
  <c r="F82" i="3" s="1"/>
  <c r="A54" i="3"/>
  <c r="F54" i="3" s="1"/>
  <c r="A100" i="3"/>
  <c r="F100" i="3" s="1"/>
  <c r="A70" i="3"/>
  <c r="F70" i="3" s="1"/>
  <c r="A73" i="3"/>
  <c r="F73" i="3" s="1"/>
  <c r="A31" i="3"/>
  <c r="F31" i="3" s="1"/>
  <c r="A89" i="3"/>
  <c r="F89" i="3" s="1"/>
  <c r="A84" i="3"/>
  <c r="F84" i="3" s="1"/>
  <c r="A6" i="3"/>
  <c r="F6" i="3" s="1"/>
  <c r="A37" i="3"/>
  <c r="A79" i="3"/>
  <c r="F79" i="3" s="1"/>
  <c r="A16" i="3"/>
  <c r="F16" i="3" s="1"/>
  <c r="A23" i="3"/>
  <c r="F23" i="3" s="1"/>
  <c r="A105" i="3"/>
  <c r="F105" i="3" s="1"/>
  <c r="A56" i="3"/>
  <c r="F56" i="3" s="1"/>
  <c r="A41" i="3"/>
  <c r="F41" i="3" s="1"/>
  <c r="A78" i="3"/>
  <c r="F78" i="3" s="1"/>
  <c r="A39" i="3"/>
  <c r="A86" i="3"/>
  <c r="F86" i="3" s="1"/>
  <c r="A97" i="3"/>
  <c r="F97" i="3" s="1"/>
  <c r="A43" i="3"/>
  <c r="F43" i="3" s="1"/>
  <c r="A4" i="3"/>
  <c r="F4" i="3" s="1"/>
  <c r="M331" i="1"/>
  <c r="M159" i="1"/>
  <c r="M91" i="1"/>
  <c r="M919" i="1"/>
  <c r="M885" i="1"/>
  <c r="M477" i="1"/>
  <c r="M413"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5DA116-EBA8-374E-B744-42FB8E76D73B}" keepAlive="1" name="Query - alias" description="Connection to the 'alias' query in the workbook." type="5" refreshedVersion="8" background="1" saveData="1">
    <dbPr connection="Provider=Microsoft.Mashup.OleDb.1;Data Source=$Workbook$;Location=alias;Extended Properties=&quot;&quot;" command="SELECT * FROM [alias]"/>
  </connection>
</connections>
</file>

<file path=xl/sharedStrings.xml><?xml version="1.0" encoding="utf-8"?>
<sst xmlns="http://schemas.openxmlformats.org/spreadsheetml/2006/main" count="29255" uniqueCount="8770">
  <si>
    <t>Kode</t>
  </si>
  <si>
    <t>Nama Perusahaan</t>
  </si>
  <si>
    <t>Tanggal Pencatatan</t>
  </si>
  <si>
    <t>Saham</t>
  </si>
  <si>
    <t>Papan Pencatatan</t>
  </si>
  <si>
    <t>AALI</t>
  </si>
  <si>
    <t>Astra Agro Lestari Tbk.</t>
  </si>
  <si>
    <t>1.924.688.333</t>
  </si>
  <si>
    <t>Utama</t>
  </si>
  <si>
    <t>ABBA</t>
  </si>
  <si>
    <t>Mahaka Media Tbk.</t>
  </si>
  <si>
    <t>3.935.892.857</t>
  </si>
  <si>
    <t>Pemantauan Khusus</t>
  </si>
  <si>
    <t>ABDA</t>
  </si>
  <si>
    <t>Asuransi Bina Dana Arta Tbk.</t>
  </si>
  <si>
    <t>620.806.680</t>
  </si>
  <si>
    <t>ABMM</t>
  </si>
  <si>
    <t>ABM Investama Tbk.</t>
  </si>
  <si>
    <t>2.753.165.000</t>
  </si>
  <si>
    <t>ACES</t>
  </si>
  <si>
    <t>Aspirasi Hidup Indonesia Tbk.</t>
  </si>
  <si>
    <t>17.120.389.700</t>
  </si>
  <si>
    <t>ACST</t>
  </si>
  <si>
    <t>Acset Indonusa Tbk.</t>
  </si>
  <si>
    <t>17.675.160.000</t>
  </si>
  <si>
    <t>ADES</t>
  </si>
  <si>
    <t>Akasha Wira International Tbk.</t>
  </si>
  <si>
    <t>589.896.800</t>
  </si>
  <si>
    <t>Pengembangan</t>
  </si>
  <si>
    <t>ADHI</t>
  </si>
  <si>
    <t>Adhi Karya (Persero) Tbk.</t>
  </si>
  <si>
    <t>8.407.608.979</t>
  </si>
  <si>
    <t>AISA</t>
  </si>
  <si>
    <t>FKS Food Sejahtera Tbk.</t>
  </si>
  <si>
    <t>9.311.800.000</t>
  </si>
  <si>
    <t>AKKU</t>
  </si>
  <si>
    <t>Anugerah Kagum Karya Utama Tbk</t>
  </si>
  <si>
    <t>6.449.463.636</t>
  </si>
  <si>
    <t>AKPI</t>
  </si>
  <si>
    <t>Argha Karya Prima Industry Tbk</t>
  </si>
  <si>
    <t>612.248.000</t>
  </si>
  <si>
    <t>AKRA</t>
  </si>
  <si>
    <t>AKR Corporindo Tbk.</t>
  </si>
  <si>
    <t>20.073.474.600</t>
  </si>
  <si>
    <t>AKSI</t>
  </si>
  <si>
    <t>720.000.000</t>
  </si>
  <si>
    <t>ALDO</t>
  </si>
  <si>
    <t>Alkindo Naratama Tbk.</t>
  </si>
  <si>
    <t>2.700.713.744</t>
  </si>
  <si>
    <t>ALKA</t>
  </si>
  <si>
    <t>Alakasa Industrindo Tbk</t>
  </si>
  <si>
    <t>507.665.055</t>
  </si>
  <si>
    <t>ALMI</t>
  </si>
  <si>
    <t>3.816.000.000</t>
  </si>
  <si>
    <t>ALTO</t>
  </si>
  <si>
    <t>Tri Banyan Tirta Tbk.</t>
  </si>
  <si>
    <t>2.191.870.558</t>
  </si>
  <si>
    <t>AMAG</t>
  </si>
  <si>
    <t>Asuransi Multi Artha Guna Tbk.</t>
  </si>
  <si>
    <t>5.001.552.516</t>
  </si>
  <si>
    <t>AMFG</t>
  </si>
  <si>
    <t>Asahimas Flat Glass Tbk.</t>
  </si>
  <si>
    <t>434.000.000</t>
  </si>
  <si>
    <t>AMIN</t>
  </si>
  <si>
    <t>1.080.000.000</t>
  </si>
  <si>
    <t>AMRT</t>
  </si>
  <si>
    <t>Sumber Alfaria Trijaya Tbk.</t>
  </si>
  <si>
    <t>41.524.501.700</t>
  </si>
  <si>
    <t>ANJT</t>
  </si>
  <si>
    <t>Austindo Nusantara Jaya Tbk.</t>
  </si>
  <si>
    <t>3.354.175.000</t>
  </si>
  <si>
    <t>ANTM</t>
  </si>
  <si>
    <t>Aneka Tambang Tbk.</t>
  </si>
  <si>
    <t>24.030.764.725</t>
  </si>
  <si>
    <t>APEX</t>
  </si>
  <si>
    <t>Apexindo Pratama Duta Tbk.</t>
  </si>
  <si>
    <t>3.546.466.661</t>
  </si>
  <si>
    <t>APIC</t>
  </si>
  <si>
    <t>11.766.313.488</t>
  </si>
  <si>
    <t>APII</t>
  </si>
  <si>
    <t>Arita Prima Indonesia Tbk.</t>
  </si>
  <si>
    <t>1.075.760.000</t>
  </si>
  <si>
    <t>APLI</t>
  </si>
  <si>
    <t>Asiaplast Industries Tbk.</t>
  </si>
  <si>
    <t>1.362.671.400</t>
  </si>
  <si>
    <t>APLN</t>
  </si>
  <si>
    <t>Agung Podomoro Land Tbk.</t>
  </si>
  <si>
    <t>22.699.326.779</t>
  </si>
  <si>
    <t>ARGO</t>
  </si>
  <si>
    <t>Argo Pantes Tbk</t>
  </si>
  <si>
    <t>3.174.339.029</t>
  </si>
  <si>
    <t>ARII</t>
  </si>
  <si>
    <t>Atlas Resources Tbk.</t>
  </si>
  <si>
    <t>3.750.000.000</t>
  </si>
  <si>
    <t>ARNA</t>
  </si>
  <si>
    <t>Arwana Citramulia Tbk.</t>
  </si>
  <si>
    <t>7.341.430.976</t>
  </si>
  <si>
    <t>ARTA</t>
  </si>
  <si>
    <t>Arthavest Tbk</t>
  </si>
  <si>
    <t>446.674.175</t>
  </si>
  <si>
    <t>ARTI</t>
  </si>
  <si>
    <t>Ratu Prabu Energi Tbk</t>
  </si>
  <si>
    <t>7.840.000.000</t>
  </si>
  <si>
    <t>ARTO</t>
  </si>
  <si>
    <t>Bank Jago Tbk.</t>
  </si>
  <si>
    <t>13.722.768.400</t>
  </si>
  <si>
    <t>ASBI</t>
  </si>
  <si>
    <t>Asuransi Bintang Tbk.</t>
  </si>
  <si>
    <t>348.386.472</t>
  </si>
  <si>
    <t>ASDM</t>
  </si>
  <si>
    <t>Asuransi Dayin Mitra Tbk.</t>
  </si>
  <si>
    <t>384.000.000</t>
  </si>
  <si>
    <t>ASGR</t>
  </si>
  <si>
    <t>Astra Graphia Tbk.</t>
  </si>
  <si>
    <t>1.348.780.500</t>
  </si>
  <si>
    <t>ASII</t>
  </si>
  <si>
    <t>Astra International Tbk.</t>
  </si>
  <si>
    <t>40.483.553.140</t>
  </si>
  <si>
    <t>ASJT</t>
  </si>
  <si>
    <t>Asuransi Jasa Tania Tbk.</t>
  </si>
  <si>
    <t>1.400.000.000</t>
  </si>
  <si>
    <t>ASMI</t>
  </si>
  <si>
    <t>8.958.380.460</t>
  </si>
  <si>
    <t>ASRI</t>
  </si>
  <si>
    <t>Alam Sutera Realty Tbk.</t>
  </si>
  <si>
    <t>19.649.411.888</t>
  </si>
  <si>
    <t>ASRM</t>
  </si>
  <si>
    <t>Asuransi Ramayana Tbk.</t>
  </si>
  <si>
    <t>1.277.992.036</t>
  </si>
  <si>
    <t>ASSA</t>
  </si>
  <si>
    <t>Adi Sarana Armada Tbk.</t>
  </si>
  <si>
    <t>3.691.137.517</t>
  </si>
  <si>
    <t>ATIC</t>
  </si>
  <si>
    <t>Anabatic Technologies Tbk.</t>
  </si>
  <si>
    <t>2.315.361.355</t>
  </si>
  <si>
    <t>AUTO</t>
  </si>
  <si>
    <t>Astra Otoparts Tbk.</t>
  </si>
  <si>
    <t>4.819.733.000</t>
  </si>
  <si>
    <t>BABP</t>
  </si>
  <si>
    <t>Bank MNC Internasional Tbk.</t>
  </si>
  <si>
    <t>44.014.333.126</t>
  </si>
  <si>
    <t>BACA</t>
  </si>
  <si>
    <t>Bank Capital Indonesia Tbk.</t>
  </si>
  <si>
    <t>19.753.494.636</t>
  </si>
  <si>
    <t>BAJA</t>
  </si>
  <si>
    <t>Saranacentral Bajatama Tbk.</t>
  </si>
  <si>
    <t>1.800.000.000</t>
  </si>
  <si>
    <t>BALI</t>
  </si>
  <si>
    <t>Bali Towerindo Sentra Tbk.</t>
  </si>
  <si>
    <t>3.934.592.500</t>
  </si>
  <si>
    <t>BAPA</t>
  </si>
  <si>
    <t>Bekasi Asri Pemula Tbk.</t>
  </si>
  <si>
    <t>661.784.520</t>
  </si>
  <si>
    <t>BATA</t>
  </si>
  <si>
    <t>Sepatu Bata Tbk.</t>
  </si>
  <si>
    <t>1.300.000.000</t>
  </si>
  <si>
    <t>BAYU</t>
  </si>
  <si>
    <t>Bayu Buana Tbk</t>
  </si>
  <si>
    <t>353.220.780</t>
  </si>
  <si>
    <t>BBCA</t>
  </si>
  <si>
    <t>Bank Central Asia Tbk.</t>
  </si>
  <si>
    <t>122.042.299.500</t>
  </si>
  <si>
    <t>BBHI</t>
  </si>
  <si>
    <t>Allo Bank Indonesia Tbk.</t>
  </si>
  <si>
    <t>21.512.953.877</t>
  </si>
  <si>
    <t>BBKP</t>
  </si>
  <si>
    <t>Bank KB Indonesia Tbk.</t>
  </si>
  <si>
    <t>185.819.884.852</t>
  </si>
  <si>
    <t>BBLD</t>
  </si>
  <si>
    <t>Buana Finance Tbk.</t>
  </si>
  <si>
    <t>1.645.796.054</t>
  </si>
  <si>
    <t>BBMD</t>
  </si>
  <si>
    <t>Bank Mestika Dharma Tbk.</t>
  </si>
  <si>
    <t>4.049.189.100</t>
  </si>
  <si>
    <t>BBNI</t>
  </si>
  <si>
    <t>36.924.339.786</t>
  </si>
  <si>
    <t>BBRI</t>
  </si>
  <si>
    <t>150.043.411.587</t>
  </si>
  <si>
    <t>BBRM</t>
  </si>
  <si>
    <t>8.479.490.328</t>
  </si>
  <si>
    <t>BBTN</t>
  </si>
  <si>
    <t>13.894.099.969</t>
  </si>
  <si>
    <t>BBYB</t>
  </si>
  <si>
    <t>Bank Neo Commerce Tbk.</t>
  </si>
  <si>
    <t>13.216.977.523</t>
  </si>
  <si>
    <t>BCAP</t>
  </si>
  <si>
    <t>MNC Kapital Indonesia Tbk.</t>
  </si>
  <si>
    <t>42.618.850.927</t>
  </si>
  <si>
    <t>BCIC</t>
  </si>
  <si>
    <t>Bank JTrust Indonesia Tbk.</t>
  </si>
  <si>
    <t>17.926.071.041</t>
  </si>
  <si>
    <t>BCIP</t>
  </si>
  <si>
    <t>Bumi Citra Permai Tbk.</t>
  </si>
  <si>
    <t>1.429.915.525</t>
  </si>
  <si>
    <t>BDMN</t>
  </si>
  <si>
    <t>Bank Danamon Indonesia Tbk.</t>
  </si>
  <si>
    <t>9.675.817.341</t>
  </si>
  <si>
    <t>BEKS</t>
  </si>
  <si>
    <t>51.351.733.883</t>
  </si>
  <si>
    <t>BEST</t>
  </si>
  <si>
    <t>9.647.311.150</t>
  </si>
  <si>
    <t>BFIN</t>
  </si>
  <si>
    <t>15.039.383.620</t>
  </si>
  <si>
    <t>BGTG</t>
  </si>
  <si>
    <t>Bank Ganesha Tbk.</t>
  </si>
  <si>
    <t>23.731.287.132</t>
  </si>
  <si>
    <t>BHIT</t>
  </si>
  <si>
    <t>MNC Asia Holding Tbk.</t>
  </si>
  <si>
    <t>86.068.156.705</t>
  </si>
  <si>
    <t>BIKA</t>
  </si>
  <si>
    <t>Binakarya Jaya Abadi Tbk.</t>
  </si>
  <si>
    <t>592.280.000</t>
  </si>
  <si>
    <t>BIMA</t>
  </si>
  <si>
    <t>608.175.716</t>
  </si>
  <si>
    <t>BINA</t>
  </si>
  <si>
    <t>Bank Ina Perdana Tbk.</t>
  </si>
  <si>
    <t>6.073.369.498</t>
  </si>
  <si>
    <t>BIPI</t>
  </si>
  <si>
    <t>63.710.196.917</t>
  </si>
  <si>
    <t>BIPP</t>
  </si>
  <si>
    <t>Bhuwanatala Indah Permai Tbk.</t>
  </si>
  <si>
    <t>5.028.669.376</t>
  </si>
  <si>
    <t>BIRD</t>
  </si>
  <si>
    <t>Blue Bird Tbk.</t>
  </si>
  <si>
    <t>2.502.100.000</t>
  </si>
  <si>
    <t>BISI</t>
  </si>
  <si>
    <t>BISI International Tbk.</t>
  </si>
  <si>
    <t>3.000.000.000</t>
  </si>
  <si>
    <t>BJBR</t>
  </si>
  <si>
    <t>10.416.229.249</t>
  </si>
  <si>
    <t>BJTM</t>
  </si>
  <si>
    <t>14.865.343.101</t>
  </si>
  <si>
    <t>BKDP</t>
  </si>
  <si>
    <t>Bukit Darmo Property Tbk</t>
  </si>
  <si>
    <t>7.513.992.252</t>
  </si>
  <si>
    <t>BKSL</t>
  </si>
  <si>
    <t>Sentul City Tbk.</t>
  </si>
  <si>
    <t>167.708.902.705</t>
  </si>
  <si>
    <t>BKSW</t>
  </si>
  <si>
    <t>Bank QNB Indonesia Tbk.</t>
  </si>
  <si>
    <t>34.806.467.881</t>
  </si>
  <si>
    <t>BLTA</t>
  </si>
  <si>
    <t>Berlian Laju Tanker Tbk</t>
  </si>
  <si>
    <t>25.940.187.103</t>
  </si>
  <si>
    <t>BLTZ</t>
  </si>
  <si>
    <t>Graha Layar Prima Tbk.</t>
  </si>
  <si>
    <t>873.937.142</t>
  </si>
  <si>
    <t>BMAS</t>
  </si>
  <si>
    <t>Bank Maspion Indonesia Tbk.</t>
  </si>
  <si>
    <t>17.921.635.680</t>
  </si>
  <si>
    <t>BMRI</t>
  </si>
  <si>
    <t>Bank Mandiri (Persero) Tbk.</t>
  </si>
  <si>
    <t>92.399.999.996</t>
  </si>
  <si>
    <t>BMSR</t>
  </si>
  <si>
    <t>Bintang Mitra Semestaraya Tbk</t>
  </si>
  <si>
    <t>1.159.200.024</t>
  </si>
  <si>
    <t>BMTR</t>
  </si>
  <si>
    <t>Global Mediacom Tbk.</t>
  </si>
  <si>
    <t>16.583.997.586</t>
  </si>
  <si>
    <t>BNBA</t>
  </si>
  <si>
    <t>Bank Bumi Arta Tbk.</t>
  </si>
  <si>
    <t>3.354.120.000</t>
  </si>
  <si>
    <t>BNBR</t>
  </si>
  <si>
    <t>Bakrie &amp; Brothers Tbk</t>
  </si>
  <si>
    <t>173.416.832.509</t>
  </si>
  <si>
    <t>BNGA</t>
  </si>
  <si>
    <t>Bank CIMB Niaga Tbk.</t>
  </si>
  <si>
    <t>24.890.783.784</t>
  </si>
  <si>
    <t>BNII</t>
  </si>
  <si>
    <t>Bank Maybank Indonesia Tbk.</t>
  </si>
  <si>
    <t>75.357.433.911</t>
  </si>
  <si>
    <t>BNLI</t>
  </si>
  <si>
    <t>Bank Permata Tbk.</t>
  </si>
  <si>
    <t>35.819.545.925</t>
  </si>
  <si>
    <t>BOLT</t>
  </si>
  <si>
    <t>Garuda Metalindo Tbk.</t>
  </si>
  <si>
    <t>2.343.750.000</t>
  </si>
  <si>
    <t>BPFI</t>
  </si>
  <si>
    <t>Woori Finance Indonesia Tbk.</t>
  </si>
  <si>
    <t>2.673.995.362</t>
  </si>
  <si>
    <t>BPII</t>
  </si>
  <si>
    <t>9.884.153.240</t>
  </si>
  <si>
    <t>BRAM</t>
  </si>
  <si>
    <t>Indo Kordsa Tbk.</t>
  </si>
  <si>
    <t>450.056.980</t>
  </si>
  <si>
    <t>BRMS</t>
  </si>
  <si>
    <t>Bumi Resources Minerals Tbk.</t>
  </si>
  <si>
    <t>141.784.040.338</t>
  </si>
  <si>
    <t>BRNA</t>
  </si>
  <si>
    <t>Berlina Tbk.</t>
  </si>
  <si>
    <t>979.110.000</t>
  </si>
  <si>
    <t>BRPT</t>
  </si>
  <si>
    <t>Barito Pacific Tbk.</t>
  </si>
  <si>
    <t>93.747.218.044</t>
  </si>
  <si>
    <t>BSDE</t>
  </si>
  <si>
    <t>Bumi Serpong Damai Tbk.</t>
  </si>
  <si>
    <t>21.171.365.812</t>
  </si>
  <si>
    <t>BSIM</t>
  </si>
  <si>
    <t>Bank Sinarmas Tbk.</t>
  </si>
  <si>
    <t>19.517.921.842</t>
  </si>
  <si>
    <t>BSSR</t>
  </si>
  <si>
    <t>Baramulti Suksessarana Tbk.</t>
  </si>
  <si>
    <t>2.616.500.000</t>
  </si>
  <si>
    <t>BSWD</t>
  </si>
  <si>
    <t>Bank Of India Indonesia Tbk.</t>
  </si>
  <si>
    <t>3.651.978.177</t>
  </si>
  <si>
    <t>BTEK</t>
  </si>
  <si>
    <t>Bumi Teknokultura Unggul Tbk</t>
  </si>
  <si>
    <t>46.277.496.376</t>
  </si>
  <si>
    <t>BTEL</t>
  </si>
  <si>
    <t>Bakrie Telecom Tbk.</t>
  </si>
  <si>
    <t>36.822.665.755</t>
  </si>
  <si>
    <t>BTON</t>
  </si>
  <si>
    <t>Betonjaya Manunggal Tbk.</t>
  </si>
  <si>
    <t>BTPN</t>
  </si>
  <si>
    <t>Bank SMBC Indonesia Tbk.</t>
  </si>
  <si>
    <t>10.536.203.690</t>
  </si>
  <si>
    <t>BUDI</t>
  </si>
  <si>
    <t>Budi Starch &amp; Sweetener Tbk.</t>
  </si>
  <si>
    <t>4.498.997.362</t>
  </si>
  <si>
    <t>BUKK</t>
  </si>
  <si>
    <t>Bukaka Teknik Utama Tbk.</t>
  </si>
  <si>
    <t>2.640.452.000</t>
  </si>
  <si>
    <t>BULL</t>
  </si>
  <si>
    <t>Buana Lintas Lautan Tbk.</t>
  </si>
  <si>
    <t>15.494.436.593</t>
  </si>
  <si>
    <t>BUMI</t>
  </si>
  <si>
    <t>Bumi Resources Tbk.</t>
  </si>
  <si>
    <t>371.335.392.068</t>
  </si>
  <si>
    <t>BUVA</t>
  </si>
  <si>
    <t>Bukit Uluwatu Villa Tbk.</t>
  </si>
  <si>
    <t>24.617.054.642</t>
  </si>
  <si>
    <t>BVIC</t>
  </si>
  <si>
    <t>18.235.266.754</t>
  </si>
  <si>
    <t>BWPT</t>
  </si>
  <si>
    <t>Eagle High Plantations Tbk.</t>
  </si>
  <si>
    <t>31.525.291.000</t>
  </si>
  <si>
    <t>BYAN</t>
  </si>
  <si>
    <t>Bayan Resources Tbk.</t>
  </si>
  <si>
    <t>33.333.335.000</t>
  </si>
  <si>
    <t>CANI</t>
  </si>
  <si>
    <t>833.440.000</t>
  </si>
  <si>
    <t>CASS</t>
  </si>
  <si>
    <t>Cahaya Aero Services Tbk.</t>
  </si>
  <si>
    <t>2.086.950.000</t>
  </si>
  <si>
    <t>CEKA</t>
  </si>
  <si>
    <t>Wilmar Cahaya Indonesia Tbk.</t>
  </si>
  <si>
    <t>595.000.000</t>
  </si>
  <si>
    <t>CENT</t>
  </si>
  <si>
    <t>31.183.464.900</t>
  </si>
  <si>
    <t>CFIN</t>
  </si>
  <si>
    <t>Clipan Finance Indonesia Tbk.</t>
  </si>
  <si>
    <t>3.984.520.457</t>
  </si>
  <si>
    <t>CINT</t>
  </si>
  <si>
    <t>Chitose Internasional Tbk.</t>
  </si>
  <si>
    <t>1.000.000.000</t>
  </si>
  <si>
    <t>CITA</t>
  </si>
  <si>
    <t>Cita Mineral Investindo Tbk.</t>
  </si>
  <si>
    <t>3.960.361.250</t>
  </si>
  <si>
    <t>CLPI</t>
  </si>
  <si>
    <t>Colorpak Indonesia Tbk.</t>
  </si>
  <si>
    <t>306.338.500</t>
  </si>
  <si>
    <t>CMNP</t>
  </si>
  <si>
    <t>6.696.354.391</t>
  </si>
  <si>
    <t>CMPP</t>
  </si>
  <si>
    <t>AirAsia Indonesia Tbk.</t>
  </si>
  <si>
    <t>10.685.124.441</t>
  </si>
  <si>
    <t>CNKO</t>
  </si>
  <si>
    <t>8.956.361.206</t>
  </si>
  <si>
    <t>CNTX</t>
  </si>
  <si>
    <t>Century Textile Industry Tbk.</t>
  </si>
  <si>
    <t>70.000.000</t>
  </si>
  <si>
    <t>COWL</t>
  </si>
  <si>
    <t>Cowell Development Tbk.</t>
  </si>
  <si>
    <t>4.871.214.021</t>
  </si>
  <si>
    <t>CPIN</t>
  </si>
  <si>
    <t>Charoen Pokphand Indonesia Tbk</t>
  </si>
  <si>
    <t>16.398.000.000</t>
  </si>
  <si>
    <t>CPRO</t>
  </si>
  <si>
    <t>Central Proteina Prima Tbk.</t>
  </si>
  <si>
    <t>59.572.382.787</t>
  </si>
  <si>
    <t>CSAP</t>
  </si>
  <si>
    <t>Catur Sentosa Adiprana Tbk.</t>
  </si>
  <si>
    <t>5.683.175.151</t>
  </si>
  <si>
    <t>CTBN</t>
  </si>
  <si>
    <t>Citra Tubindo Tbk.</t>
  </si>
  <si>
    <t>800.371.500</t>
  </si>
  <si>
    <t>CTRA</t>
  </si>
  <si>
    <t>Ciputra Development Tbk.</t>
  </si>
  <si>
    <t>18.535.695.255</t>
  </si>
  <si>
    <t>CTTH</t>
  </si>
  <si>
    <t>Citatah Tbk.</t>
  </si>
  <si>
    <t>1.230.839.821</t>
  </si>
  <si>
    <t>DART</t>
  </si>
  <si>
    <t>Duta Anggada Realty Tbk.</t>
  </si>
  <si>
    <t>3.141.390.962</t>
  </si>
  <si>
    <t>DEFI</t>
  </si>
  <si>
    <t>Danasupra Erapacific Tbk.</t>
  </si>
  <si>
    <t>687.266.666</t>
  </si>
  <si>
    <t>DEWA</t>
  </si>
  <si>
    <t>Darma Henwa Tbk</t>
  </si>
  <si>
    <t>40.687.434.244</t>
  </si>
  <si>
    <t>DGIK</t>
  </si>
  <si>
    <t>5.541.165.000</t>
  </si>
  <si>
    <t>DILD</t>
  </si>
  <si>
    <t>Intiland Development Tbk.</t>
  </si>
  <si>
    <t>10.365.854.185</t>
  </si>
  <si>
    <t>DKFT</t>
  </si>
  <si>
    <t>Central Omega Resources Tbk.</t>
  </si>
  <si>
    <t>5.638.246.600</t>
  </si>
  <si>
    <t>DLTA</t>
  </si>
  <si>
    <t>Delta Djakarta Tbk.</t>
  </si>
  <si>
    <t>800.659.050</t>
  </si>
  <si>
    <t>DMAS</t>
  </si>
  <si>
    <t>Puradelta Lestari Tbk.</t>
  </si>
  <si>
    <t>48.198.111.100</t>
  </si>
  <si>
    <t>DNAR</t>
  </si>
  <si>
    <t>Bank Oke Indonesia Tbk.</t>
  </si>
  <si>
    <t>16.721.891.185</t>
  </si>
  <si>
    <t>DNET</t>
  </si>
  <si>
    <t>14.184.000.000</t>
  </si>
  <si>
    <t>DOID</t>
  </si>
  <si>
    <t>BUMA Internasional Grup Tbk.</t>
  </si>
  <si>
    <t>7.651.007.132</t>
  </si>
  <si>
    <t>DPNS</t>
  </si>
  <si>
    <t>Duta Pertiwi Nusantara Tbk.</t>
  </si>
  <si>
    <t>331.129.952</t>
  </si>
  <si>
    <t>DSFI</t>
  </si>
  <si>
    <t>1.857.135.500</t>
  </si>
  <si>
    <t>DSNG</t>
  </si>
  <si>
    <t>Dharma Satya Nusantara Tbk.</t>
  </si>
  <si>
    <t>10.599.842.400</t>
  </si>
  <si>
    <t>DSSA</t>
  </si>
  <si>
    <t>Dian Swastatika Sentosa Tbk</t>
  </si>
  <si>
    <t>7.705.523.200</t>
  </si>
  <si>
    <t>DUTI</t>
  </si>
  <si>
    <t>Duta Pertiwi Tbk</t>
  </si>
  <si>
    <t>1.850.000.000</t>
  </si>
  <si>
    <t>DVLA</t>
  </si>
  <si>
    <t>Darya-Varia Laboratoria Tbk.</t>
  </si>
  <si>
    <t>1.120.000.000</t>
  </si>
  <si>
    <t>DYAN</t>
  </si>
  <si>
    <t>4.272.964.279</t>
  </si>
  <si>
    <t>ECII</t>
  </si>
  <si>
    <t>Electronic City Indonesia Tbk.</t>
  </si>
  <si>
    <t>1.334.333.000</t>
  </si>
  <si>
    <t>EKAD</t>
  </si>
  <si>
    <t>Ekadharma International Tbk.</t>
  </si>
  <si>
    <t>3.493.875.000</t>
  </si>
  <si>
    <t>ELSA</t>
  </si>
  <si>
    <t>Elnusa Tbk.</t>
  </si>
  <si>
    <t>7.298.500.000</t>
  </si>
  <si>
    <t>ELTY</t>
  </si>
  <si>
    <t>Bakrieland Development Tbk.</t>
  </si>
  <si>
    <t>43.521.913.019</t>
  </si>
  <si>
    <t>EMDE</t>
  </si>
  <si>
    <t>Megapolitan Developments Tbk.</t>
  </si>
  <si>
    <t>3.350.000.000</t>
  </si>
  <si>
    <t>EMTK</t>
  </si>
  <si>
    <t>Elang Mahkota Teknologi Tbk.</t>
  </si>
  <si>
    <t>61.426.451.483</t>
  </si>
  <si>
    <t>ENRG</t>
  </si>
  <si>
    <t>Energi Mega Persada Tbk.</t>
  </si>
  <si>
    <t>26.346.230.250</t>
  </si>
  <si>
    <t>EPMT</t>
  </si>
  <si>
    <t>Enseval Putera Megatrading Tbk</t>
  </si>
  <si>
    <t>2.708.640.000</t>
  </si>
  <si>
    <t>ERAA</t>
  </si>
  <si>
    <t>Erajaya Swasembada Tbk.</t>
  </si>
  <si>
    <t>15.950.000.000</t>
  </si>
  <si>
    <t>ERTX</t>
  </si>
  <si>
    <t>Eratex Djaja Tbk.</t>
  </si>
  <si>
    <t>1.286.539.792</t>
  </si>
  <si>
    <t>ESSA</t>
  </si>
  <si>
    <t>ESSA Industries Indonesia Tbk.</t>
  </si>
  <si>
    <t>17.226.975.700</t>
  </si>
  <si>
    <t>ESTI</t>
  </si>
  <si>
    <t>Ever Shine Tex Tbk.</t>
  </si>
  <si>
    <t>2.015.208.720</t>
  </si>
  <si>
    <t>ETWA</t>
  </si>
  <si>
    <t>Eterindo Wahanatama Tbk</t>
  </si>
  <si>
    <t>4.668.671.400</t>
  </si>
  <si>
    <t>EXCL</t>
  </si>
  <si>
    <t>XLSMART Telecom Sejahtera Tbk.</t>
  </si>
  <si>
    <t>18.199.862.451</t>
  </si>
  <si>
    <t>FAST</t>
  </si>
  <si>
    <t>Fast Food Indonesia Tbk.</t>
  </si>
  <si>
    <t>4.523.610.492</t>
  </si>
  <si>
    <t>FASW</t>
  </si>
  <si>
    <t>Fajar Surya Wisesa Tbk.</t>
  </si>
  <si>
    <t>3.221.255.423</t>
  </si>
  <si>
    <t>FISH</t>
  </si>
  <si>
    <t>FKS Multi Agro Tbk.</t>
  </si>
  <si>
    <t>4.800.000.000</t>
  </si>
  <si>
    <t>FMII</t>
  </si>
  <si>
    <t>Fortune Mate Indonesia Tbk</t>
  </si>
  <si>
    <t>6.400.000.000</t>
  </si>
  <si>
    <t>FORU</t>
  </si>
  <si>
    <t>Fortune Indonesia Tbk</t>
  </si>
  <si>
    <t>465.224.000</t>
  </si>
  <si>
    <t>FPNI</t>
  </si>
  <si>
    <t>Lotte Chemical Titan Tbk.</t>
  </si>
  <si>
    <t>5.566.414.000</t>
  </si>
  <si>
    <t>GAMA</t>
  </si>
  <si>
    <t>Aksara Global Development Tbk.</t>
  </si>
  <si>
    <t>10.011.027.656</t>
  </si>
  <si>
    <t>GDST</t>
  </si>
  <si>
    <t>Gunawan Dianjaya Steel Tbk.</t>
  </si>
  <si>
    <t>9.242.500.000</t>
  </si>
  <si>
    <t>GDYR</t>
  </si>
  <si>
    <t>Goodyear Indonesia Tbk.</t>
  </si>
  <si>
    <t>410.000.000</t>
  </si>
  <si>
    <t>GEMA</t>
  </si>
  <si>
    <t>Gema Grahasarana Tbk.</t>
  </si>
  <si>
    <t>1.600.000.000</t>
  </si>
  <si>
    <t>GEMS</t>
  </si>
  <si>
    <t>Golden Energy Mines Tbk.</t>
  </si>
  <si>
    <t>5.882.353.000</t>
  </si>
  <si>
    <t>GGRM</t>
  </si>
  <si>
    <t>Gudang Garam Tbk.</t>
  </si>
  <si>
    <t>1.924.088.000</t>
  </si>
  <si>
    <t>GIAA</t>
  </si>
  <si>
    <t>Garuda Indonesia (Persero) Tbk</t>
  </si>
  <si>
    <t>407.091.703.837</t>
  </si>
  <si>
    <t>GJTL</t>
  </si>
  <si>
    <t>Gajah Tunggal Tbk.</t>
  </si>
  <si>
    <t>3.484.800.000</t>
  </si>
  <si>
    <t>GLOB</t>
  </si>
  <si>
    <t>Globe Kita Terang Tbk.</t>
  </si>
  <si>
    <t>1.111.112.000</t>
  </si>
  <si>
    <t>GMTD</t>
  </si>
  <si>
    <t>1.015.380.000</t>
  </si>
  <si>
    <t>GOLD</t>
  </si>
  <si>
    <t>1.277.276.000</t>
  </si>
  <si>
    <t>GOLL</t>
  </si>
  <si>
    <t>Golden Plantation Tbk.</t>
  </si>
  <si>
    <t>3.665.000.759</t>
  </si>
  <si>
    <t>GPRA</t>
  </si>
  <si>
    <t>Perdana Gapuraprima Tbk.</t>
  </si>
  <si>
    <t>4.276.655.336</t>
  </si>
  <si>
    <t>GSMF</t>
  </si>
  <si>
    <t>14.230.399.705</t>
  </si>
  <si>
    <t>GTBO</t>
  </si>
  <si>
    <t>Garda Tujuh Buana Tbk</t>
  </si>
  <si>
    <t>2.500.000.000</t>
  </si>
  <si>
    <t>GWSA</t>
  </si>
  <si>
    <t>Greenwood Sejahtera Tbk.</t>
  </si>
  <si>
    <t>7.800.760.000</t>
  </si>
  <si>
    <t>GZCO</t>
  </si>
  <si>
    <t>Gozco Plantations Tbk.</t>
  </si>
  <si>
    <t>6.000.000.000</t>
  </si>
  <si>
    <t>HADE</t>
  </si>
  <si>
    <t>Himalaya Energi Perkasa Tbk.</t>
  </si>
  <si>
    <t>2.120.000.000</t>
  </si>
  <si>
    <t>HDFA</t>
  </si>
  <si>
    <t>Radana Bhaskara Finance Tbk.</t>
  </si>
  <si>
    <t>6.542.445.783</t>
  </si>
  <si>
    <t>HERO</t>
  </si>
  <si>
    <t>DFI Retail Nusantara Tbk.</t>
  </si>
  <si>
    <t>4.183.634.000</t>
  </si>
  <si>
    <t>HEXA</t>
  </si>
  <si>
    <t>Hexindo Adiperkasa Tbk.</t>
  </si>
  <si>
    <t>840.000.000</t>
  </si>
  <si>
    <t>HITS</t>
  </si>
  <si>
    <t>7.101.084.801</t>
  </si>
  <si>
    <t>HMSP</t>
  </si>
  <si>
    <t>H.M. Sampoerna Tbk.</t>
  </si>
  <si>
    <t>116.318.076.900</t>
  </si>
  <si>
    <t>HOME</t>
  </si>
  <si>
    <t>Hotel Mandarine Regency Tbk.</t>
  </si>
  <si>
    <t>22.212.194.782</t>
  </si>
  <si>
    <t>HOTL</t>
  </si>
  <si>
    <t>Saraswati Griya Lestari Tbk.</t>
  </si>
  <si>
    <t>3.550.001.452</t>
  </si>
  <si>
    <t>HRUM</t>
  </si>
  <si>
    <t>Harum Energy Tbk.</t>
  </si>
  <si>
    <t>13.518.100.000</t>
  </si>
  <si>
    <t>IATA</t>
  </si>
  <si>
    <t>MNC Energy Investments Tbk.</t>
  </si>
  <si>
    <t>31.275.829.981</t>
  </si>
  <si>
    <t>IBFN</t>
  </si>
  <si>
    <t>Intan Baru Prana Tbk.</t>
  </si>
  <si>
    <t>1.517.332.349</t>
  </si>
  <si>
    <t>IBST</t>
  </si>
  <si>
    <t>Inti Bangun Sejahtera Tbk.</t>
  </si>
  <si>
    <t>1.350.904.927</t>
  </si>
  <si>
    <t>ICBP</t>
  </si>
  <si>
    <t>Indofood CBP Sukses Makmur Tbk</t>
  </si>
  <si>
    <t>11.661.908.000</t>
  </si>
  <si>
    <t>ICON</t>
  </si>
  <si>
    <t>Island Concepts Indonesia Tbk.</t>
  </si>
  <si>
    <t>1.089.750.000</t>
  </si>
  <si>
    <t>IGAR</t>
  </si>
  <si>
    <t>Champion Pacific Indonesia Tbk</t>
  </si>
  <si>
    <t>927.780.600</t>
  </si>
  <si>
    <t>IIKP</t>
  </si>
  <si>
    <t>Inti Agri Resources Tbk</t>
  </si>
  <si>
    <t>33.600.000.000</t>
  </si>
  <si>
    <t>IKAI</t>
  </si>
  <si>
    <t>13.305.799.387</t>
  </si>
  <si>
    <t>IKBI</t>
  </si>
  <si>
    <t>Sumi Indo Kabel Tbk.</t>
  </si>
  <si>
    <t>1.224.000.000</t>
  </si>
  <si>
    <t>IMAS</t>
  </si>
  <si>
    <t>3.994.291.039</t>
  </si>
  <si>
    <t>IMJS</t>
  </si>
  <si>
    <t>Indomobil Multi Jasa Tbk.</t>
  </si>
  <si>
    <t>10.849.262.500</t>
  </si>
  <si>
    <t>IMPC</t>
  </si>
  <si>
    <t>Impack Pratama Industri Tbk.</t>
  </si>
  <si>
    <t>54.907.000.000</t>
  </si>
  <si>
    <t>INAF</t>
  </si>
  <si>
    <t>Indofarma Tbk.</t>
  </si>
  <si>
    <t>3.099.267.500</t>
  </si>
  <si>
    <t>INAI</t>
  </si>
  <si>
    <t>Indal Aluminium Industry Tbk.</t>
  </si>
  <si>
    <t>633.600.000</t>
  </si>
  <si>
    <t>INCI</t>
  </si>
  <si>
    <t>Intanwijaya Internasional Tbk</t>
  </si>
  <si>
    <t>207.656.617</t>
  </si>
  <si>
    <t>INCO</t>
  </si>
  <si>
    <t>Vale Indonesia Tbk.</t>
  </si>
  <si>
    <t>10.539.784.534</t>
  </si>
  <si>
    <t>INDF</t>
  </si>
  <si>
    <t>Indofood Sukses Makmur Tbk.</t>
  </si>
  <si>
    <t>8.780.426.500</t>
  </si>
  <si>
    <t>INDR</t>
  </si>
  <si>
    <t>654.351.707</t>
  </si>
  <si>
    <t>INDS</t>
  </si>
  <si>
    <t>Indospring Tbk.</t>
  </si>
  <si>
    <t>6.562.497.100</t>
  </si>
  <si>
    <t>INDX</t>
  </si>
  <si>
    <t>Tanah Laut Tbk</t>
  </si>
  <si>
    <t>437.913.588</t>
  </si>
  <si>
    <t>INDY</t>
  </si>
  <si>
    <t>Indika Energy Tbk.</t>
  </si>
  <si>
    <t>5.210.192.000</t>
  </si>
  <si>
    <t>INKP</t>
  </si>
  <si>
    <t>Indah Kiat Pulp &amp; Paper Tbk.</t>
  </si>
  <si>
    <t>5.470.982.941</t>
  </si>
  <si>
    <t>INPC</t>
  </si>
  <si>
    <t>20.021.178.779</t>
  </si>
  <si>
    <t>INPP</t>
  </si>
  <si>
    <t>11.181.971.732</t>
  </si>
  <si>
    <t>INRU</t>
  </si>
  <si>
    <t>Toba Pulp Lestari Tbk.</t>
  </si>
  <si>
    <t>1.388.883.283</t>
  </si>
  <si>
    <t>INTA</t>
  </si>
  <si>
    <t>Intraco Penta Tbk.</t>
  </si>
  <si>
    <t>3.343.935.022</t>
  </si>
  <si>
    <t>INTD</t>
  </si>
  <si>
    <t>Inter Delta Tbk</t>
  </si>
  <si>
    <t>591.828.000</t>
  </si>
  <si>
    <t>INTP</t>
  </si>
  <si>
    <t>3.515.602.799</t>
  </si>
  <si>
    <t>IPOL</t>
  </si>
  <si>
    <t>Indopoly Swakarsa Industry Tbk</t>
  </si>
  <si>
    <t>6.443.379.509</t>
  </si>
  <si>
    <t>ISAT</t>
  </si>
  <si>
    <t>Indosat Tbk.</t>
  </si>
  <si>
    <t>32.250.810.957</t>
  </si>
  <si>
    <t>ISSP</t>
  </si>
  <si>
    <t>7.185.992.035</t>
  </si>
  <si>
    <t>ITMA</t>
  </si>
  <si>
    <t>Sumber Energi Andalan Tbk.</t>
  </si>
  <si>
    <t>999.053.167</t>
  </si>
  <si>
    <t>ITMG</t>
  </si>
  <si>
    <t>Indo Tambangraya Megah Tbk.</t>
  </si>
  <si>
    <t>1.129.925.000</t>
  </si>
  <si>
    <t>JAWA</t>
  </si>
  <si>
    <t>Jaya Agra Wattie Tbk.</t>
  </si>
  <si>
    <t>16.232.951.842</t>
  </si>
  <si>
    <t>JECC</t>
  </si>
  <si>
    <t>Jembo Cable Company Tbk.</t>
  </si>
  <si>
    <t>756.000.000</t>
  </si>
  <si>
    <t>JIHD</t>
  </si>
  <si>
    <t>2.329.040.482</t>
  </si>
  <si>
    <t>JKON</t>
  </si>
  <si>
    <t>16.308.519.860</t>
  </si>
  <si>
    <t>JPFA</t>
  </si>
  <si>
    <t>Japfa Comfeed Indonesia Tbk.</t>
  </si>
  <si>
    <t>11.726.575.201</t>
  </si>
  <si>
    <t>JRPT</t>
  </si>
  <si>
    <t>Jaya Real Property Tbk.</t>
  </si>
  <si>
    <t>12.910.719.100</t>
  </si>
  <si>
    <t>JSMR</t>
  </si>
  <si>
    <t>Jasa Marga (Persero) Tbk.</t>
  </si>
  <si>
    <t>7.257.871.200</t>
  </si>
  <si>
    <t>JSPT</t>
  </si>
  <si>
    <t>2.318.736.000</t>
  </si>
  <si>
    <t>JTPE</t>
  </si>
  <si>
    <t>Jasuindo Tiga Perkasa Tbk.</t>
  </si>
  <si>
    <t>6.852.050.000</t>
  </si>
  <si>
    <t>KAEF</t>
  </si>
  <si>
    <t>Kimia Farma Tbk.</t>
  </si>
  <si>
    <t>5.566.589.577</t>
  </si>
  <si>
    <t>KARW</t>
  </si>
  <si>
    <t>Meratus Jasa Prima Tbk.</t>
  </si>
  <si>
    <t>587.152.700</t>
  </si>
  <si>
    <t>KBLI</t>
  </si>
  <si>
    <t>KMI Wire &amp; Cable Tbk.</t>
  </si>
  <si>
    <t>4.007.235.107</t>
  </si>
  <si>
    <t>KBLM</t>
  </si>
  <si>
    <t>Kabelindo Murni Tbk.</t>
  </si>
  <si>
    <t>KBLV</t>
  </si>
  <si>
    <t>First Media Tbk.</t>
  </si>
  <si>
    <t>1.742.167.907</t>
  </si>
  <si>
    <t>KBRI</t>
  </si>
  <si>
    <t>8.687.995.734</t>
  </si>
  <si>
    <t>KDSI</t>
  </si>
  <si>
    <t>Kedawung Setia Industrial Tbk.</t>
  </si>
  <si>
    <t>1.620.000.000</t>
  </si>
  <si>
    <t>KIAS</t>
  </si>
  <si>
    <t>14.929.100.000</t>
  </si>
  <si>
    <t>KICI</t>
  </si>
  <si>
    <t>Kedaung Indah Can Tbk</t>
  </si>
  <si>
    <t>276.000.000</t>
  </si>
  <si>
    <t>KIJA</t>
  </si>
  <si>
    <t>Kawasan Industri Jababeka Tbk.</t>
  </si>
  <si>
    <t>20.824.888.369</t>
  </si>
  <si>
    <t>KKGI</t>
  </si>
  <si>
    <t>Resource Alam Indonesia Tbk.</t>
  </si>
  <si>
    <t>5.000.000.000</t>
  </si>
  <si>
    <t>KLBF</t>
  </si>
  <si>
    <t>Kalbe Farma Tbk.</t>
  </si>
  <si>
    <t>46.813.391.540</t>
  </si>
  <si>
    <t>KOBX</t>
  </si>
  <si>
    <t>Kobexindo Tractors Tbk.</t>
  </si>
  <si>
    <t>2.272.500.000</t>
  </si>
  <si>
    <t>KOIN</t>
  </si>
  <si>
    <t>Kokoh Inti Arebama Tbk</t>
  </si>
  <si>
    <t>980.843.732</t>
  </si>
  <si>
    <t>KONI</t>
  </si>
  <si>
    <t>Perdana Bangun Pusaka Tbk</t>
  </si>
  <si>
    <t>312.000.000</t>
  </si>
  <si>
    <t>KOPI</t>
  </si>
  <si>
    <t>Mitra Energi Persada Tbk.</t>
  </si>
  <si>
    <t>697.266.668</t>
  </si>
  <si>
    <t>KPIG</t>
  </si>
  <si>
    <t>MNC Tourism Indonesia Tbk.</t>
  </si>
  <si>
    <t>99.857.559.263</t>
  </si>
  <si>
    <t>KRAS</t>
  </si>
  <si>
    <t>Krakatau Steel (Persero) Tbk.</t>
  </si>
  <si>
    <t>19.346.396.900</t>
  </si>
  <si>
    <t>KREN</t>
  </si>
  <si>
    <t>Quantum Clovera Investama Tbk.</t>
  </si>
  <si>
    <t>18.208.470.100</t>
  </si>
  <si>
    <t>LAPD</t>
  </si>
  <si>
    <t>Leyand International Tbk.</t>
  </si>
  <si>
    <t>3.966.350.139</t>
  </si>
  <si>
    <t>LCGP</t>
  </si>
  <si>
    <t>Eureka Prima Jakarta Tbk.</t>
  </si>
  <si>
    <t>5.630.000.914</t>
  </si>
  <si>
    <t>LEAD</t>
  </si>
  <si>
    <t>Logindo Samudramakmur Tbk.</t>
  </si>
  <si>
    <t>5.799.616.328</t>
  </si>
  <si>
    <t>LINK</t>
  </si>
  <si>
    <t>Link Net Tbk.</t>
  </si>
  <si>
    <t>2.863.195.484</t>
  </si>
  <si>
    <t>LION</t>
  </si>
  <si>
    <t>Lion Metal Works Tbk.</t>
  </si>
  <si>
    <t>520.160.000</t>
  </si>
  <si>
    <t>LMAS</t>
  </si>
  <si>
    <t>Limas Indonesia Makmur Tbk</t>
  </si>
  <si>
    <t>787.851.525</t>
  </si>
  <si>
    <t>LMPI</t>
  </si>
  <si>
    <t>Langgeng Makmur Industri Tbk.</t>
  </si>
  <si>
    <t>1.008.517.669</t>
  </si>
  <si>
    <t>LMSH</t>
  </si>
  <si>
    <t>Lionmesh Prima Tbk.</t>
  </si>
  <si>
    <t>96.000.000</t>
  </si>
  <si>
    <t>LPCK</t>
  </si>
  <si>
    <t>Lippo Cikarang Tbk</t>
  </si>
  <si>
    <t>5.134.685.692</t>
  </si>
  <si>
    <t>LPGI</t>
  </si>
  <si>
    <t>Lippo General Insurance Tbk.</t>
  </si>
  <si>
    <t>LPIN</t>
  </si>
  <si>
    <t>Multi Prima Sejahtera Tbk</t>
  </si>
  <si>
    <t>425.000.000</t>
  </si>
  <si>
    <t>LPKR</t>
  </si>
  <si>
    <t>Lippo Karawaci Tbk.</t>
  </si>
  <si>
    <t>70.898.018.369</t>
  </si>
  <si>
    <t>LPLI</t>
  </si>
  <si>
    <t>Star Pacific Tbk</t>
  </si>
  <si>
    <t>1.170.432.803</t>
  </si>
  <si>
    <t>LPPF</t>
  </si>
  <si>
    <t>Matahari Department Store Tbk.</t>
  </si>
  <si>
    <t>2.258.279.280</t>
  </si>
  <si>
    <t>LPPS</t>
  </si>
  <si>
    <t>Lenox Pasifik Investama Tbk.</t>
  </si>
  <si>
    <t>2.588.250.000</t>
  </si>
  <si>
    <t>LRNA</t>
  </si>
  <si>
    <t>Eka Sari Lorena Transport Tbk.</t>
  </si>
  <si>
    <t>350.000.022</t>
  </si>
  <si>
    <t>LSIP</t>
  </si>
  <si>
    <t>6.819.963.965</t>
  </si>
  <si>
    <t>LTLS</t>
  </si>
  <si>
    <t>Lautan Luas Tbk.</t>
  </si>
  <si>
    <t>1.560.000.000</t>
  </si>
  <si>
    <t>MAGP</t>
  </si>
  <si>
    <t>9.000.000.004</t>
  </si>
  <si>
    <t>MAIN</t>
  </si>
  <si>
    <t>Malindo Feedmill Tbk.</t>
  </si>
  <si>
    <t>2.238.750.000</t>
  </si>
  <si>
    <t>MAPI</t>
  </si>
  <si>
    <t>Mitra Adiperkasa Tbk.</t>
  </si>
  <si>
    <t>16.600.000.000</t>
  </si>
  <si>
    <t>MAYA</t>
  </si>
  <si>
    <t>25.906.179.152</t>
  </si>
  <si>
    <t>MBAP</t>
  </si>
  <si>
    <t>Mitrabara Adiperdana Tbk.</t>
  </si>
  <si>
    <t>1.227.271.952</t>
  </si>
  <si>
    <t>MBSS</t>
  </si>
  <si>
    <t>Mitrabahtera Segara Sejati Tbk</t>
  </si>
  <si>
    <t>1.750.026.639</t>
  </si>
  <si>
    <t>MBTO</t>
  </si>
  <si>
    <t>Martina Berto Tbk.</t>
  </si>
  <si>
    <t>1.070.000.000</t>
  </si>
  <si>
    <t>MCOR</t>
  </si>
  <si>
    <t>37.540.533.209</t>
  </si>
  <si>
    <t>MDIA</t>
  </si>
  <si>
    <t>Intermedia Capital Tbk.</t>
  </si>
  <si>
    <t>39.215.538.400</t>
  </si>
  <si>
    <t>MDKA</t>
  </si>
  <si>
    <t>Merdeka Copper Gold Tbk.</t>
  </si>
  <si>
    <t>24.472.983.771</t>
  </si>
  <si>
    <t>MDLN</t>
  </si>
  <si>
    <t>Modernland Realty Tbk.</t>
  </si>
  <si>
    <t>12.533.067.322</t>
  </si>
  <si>
    <t>MDRN</t>
  </si>
  <si>
    <t>Modern Internasional Tbk.</t>
  </si>
  <si>
    <t>7.632.167.798</t>
  </si>
  <si>
    <t>MEDC</t>
  </si>
  <si>
    <t>Medco Energi Internasional Tbk</t>
  </si>
  <si>
    <t>25.136.231.252</t>
  </si>
  <si>
    <t>MEGA</t>
  </si>
  <si>
    <t>Bank Mega Tbk.</t>
  </si>
  <si>
    <t>11.623.514.905</t>
  </si>
  <si>
    <t>MERK</t>
  </si>
  <si>
    <t>Merck Tbk.</t>
  </si>
  <si>
    <t>448.000.000</t>
  </si>
  <si>
    <t>META</t>
  </si>
  <si>
    <t>Nusantara Infrastructure Tbk.</t>
  </si>
  <si>
    <t>17.710.708.194</t>
  </si>
  <si>
    <t>MFMI</t>
  </si>
  <si>
    <t>757.581.000</t>
  </si>
  <si>
    <t>MGNA</t>
  </si>
  <si>
    <t>Magna Investama Mandiri Tbk.</t>
  </si>
  <si>
    <t>3.411.009.526</t>
  </si>
  <si>
    <t>MICE</t>
  </si>
  <si>
    <t>Multi Indocitra Tbk.</t>
  </si>
  <si>
    <t>600.000.000</t>
  </si>
  <si>
    <t>MIDI</t>
  </si>
  <si>
    <t>Midi Utama Indonesia Tbk.</t>
  </si>
  <si>
    <t>33.435.294.800</t>
  </si>
  <si>
    <t>MIKA</t>
  </si>
  <si>
    <t>Mitra Keluarga Karyasehat Tbk.</t>
  </si>
  <si>
    <t>13.907.481.500</t>
  </si>
  <si>
    <t>MIRA</t>
  </si>
  <si>
    <t>3.961.452.039</t>
  </si>
  <si>
    <t>MITI</t>
  </si>
  <si>
    <t>Mitra Investindo Tbk.</t>
  </si>
  <si>
    <t>3.750.526.603</t>
  </si>
  <si>
    <t>MKPI</t>
  </si>
  <si>
    <t>Metropolitan Kentjana Tbk.</t>
  </si>
  <si>
    <t>948.194.000</t>
  </si>
  <si>
    <t>MLBI</t>
  </si>
  <si>
    <t>Multi Bintang Indonesia Tbk.</t>
  </si>
  <si>
    <t>2.107.000.000</t>
  </si>
  <si>
    <t>MLIA</t>
  </si>
  <si>
    <t>Mulia Industrindo Tbk</t>
  </si>
  <si>
    <t>6.615.000.000</t>
  </si>
  <si>
    <t>MLPL</t>
  </si>
  <si>
    <t>Multipolar Tbk.</t>
  </si>
  <si>
    <t>15.682.323.987</t>
  </si>
  <si>
    <t>MLPT</t>
  </si>
  <si>
    <t>Multipolar Technology Tbk.</t>
  </si>
  <si>
    <t>1.875.000.000</t>
  </si>
  <si>
    <t>MMLP</t>
  </si>
  <si>
    <t>Mega Manunggal Property Tbk.</t>
  </si>
  <si>
    <t>6.889.134.608</t>
  </si>
  <si>
    <t>MNCN</t>
  </si>
  <si>
    <t>Media Nusantara Citra Tbk.</t>
  </si>
  <si>
    <t>15.049.787.710</t>
  </si>
  <si>
    <t>MPMX</t>
  </si>
  <si>
    <t>Mitra Pinasthika Mustika Tbk.</t>
  </si>
  <si>
    <t>4.386.963.276</t>
  </si>
  <si>
    <t>MPPA</t>
  </si>
  <si>
    <t>Matahari Putra Prima Tbk.</t>
  </si>
  <si>
    <t>12.966.640.084</t>
  </si>
  <si>
    <t>MRAT</t>
  </si>
  <si>
    <t>Mustika Ratu Tbk.</t>
  </si>
  <si>
    <t>428.000.000</t>
  </si>
  <si>
    <t>MREI</t>
  </si>
  <si>
    <t>517.791.681</t>
  </si>
  <si>
    <t>MSKY</t>
  </si>
  <si>
    <t>MNC Sky Vision Tbk.</t>
  </si>
  <si>
    <t>1.994.370.480</t>
  </si>
  <si>
    <t>MTDL</t>
  </si>
  <si>
    <t>Metrodata Electronics Tbk.</t>
  </si>
  <si>
    <t>12.276.884.585</t>
  </si>
  <si>
    <t>MTFN</t>
  </si>
  <si>
    <t>Capitalinc Investment Tbk.</t>
  </si>
  <si>
    <t>31.842.082.852</t>
  </si>
  <si>
    <t>MTLA</t>
  </si>
  <si>
    <t>Metropolitan Land Tbk.</t>
  </si>
  <si>
    <t>7.655.126.330</t>
  </si>
  <si>
    <t>MTSM</t>
  </si>
  <si>
    <t>Metro Realty Tbk.</t>
  </si>
  <si>
    <t>232.848.000</t>
  </si>
  <si>
    <t>MYOH</t>
  </si>
  <si>
    <t>Samindo Resources Tbk.</t>
  </si>
  <si>
    <t>2.206.312.500</t>
  </si>
  <si>
    <t>MYOR</t>
  </si>
  <si>
    <t>Mayora Indah Tbk.</t>
  </si>
  <si>
    <t>22.358.699.725</t>
  </si>
  <si>
    <t>MYTX</t>
  </si>
  <si>
    <t>Asia Pacific Investama Tbk.</t>
  </si>
  <si>
    <t>7.747.281.949</t>
  </si>
  <si>
    <t>NELY</t>
  </si>
  <si>
    <t>Pelayaran Nelly Dwi Putri Tbk.</t>
  </si>
  <si>
    <t>2.350.000.000</t>
  </si>
  <si>
    <t>NIKL</t>
  </si>
  <si>
    <t>Pelat Timah Nusantara Tbk.</t>
  </si>
  <si>
    <t>2.523.350.000</t>
  </si>
  <si>
    <t>NIRO</t>
  </si>
  <si>
    <t>City Retail Developments Tbk.</t>
  </si>
  <si>
    <t>22.198.871.804</t>
  </si>
  <si>
    <t>NISP</t>
  </si>
  <si>
    <t>Bank OCBC NISP Tbk.</t>
  </si>
  <si>
    <t>22.715.776.032</t>
  </si>
  <si>
    <t>NOBU</t>
  </si>
  <si>
    <t>Bank Nationalnobu Tbk.</t>
  </si>
  <si>
    <t>7.403.659.460</t>
  </si>
  <si>
    <t>NRCA</t>
  </si>
  <si>
    <t>Nusa Raya Cipta Tbk.</t>
  </si>
  <si>
    <t>2.496.258.344</t>
  </si>
  <si>
    <t>OCAP</t>
  </si>
  <si>
    <t>Onix Capital Tbk.</t>
  </si>
  <si>
    <t>273.200.000</t>
  </si>
  <si>
    <t>OKAS</t>
  </si>
  <si>
    <t>Ancora Indonesia Resources Tbk</t>
  </si>
  <si>
    <t>2.373.449.165</t>
  </si>
  <si>
    <t>OMRE</t>
  </si>
  <si>
    <t>Indonesia Prima Property Tbk</t>
  </si>
  <si>
    <t>2.945.211.000</t>
  </si>
  <si>
    <t>PADI</t>
  </si>
  <si>
    <t>11.307.246.524</t>
  </si>
  <si>
    <t>PALM</t>
  </si>
  <si>
    <t>15.732.874.458</t>
  </si>
  <si>
    <t>PANR</t>
  </si>
  <si>
    <t>Panorama Sentrawisata Tbk.</t>
  </si>
  <si>
    <t>1.387.500.000</t>
  </si>
  <si>
    <t>PANS</t>
  </si>
  <si>
    <t>Panin Sekuritas Tbk.</t>
  </si>
  <si>
    <t>PBRX</t>
  </si>
  <si>
    <t>Pan Brothers Tbk.</t>
  </si>
  <si>
    <t>21.482.028.246</t>
  </si>
  <si>
    <t>PDES</t>
  </si>
  <si>
    <t>Destinasi Tirta Nusantara Tbk</t>
  </si>
  <si>
    <t>715.000.000</t>
  </si>
  <si>
    <t>PEGE</t>
  </si>
  <si>
    <t>Panca Global Kapital Tbk.</t>
  </si>
  <si>
    <t>2.833.417.056</t>
  </si>
  <si>
    <t>PGAS</t>
  </si>
  <si>
    <t>24.241.508.196</t>
  </si>
  <si>
    <t>PGLI</t>
  </si>
  <si>
    <t>488.000.000</t>
  </si>
  <si>
    <t>PICO</t>
  </si>
  <si>
    <t>Pelangi Indah Canindo Tbk</t>
  </si>
  <si>
    <t>568.375.000</t>
  </si>
  <si>
    <t>PJAA</t>
  </si>
  <si>
    <t>Pembangunan Jaya Ancol Tbk.</t>
  </si>
  <si>
    <t>1.599.999.996</t>
  </si>
  <si>
    <t>PKPK</t>
  </si>
  <si>
    <t>Paragon Karya Perkasa Tbk.</t>
  </si>
  <si>
    <t>1.200.000.000</t>
  </si>
  <si>
    <t>PLAS</t>
  </si>
  <si>
    <t>Polaris Investama Tbk</t>
  </si>
  <si>
    <t>1.184.200.000</t>
  </si>
  <si>
    <t>PLIN</t>
  </si>
  <si>
    <t>Plaza Indonesia Realty Tbk.</t>
  </si>
  <si>
    <t>3.550.000.000</t>
  </si>
  <si>
    <t>PNBN</t>
  </si>
  <si>
    <t>Bank Pan Indonesia Tbk</t>
  </si>
  <si>
    <t>23.837.645.998</t>
  </si>
  <si>
    <t>PNBS</t>
  </si>
  <si>
    <t>Bank Panin Dubai Syariah Tbk.</t>
  </si>
  <si>
    <t>38.425.504.906</t>
  </si>
  <si>
    <t>PNIN</t>
  </si>
  <si>
    <t>Paninvest Tbk.</t>
  </si>
  <si>
    <t>4.068.323.920</t>
  </si>
  <si>
    <t>PNLF</t>
  </si>
  <si>
    <t>Panin Financial Tbk.</t>
  </si>
  <si>
    <t>32.022.073.293</t>
  </si>
  <si>
    <t>PSAB</t>
  </si>
  <si>
    <t>J Resources Asia Pasifik Tbk.</t>
  </si>
  <si>
    <t>26.460.000.000</t>
  </si>
  <si>
    <t>PSDN</t>
  </si>
  <si>
    <t>Prasidha Aneka Niaga Tbk</t>
  </si>
  <si>
    <t>1.440.000.000</t>
  </si>
  <si>
    <t>PSKT</t>
  </si>
  <si>
    <t>Red Planet Indonesia Tbk.</t>
  </si>
  <si>
    <t>10.351.231.636</t>
  </si>
  <si>
    <t>PTBA</t>
  </si>
  <si>
    <t>Bukit Asam (Persero) Tbk.</t>
  </si>
  <si>
    <t>11.520.659.250</t>
  </si>
  <si>
    <t>PTIS</t>
  </si>
  <si>
    <t>Indo Straits Tbk.</t>
  </si>
  <si>
    <t>550.165.300</t>
  </si>
  <si>
    <t>PTPP</t>
  </si>
  <si>
    <t>PP (Persero) Tbk.</t>
  </si>
  <si>
    <t>6.199.897.354</t>
  </si>
  <si>
    <t>PTRO</t>
  </si>
  <si>
    <t>Petrosea Tbk.</t>
  </si>
  <si>
    <t>10.086.050.000</t>
  </si>
  <si>
    <t>PTSN</t>
  </si>
  <si>
    <t>Sat Nusapersada Tbk</t>
  </si>
  <si>
    <t>5.314.344.000</t>
  </si>
  <si>
    <t>PTSP</t>
  </si>
  <si>
    <t>220.808.000</t>
  </si>
  <si>
    <t>PUDP</t>
  </si>
  <si>
    <t>Pudjiadi Prestige Tbk.</t>
  </si>
  <si>
    <t>659.120.000</t>
  </si>
  <si>
    <t>PWON</t>
  </si>
  <si>
    <t>Pakuwon Jati Tbk.</t>
  </si>
  <si>
    <t>48.159.602.400</t>
  </si>
  <si>
    <t>PYFA</t>
  </si>
  <si>
    <t>Pyridam Farma Tbk</t>
  </si>
  <si>
    <t>11.236.694.472</t>
  </si>
  <si>
    <t>RAJA</t>
  </si>
  <si>
    <t>Rukun Raharja Tbk.</t>
  </si>
  <si>
    <t>4.227.082.500</t>
  </si>
  <si>
    <t>RALS</t>
  </si>
  <si>
    <t>Ramayana Lestari Sentosa Tbk.</t>
  </si>
  <si>
    <t>7.096.000.000</t>
  </si>
  <si>
    <t>RANC</t>
  </si>
  <si>
    <t>Supra Boga Lestari Tbk.</t>
  </si>
  <si>
    <t>1.564.487.500</t>
  </si>
  <si>
    <t>RBMS</t>
  </si>
  <si>
    <t>2.656.212.826</t>
  </si>
  <si>
    <t>RDTX</t>
  </si>
  <si>
    <t>Roda Vivatex Tbk</t>
  </si>
  <si>
    <t>268.800.000</t>
  </si>
  <si>
    <t>RELI</t>
  </si>
  <si>
    <t>RICY</t>
  </si>
  <si>
    <t>Ricky Putra Globalindo Tbk</t>
  </si>
  <si>
    <t>641.717.510</t>
  </si>
  <si>
    <t>RIGS</t>
  </si>
  <si>
    <t>Rig Tenders Indonesia Tbk.</t>
  </si>
  <si>
    <t>609.130.000</t>
  </si>
  <si>
    <t>RIMO</t>
  </si>
  <si>
    <t>Rimo International Lestari Tbk</t>
  </si>
  <si>
    <t>45.080.600.000</t>
  </si>
  <si>
    <t>RODA</t>
  </si>
  <si>
    <t>Pikko Land Development Tbk.</t>
  </si>
  <si>
    <t>13.592.128.209</t>
  </si>
  <si>
    <t>ROTI</t>
  </si>
  <si>
    <t>Nippon Indosari Corpindo Tbk.</t>
  </si>
  <si>
    <t>6.186.488.888</t>
  </si>
  <si>
    <t>RUIS</t>
  </si>
  <si>
    <t>Radiant Utama Interinsco Tbk.</t>
  </si>
  <si>
    <t>770.000.000</t>
  </si>
  <si>
    <t>SAFE</t>
  </si>
  <si>
    <t>Steady Safe Tbk</t>
  </si>
  <si>
    <t>821.207.512</t>
  </si>
  <si>
    <t>SAME</t>
  </si>
  <si>
    <t>17.164.632.545</t>
  </si>
  <si>
    <t>SCCO</t>
  </si>
  <si>
    <t>822.333.600</t>
  </si>
  <si>
    <t>SCMA</t>
  </si>
  <si>
    <t>Surya Citra Media Tbk.</t>
  </si>
  <si>
    <t>73.970.569.505</t>
  </si>
  <si>
    <t>SCPI</t>
  </si>
  <si>
    <t>Organon Pharma Indonesia Tbk.</t>
  </si>
  <si>
    <t>3.600.000</t>
  </si>
  <si>
    <t>SDMU</t>
  </si>
  <si>
    <t>Sidomulyo Selaras Tbk.</t>
  </si>
  <si>
    <t>2.250.691.100</t>
  </si>
  <si>
    <t>SDPC</t>
  </si>
  <si>
    <t>1.274.000.000</t>
  </si>
  <si>
    <t>SDRA</t>
  </si>
  <si>
    <t>14.545.267.990</t>
  </si>
  <si>
    <t>SGRO</t>
  </si>
  <si>
    <t>Prime Agri Resources Tbk.</t>
  </si>
  <si>
    <t>1.818.622.000</t>
  </si>
  <si>
    <t>SHID</t>
  </si>
  <si>
    <t>1.119.326.168</t>
  </si>
  <si>
    <t>SIDO</t>
  </si>
  <si>
    <t>30.000.000.000</t>
  </si>
  <si>
    <t>SILO</t>
  </si>
  <si>
    <t>13.006.125.000</t>
  </si>
  <si>
    <t>SIMA</t>
  </si>
  <si>
    <t>Siwani Makmur Tbk</t>
  </si>
  <si>
    <t>442.589.871</t>
  </si>
  <si>
    <t>SIMP</t>
  </si>
  <si>
    <t>Salim Ivomas Pratama Tbk.</t>
  </si>
  <si>
    <t>15.501.310.000</t>
  </si>
  <si>
    <t>SIPD</t>
  </si>
  <si>
    <t>Sreeya Sewu Indonesia Tbk.</t>
  </si>
  <si>
    <t>1.839.102.056</t>
  </si>
  <si>
    <t>SKBM</t>
  </si>
  <si>
    <t>Sekar Bumi Tbk.</t>
  </si>
  <si>
    <t>1.730.103.217</t>
  </si>
  <si>
    <t>SKLT</t>
  </si>
  <si>
    <t>Sekar Laut Tbk.</t>
  </si>
  <si>
    <t>6.907.405.000</t>
  </si>
  <si>
    <t>SKYB</t>
  </si>
  <si>
    <t>585.000.000</t>
  </si>
  <si>
    <t>SMAR</t>
  </si>
  <si>
    <t>2.872.193.366</t>
  </si>
  <si>
    <t>SMBR</t>
  </si>
  <si>
    <t>Semen Baturaja (Persero) Tbk.</t>
  </si>
  <si>
    <t>9.932.534.336</t>
  </si>
  <si>
    <t>SMCB</t>
  </si>
  <si>
    <t>Solusi Bangun Indonesia Tbk.</t>
  </si>
  <si>
    <t>9.019.381.973</t>
  </si>
  <si>
    <t>SMDM</t>
  </si>
  <si>
    <t>Suryamas Dutamakmur Tbk.</t>
  </si>
  <si>
    <t>4.772.138.237</t>
  </si>
  <si>
    <t>SMDR</t>
  </si>
  <si>
    <t>16.375.600.000</t>
  </si>
  <si>
    <t>SMGR</t>
  </si>
  <si>
    <t>Semen Indonesia (Persero) Tbk.</t>
  </si>
  <si>
    <t>6.751.540.089</t>
  </si>
  <si>
    <t>SMMA</t>
  </si>
  <si>
    <t>Sinarmas Multiartha Tbk.</t>
  </si>
  <si>
    <t>6.367.664.717</t>
  </si>
  <si>
    <t>SMMT</t>
  </si>
  <si>
    <t>Golden Eagle Energy Tbk.</t>
  </si>
  <si>
    <t>3.425.000.000</t>
  </si>
  <si>
    <t>SMRA</t>
  </si>
  <si>
    <t>Summarecon Agung Tbk.</t>
  </si>
  <si>
    <t>16.508.568.358</t>
  </si>
  <si>
    <t>SMRU</t>
  </si>
  <si>
    <t>SMR Utama Tbk.</t>
  </si>
  <si>
    <t>12.499.385.782</t>
  </si>
  <si>
    <t>SMSM</t>
  </si>
  <si>
    <t>Selamat Sempurna Tbk.</t>
  </si>
  <si>
    <t>5.758.675.440</t>
  </si>
  <si>
    <t>SOCI</t>
  </si>
  <si>
    <t>Soechi Lines Tbk.</t>
  </si>
  <si>
    <t>7.059.000.000</t>
  </si>
  <si>
    <t>SONA</t>
  </si>
  <si>
    <t>662.400.000</t>
  </si>
  <si>
    <t>SPMA</t>
  </si>
  <si>
    <t>Suparma Tbk.</t>
  </si>
  <si>
    <t>4.100.317.438</t>
  </si>
  <si>
    <t>SQMI</t>
  </si>
  <si>
    <t>Wilton Makmur Indonesia Tbk.</t>
  </si>
  <si>
    <t>15.537.591.429</t>
  </si>
  <si>
    <t>SRAJ</t>
  </si>
  <si>
    <t>Sejahteraraya Anugrahjaya Tbk.</t>
  </si>
  <si>
    <t>12.238.959.990</t>
  </si>
  <si>
    <t>SRIL</t>
  </si>
  <si>
    <t>Sri Rejeki Isman Tbk.</t>
  </si>
  <si>
    <t>20.452.176.844</t>
  </si>
  <si>
    <t>SRSN</t>
  </si>
  <si>
    <t>Indo Acidatama Tbk</t>
  </si>
  <si>
    <t>6.020.000.000</t>
  </si>
  <si>
    <t>SRTG</t>
  </si>
  <si>
    <t>Saratoga Investama Sedaya Tbk.</t>
  </si>
  <si>
    <t>13.564.835.000</t>
  </si>
  <si>
    <t>SSIA</t>
  </si>
  <si>
    <t>Surya Semesta Internusa Tbk.</t>
  </si>
  <si>
    <t>4.705.249.440</t>
  </si>
  <si>
    <t>SSMS</t>
  </si>
  <si>
    <t>Sawit Sumbermas Sarana Tbk.</t>
  </si>
  <si>
    <t>9.525.000.000</t>
  </si>
  <si>
    <t>SSTM</t>
  </si>
  <si>
    <t>1.170.909.181</t>
  </si>
  <si>
    <t>STAR</t>
  </si>
  <si>
    <t>Buana Artha Anugerah Tbk.</t>
  </si>
  <si>
    <t>4.800.000.602</t>
  </si>
  <si>
    <t>STTP</t>
  </si>
  <si>
    <t>Siantar Top Tbk.</t>
  </si>
  <si>
    <t>1.310.000.000</t>
  </si>
  <si>
    <t>SUGI</t>
  </si>
  <si>
    <t>Sugih Energy Tbk.</t>
  </si>
  <si>
    <t>24.811.541.414</t>
  </si>
  <si>
    <t>SULI</t>
  </si>
  <si>
    <t>SLJ Global Tbk.</t>
  </si>
  <si>
    <t>6.320.776.836</t>
  </si>
  <si>
    <t>SUPR</t>
  </si>
  <si>
    <t>Solusi Tunas Pratama Tbk.</t>
  </si>
  <si>
    <t>1.137.579.698</t>
  </si>
  <si>
    <t>TALF</t>
  </si>
  <si>
    <t>Tunas Alfin Tbk.</t>
  </si>
  <si>
    <t>1.353.435.000</t>
  </si>
  <si>
    <t>TARA</t>
  </si>
  <si>
    <t>Agung Semesta Sejahtera Tbk.</t>
  </si>
  <si>
    <t>10.069.645.750</t>
  </si>
  <si>
    <t>TAXI</t>
  </si>
  <si>
    <t>Express Transindo Utama Tbk.</t>
  </si>
  <si>
    <t>10.223.647.156</t>
  </si>
  <si>
    <t>TBIG</t>
  </si>
  <si>
    <t>22.656.999.445</t>
  </si>
  <si>
    <t>TBLA</t>
  </si>
  <si>
    <t>Tunas Baru Lampung Tbk.</t>
  </si>
  <si>
    <t>6.025.373.372</t>
  </si>
  <si>
    <t>TBMS</t>
  </si>
  <si>
    <t>Tembaga Mulia Semanan Tbk.</t>
  </si>
  <si>
    <t>734.680.000</t>
  </si>
  <si>
    <t>TCID</t>
  </si>
  <si>
    <t>Mandom Indonesia Tbk.</t>
  </si>
  <si>
    <t>402.133.334</t>
  </si>
  <si>
    <t>TELE</t>
  </si>
  <si>
    <t>Omni Inovasi Indonesia Tbk.</t>
  </si>
  <si>
    <t>7.310.929.389</t>
  </si>
  <si>
    <t>TFCO</t>
  </si>
  <si>
    <t>Tifico Fiber Indonesia Tbk.</t>
  </si>
  <si>
    <t>4.823.076.400</t>
  </si>
  <si>
    <t>TGKA</t>
  </si>
  <si>
    <t>Tigaraksa Satria Tbk.</t>
  </si>
  <si>
    <t>918.492.750</t>
  </si>
  <si>
    <t>TIFA</t>
  </si>
  <si>
    <t>KDB Tifa Finance Tbk.</t>
  </si>
  <si>
    <t>3.552.213.000</t>
  </si>
  <si>
    <t>TINS</t>
  </si>
  <si>
    <t>Timah Tbk.</t>
  </si>
  <si>
    <t>7.447.753.454</t>
  </si>
  <si>
    <t>TIRA</t>
  </si>
  <si>
    <t>Tira Austenite Tbk</t>
  </si>
  <si>
    <t>588.000.000</t>
  </si>
  <si>
    <t>TIRT</t>
  </si>
  <si>
    <t>Tirta Mahakam Resources Tbk</t>
  </si>
  <si>
    <t>1.011.774.750</t>
  </si>
  <si>
    <t>TKIM</t>
  </si>
  <si>
    <t>Pabrik Kertas Tjiwi Kimia Tbk.</t>
  </si>
  <si>
    <t>3.113.223.570</t>
  </si>
  <si>
    <t>TLKM</t>
  </si>
  <si>
    <t>99.062.216.600</t>
  </si>
  <si>
    <t>TMAS</t>
  </si>
  <si>
    <t>Temas Tbk.</t>
  </si>
  <si>
    <t>57.051.500.000</t>
  </si>
  <si>
    <t>TMPO</t>
  </si>
  <si>
    <t>Tempo Intimedia Tbk.</t>
  </si>
  <si>
    <t>1.058.333.250</t>
  </si>
  <si>
    <t>TOBA</t>
  </si>
  <si>
    <t>TBS Energi Utama Tbk.</t>
  </si>
  <si>
    <t>8.257.402.931</t>
  </si>
  <si>
    <t>TOTL</t>
  </si>
  <si>
    <t>Total Bangun Persada Tbk.</t>
  </si>
  <si>
    <t>3.410.000.000</t>
  </si>
  <si>
    <t>TOTO</t>
  </si>
  <si>
    <t>Surya Toto Indonesia Tbk.</t>
  </si>
  <si>
    <t>10.320.000.000</t>
  </si>
  <si>
    <t>TOWR</t>
  </si>
  <si>
    <t>Sarana Menara Nusantara Tbk.</t>
  </si>
  <si>
    <t>59.098.103.731</t>
  </si>
  <si>
    <t>TPIA</t>
  </si>
  <si>
    <t>Chandra Asri Pacific Tbk.</t>
  </si>
  <si>
    <t>86.511.545.092</t>
  </si>
  <si>
    <t>TPMA</t>
  </si>
  <si>
    <t>Trans Power Marine Tbk.</t>
  </si>
  <si>
    <t>3.507.420.034</t>
  </si>
  <si>
    <t>TRAM</t>
  </si>
  <si>
    <t>Trada Alam Minera Tbk.</t>
  </si>
  <si>
    <t>49.643.627.934</t>
  </si>
  <si>
    <t>TRIL</t>
  </si>
  <si>
    <t>Triwira Insanlestari Tbk.</t>
  </si>
  <si>
    <t>TRIM</t>
  </si>
  <si>
    <t>7.109.300.000</t>
  </si>
  <si>
    <t>TRIO</t>
  </si>
  <si>
    <t>Trikomsel Oke Tbk.</t>
  </si>
  <si>
    <t>26.007.494.645</t>
  </si>
  <si>
    <t>TRIS</t>
  </si>
  <si>
    <t>Trisula International Tbk.</t>
  </si>
  <si>
    <t>3.141.443.831</t>
  </si>
  <si>
    <t>TRST</t>
  </si>
  <si>
    <t>Trias Sentosa Tbk.</t>
  </si>
  <si>
    <t>2.808.000.000</t>
  </si>
  <si>
    <t>TRUS</t>
  </si>
  <si>
    <t>Trust Finance Indonesia Tbk</t>
  </si>
  <si>
    <t>800.000.000</t>
  </si>
  <si>
    <t>TSPC</t>
  </si>
  <si>
    <t>Tempo Scan Pacific Tbk.</t>
  </si>
  <si>
    <t>4.509.864.300</t>
  </si>
  <si>
    <t>ULTJ</t>
  </si>
  <si>
    <t>10.398.175.200</t>
  </si>
  <si>
    <t>UNIC</t>
  </si>
  <si>
    <t>Unggul Indah Cahaya Tbk.</t>
  </si>
  <si>
    <t>383.331.363</t>
  </si>
  <si>
    <t>UNIT</t>
  </si>
  <si>
    <t>Nusantara Inti Corpora Tbk</t>
  </si>
  <si>
    <t>75.422.200</t>
  </si>
  <si>
    <t>UNSP</t>
  </si>
  <si>
    <t>2.500.162.344</t>
  </si>
  <si>
    <t>UNTR</t>
  </si>
  <si>
    <t>United Tractors Tbk.</t>
  </si>
  <si>
    <t>3.730.135.136</t>
  </si>
  <si>
    <t>UNVR</t>
  </si>
  <si>
    <t>Unilever Indonesia Tbk.</t>
  </si>
  <si>
    <t>38.150.000.000</t>
  </si>
  <si>
    <t>VICO</t>
  </si>
  <si>
    <t>Victoria Investama Tbk.</t>
  </si>
  <si>
    <t>15.217.075.658</t>
  </si>
  <si>
    <t>VINS</t>
  </si>
  <si>
    <t>Victoria Insurance Tbk.</t>
  </si>
  <si>
    <t>1.553.430.759</t>
  </si>
  <si>
    <t>VIVA</t>
  </si>
  <si>
    <t>Visi Media Asia Tbk.</t>
  </si>
  <si>
    <t>16.464.270.400</t>
  </si>
  <si>
    <t>VOKS</t>
  </si>
  <si>
    <t>Voksel Electric Tbk.</t>
  </si>
  <si>
    <t>4.155.602.595</t>
  </si>
  <si>
    <t>VRNA</t>
  </si>
  <si>
    <t>Mizuho Leasing Indonesia Tbk.</t>
  </si>
  <si>
    <t>5.687.353.997</t>
  </si>
  <si>
    <t>WAPO</t>
  </si>
  <si>
    <t>Wahana Pronatural Tbk.</t>
  </si>
  <si>
    <t>1.240.923.111</t>
  </si>
  <si>
    <t>WEHA</t>
  </si>
  <si>
    <t>1.460.554.819</t>
  </si>
  <si>
    <t>WICO</t>
  </si>
  <si>
    <t>2.393.710.348</t>
  </si>
  <si>
    <t>WIIM</t>
  </si>
  <si>
    <t>Wismilak Inti Makmur Tbk.</t>
  </si>
  <si>
    <t>2.099.873.760</t>
  </si>
  <si>
    <t>WIKA</t>
  </si>
  <si>
    <t>Wijaya Karya (Persero) Tbk.</t>
  </si>
  <si>
    <t>39.873.063.858</t>
  </si>
  <si>
    <t>WINS</t>
  </si>
  <si>
    <t>Wintermar Offshore Marine Tbk.</t>
  </si>
  <si>
    <t>4.460.988.262</t>
  </si>
  <si>
    <t>WOMF</t>
  </si>
  <si>
    <t>3.481.481.480</t>
  </si>
  <si>
    <t>WSKT</t>
  </si>
  <si>
    <t>Waskita Karya (Persero) Tbk.</t>
  </si>
  <si>
    <t>28.806.807.016</t>
  </si>
  <si>
    <t>WTON</t>
  </si>
  <si>
    <t>Wijaya Karya Beton Tbk.</t>
  </si>
  <si>
    <t>8.715.466.600</t>
  </si>
  <si>
    <t>YPAS</t>
  </si>
  <si>
    <t>Yanaprima Hastapersada Tbk</t>
  </si>
  <si>
    <t>668.000.089</t>
  </si>
  <si>
    <t>YULE</t>
  </si>
  <si>
    <t>Yulie Sekuritas Indonesia Tbk.</t>
  </si>
  <si>
    <t>1.785.000.000</t>
  </si>
  <si>
    <t>ZBRA</t>
  </si>
  <si>
    <t>Dosni Roha Indonesia Tbk.</t>
  </si>
  <si>
    <t>2.510.706.263</t>
  </si>
  <si>
    <t>SHIP</t>
  </si>
  <si>
    <t>Sillo Maritime Perdana Tbk.</t>
  </si>
  <si>
    <t>2.719.790.000</t>
  </si>
  <si>
    <t>CASA</t>
  </si>
  <si>
    <t>54.476.269.803</t>
  </si>
  <si>
    <t>DAYA</t>
  </si>
  <si>
    <t>Duta Intidaya Tbk.</t>
  </si>
  <si>
    <t>2.420.547.025</t>
  </si>
  <si>
    <t>DPUM</t>
  </si>
  <si>
    <t>Dua Putra Utama Makmur Tbk.</t>
  </si>
  <si>
    <t>4.175.000.000</t>
  </si>
  <si>
    <t>IDPR</t>
  </si>
  <si>
    <t>Indonesia Pondasi Raya Tbk.</t>
  </si>
  <si>
    <t>2.003.000.000</t>
  </si>
  <si>
    <t>JGLE</t>
  </si>
  <si>
    <t>22.581.909.405</t>
  </si>
  <si>
    <t>KINO</t>
  </si>
  <si>
    <t>Kino Indonesia Tbk.</t>
  </si>
  <si>
    <t>1.428.571.500</t>
  </si>
  <si>
    <t>MARI</t>
  </si>
  <si>
    <t>Mahaka Radio Integra Tbk.</t>
  </si>
  <si>
    <t>5.252.644.000</t>
  </si>
  <si>
    <t>MKNT</t>
  </si>
  <si>
    <t>Mitra Komunikasi Nusantara Tbk</t>
  </si>
  <si>
    <t>5.500.000.000</t>
  </si>
  <si>
    <t>MTRA</t>
  </si>
  <si>
    <t>Mitra Pemuda Tbk.</t>
  </si>
  <si>
    <t>OASA</t>
  </si>
  <si>
    <t>Maharaksa Biru Energi Tbk.</t>
  </si>
  <si>
    <t>6.347.220.000</t>
  </si>
  <si>
    <t>POWR</t>
  </si>
  <si>
    <t>Cikarang Listrindo Tbk.</t>
  </si>
  <si>
    <t>16.087.156.000</t>
  </si>
  <si>
    <t>INCF</t>
  </si>
  <si>
    <t>Indo Komoditi Korpora Tbk.</t>
  </si>
  <si>
    <t>1.438.370.465</t>
  </si>
  <si>
    <t>WSBP</t>
  </si>
  <si>
    <t>Waskita Beton Precast Tbk.</t>
  </si>
  <si>
    <t>56.780.478.486</t>
  </si>
  <si>
    <t>PBSA</t>
  </si>
  <si>
    <t>Paramita Bangun Sarana Tbk.</t>
  </si>
  <si>
    <t>PRDA</t>
  </si>
  <si>
    <t>Prodia Widyahusada Tbk.</t>
  </si>
  <si>
    <t>937.500.000</t>
  </si>
  <si>
    <t>BOGA</t>
  </si>
  <si>
    <t>Apollo Global Interactive Tbk.</t>
  </si>
  <si>
    <t>3.803.526.210</t>
  </si>
  <si>
    <t>BRIS</t>
  </si>
  <si>
    <t>Bank Syariah Indonesia Tbk.</t>
  </si>
  <si>
    <t>45.667.877.639</t>
  </si>
  <si>
    <t>PORT</t>
  </si>
  <si>
    <t>2.813.941.985</t>
  </si>
  <si>
    <t>CARS</t>
  </si>
  <si>
    <t>15.000.000.000</t>
  </si>
  <si>
    <t>MINA</t>
  </si>
  <si>
    <t>Sanurhasta Mitra Tbk.</t>
  </si>
  <si>
    <t>9.843.750.000</t>
  </si>
  <si>
    <t>CLEO</t>
  </si>
  <si>
    <t>Sariguna Primatirta Tbk.</t>
  </si>
  <si>
    <t>24.000.000.000</t>
  </si>
  <si>
    <t>TAMU</t>
  </si>
  <si>
    <t>Pelayaran Tamarin Samudra Tbk.</t>
  </si>
  <si>
    <t>37.500.000.000</t>
  </si>
  <si>
    <t>CSIS</t>
  </si>
  <si>
    <t>1.829.800.000</t>
  </si>
  <si>
    <t>TGRA</t>
  </si>
  <si>
    <t>Terregra Asia Energy Tbk.</t>
  </si>
  <si>
    <t>2.750.000.000</t>
  </si>
  <si>
    <t>FIRE</t>
  </si>
  <si>
    <t>Alfa Energi Investama Tbk.</t>
  </si>
  <si>
    <t>1.475.363.179</t>
  </si>
  <si>
    <t>TOPS</t>
  </si>
  <si>
    <t>Totalindo Eka Persada Tbk.</t>
  </si>
  <si>
    <t>33.330.000.000</t>
  </si>
  <si>
    <t>KMTR</t>
  </si>
  <si>
    <t>Kirana Megatara Tbk.</t>
  </si>
  <si>
    <t>8.215.366.379</t>
  </si>
  <si>
    <t>ARMY</t>
  </si>
  <si>
    <t>Armidian Karyatama Tbk.</t>
  </si>
  <si>
    <t>9.006.250.000</t>
  </si>
  <si>
    <t>MAPB</t>
  </si>
  <si>
    <t>MAP Boga Adiperkasa Tbk.</t>
  </si>
  <si>
    <t>2.387.922.900</t>
  </si>
  <si>
    <t>WOOD</t>
  </si>
  <si>
    <t>Integra Indocabinet Tbk.</t>
  </si>
  <si>
    <t>6.437.500.000</t>
  </si>
  <si>
    <t>HRTA</t>
  </si>
  <si>
    <t>Hartadinata Abadi Tbk.</t>
  </si>
  <si>
    <t>4.605.262.400</t>
  </si>
  <si>
    <t>MABA</t>
  </si>
  <si>
    <t>Marga Abhinaya Abadi Tbk.</t>
  </si>
  <si>
    <t>15.365.229.912</t>
  </si>
  <si>
    <t>HOKI</t>
  </si>
  <si>
    <t>Buyung Poetra Sembada Tbk.</t>
  </si>
  <si>
    <t>9.677.752.680</t>
  </si>
  <si>
    <t>MPOW</t>
  </si>
  <si>
    <t>Megapower Makmur Tbk.</t>
  </si>
  <si>
    <t>816.997.053</t>
  </si>
  <si>
    <t>MARK</t>
  </si>
  <si>
    <t>Mark Dynamics Indonesia Tbk.</t>
  </si>
  <si>
    <t>3.800.000.310</t>
  </si>
  <si>
    <t>NASA</t>
  </si>
  <si>
    <t>Andalan Perkasa Abadi Tbk.</t>
  </si>
  <si>
    <t>11.004.929.322</t>
  </si>
  <si>
    <t>MDKI</t>
  </si>
  <si>
    <t>Emdeki Utama Tbk.</t>
  </si>
  <si>
    <t>2.530.150.002</t>
  </si>
  <si>
    <t>BELL</t>
  </si>
  <si>
    <t>Trisula Textile Industries Tbk</t>
  </si>
  <si>
    <t>7.250.000.000</t>
  </si>
  <si>
    <t>KIOS</t>
  </si>
  <si>
    <t>Kioson Komersial Indonesia Tbk</t>
  </si>
  <si>
    <t>1.075.862.960</t>
  </si>
  <si>
    <t>GMFI</t>
  </si>
  <si>
    <t>124.835.258.434</t>
  </si>
  <si>
    <t>MTWI</t>
  </si>
  <si>
    <t>2.924.486.639</t>
  </si>
  <si>
    <t>ZINC</t>
  </si>
  <si>
    <t>Kapuas Prima Coal Tbk.</t>
  </si>
  <si>
    <t>25.250.000.000</t>
  </si>
  <si>
    <t>MCAS</t>
  </si>
  <si>
    <t>M Cash Integrasi Tbk.</t>
  </si>
  <si>
    <t>867.933.300</t>
  </si>
  <si>
    <t>PPRE</t>
  </si>
  <si>
    <t>PP Presisi Tbk.</t>
  </si>
  <si>
    <t>10.224.271.000</t>
  </si>
  <si>
    <t>WEGE</t>
  </si>
  <si>
    <t>9.572.000.000</t>
  </si>
  <si>
    <t>PSSI</t>
  </si>
  <si>
    <t>IMC Pelita Logistik Tbk.</t>
  </si>
  <si>
    <t>5.417.063.153</t>
  </si>
  <si>
    <t>MORA</t>
  </si>
  <si>
    <t>Mora Telematika Indonesia Tbk.</t>
  </si>
  <si>
    <t>23.646.668.691</t>
  </si>
  <si>
    <t>DWGL</t>
  </si>
  <si>
    <t>Dwi Guna Laksana Tbk.</t>
  </si>
  <si>
    <t>9.252.820.991</t>
  </si>
  <si>
    <t>PBID</t>
  </si>
  <si>
    <t>Panca Budi Idaman Tbk.</t>
  </si>
  <si>
    <t>7.500.000.000</t>
  </si>
  <si>
    <t>JMAS</t>
  </si>
  <si>
    <t>CAMP</t>
  </si>
  <si>
    <t>Campina Ice Cream Industry Tbk</t>
  </si>
  <si>
    <t>5.885.000.000</t>
  </si>
  <si>
    <t>IPCM</t>
  </si>
  <si>
    <t>Jasa Armada Indonesia Tbk.</t>
  </si>
  <si>
    <t>5.284.811.100</t>
  </si>
  <si>
    <t>PCAR</t>
  </si>
  <si>
    <t>Prima Cakrawala Abadi Tbk.</t>
  </si>
  <si>
    <t>1.166.666.700</t>
  </si>
  <si>
    <t>LCKM</t>
  </si>
  <si>
    <t>LCK Global Kedaton Tbk.</t>
  </si>
  <si>
    <t>BOSS</t>
  </si>
  <si>
    <t>Borneo Olah Sarana Sukses Tbk.</t>
  </si>
  <si>
    <t>HELI</t>
  </si>
  <si>
    <t>Jaya Trishindo Tbk.</t>
  </si>
  <si>
    <t>832.862.387</t>
  </si>
  <si>
    <t>JSKY</t>
  </si>
  <si>
    <t>Sky Energy Indonesia Tbk.</t>
  </si>
  <si>
    <t>2.032.540.000</t>
  </si>
  <si>
    <t>INPS</t>
  </si>
  <si>
    <t>Indah Prakasa Sentosa Tbk.</t>
  </si>
  <si>
    <t>650.000.000</t>
  </si>
  <si>
    <t>GHON</t>
  </si>
  <si>
    <t>550.000.000</t>
  </si>
  <si>
    <t>TDPM</t>
  </si>
  <si>
    <t>10.485.050.500</t>
  </si>
  <si>
    <t>DFAM</t>
  </si>
  <si>
    <t>Dafam Property Indonesia Tbk.</t>
  </si>
  <si>
    <t>1.899.852.850</t>
  </si>
  <si>
    <t>NICK</t>
  </si>
  <si>
    <t>Charnic Capital Tbk.</t>
  </si>
  <si>
    <t>651.150.000</t>
  </si>
  <si>
    <t>BTPS</t>
  </si>
  <si>
    <t>Bank BTPN Syariah Tbk.</t>
  </si>
  <si>
    <t>7.626.663.000</t>
  </si>
  <si>
    <t>SPTO</t>
  </si>
  <si>
    <t>Surya Pertiwi Tbk.</t>
  </si>
  <si>
    <t>2.700.000.000</t>
  </si>
  <si>
    <t>PRIM</t>
  </si>
  <si>
    <t>Royal Prima Tbk.</t>
  </si>
  <si>
    <t>3.393.434.905</t>
  </si>
  <si>
    <t>HEAL</t>
  </si>
  <si>
    <t>Medikaloka Hermina Tbk.</t>
  </si>
  <si>
    <t>15.365.950.000</t>
  </si>
  <si>
    <t>TRUK</t>
  </si>
  <si>
    <t>Guna Timur Raya Tbk.</t>
  </si>
  <si>
    <t>435.000.000</t>
  </si>
  <si>
    <t>PZZA</t>
  </si>
  <si>
    <t>Sarimelati Kencana Tbk.</t>
  </si>
  <si>
    <t>3.021.875.000</t>
  </si>
  <si>
    <t>TUGU</t>
  </si>
  <si>
    <t>3.555.575.600</t>
  </si>
  <si>
    <t>MSIN</t>
  </si>
  <si>
    <t>MNC Digital Entertainment Tbk.</t>
  </si>
  <si>
    <t>60.676.178.205</t>
  </si>
  <si>
    <t>SWAT</t>
  </si>
  <si>
    <t>Sriwahana Adityakarta Tbk.</t>
  </si>
  <si>
    <t>3.019.200.000</t>
  </si>
  <si>
    <t>TNCA</t>
  </si>
  <si>
    <t>Trimuda Nuansa Citra Tbk.</t>
  </si>
  <si>
    <t>421.640.000</t>
  </si>
  <si>
    <t>MAPA</t>
  </si>
  <si>
    <t>Map Aktif Adiperkasa Tbk.</t>
  </si>
  <si>
    <t>28.504.000.000</t>
  </si>
  <si>
    <t>TCPI</t>
  </si>
  <si>
    <t>Transcoal Pacific Tbk.</t>
  </si>
  <si>
    <t>IPCC</t>
  </si>
  <si>
    <t>1.818.384.820</t>
  </si>
  <si>
    <t>RISE</t>
  </si>
  <si>
    <t>Jaya Sukses Makmur Sentosa Tbk</t>
  </si>
  <si>
    <t>16.198.599.990</t>
  </si>
  <si>
    <t>BPTR</t>
  </si>
  <si>
    <t>Batavia Prosperindo Trans Tbk.</t>
  </si>
  <si>
    <t>3.534.000.000</t>
  </si>
  <si>
    <t>POLL</t>
  </si>
  <si>
    <t>8.318.823.600</t>
  </si>
  <si>
    <t>NFCX</t>
  </si>
  <si>
    <t>NFC Indonesia Tbk.</t>
  </si>
  <si>
    <t>666.667.500</t>
  </si>
  <si>
    <t>MGRO</t>
  </si>
  <si>
    <t>Mahkota Group Tbk.</t>
  </si>
  <si>
    <t>3.554.445.700</t>
  </si>
  <si>
    <t>NUSA</t>
  </si>
  <si>
    <t>Sinergi Megah Internusa Tbk.</t>
  </si>
  <si>
    <t>7.700.000.148</t>
  </si>
  <si>
    <t>FILM</t>
  </si>
  <si>
    <t>MD Entertainment Tbk.</t>
  </si>
  <si>
    <t>10.887.566.758</t>
  </si>
  <si>
    <t>ANDI</t>
  </si>
  <si>
    <t>Andira Agro Tbk.</t>
  </si>
  <si>
    <t>9.350.000.000</t>
  </si>
  <si>
    <t>LAND</t>
  </si>
  <si>
    <t>Trimitra Propertindo Tbk.</t>
  </si>
  <si>
    <t>2.792.620.000</t>
  </si>
  <si>
    <t>MOLI</t>
  </si>
  <si>
    <t>Madusari Murni Indah Tbk.</t>
  </si>
  <si>
    <t>2.724.036.581</t>
  </si>
  <si>
    <t>PANI</t>
  </si>
  <si>
    <t>Pantai Indah Kapuk Dua Tbk.</t>
  </si>
  <si>
    <t>18.117.025.598</t>
  </si>
  <si>
    <t>DIGI</t>
  </si>
  <si>
    <t>Arkadia Digital Media Tbk.</t>
  </si>
  <si>
    <t>1.625.000.000</t>
  </si>
  <si>
    <t>CITY</t>
  </si>
  <si>
    <t>Natura City Developments Tbk.</t>
  </si>
  <si>
    <t>5.405.188.966</t>
  </si>
  <si>
    <t>SAPX</t>
  </si>
  <si>
    <t>Satria Antaran Prima Tbk.</t>
  </si>
  <si>
    <t>833.333.300</t>
  </si>
  <si>
    <t>SURE</t>
  </si>
  <si>
    <t>Super Energy Tbk.</t>
  </si>
  <si>
    <t>1.497.576.771</t>
  </si>
  <si>
    <t>HKMU</t>
  </si>
  <si>
    <t>HK Metals Utama Tbk.</t>
  </si>
  <si>
    <t>3.221.750.000</t>
  </si>
  <si>
    <t>MPRO</t>
  </si>
  <si>
    <t>Maha Properti Indonesia Tbk.</t>
  </si>
  <si>
    <t>9.942.500.000</t>
  </si>
  <si>
    <t>DUCK</t>
  </si>
  <si>
    <t>Jaya Bersama Indo Tbk.</t>
  </si>
  <si>
    <t>1.283.330.000</t>
  </si>
  <si>
    <t>GOOD</t>
  </si>
  <si>
    <t>36.897.901.455</t>
  </si>
  <si>
    <t>SKRN</t>
  </si>
  <si>
    <t>Superkrane Mitra Utama Tbk.</t>
  </si>
  <si>
    <t>YELO</t>
  </si>
  <si>
    <t>Yelooo Integra Datanet Tbk.</t>
  </si>
  <si>
    <t>1.912.774.405</t>
  </si>
  <si>
    <t>CAKK</t>
  </si>
  <si>
    <t>Cahayaputra Asa Keramik Tbk.</t>
  </si>
  <si>
    <t>1.203.300.219</t>
  </si>
  <si>
    <t>SATU</t>
  </si>
  <si>
    <t>Kota Satu Properti Tbk.</t>
  </si>
  <si>
    <t>1.375.000.000</t>
  </si>
  <si>
    <t>SOSS</t>
  </si>
  <si>
    <t>Shield On Service Tbk.</t>
  </si>
  <si>
    <t>974.525.743</t>
  </si>
  <si>
    <t>DEAL</t>
  </si>
  <si>
    <t>1.146.170.959</t>
  </si>
  <si>
    <t>POLA</t>
  </si>
  <si>
    <t>Pool Advista Finance Tbk.</t>
  </si>
  <si>
    <t>3.351.075.600</t>
  </si>
  <si>
    <t>DIVA</t>
  </si>
  <si>
    <t>1.428.571.400</t>
  </si>
  <si>
    <t>LUCK</t>
  </si>
  <si>
    <t>Sentral Mitra Informatika Tbk.</t>
  </si>
  <si>
    <t>715.749.640</t>
  </si>
  <si>
    <t>URBN</t>
  </si>
  <si>
    <t>Urban Jakarta Propertindo Tbk.</t>
  </si>
  <si>
    <t>3.232.122.640</t>
  </si>
  <si>
    <t>SOTS</t>
  </si>
  <si>
    <t>Satria Mega Kencana Tbk.</t>
  </si>
  <si>
    <t>1.000.003.979</t>
  </si>
  <si>
    <t>ZONE</t>
  </si>
  <si>
    <t>Mega Perintis Tbk.</t>
  </si>
  <si>
    <t>870.171.478</t>
  </si>
  <si>
    <t>PEHA</t>
  </si>
  <si>
    <t>Phapros Tbk.</t>
  </si>
  <si>
    <t>FOOD</t>
  </si>
  <si>
    <t>Sentra Food Indonesia Tbk.</t>
  </si>
  <si>
    <t>BEEF</t>
  </si>
  <si>
    <t>Estika Tata Tiara Tbk.</t>
  </si>
  <si>
    <t>8.120.249.598</t>
  </si>
  <si>
    <t>POLI</t>
  </si>
  <si>
    <t>Pollux Hotels Group Tbk.</t>
  </si>
  <si>
    <t>2.010.526.400</t>
  </si>
  <si>
    <t>CLAY</t>
  </si>
  <si>
    <t>Citra Putra Realty Tbk.</t>
  </si>
  <si>
    <t>2.570.000.000</t>
  </si>
  <si>
    <t>NATO</t>
  </si>
  <si>
    <t>8.001.111.504</t>
  </si>
  <si>
    <t>JAYA</t>
  </si>
  <si>
    <t>Armada Berjaya Trans Tbk.</t>
  </si>
  <si>
    <t>798.499.394</t>
  </si>
  <si>
    <t>COCO</t>
  </si>
  <si>
    <t>Wahana Interfood Nusantara Tbk</t>
  </si>
  <si>
    <t>3.559.455.924</t>
  </si>
  <si>
    <t>MTPS</t>
  </si>
  <si>
    <t>Meta Epsi Tbk.</t>
  </si>
  <si>
    <t>2.084.850.829</t>
  </si>
  <si>
    <t>CPRI</t>
  </si>
  <si>
    <t>Capri Nusa Satu Properti Tbk.</t>
  </si>
  <si>
    <t>2.433.379.958</t>
  </si>
  <si>
    <t>HRME</t>
  </si>
  <si>
    <t>Menteng Heritage Realty Tbk.</t>
  </si>
  <si>
    <t>5.958.750.000</t>
  </si>
  <si>
    <t>POSA</t>
  </si>
  <si>
    <t>Bliss Properti Indonesia Tbk.</t>
  </si>
  <si>
    <t>8.388.870.206</t>
  </si>
  <si>
    <t>JAST</t>
  </si>
  <si>
    <t>Jasnita Telekomindo Tbk.</t>
  </si>
  <si>
    <t>1.082.575.738</t>
  </si>
  <si>
    <t>FITT</t>
  </si>
  <si>
    <t>Hotel Fitra International Tbk.</t>
  </si>
  <si>
    <t>1.304.272.051</t>
  </si>
  <si>
    <t>BOLA</t>
  </si>
  <si>
    <t>Bali Bintang Sejahtera Tbk.</t>
  </si>
  <si>
    <t>CCSI</t>
  </si>
  <si>
    <t>1.333.333.331</t>
  </si>
  <si>
    <t>SFAN</t>
  </si>
  <si>
    <t>Surya Fajar Capital Tbk.</t>
  </si>
  <si>
    <t>1.359.934.021</t>
  </si>
  <si>
    <t>POLU</t>
  </si>
  <si>
    <t>Golden Flower Tbk.</t>
  </si>
  <si>
    <t>750.000.000</t>
  </si>
  <si>
    <t>KJEN</t>
  </si>
  <si>
    <t>Krida Jaringan Nusantara Tbk.</t>
  </si>
  <si>
    <t>500.000.000</t>
  </si>
  <si>
    <t>KAYU</t>
  </si>
  <si>
    <t>Darmi Bersaudara Tbk.</t>
  </si>
  <si>
    <t>665.000.000</t>
  </si>
  <si>
    <t>ITIC</t>
  </si>
  <si>
    <t>Indonesian Tobacco Tbk.</t>
  </si>
  <si>
    <t>940.720.000</t>
  </si>
  <si>
    <t>PAMG</t>
  </si>
  <si>
    <t>Bima Sakti Pertiwi Tbk.</t>
  </si>
  <si>
    <t>3.125.000.000</t>
  </si>
  <si>
    <t>IPTV</t>
  </si>
  <si>
    <t>MNC Vision Networks Tbk.</t>
  </si>
  <si>
    <t>42.197.950.841</t>
  </si>
  <si>
    <t>BLUE</t>
  </si>
  <si>
    <t>Berkah Prima Perkasa Tbk.</t>
  </si>
  <si>
    <t>418.000.000</t>
  </si>
  <si>
    <t>ENVY</t>
  </si>
  <si>
    <t>EAST</t>
  </si>
  <si>
    <t>Eastparc Hotel Tbk.</t>
  </si>
  <si>
    <t>4.126.405.336</t>
  </si>
  <si>
    <t>LIFE</t>
  </si>
  <si>
    <t>2.100.000.000</t>
  </si>
  <si>
    <t>FUJI</t>
  </si>
  <si>
    <t>Fuji Finance Indonesia Tbk.</t>
  </si>
  <si>
    <t>KOTA</t>
  </si>
  <si>
    <t>DMS Propertindo Tbk.</t>
  </si>
  <si>
    <t>10.546.185.701</t>
  </si>
  <si>
    <t>INOV</t>
  </si>
  <si>
    <t>Inocycle Technology Group Tbk.</t>
  </si>
  <si>
    <t>1.808.221.900</t>
  </si>
  <si>
    <t>ARKA</t>
  </si>
  <si>
    <t>Arkha Jayanti Persada Tbk.</t>
  </si>
  <si>
    <t>2.000.000.000</t>
  </si>
  <si>
    <t>SMKL</t>
  </si>
  <si>
    <t>Satyamitra Kemas Lestari Tbk.</t>
  </si>
  <si>
    <t>3.418.085.290</t>
  </si>
  <si>
    <t>HDIT</t>
  </si>
  <si>
    <t>Hensel Davest Indonesia Tbk.</t>
  </si>
  <si>
    <t>1.524.680.000</t>
  </si>
  <si>
    <t>KEEN</t>
  </si>
  <si>
    <t>Kencana Energi Lestari Tbk.</t>
  </si>
  <si>
    <t>3.666.312.500</t>
  </si>
  <si>
    <t>BAPI</t>
  </si>
  <si>
    <t>Bhakti Agung Propertindo Tbk.</t>
  </si>
  <si>
    <t>5.591.980.103</t>
  </si>
  <si>
    <t>TFAS</t>
  </si>
  <si>
    <t>Telefast Indonesia Tbk.</t>
  </si>
  <si>
    <t>1.666.666.500</t>
  </si>
  <si>
    <t>GGRP</t>
  </si>
  <si>
    <t>Gunung Raja Paksi Tbk.</t>
  </si>
  <si>
    <t>12.111.376.157</t>
  </si>
  <si>
    <t>OPMS</t>
  </si>
  <si>
    <t>Optima Prima Metal Sinergi Tbk</t>
  </si>
  <si>
    <t>NZIA</t>
  </si>
  <si>
    <t>Nusantara Almazia Tbk.</t>
  </si>
  <si>
    <t>2.197.540.705</t>
  </si>
  <si>
    <t>SLIS</t>
  </si>
  <si>
    <t>Gaya Abadi Sempurna Tbk.</t>
  </si>
  <si>
    <t>2.463.339.489</t>
  </si>
  <si>
    <t>PURE</t>
  </si>
  <si>
    <t>1.375.181.505</t>
  </si>
  <si>
    <t>IRRA</t>
  </si>
  <si>
    <t>Itama Ranoraya Tbk.</t>
  </si>
  <si>
    <t>DMMX</t>
  </si>
  <si>
    <t>Digital Mediatama Maxima Tbk.</t>
  </si>
  <si>
    <t>7.692.307.700</t>
  </si>
  <si>
    <t>SINI</t>
  </si>
  <si>
    <t>Singaraja Putra Tbk.</t>
  </si>
  <si>
    <t>481.000.000</t>
  </si>
  <si>
    <t>WOWS</t>
  </si>
  <si>
    <t>Ginting Jaya Energi Tbk.</t>
  </si>
  <si>
    <t>2.475.720.000</t>
  </si>
  <si>
    <t>ESIP</t>
  </si>
  <si>
    <t>Sinergi Inti Plastindo Tbk.</t>
  </si>
  <si>
    <t>1.109.953.847</t>
  </si>
  <si>
    <t>TEBE</t>
  </si>
  <si>
    <t>Dana Brata Luhur Tbk.</t>
  </si>
  <si>
    <t>1.285.000.000</t>
  </si>
  <si>
    <t>KEJU</t>
  </si>
  <si>
    <t>Mulia Boga Raya Tbk.</t>
  </si>
  <si>
    <t>5.624.999.999</t>
  </si>
  <si>
    <t>PSGO</t>
  </si>
  <si>
    <t>Palma Serasih Tbk.</t>
  </si>
  <si>
    <t>18.850.000.000</t>
  </si>
  <si>
    <t>AGAR</t>
  </si>
  <si>
    <t>Asia Sejahtera Mina Tbk.</t>
  </si>
  <si>
    <t>IFSH</t>
  </si>
  <si>
    <t>Ifishdeco Tbk.</t>
  </si>
  <si>
    <t>2.125.000.000</t>
  </si>
  <si>
    <t>REAL</t>
  </si>
  <si>
    <t>Repower Asia Indonesia Tbk.</t>
  </si>
  <si>
    <t>6.633.610.151</t>
  </si>
  <si>
    <t>IFII</t>
  </si>
  <si>
    <t>9.412.000.000</t>
  </si>
  <si>
    <t>PMJS</t>
  </si>
  <si>
    <t>Putra Mandiri Jembar Tbk.</t>
  </si>
  <si>
    <t>13.755.600.000</t>
  </si>
  <si>
    <t>UCID</t>
  </si>
  <si>
    <t>Uni-Charm Indonesia Tbk.</t>
  </si>
  <si>
    <t>4.156.572.300</t>
  </si>
  <si>
    <t>GLVA</t>
  </si>
  <si>
    <t>Galva Technologies Tbk.</t>
  </si>
  <si>
    <t>1.500.000.000</t>
  </si>
  <si>
    <t>PGJO</t>
  </si>
  <si>
    <t>Bahtera Bumi Raya Tbk.</t>
  </si>
  <si>
    <t>795.859.095</t>
  </si>
  <si>
    <t>AMAR</t>
  </si>
  <si>
    <t>Bank Amar Indonesia Tbk.</t>
  </si>
  <si>
    <t>18.197.283.760</t>
  </si>
  <si>
    <t>CSRA</t>
  </si>
  <si>
    <t>Cisadane Sawit Raya Tbk.</t>
  </si>
  <si>
    <t>2.050.000.000</t>
  </si>
  <si>
    <t>INDO</t>
  </si>
  <si>
    <t>Royalindo Investa Wijaya Tbk.</t>
  </si>
  <si>
    <t>4.480.741.638</t>
  </si>
  <si>
    <t>AMOR</t>
  </si>
  <si>
    <t>2.222.222.400</t>
  </si>
  <si>
    <t>TRIN</t>
  </si>
  <si>
    <t>Perintis Triniti Properti Tbk.</t>
  </si>
  <si>
    <t>4.551.457.789</t>
  </si>
  <si>
    <t>DMND</t>
  </si>
  <si>
    <t>Diamond Food Indonesia Tbk.</t>
  </si>
  <si>
    <t>9.468.359.000</t>
  </si>
  <si>
    <t>PURA</t>
  </si>
  <si>
    <t>Putra Rajawali Kencana Tbk.</t>
  </si>
  <si>
    <t>6.301.930.902</t>
  </si>
  <si>
    <t>PTPW</t>
  </si>
  <si>
    <t>Pratama Widya Tbk.</t>
  </si>
  <si>
    <t>878.187.500</t>
  </si>
  <si>
    <t>TAMA</t>
  </si>
  <si>
    <t>Lancartama Sejati Tbk.</t>
  </si>
  <si>
    <t>1.200.000.696</t>
  </si>
  <si>
    <t>IKAN</t>
  </si>
  <si>
    <t>Era Mandiri Cemerlang Tbk.</t>
  </si>
  <si>
    <t>833.333.000</t>
  </si>
  <si>
    <t>SAMF</t>
  </si>
  <si>
    <t>Saraswanti Anugerah Makmur Tbk</t>
  </si>
  <si>
    <t>10.250.000.000</t>
  </si>
  <si>
    <t>SBAT</t>
  </si>
  <si>
    <t>4.752.982.378</t>
  </si>
  <si>
    <t>KBAG</t>
  </si>
  <si>
    <t>Karya Bersama Anugerah Tbk.</t>
  </si>
  <si>
    <t>7.150.002.603</t>
  </si>
  <si>
    <t>CBMF</t>
  </si>
  <si>
    <t>Cahaya Bintang Medan Tbk.</t>
  </si>
  <si>
    <t>RONY</t>
  </si>
  <si>
    <t>Aracord Nusantara Group Tbk.</t>
  </si>
  <si>
    <t>1.250.000.000</t>
  </si>
  <si>
    <t>CSMI</t>
  </si>
  <si>
    <t>Cipta Selera Murni Tbk.</t>
  </si>
  <si>
    <t>816.061.500</t>
  </si>
  <si>
    <t>BBSS</t>
  </si>
  <si>
    <t>4.800.016.020</t>
  </si>
  <si>
    <t>BHAT</t>
  </si>
  <si>
    <t>Bhakti Multi Artha Tbk.</t>
  </si>
  <si>
    <t>CASH</t>
  </si>
  <si>
    <t>1.431.125.517</t>
  </si>
  <si>
    <t>Akselerasi</t>
  </si>
  <si>
    <t>TECH</t>
  </si>
  <si>
    <t>Indosterling Technomedia Tbk.</t>
  </si>
  <si>
    <t>1.256.300.000</t>
  </si>
  <si>
    <t>EPAC</t>
  </si>
  <si>
    <t>3.303.400.000</t>
  </si>
  <si>
    <t>UANG</t>
  </si>
  <si>
    <t>Pakuan Tbk.</t>
  </si>
  <si>
    <t>1.210.000.000</t>
  </si>
  <si>
    <t>PGUN</t>
  </si>
  <si>
    <t>Pradiksi Gunatama Tbk.</t>
  </si>
  <si>
    <t>5.737.848.882</t>
  </si>
  <si>
    <t>SOFA</t>
  </si>
  <si>
    <t>Solusi Environment Asia Tbk.</t>
  </si>
  <si>
    <t>1.653.574.499</t>
  </si>
  <si>
    <t>PPGL</t>
  </si>
  <si>
    <t>Prima Globalindo Logistik Tbk.</t>
  </si>
  <si>
    <t>771.178.020</t>
  </si>
  <si>
    <t>TOYS</t>
  </si>
  <si>
    <t>Sunindo Adipersada Tbk.</t>
  </si>
  <si>
    <t>1.435.000.712</t>
  </si>
  <si>
    <t>SGER</t>
  </si>
  <si>
    <t>Sumber Global Energy Tbk.</t>
  </si>
  <si>
    <t>15.586.909.438</t>
  </si>
  <si>
    <t>TRJA</t>
  </si>
  <si>
    <t>Transkon Jaya Tbk.</t>
  </si>
  <si>
    <t>1.510.200.000</t>
  </si>
  <si>
    <t>PNGO</t>
  </si>
  <si>
    <t>Pinago Utama Tbk.</t>
  </si>
  <si>
    <t>781.250.000</t>
  </si>
  <si>
    <t>SCNP</t>
  </si>
  <si>
    <t>BBSI</t>
  </si>
  <si>
    <t>Krom Bank Indonesia Tbk.</t>
  </si>
  <si>
    <t>3.637.976.068</t>
  </si>
  <si>
    <t>KMDS</t>
  </si>
  <si>
    <t>Kurniamitra Duta Sentosa Tbk.</t>
  </si>
  <si>
    <t>PURI</t>
  </si>
  <si>
    <t>Puri Global Sukses Tbk.</t>
  </si>
  <si>
    <t>SOHO</t>
  </si>
  <si>
    <t>Soho Global Health Tbk.</t>
  </si>
  <si>
    <t>12.691.682.390</t>
  </si>
  <si>
    <t>HOMI</t>
  </si>
  <si>
    <t>Grand House Mulia Tbk.</t>
  </si>
  <si>
    <t>1.575.000.000</t>
  </si>
  <si>
    <t>ROCK</t>
  </si>
  <si>
    <t>1.435.185.100</t>
  </si>
  <si>
    <t>ENZO</t>
  </si>
  <si>
    <t>Morenzo Abadi Perkasa Tbk.</t>
  </si>
  <si>
    <t>2.162.547.122</t>
  </si>
  <si>
    <t>PLAN</t>
  </si>
  <si>
    <t>Planet Properindo Jaya Tbk.</t>
  </si>
  <si>
    <t>896.709.596</t>
  </si>
  <si>
    <t>PTDU</t>
  </si>
  <si>
    <t>Djasa Ubersakti Tbk.</t>
  </si>
  <si>
    <t>ATAP</t>
  </si>
  <si>
    <t>Trimitra Prawara Goldland Tbk.</t>
  </si>
  <si>
    <t>VICI</t>
  </si>
  <si>
    <t>Victoria Care Indonesia Tbk.</t>
  </si>
  <si>
    <t>6.708.000.000</t>
  </si>
  <si>
    <t>PMMP</t>
  </si>
  <si>
    <t>Panca Mitra Multiperdana Tbk.</t>
  </si>
  <si>
    <t>2.588.300.000</t>
  </si>
  <si>
    <t>BANK</t>
  </si>
  <si>
    <t>Bank Aladin Syariah Tbk.</t>
  </si>
  <si>
    <t>14.793.174.908</t>
  </si>
  <si>
    <t>WMUU</t>
  </si>
  <si>
    <t>Widodo Makmur Unggas Tbk.</t>
  </si>
  <si>
    <t>12.941.176.500</t>
  </si>
  <si>
    <t>EDGE</t>
  </si>
  <si>
    <t>Indointernet Tbk.</t>
  </si>
  <si>
    <t>2.020.250.000</t>
  </si>
  <si>
    <t>UNIQ</t>
  </si>
  <si>
    <t>Ulima Nitra Tbk.</t>
  </si>
  <si>
    <t>3.138.983.000</t>
  </si>
  <si>
    <t>BEBS</t>
  </si>
  <si>
    <t>Berkah Beton Sadaya Tbk.</t>
  </si>
  <si>
    <t>45.000.000.000</t>
  </si>
  <si>
    <t>SNLK</t>
  </si>
  <si>
    <t>Sunter Lakeside Hotel Tbk.</t>
  </si>
  <si>
    <t>450.000.000</t>
  </si>
  <si>
    <t>ZYRX</t>
  </si>
  <si>
    <t>Zyrexindo Mandiri Buana Tbk.</t>
  </si>
  <si>
    <t>1.333.334.556</t>
  </si>
  <si>
    <t>LFLO</t>
  </si>
  <si>
    <t>Imago Mulia Persada Tbk.</t>
  </si>
  <si>
    <t>1.307.734.937</t>
  </si>
  <si>
    <t>FIMP</t>
  </si>
  <si>
    <t>Fimperkasa Utama Tbk.</t>
  </si>
  <si>
    <t>400.000.975</t>
  </si>
  <si>
    <t>TAPG</t>
  </si>
  <si>
    <t>Triputra Agro Persada Tbk.</t>
  </si>
  <si>
    <t>19.852.540.000</t>
  </si>
  <si>
    <t>NPGF</t>
  </si>
  <si>
    <t>Nusa Palapa Gemilang Tbk.</t>
  </si>
  <si>
    <t>3.240.235.840</t>
  </si>
  <si>
    <t>LUCY</t>
  </si>
  <si>
    <t>Lima Dua Lima Tiga Tbk.</t>
  </si>
  <si>
    <t>1.514.773.893</t>
  </si>
  <si>
    <t>ADCP</t>
  </si>
  <si>
    <t>Adhi Commuter Properti Tbk.</t>
  </si>
  <si>
    <t>22.222.222.200</t>
  </si>
  <si>
    <t>HOPE</t>
  </si>
  <si>
    <t>Harapan Duta Pertiwi Tbk.</t>
  </si>
  <si>
    <t>2.130.360.203</t>
  </si>
  <si>
    <t>MGLV</t>
  </si>
  <si>
    <t>Panca Anugrah Wisesa Tbk.</t>
  </si>
  <si>
    <t>1.904.883.411</t>
  </si>
  <si>
    <t>TRUE</t>
  </si>
  <si>
    <t>Triniti Dinamik Tbk.</t>
  </si>
  <si>
    <t>7.571.107.860</t>
  </si>
  <si>
    <t>LABA</t>
  </si>
  <si>
    <t>Green Power Group Tbk.</t>
  </si>
  <si>
    <t>1.103.402.553</t>
  </si>
  <si>
    <t>ARCI</t>
  </si>
  <si>
    <t>Archi Indonesia Tbk.</t>
  </si>
  <si>
    <t>25.235.000.000</t>
  </si>
  <si>
    <t>IPAC</t>
  </si>
  <si>
    <t>Era Graharealty Tbk.</t>
  </si>
  <si>
    <t>949.868.500</t>
  </si>
  <si>
    <t>MASB</t>
  </si>
  <si>
    <t>Bank Multiarta Sentosa Tbk.</t>
  </si>
  <si>
    <t>1.387.737.233</t>
  </si>
  <si>
    <t>BMHS</t>
  </si>
  <si>
    <t>Bundamedik Tbk.</t>
  </si>
  <si>
    <t>8.603.416.176</t>
  </si>
  <si>
    <t>FLMC</t>
  </si>
  <si>
    <t>Falmaco Nonwoven Industri Tbk.</t>
  </si>
  <si>
    <t>NICL</t>
  </si>
  <si>
    <t>PAM Mineral Tbk.</t>
  </si>
  <si>
    <t>10.635.644.907</t>
  </si>
  <si>
    <t>UVCR</t>
  </si>
  <si>
    <t>Trimegah Karya Pratama Tbk.</t>
  </si>
  <si>
    <t>2.000.144.838</t>
  </si>
  <si>
    <t>BUKA</t>
  </si>
  <si>
    <t>Bukalapak.com Tbk.</t>
  </si>
  <si>
    <t>103.148.706.067</t>
  </si>
  <si>
    <t>Ekonomi Baru</t>
  </si>
  <si>
    <t>HAIS</t>
  </si>
  <si>
    <t>2.626.250.000</t>
  </si>
  <si>
    <t>OILS</t>
  </si>
  <si>
    <t>Indo Oil Perkasa Tbk.</t>
  </si>
  <si>
    <t>454.056.563</t>
  </si>
  <si>
    <t>GPSO</t>
  </si>
  <si>
    <t>Geoprima Solusi Tbk.</t>
  </si>
  <si>
    <t>666.741.103</t>
  </si>
  <si>
    <t>MCOL</t>
  </si>
  <si>
    <t>Prima Andalan Mandiri Tbk.</t>
  </si>
  <si>
    <t>3.555.560.000</t>
  </si>
  <si>
    <t>RSGK</t>
  </si>
  <si>
    <t>Kedoya Adyaraya Tbk.</t>
  </si>
  <si>
    <t>929.675.000</t>
  </si>
  <si>
    <t>RUNS</t>
  </si>
  <si>
    <t>Global Sukses Solusi Tbk.</t>
  </si>
  <si>
    <t>983.557.875</t>
  </si>
  <si>
    <t>SBMA</t>
  </si>
  <si>
    <t>Surya Biru Murni Acetylene Tbk</t>
  </si>
  <si>
    <t>929.926.282</t>
  </si>
  <si>
    <t>CMNT</t>
  </si>
  <si>
    <t>Cemindo Gemilang Tbk.</t>
  </si>
  <si>
    <t>17.125.504.000</t>
  </si>
  <si>
    <t>GTSI</t>
  </si>
  <si>
    <t>GTS Internasional Tbk.</t>
  </si>
  <si>
    <t>15.819.142.767</t>
  </si>
  <si>
    <t>IDEA</t>
  </si>
  <si>
    <t>Idea Indonesia Akademi Tbk.</t>
  </si>
  <si>
    <t>1.062.437.500</t>
  </si>
  <si>
    <t>KUAS</t>
  </si>
  <si>
    <t>Ace Oldfields Tbk.</t>
  </si>
  <si>
    <t>1.292.808.150</t>
  </si>
  <si>
    <t>BOBA</t>
  </si>
  <si>
    <t>Formosa Ingredient Factory Tbk</t>
  </si>
  <si>
    <t>1.155.750.000</t>
  </si>
  <si>
    <t>MTEL</t>
  </si>
  <si>
    <t>Dayamitra Telekomunikasi Tbk.</t>
  </si>
  <si>
    <t>83.559.677.444</t>
  </si>
  <si>
    <t>DEPO</t>
  </si>
  <si>
    <t>Caturkarda Depo Bangunan Tbk.</t>
  </si>
  <si>
    <t>6.790.000.000</t>
  </si>
  <si>
    <t>BINO</t>
  </si>
  <si>
    <t>Perma Plasindo Tbk.</t>
  </si>
  <si>
    <t>2.275.316.111</t>
  </si>
  <si>
    <t>CMRY</t>
  </si>
  <si>
    <t>Cisarua Mountain Dairy Tbk.</t>
  </si>
  <si>
    <t>7.934.683.000</t>
  </si>
  <si>
    <t>WGSH</t>
  </si>
  <si>
    <t>Wira Global Solusi Tbk.</t>
  </si>
  <si>
    <t>1.042.500.000</t>
  </si>
  <si>
    <t>TAYS</t>
  </si>
  <si>
    <t>Jaya Swarasa Agung Tbk.</t>
  </si>
  <si>
    <t>1.098.920.000</t>
  </si>
  <si>
    <t>WMPP</t>
  </si>
  <si>
    <t>Widodo Makmur Perkasa Tbk.</t>
  </si>
  <si>
    <t>29.419.000.000</t>
  </si>
  <si>
    <t>RMKE</t>
  </si>
  <si>
    <t>RMK Energy Tbk.</t>
  </si>
  <si>
    <t>4.375.000.000</t>
  </si>
  <si>
    <t>OBMD</t>
  </si>
  <si>
    <t>OBM Drilchem Tbk.</t>
  </si>
  <si>
    <t>805.992.931</t>
  </si>
  <si>
    <t>AVIA</t>
  </si>
  <si>
    <t>Avia Avian Tbk.</t>
  </si>
  <si>
    <t>61.953.555.600</t>
  </si>
  <si>
    <t>IPPE</t>
  </si>
  <si>
    <t>Indo Pureco Pratama Tbk.</t>
  </si>
  <si>
    <t>4.600.000.000</t>
  </si>
  <si>
    <t>NASI</t>
  </si>
  <si>
    <t>Wahana Inti Makmur Tbk.</t>
  </si>
  <si>
    <t>807.400.000</t>
  </si>
  <si>
    <t>BSML</t>
  </si>
  <si>
    <t>1.850.225.000</t>
  </si>
  <si>
    <t>DRMA</t>
  </si>
  <si>
    <t>Dharma Polimetal Tbk.</t>
  </si>
  <si>
    <t>4.705.882.300</t>
  </si>
  <si>
    <t>ADMR</t>
  </si>
  <si>
    <t>40.882.331.500</t>
  </si>
  <si>
    <t>SEMA</t>
  </si>
  <si>
    <t>Semacom Integrated Tbk.</t>
  </si>
  <si>
    <t>1.347.258.842</t>
  </si>
  <si>
    <t>ASLC</t>
  </si>
  <si>
    <t>Autopedia Sukses Lestari Tbk.</t>
  </si>
  <si>
    <t>12.746.354.780</t>
  </si>
  <si>
    <t>NETV</t>
  </si>
  <si>
    <t>MDTV Media Technologies Tbk.</t>
  </si>
  <si>
    <t>41.360.517.722</t>
  </si>
  <si>
    <t>BAUT</t>
  </si>
  <si>
    <t>Mitra Angkasa Sejahtera Tbk.</t>
  </si>
  <si>
    <t>4.800.182.969</t>
  </si>
  <si>
    <t>ENAK</t>
  </si>
  <si>
    <t>Champ Resto Indonesia Tbk.</t>
  </si>
  <si>
    <t>2.166.666.800</t>
  </si>
  <si>
    <t>NTBK</t>
  </si>
  <si>
    <t>Nusatama Berkah Tbk.</t>
  </si>
  <si>
    <t>2.700.064.877</t>
  </si>
  <si>
    <t>SMKM</t>
  </si>
  <si>
    <t>Sumber Mas Konstruksi Tbk.</t>
  </si>
  <si>
    <t>1.253.000.000</t>
  </si>
  <si>
    <t>STAA</t>
  </si>
  <si>
    <t>10.903.372.600</t>
  </si>
  <si>
    <t>NANO</t>
  </si>
  <si>
    <t>Nanotech Indonesia Global Tbk.</t>
  </si>
  <si>
    <t>4.285.440.269</t>
  </si>
  <si>
    <t>BIKE</t>
  </si>
  <si>
    <t>Sepeda Bersama Indonesia Tbk.</t>
  </si>
  <si>
    <t>1.293.916.404</t>
  </si>
  <si>
    <t>WIRG</t>
  </si>
  <si>
    <t>WIR ASIA Tbk.</t>
  </si>
  <si>
    <t>11.938.622.394</t>
  </si>
  <si>
    <t>SICO</t>
  </si>
  <si>
    <t>Sigma Energy Compressindo Tbk.</t>
  </si>
  <si>
    <t>910.077.764</t>
  </si>
  <si>
    <t>GOTO</t>
  </si>
  <si>
    <t>GoTo Gojek Tokopedia Tbk.</t>
  </si>
  <si>
    <t>1.140.573.267.220</t>
  </si>
  <si>
    <t>TLDN</t>
  </si>
  <si>
    <t>Teladan Prima Agro Tbk.</t>
  </si>
  <si>
    <t>12.946.530.200</t>
  </si>
  <si>
    <t>MTMH</t>
  </si>
  <si>
    <t>Murni Sadar Tbk.</t>
  </si>
  <si>
    <t>2.068.526.950</t>
  </si>
  <si>
    <t>WINR</t>
  </si>
  <si>
    <t>Winner Nusantara Jaya Tbk.</t>
  </si>
  <si>
    <t>5.235.316.030</t>
  </si>
  <si>
    <t>IBOS</t>
  </si>
  <si>
    <t>Indo Boga Sukses Tbk.</t>
  </si>
  <si>
    <t>8.065.789.529</t>
  </si>
  <si>
    <t>OLIV</t>
  </si>
  <si>
    <t>1.900.073.314</t>
  </si>
  <si>
    <t>ASHA</t>
  </si>
  <si>
    <t>SWID</t>
  </si>
  <si>
    <t>5.385.019.201</t>
  </si>
  <si>
    <t>TRGU</t>
  </si>
  <si>
    <t>Cerestar Indonesia Tbk.</t>
  </si>
  <si>
    <t>7.945.412.700</t>
  </si>
  <si>
    <t>ARKO</t>
  </si>
  <si>
    <t>Arkora Hydro Tbk.</t>
  </si>
  <si>
    <t>2.928.495.000</t>
  </si>
  <si>
    <t>CHEM</t>
  </si>
  <si>
    <t>Chemstar Indonesia Tbk.</t>
  </si>
  <si>
    <t>1.700.014.594</t>
  </si>
  <si>
    <t>DEWI</t>
  </si>
  <si>
    <t>Dewi Shri Farmindo Tbk.</t>
  </si>
  <si>
    <t>AXIO</t>
  </si>
  <si>
    <t>Tera Data Indonusa Tbk.</t>
  </si>
  <si>
    <t>5.840.126.500</t>
  </si>
  <si>
    <t>KRYA</t>
  </si>
  <si>
    <t>Bangun Karya Perkasa Jaya Tbk.</t>
  </si>
  <si>
    <t>1.663.943.474</t>
  </si>
  <si>
    <t>HATM</t>
  </si>
  <si>
    <t>Habco Trans Maritima Tbk.</t>
  </si>
  <si>
    <t>8.680.000.000</t>
  </si>
  <si>
    <t>RCCC</t>
  </si>
  <si>
    <t>Utama Radar Cahaya Tbk.</t>
  </si>
  <si>
    <t>787.500.000</t>
  </si>
  <si>
    <t>GULA</t>
  </si>
  <si>
    <t>Aman Agrindo Tbk.</t>
  </si>
  <si>
    <t>1.070.362.500</t>
  </si>
  <si>
    <t>JARR</t>
  </si>
  <si>
    <t>Jhonlin Agro Raya Tbk.</t>
  </si>
  <si>
    <t>9.230.665.050</t>
  </si>
  <si>
    <t>AMMS</t>
  </si>
  <si>
    <t>Agung Menjangan Mas Tbk.</t>
  </si>
  <si>
    <t>1.235.296.802</t>
  </si>
  <si>
    <t>RAFI</t>
  </si>
  <si>
    <t>Sari Kreasi Boga Tbk.</t>
  </si>
  <si>
    <t>3.128.140.475</t>
  </si>
  <si>
    <t>KKES</t>
  </si>
  <si>
    <t>Kusuma Kemindo Sentosa Tbk.</t>
  </si>
  <si>
    <t>ELPI</t>
  </si>
  <si>
    <t>7.412.000.000</t>
  </si>
  <si>
    <t>EURO</t>
  </si>
  <si>
    <t>Estee Gold Feet Tbk.</t>
  </si>
  <si>
    <t>2.548.826.428</t>
  </si>
  <si>
    <t>KLIN</t>
  </si>
  <si>
    <t>Klinko Karya Imaji Tbk.</t>
  </si>
  <si>
    <t>1.307.530.330</t>
  </si>
  <si>
    <t>TOOL</t>
  </si>
  <si>
    <t>Rohartindo Nusantara Luas Tbk.</t>
  </si>
  <si>
    <t>2.050.020.320</t>
  </si>
  <si>
    <t>BUAH</t>
  </si>
  <si>
    <t>Segar Kumala Indonesia Tbk.</t>
  </si>
  <si>
    <t>CRAB</t>
  </si>
  <si>
    <t>Toba Surimi Industries Tbk.</t>
  </si>
  <si>
    <t>1.950.000.000</t>
  </si>
  <si>
    <t>MEDS</t>
  </si>
  <si>
    <t>Hetzer Medical Indonesia Tbk.</t>
  </si>
  <si>
    <t>1.562.500.000</t>
  </si>
  <si>
    <t>COAL</t>
  </si>
  <si>
    <t>Black Diamond Resources Tbk.</t>
  </si>
  <si>
    <t>6.250.000.000</t>
  </si>
  <si>
    <t>PRAY</t>
  </si>
  <si>
    <t>Famon Awal Bros Sedaya Tbk.</t>
  </si>
  <si>
    <t>13.959.422.300</t>
  </si>
  <si>
    <t>CBUT</t>
  </si>
  <si>
    <t>Citra Borneo Utama Tbk.</t>
  </si>
  <si>
    <t>BELI</t>
  </si>
  <si>
    <t>Global Digital Niaga Tbk.</t>
  </si>
  <si>
    <t>135.842.883.189</t>
  </si>
  <si>
    <t>MKTR</t>
  </si>
  <si>
    <t>Menthobi Karyatama Raya Tbk.</t>
  </si>
  <si>
    <t>12.060.428.584</t>
  </si>
  <si>
    <t>OMED</t>
  </si>
  <si>
    <t>Jayamas Medica Industri Tbk.</t>
  </si>
  <si>
    <t>27.058.850.000</t>
  </si>
  <si>
    <t>BSBK</t>
  </si>
  <si>
    <t>Wulandari Bangun Laksana Tbk.</t>
  </si>
  <si>
    <t>25.091.882.375</t>
  </si>
  <si>
    <t>PDPP</t>
  </si>
  <si>
    <t>Primadaya Plastisindo Tbk.</t>
  </si>
  <si>
    <t>3.061.341.438</t>
  </si>
  <si>
    <t>KDTN</t>
  </si>
  <si>
    <t>Puri Sentul Permai Tbk.</t>
  </si>
  <si>
    <t>1.250.023.298</t>
  </si>
  <si>
    <t>ZATA</t>
  </si>
  <si>
    <t>Bersama Zatta Jaya Tbk.</t>
  </si>
  <si>
    <t>8.496.000.000</t>
  </si>
  <si>
    <t>NINE</t>
  </si>
  <si>
    <t>Techno9 Indonesia Tbk.</t>
  </si>
  <si>
    <t>2.157.000.000</t>
  </si>
  <si>
    <t>MMIX</t>
  </si>
  <si>
    <t>Multi Medika Internasional Tbk</t>
  </si>
  <si>
    <t>4.800.425.380</t>
  </si>
  <si>
    <t>PADA</t>
  </si>
  <si>
    <t>Personel Alih Daya Tbk.</t>
  </si>
  <si>
    <t>3.150.000.000</t>
  </si>
  <si>
    <t>ISAP</t>
  </si>
  <si>
    <t>Isra Presisi Indonesia Tbk.</t>
  </si>
  <si>
    <t>4.020.340.569</t>
  </si>
  <si>
    <t>VTNY</t>
  </si>
  <si>
    <t>6.265.193.445</t>
  </si>
  <si>
    <t>SOUL</t>
  </si>
  <si>
    <t>Mitra Tirta Buwana Tbk.</t>
  </si>
  <si>
    <t>1.082.526.223</t>
  </si>
  <si>
    <t>ELIT</t>
  </si>
  <si>
    <t>Data Sinergitama Jaya Tbk.</t>
  </si>
  <si>
    <t>2.031.643.057</t>
  </si>
  <si>
    <t>BEER</t>
  </si>
  <si>
    <t>Jobubu Jarum Minahasa Tbk.</t>
  </si>
  <si>
    <t>4.000.000.000</t>
  </si>
  <si>
    <t>CBPE</t>
  </si>
  <si>
    <t>Citra Buana Prasida Tbk.</t>
  </si>
  <si>
    <t>1.356.250.000</t>
  </si>
  <si>
    <t>SUNI</t>
  </si>
  <si>
    <t>Sunindo Pratama Tbk.</t>
  </si>
  <si>
    <t>CBRE</t>
  </si>
  <si>
    <t>4.538.067.441</t>
  </si>
  <si>
    <t>WINE</t>
  </si>
  <si>
    <t>Hatten Bali Tbk.</t>
  </si>
  <si>
    <t>2.710.000.000</t>
  </si>
  <si>
    <t>BMBL</t>
  </si>
  <si>
    <t>Lavender Bina Cendikia Tbk.</t>
  </si>
  <si>
    <t>1.030.080.995</t>
  </si>
  <si>
    <t>PEVE</t>
  </si>
  <si>
    <t>Penta Valent Tbk.</t>
  </si>
  <si>
    <t>1.765.625.000</t>
  </si>
  <si>
    <t>LAJU</t>
  </si>
  <si>
    <t>Jasa Berdikari Logistics Tbk.</t>
  </si>
  <si>
    <t>2.149.942.974</t>
  </si>
  <si>
    <t>FWCT</t>
  </si>
  <si>
    <t>Wijaya Cahaya Timber Tbk.</t>
  </si>
  <si>
    <t>1.963.000.000</t>
  </si>
  <si>
    <t>NAYZ</t>
  </si>
  <si>
    <t>Hassana Boga Sejahtera Tbk.</t>
  </si>
  <si>
    <t>2.550.011.472</t>
  </si>
  <si>
    <t>IRSX</t>
  </si>
  <si>
    <t>Folago Global Nusantara Tbk.</t>
  </si>
  <si>
    <t>6.195.047.377</t>
  </si>
  <si>
    <t>PACK</t>
  </si>
  <si>
    <t>15.457.417.914</t>
  </si>
  <si>
    <t>VAST</t>
  </si>
  <si>
    <t>Vastland Indonesia Tbk.</t>
  </si>
  <si>
    <t>3.055.737.049</t>
  </si>
  <si>
    <t>CHIP</t>
  </si>
  <si>
    <t>Pelita Teknologi Global Tbk.</t>
  </si>
  <si>
    <t>806.000.000</t>
  </si>
  <si>
    <t>HALO</t>
  </si>
  <si>
    <t>Haloni Jane Tbk.</t>
  </si>
  <si>
    <t>6.078.729.117</t>
  </si>
  <si>
    <t>KING</t>
  </si>
  <si>
    <t>Hoffmen Cleanindo Tbk.</t>
  </si>
  <si>
    <t>2.602.852.170</t>
  </si>
  <si>
    <t>PGEO</t>
  </si>
  <si>
    <t>41.834.503.113</t>
  </si>
  <si>
    <t>FUTR</t>
  </si>
  <si>
    <t>Futura Energi Global Tbk.</t>
  </si>
  <si>
    <t>6.635.551.959</t>
  </si>
  <si>
    <t>HILL</t>
  </si>
  <si>
    <t>Hillcon Tbk.</t>
  </si>
  <si>
    <t>14.741.500.000</t>
  </si>
  <si>
    <t>BDKR</t>
  </si>
  <si>
    <t>Berdikari Pondasi Perkasa Tbk.</t>
  </si>
  <si>
    <t>4.725.101.522</t>
  </si>
  <si>
    <t>PTMP</t>
  </si>
  <si>
    <t>Mitra Pack Tbk.</t>
  </si>
  <si>
    <t>3.169.200.000</t>
  </si>
  <si>
    <t>SAGE</t>
  </si>
  <si>
    <t>Saptausaha Gemilangindah Tbk.</t>
  </si>
  <si>
    <t>8.033.527.260</t>
  </si>
  <si>
    <t>TRON</t>
  </si>
  <si>
    <t>2.951.328.448</t>
  </si>
  <si>
    <t>CUAN</t>
  </si>
  <si>
    <t>Petrindo Jaya Kreasi Tbk.</t>
  </si>
  <si>
    <t>112.418.900.000</t>
  </si>
  <si>
    <t>NSSS</t>
  </si>
  <si>
    <t>Nusantara Sawit Sejahtera Tbk.</t>
  </si>
  <si>
    <t>23.801.568.645</t>
  </si>
  <si>
    <t>GTRA</t>
  </si>
  <si>
    <t>Grahaprima Suksesmandiri Tbk.</t>
  </si>
  <si>
    <t>1.894.375.000</t>
  </si>
  <si>
    <t>HAJJ</t>
  </si>
  <si>
    <t>Arsy Buana Travelindo Tbk.</t>
  </si>
  <si>
    <t>2.468.389.077</t>
  </si>
  <si>
    <t>JATI</t>
  </si>
  <si>
    <t>3.262.520.106</t>
  </si>
  <si>
    <t>TYRE</t>
  </si>
  <si>
    <t>King Tire Indonesia Tbk.</t>
  </si>
  <si>
    <t>3.480.581.727</t>
  </si>
  <si>
    <t>MPXL</t>
  </si>
  <si>
    <t>2.000.014.587</t>
  </si>
  <si>
    <t>SMIL</t>
  </si>
  <si>
    <t>Sarana Mitra Luas Tbk.</t>
  </si>
  <si>
    <t>8.751.668.239</t>
  </si>
  <si>
    <t>KLAS</t>
  </si>
  <si>
    <t>3.644.415.975</t>
  </si>
  <si>
    <t>MAXI</t>
  </si>
  <si>
    <t>Maxindo Karya Anugerah Tbk.</t>
  </si>
  <si>
    <t>9.610.099.981</t>
  </si>
  <si>
    <t>VKTR</t>
  </si>
  <si>
    <t>VKTR Teknologi Mobilitas Tbk.</t>
  </si>
  <si>
    <t>43.750.000.000</t>
  </si>
  <si>
    <t>RELF</t>
  </si>
  <si>
    <t>Graha Mitra Asia Tbk.</t>
  </si>
  <si>
    <t>5.727.832.195</t>
  </si>
  <si>
    <t>AMMN</t>
  </si>
  <si>
    <t>72.518.217.656</t>
  </si>
  <si>
    <t>CRSN</t>
  </si>
  <si>
    <t>Carsurin Tbk.</t>
  </si>
  <si>
    <t>2.892.000.000</t>
  </si>
  <si>
    <t>GRPM</t>
  </si>
  <si>
    <t>Graha Prima Mentari Tbk.</t>
  </si>
  <si>
    <t>1.548.081.013</t>
  </si>
  <si>
    <t>WIDI</t>
  </si>
  <si>
    <t>Widiant Jaya Krenindo Tbk.</t>
  </si>
  <si>
    <t>1.600.031.683</t>
  </si>
  <si>
    <t>TGUK</t>
  </si>
  <si>
    <t>Platinum Wahab Nusantara Tbk.</t>
  </si>
  <si>
    <t>3.571.451.815</t>
  </si>
  <si>
    <t>INET</t>
  </si>
  <si>
    <t>22.374.111.088</t>
  </si>
  <si>
    <t>MAHA</t>
  </si>
  <si>
    <t>Mandiri Herindo Adiperkasa Tbk</t>
  </si>
  <si>
    <t>16.666.000.000</t>
  </si>
  <si>
    <t>RMKO</t>
  </si>
  <si>
    <t>CNMA</t>
  </si>
  <si>
    <t>Nusantara Sejahtera Raya Tbk.</t>
  </si>
  <si>
    <t>83.345.000.000</t>
  </si>
  <si>
    <t>FOLK</t>
  </si>
  <si>
    <t>Multi Garam Utama Tbk.</t>
  </si>
  <si>
    <t>4.091.357.544</t>
  </si>
  <si>
    <t>HBAT</t>
  </si>
  <si>
    <t>Minahasa Membangun Hebat Tbk.</t>
  </si>
  <si>
    <t>1.040.740.800</t>
  </si>
  <si>
    <t>GRIA</t>
  </si>
  <si>
    <t>Ingria Pratama Capitalindo Tbk</t>
  </si>
  <si>
    <t>7.375.720.674</t>
  </si>
  <si>
    <t>PPRI</t>
  </si>
  <si>
    <t>Paperocks Indonesia Tbk.</t>
  </si>
  <si>
    <t>1.075.027.288</t>
  </si>
  <si>
    <t>ERAL</t>
  </si>
  <si>
    <t>Sinar Eka Selaras Tbk.</t>
  </si>
  <si>
    <t>5.187.500.000</t>
  </si>
  <si>
    <t>CYBR</t>
  </si>
  <si>
    <t>ITSEC Asia Tbk.</t>
  </si>
  <si>
    <t>6.715.252.547</t>
  </si>
  <si>
    <t>MUTU</t>
  </si>
  <si>
    <t>Mutuagung Lestari Tbk.</t>
  </si>
  <si>
    <t>3.142.950.585</t>
  </si>
  <si>
    <t>LMAX</t>
  </si>
  <si>
    <t>650.008.775</t>
  </si>
  <si>
    <t>HUMI</t>
  </si>
  <si>
    <t>18.062.548.417</t>
  </si>
  <si>
    <t>MSIE</t>
  </si>
  <si>
    <t>Multisarana Intan Eduka Tbk.</t>
  </si>
  <si>
    <t>1.460.007.754</t>
  </si>
  <si>
    <t>RSCH</t>
  </si>
  <si>
    <t>Charlie Hospital Semarang Tbk.</t>
  </si>
  <si>
    <t>2.650.000.000</t>
  </si>
  <si>
    <t>BABY</t>
  </si>
  <si>
    <t>Multitrend Indo Tbk.</t>
  </si>
  <si>
    <t>2.616.226.706</t>
  </si>
  <si>
    <t>AEGS</t>
  </si>
  <si>
    <t>1.006.080.721</t>
  </si>
  <si>
    <t>IOTF</t>
  </si>
  <si>
    <t>Sumber Sinergi Makmur Tbk.</t>
  </si>
  <si>
    <t>5.290.298.067</t>
  </si>
  <si>
    <t>KOCI</t>
  </si>
  <si>
    <t>Kokoh Exa Nusantara Tbk.</t>
  </si>
  <si>
    <t>4.466.895.938</t>
  </si>
  <si>
    <t>PTPS</t>
  </si>
  <si>
    <t>Pulau Subur Tbk.</t>
  </si>
  <si>
    <t>2.167.514.856</t>
  </si>
  <si>
    <t>BREN</t>
  </si>
  <si>
    <t>Barito Renewables Energy Tbk.</t>
  </si>
  <si>
    <t>133.786.220.000</t>
  </si>
  <si>
    <t>STRK</t>
  </si>
  <si>
    <t>Lovina Beach Brewery Tbk.</t>
  </si>
  <si>
    <t>10.721.835.562</t>
  </si>
  <si>
    <t>KOKA</t>
  </si>
  <si>
    <t>Koka Indonesia Tbk.</t>
  </si>
  <si>
    <t>2.861.333.000</t>
  </si>
  <si>
    <t>LOPI</t>
  </si>
  <si>
    <t>1.100.011.289</t>
  </si>
  <si>
    <t>UDNG</t>
  </si>
  <si>
    <t>Agro Bahari Nusantara Tbk.</t>
  </si>
  <si>
    <t>1.750.040.072</t>
  </si>
  <si>
    <t>RGAS</t>
  </si>
  <si>
    <t>Kian Santang Muliatama Tbk.</t>
  </si>
  <si>
    <t>1.459.234.110</t>
  </si>
  <si>
    <t>MSTI</t>
  </si>
  <si>
    <t>Mastersystem Infotama Tbk.</t>
  </si>
  <si>
    <t>3.139.416.200</t>
  </si>
  <si>
    <t>IKPM</t>
  </si>
  <si>
    <t>Ikapharmindo Putramas Tbk.</t>
  </si>
  <si>
    <t>1.684.662.500</t>
  </si>
  <si>
    <t>AYAM</t>
  </si>
  <si>
    <t>Janu Putra Sejahtera Tbk.</t>
  </si>
  <si>
    <t>SURI</t>
  </si>
  <si>
    <t>Maja Agung Latexindo Tbk.</t>
  </si>
  <si>
    <t>6.334.375.000</t>
  </si>
  <si>
    <t>ASLI</t>
  </si>
  <si>
    <t>Asri Karya Lestari Tbk.</t>
  </si>
  <si>
    <t>GRPH</t>
  </si>
  <si>
    <t>Griptha Putra Persada Tbk.</t>
  </si>
  <si>
    <t>SMGA</t>
  </si>
  <si>
    <t>8.750.000.000</t>
  </si>
  <si>
    <t>UNTD</t>
  </si>
  <si>
    <t>Terang Dunia Internusa Tbk.</t>
  </si>
  <si>
    <t>6.666.666.700</t>
  </si>
  <si>
    <t>TOSK</t>
  </si>
  <si>
    <t>Topindo Solusi Komunika Tbk.</t>
  </si>
  <si>
    <t>4.375.277.300</t>
  </si>
  <si>
    <t>MPIX</t>
  </si>
  <si>
    <t>Mitra Pedagang Indonesia Tbk.</t>
  </si>
  <si>
    <t>1.562.574.308</t>
  </si>
  <si>
    <t>ALII</t>
  </si>
  <si>
    <t>Ancara Logistics Indonesia Tbk</t>
  </si>
  <si>
    <t>15.825.800.000</t>
  </si>
  <si>
    <t>MKAP</t>
  </si>
  <si>
    <t>3.250.000.000</t>
  </si>
  <si>
    <t>MEJA</t>
  </si>
  <si>
    <t>Harta Djaya Karya Tbk.</t>
  </si>
  <si>
    <t>2.235.502.042</t>
  </si>
  <si>
    <t>LIVE</t>
  </si>
  <si>
    <t>Homeco Victoria Makmur Tbk.</t>
  </si>
  <si>
    <t>4.593.005.014</t>
  </si>
  <si>
    <t>HYGN</t>
  </si>
  <si>
    <t>Ecocare Indo Pasifik Tbk.</t>
  </si>
  <si>
    <t>2.525.000.000</t>
  </si>
  <si>
    <t>BAIK</t>
  </si>
  <si>
    <t>Bersama Mencapai Puncak Tbk.</t>
  </si>
  <si>
    <t>1.127.497.572</t>
  </si>
  <si>
    <t>VISI</t>
  </si>
  <si>
    <t>Satu Visi Putra Tbk.</t>
  </si>
  <si>
    <t>3.075.000.000</t>
  </si>
  <si>
    <t>AREA</t>
  </si>
  <si>
    <t>Dunia Virtual Online Tbk.</t>
  </si>
  <si>
    <t>2.539.601.000</t>
  </si>
  <si>
    <t>MHKI</t>
  </si>
  <si>
    <t>Multi Hanna Kreasindo Tbk.</t>
  </si>
  <si>
    <t>ATLA</t>
  </si>
  <si>
    <t>Atlantis Subsea Indonesia Tbk.</t>
  </si>
  <si>
    <t>6.199.577.693</t>
  </si>
  <si>
    <t>DATA</t>
  </si>
  <si>
    <t>Remala Abadi Tbk.</t>
  </si>
  <si>
    <t>SOLA</t>
  </si>
  <si>
    <t>Xolare RCR Energy Tbk.</t>
  </si>
  <si>
    <t>3.287.375.000</t>
  </si>
  <si>
    <t>BATR</t>
  </si>
  <si>
    <t>Benteng Api Technic Tbk.</t>
  </si>
  <si>
    <t>3.025.037.353</t>
  </si>
  <si>
    <t>SPRE</t>
  </si>
  <si>
    <t>Soraya Berjaya Indonesia Tbk.</t>
  </si>
  <si>
    <t>PART</t>
  </si>
  <si>
    <t>Cipta Perdana Lancar Tbk.</t>
  </si>
  <si>
    <t>2.812.007.719</t>
  </si>
  <si>
    <t>GOLF</t>
  </si>
  <si>
    <t>Intra Golflink Resorts Tbk.</t>
  </si>
  <si>
    <t>19.486.760.000</t>
  </si>
  <si>
    <t>ISEA</t>
  </si>
  <si>
    <t>Indo American Seafoods Tbk.</t>
  </si>
  <si>
    <t>1.390.013.370</t>
  </si>
  <si>
    <t>BLES</t>
  </si>
  <si>
    <t>Superior Prima Sukses Tbk.</t>
  </si>
  <si>
    <t>8.890.206.400</t>
  </si>
  <si>
    <t>GUNA</t>
  </si>
  <si>
    <t>Gunanusa Eramandiri Tbk.</t>
  </si>
  <si>
    <t>LABS</t>
  </si>
  <si>
    <t>UBC Medical Indonesia Tbk.</t>
  </si>
  <si>
    <t>3.950.000.000</t>
  </si>
  <si>
    <t>DOSS</t>
  </si>
  <si>
    <t>Global Sukses Digital Tbk.</t>
  </si>
  <si>
    <t>1.725.000.000</t>
  </si>
  <si>
    <t>NEST</t>
  </si>
  <si>
    <t>Esta Indonesia Tbk.</t>
  </si>
  <si>
    <t>4.112.500.000</t>
  </si>
  <si>
    <t>PTMR</t>
  </si>
  <si>
    <t>Master Print Tbk.</t>
  </si>
  <si>
    <t>1.907.000.000</t>
  </si>
  <si>
    <t>VERN</t>
  </si>
  <si>
    <t>Verona Indah Pictures Tbk.</t>
  </si>
  <si>
    <t>4.765.648.183</t>
  </si>
  <si>
    <t>DAAZ</t>
  </si>
  <si>
    <t>Daaz Bara Lestari Tbk.</t>
  </si>
  <si>
    <t>1.997.000.000</t>
  </si>
  <si>
    <t>BOAT</t>
  </si>
  <si>
    <t>Newport Marine Services Tbk.</t>
  </si>
  <si>
    <t>3.501.680.000</t>
  </si>
  <si>
    <t>NAIK</t>
  </si>
  <si>
    <t>Adiwarna Anugerah Abadi Tbk.</t>
  </si>
  <si>
    <t>3.327.394.080</t>
  </si>
  <si>
    <t>AADI</t>
  </si>
  <si>
    <t>Adaro Andalan Indonesia Tbk.</t>
  </si>
  <si>
    <t>7.786.891.760</t>
  </si>
  <si>
    <t>MDIY</t>
  </si>
  <si>
    <t>Daya Intiguna Yasa Tbk.</t>
  </si>
  <si>
    <t>25.190.392.000</t>
  </si>
  <si>
    <t>KSIX</t>
  </si>
  <si>
    <t>2.137.831.800</t>
  </si>
  <si>
    <t>RATU</t>
  </si>
  <si>
    <t>Raharja Energi Cepu Tbk.</t>
  </si>
  <si>
    <t>2.715.053.800</t>
  </si>
  <si>
    <t>YOII</t>
  </si>
  <si>
    <t>Asuransi Digital Bersama Tbk.</t>
  </si>
  <si>
    <t>3.424.687.500</t>
  </si>
  <si>
    <t>HGII</t>
  </si>
  <si>
    <t>Hero Global Investment Tbk.</t>
  </si>
  <si>
    <t>6.500.000.000</t>
  </si>
  <si>
    <t>BRRC</t>
  </si>
  <si>
    <t>Raja Roti Cemerlang Tbk.</t>
  </si>
  <si>
    <t>994.603.036</t>
  </si>
  <si>
    <t>DGWG</t>
  </si>
  <si>
    <t>Delta Giri Wacana Tbk.</t>
  </si>
  <si>
    <t>CBDK</t>
  </si>
  <si>
    <t>Bangun Kosambi Sukses Tbk.</t>
  </si>
  <si>
    <t>5.668.944.500</t>
  </si>
  <si>
    <t>OBAT</t>
  </si>
  <si>
    <t>680.376.575</t>
  </si>
  <si>
    <t>MINE</t>
  </si>
  <si>
    <t>Sinar Terang Mandiri Tbk.</t>
  </si>
  <si>
    <t>4.084.435.300</t>
  </si>
  <si>
    <t>ASPR</t>
  </si>
  <si>
    <t>Asia Pramulia Tbk.</t>
  </si>
  <si>
    <t>2.712.000.000</t>
  </si>
  <si>
    <t>PSAT</t>
  </si>
  <si>
    <t>1.482.353.000</t>
  </si>
  <si>
    <t>COIN</t>
  </si>
  <si>
    <t>Indokripto Koin Semesta Tbk.</t>
  </si>
  <si>
    <t>14.705.882.400</t>
  </si>
  <si>
    <t>CDIA</t>
  </si>
  <si>
    <t>Chandra Daya Investasi Tbk.</t>
  </si>
  <si>
    <t>124.829.374.700</t>
  </si>
  <si>
    <t>BLOG</t>
  </si>
  <si>
    <t>Trimitra Trans Persada Tbk.</t>
  </si>
  <si>
    <t>3.379.487.200</t>
  </si>
  <si>
    <t>MERI</t>
  </si>
  <si>
    <t>Merry Riana Edukasi Tbk.</t>
  </si>
  <si>
    <t>1.035.132.500</t>
  </si>
  <si>
    <t>CHEK</t>
  </si>
  <si>
    <t>Diastika Biotekindo Tbk.</t>
  </si>
  <si>
    <t>4.113.331.485</t>
  </si>
  <si>
    <t>PMUI</t>
  </si>
  <si>
    <t>5.800.000.000</t>
  </si>
  <si>
    <t>EMAS</t>
  </si>
  <si>
    <t>Merdeka Gold Resources Tbk.</t>
  </si>
  <si>
    <t>14.731.366.060</t>
  </si>
  <si>
    <t>PJHB</t>
  </si>
  <si>
    <t>Pelayaran Jaya Hidup Baru Tbk.</t>
  </si>
  <si>
    <t>1.920.000.000</t>
  </si>
  <si>
    <t>RLCO</t>
  </si>
  <si>
    <t>Abadi Lestari Indonesia Tbk.</t>
  </si>
  <si>
    <t>SUPA</t>
  </si>
  <si>
    <t>Super Bank Indonesia Tbk.</t>
  </si>
  <si>
    <t>33.558.047.450</t>
  </si>
  <si>
    <t>KAQI</t>
  </si>
  <si>
    <t>Jantra Grupo Indonesia Tbk.</t>
  </si>
  <si>
    <t>2.075.800.000</t>
  </si>
  <si>
    <t>YUPI</t>
  </si>
  <si>
    <t>Yupi Indo Jelly Gum Tbk.</t>
  </si>
  <si>
    <t>8.544.488.700</t>
  </si>
  <si>
    <t>FORE</t>
  </si>
  <si>
    <t>Fore Kopi Indonesia Tbk.</t>
  </si>
  <si>
    <t>8.918.359.270</t>
  </si>
  <si>
    <t>MDLA</t>
  </si>
  <si>
    <t>Medela Potentia Tbk.</t>
  </si>
  <si>
    <t>14.012.825.000</t>
  </si>
  <si>
    <t>DKHH</t>
  </si>
  <si>
    <t>Cipta Sarana Medika Tbk.</t>
  </si>
  <si>
    <t>2.550.153.051</t>
  </si>
  <si>
    <t>AYLS</t>
  </si>
  <si>
    <t>Agro Yasa Lestari Tbk.</t>
  </si>
  <si>
    <t>853.423.236</t>
  </si>
  <si>
    <t>DADA</t>
  </si>
  <si>
    <t>Diamond Citra Propertindo Tbk.</t>
  </si>
  <si>
    <t>7.431.530.800</t>
  </si>
  <si>
    <t>ASPI</t>
  </si>
  <si>
    <t>Andalan Sakti Primaindo Tbk.</t>
  </si>
  <si>
    <t>681.823.317</t>
  </si>
  <si>
    <t>ESTA</t>
  </si>
  <si>
    <t>Esta Multi Usaha Tbk.</t>
  </si>
  <si>
    <t>2.425.354.179</t>
  </si>
  <si>
    <t>BESS</t>
  </si>
  <si>
    <t>3.440.455.528</t>
  </si>
  <si>
    <t>AMAN</t>
  </si>
  <si>
    <t>Makmur Berkah Amanda Tbk.</t>
  </si>
  <si>
    <t>3.873.500.000</t>
  </si>
  <si>
    <t>CARE</t>
  </si>
  <si>
    <t>Metro Healthcare Indonesia Tbk</t>
  </si>
  <si>
    <t>33.250.000.000</t>
  </si>
  <si>
    <t>PIPA</t>
  </si>
  <si>
    <t>Multi Makmur Lemindo Tbk.</t>
  </si>
  <si>
    <t>3.426.097.190</t>
  </si>
  <si>
    <t>NCKL</t>
  </si>
  <si>
    <t>Trimegah Bangun Persada Tbk.</t>
  </si>
  <si>
    <t>63.098.600.000</t>
  </si>
  <si>
    <t>MENN</t>
  </si>
  <si>
    <t>Menn Teknologi Indonesia Tbk.</t>
  </si>
  <si>
    <t>1.434.052.006</t>
  </si>
  <si>
    <t>AWAN</t>
  </si>
  <si>
    <t>Era Digital Media Tbk.</t>
  </si>
  <si>
    <t>3.435.000.000</t>
  </si>
  <si>
    <t>MBMA</t>
  </si>
  <si>
    <t>Merdeka Battery Materials Tbk.</t>
  </si>
  <si>
    <t>107.995.419.900</t>
  </si>
  <si>
    <t>RAAM</t>
  </si>
  <si>
    <t>Tripar Multivision Plus Tbk.</t>
  </si>
  <si>
    <t>6.813.620.000</t>
  </si>
  <si>
    <t>DOOH</t>
  </si>
  <si>
    <t>Era Media Sejahtera Tbk.</t>
  </si>
  <si>
    <t>7.738.891.036</t>
  </si>
  <si>
    <t>CGAS</t>
  </si>
  <si>
    <t>Citra Nusantara Gemilang Tbk.</t>
  </si>
  <si>
    <t>1.771.499.039</t>
  </si>
  <si>
    <t>NICE</t>
  </si>
  <si>
    <t>Adhi Kartiko Pratama Tbk.</t>
  </si>
  <si>
    <t>6.082.020.000</t>
  </si>
  <si>
    <t>MSJA</t>
  </si>
  <si>
    <t>Multi Spunindo Jaya Tbk.</t>
  </si>
  <si>
    <t>5.882.352.900</t>
  </si>
  <si>
    <t>SMLE</t>
  </si>
  <si>
    <t>Sinergi Multi Lestarindo Tbk.</t>
  </si>
  <si>
    <t>2.328.153.048</t>
  </si>
  <si>
    <t>ACRO</t>
  </si>
  <si>
    <t>Samcro Hyosung Adilestari Tbk.</t>
  </si>
  <si>
    <t>3.469.345.537</t>
  </si>
  <si>
    <t>MANG</t>
  </si>
  <si>
    <t>Manggung Polahraya Tbk.</t>
  </si>
  <si>
    <t>3.812.570.582</t>
  </si>
  <si>
    <t>WIFI</t>
  </si>
  <si>
    <t>Solusi Sinergi Digital Tbk.</t>
  </si>
  <si>
    <t>5.308.549.015</t>
  </si>
  <si>
    <t>FAPA</t>
  </si>
  <si>
    <t>FAP Agri Tbk.</t>
  </si>
  <si>
    <t>3.629.411.800</t>
  </si>
  <si>
    <t>DCII</t>
  </si>
  <si>
    <t>DCI Indonesia Tbk.</t>
  </si>
  <si>
    <t>2.383.745.900</t>
  </si>
  <si>
    <t>KETR</t>
  </si>
  <si>
    <t>Ketrosden Triasmitra Tbk.</t>
  </si>
  <si>
    <t>2.841.262.838</t>
  </si>
  <si>
    <t>DGNS</t>
  </si>
  <si>
    <t>Diagnos Laboratorium Utama Tbk</t>
  </si>
  <si>
    <t>UFOE</t>
  </si>
  <si>
    <t>Damai Sejahtera Abadi Tbk.</t>
  </si>
  <si>
    <t>2.898.261.693</t>
  </si>
  <si>
    <t>ADMF</t>
  </si>
  <si>
    <t>1.235.803.109</t>
  </si>
  <si>
    <t>ADMG</t>
  </si>
  <si>
    <t>Polychem Indonesia Tbk</t>
  </si>
  <si>
    <t>3.889.179.559</t>
  </si>
  <si>
    <t>ADRO</t>
  </si>
  <si>
    <t>29.389.689.400</t>
  </si>
  <si>
    <t>AGII</t>
  </si>
  <si>
    <t>Samator Indo Gas Tbk.</t>
  </si>
  <si>
    <t>3.066.660.000</t>
  </si>
  <si>
    <t>AGRO</t>
  </si>
  <si>
    <t>Bank Raya Indonesia Tbk.</t>
  </si>
  <si>
    <t>24.493.093.216</t>
  </si>
  <si>
    <t>AGRS</t>
  </si>
  <si>
    <t>Bank IBK Indonesia Tbk.</t>
  </si>
  <si>
    <t>47.367.057.874</t>
  </si>
  <si>
    <t>AHAP</t>
  </si>
  <si>
    <t>4.900.000.000</t>
  </si>
  <si>
    <t>AIMS</t>
  </si>
  <si>
    <t>Artha Mahiya Investama Tbk.</t>
  </si>
  <si>
    <t>220.000.000</t>
  </si>
  <si>
    <t>PNSE</t>
  </si>
  <si>
    <t>Pudjiadi &amp; Sons Tbk.</t>
  </si>
  <si>
    <t>797.813.496</t>
  </si>
  <si>
    <t>POLY</t>
  </si>
  <si>
    <t>Asia Pacific Fibers Tbk</t>
  </si>
  <si>
    <t>2.495.753.334</t>
  </si>
  <si>
    <t>POOL</t>
  </si>
  <si>
    <t>Pool Advista Indonesia Tbk.</t>
  </si>
  <si>
    <t>2.341.366.264</t>
  </si>
  <si>
    <t>PPRO</t>
  </si>
  <si>
    <t>PP Properti Tbk.</t>
  </si>
  <si>
    <t>61.675.671.883</t>
  </si>
  <si>
    <t>Kode Saham</t>
  </si>
  <si>
    <t>Sektor</t>
  </si>
  <si>
    <t>Subsektor</t>
  </si>
  <si>
    <t>Kode Industri</t>
  </si>
  <si>
    <t>Kode Subindustri</t>
  </si>
  <si>
    <t>Industri</t>
  </si>
  <si>
    <t>Subindustri</t>
  </si>
  <si>
    <t>Astrindo Nusantara Infrastruktur Tbk</t>
  </si>
  <si>
    <t>IDXENERGY</t>
  </si>
  <si>
    <t>Oil, Gas &amp; Coal</t>
  </si>
  <si>
    <t>A111</t>
  </si>
  <si>
    <t>Oil &amp; Gas</t>
  </si>
  <si>
    <t>Oil &amp; Gas Production &amp; Refinery</t>
  </si>
  <si>
    <t>Energi Mega Persada Tbk</t>
  </si>
  <si>
    <t>Mitra Investindo Tbk</t>
  </si>
  <si>
    <t>Sugih Energy Tbk</t>
  </si>
  <si>
    <t>Super Energy Tbk</t>
  </si>
  <si>
    <t>A112</t>
  </si>
  <si>
    <t>Oil &amp; Gas Storage &amp; Distribution</t>
  </si>
  <si>
    <t>Buana Lintas Lautan Tbk</t>
  </si>
  <si>
    <t>GTS Internasional Tbk</t>
  </si>
  <si>
    <t>Humpuss Intermoda Transportasi Tbk</t>
  </si>
  <si>
    <t>Indah Prakasa Sentosa Tbk</t>
  </si>
  <si>
    <t>Mitra Energi Persada Tbk</t>
  </si>
  <si>
    <t>Logindo Samudramakmur Tbk</t>
  </si>
  <si>
    <t>Capitalinc Investment Tbk</t>
  </si>
  <si>
    <t>Perusahaan Gas Negara Tbk</t>
  </si>
  <si>
    <t>Rukun Raharja Tbk</t>
  </si>
  <si>
    <t>Sillo Maritime Perdana Tbk</t>
  </si>
  <si>
    <t>Soechi Lines Tbk</t>
  </si>
  <si>
    <t>A121</t>
  </si>
  <si>
    <t>Coal</t>
  </si>
  <si>
    <t>Coal Production</t>
  </si>
  <si>
    <t>Alamtri Resources Indonesia Tbk</t>
  </si>
  <si>
    <t>Atlas Resources Tbk</t>
  </si>
  <si>
    <t>Borneo Olah Sarana Sukses Tbk</t>
  </si>
  <si>
    <t>Baramulti Suksessarana Tbk</t>
  </si>
  <si>
    <t>Bumi Resources Tbk</t>
  </si>
  <si>
    <t>Bayan Resources Tbk</t>
  </si>
  <si>
    <t>Golden Energy Mines Tbk</t>
  </si>
  <si>
    <t>Harum Energy Tbk</t>
  </si>
  <si>
    <t>Indika Energy Tbk</t>
  </si>
  <si>
    <t>Indo Tambangraya Megah Tbk</t>
  </si>
  <si>
    <t>Resource Alam Indonesia Tbk</t>
  </si>
  <si>
    <t>Mitrabara Adiperdana Tbk</t>
  </si>
  <si>
    <t>Prima Andalan Mandiri Tbk</t>
  </si>
  <si>
    <t>Golden Eagle Energy Tbk</t>
  </si>
  <si>
    <t>TBS Energi Utama Tbk</t>
  </si>
  <si>
    <t>Trada Alam Minera Tbk</t>
  </si>
  <si>
    <t>A122</t>
  </si>
  <si>
    <t>Coal Distribution</t>
  </si>
  <si>
    <t>Pelayaran Nasional Bina Buana Raya Tbk</t>
  </si>
  <si>
    <t>Batulicin Nusantara Maritim Tbk</t>
  </si>
  <si>
    <t>Bintang Samudera Mandiri Lines Tbk</t>
  </si>
  <si>
    <t>Capitol Nusantara Indonesia Tbk</t>
  </si>
  <si>
    <t>Exploitasi Energi Indonesia Tbk</t>
  </si>
  <si>
    <t>Dwi Guna Laksana Tbk</t>
  </si>
  <si>
    <t>Alfa Energi Investama Tbk</t>
  </si>
  <si>
    <t>Indo Straits Tbk</t>
  </si>
  <si>
    <t>Rig Tenders Indonesia Tbk</t>
  </si>
  <si>
    <t>RMK Energy Tbk</t>
  </si>
  <si>
    <t>Sumber Global Energy Tbk</t>
  </si>
  <si>
    <t>Transcoal Pacific Tbk</t>
  </si>
  <si>
    <t>Dana Brata Luhur Tbk</t>
  </si>
  <si>
    <t>Trans Power Marine Tbk</t>
  </si>
  <si>
    <t>Apexindo Pratama Duta Tbk</t>
  </si>
  <si>
    <t>A131</t>
  </si>
  <si>
    <t>Oil, Gas &amp; Coal Supports</t>
  </si>
  <si>
    <t>Oil &amp; Gas Drilling Service</t>
  </si>
  <si>
    <t>Elnusa Tbk</t>
  </si>
  <si>
    <t>A132</t>
  </si>
  <si>
    <t>Oil, Gas &amp; Coal Equipment &amp; Services</t>
  </si>
  <si>
    <t>SUMBER ENERGI ANDALAN Tbk</t>
  </si>
  <si>
    <t>Samindo Resources Tbk</t>
  </si>
  <si>
    <t>Petrosea Tbk</t>
  </si>
  <si>
    <t>Radiant Utama Interinsco Tbk</t>
  </si>
  <si>
    <t>SMR Utama Tbk</t>
  </si>
  <si>
    <t>Wintermar Offshore Marine Tbk</t>
  </si>
  <si>
    <t>Sky Energy Indonesia Tbk</t>
  </si>
  <si>
    <t>Alternative Energy</t>
  </si>
  <si>
    <t>A211</t>
  </si>
  <si>
    <t>Alternative Energy Equipment</t>
  </si>
  <si>
    <t>Semacom Integrated Tbk</t>
  </si>
  <si>
    <t>A221</t>
  </si>
  <si>
    <t>Alternative Fuels</t>
  </si>
  <si>
    <t>IDXBASIC</t>
  </si>
  <si>
    <t>Basic Materials</t>
  </si>
  <si>
    <t>B111</t>
  </si>
  <si>
    <t>Chemicals</t>
  </si>
  <si>
    <t>Basic Chemicals</t>
  </si>
  <si>
    <t>Barito Pacific Tbk</t>
  </si>
  <si>
    <t>Lotte Chemical Titan Tbk</t>
  </si>
  <si>
    <t>Lautan Luas Tbk</t>
  </si>
  <si>
    <t>Emdeki Utama Tbk</t>
  </si>
  <si>
    <t>Madusari Murni Indah Tbk</t>
  </si>
  <si>
    <t>Unggul Indah Cahaya Tbk</t>
  </si>
  <si>
    <t>B112</t>
  </si>
  <si>
    <t>Agricultural Chemicals</t>
  </si>
  <si>
    <t>Nusa Palapa Gemilang Tbk</t>
  </si>
  <si>
    <t>B113</t>
  </si>
  <si>
    <t>Specialty Chemicals</t>
  </si>
  <si>
    <t>Asiaplast Industries Tbk</t>
  </si>
  <si>
    <t>Avia Avian Tbk</t>
  </si>
  <si>
    <t>Colorpak Indonesia Tbk</t>
  </si>
  <si>
    <t>Duta Pertiwi Nusantara Tbk</t>
  </si>
  <si>
    <t>Ekadharma International Tbk</t>
  </si>
  <si>
    <t>OBM Drilchem Tbk</t>
  </si>
  <si>
    <t>Agro Yasa Lestari Tbk</t>
  </si>
  <si>
    <t>B121</t>
  </si>
  <si>
    <t>Construction Materials</t>
  </si>
  <si>
    <t>Berkah Beton Sadaya Tbk</t>
  </si>
  <si>
    <t>Cemindo Gemilang Tbk</t>
  </si>
  <si>
    <t>Indocement Tunggal Prakarsa Tbk</t>
  </si>
  <si>
    <t>Semen Baturaja (Persero) Tbk</t>
  </si>
  <si>
    <t>Solusi Bangun Indonesia Tbk</t>
  </si>
  <si>
    <t>Semen Indonesia (Persero) Tbk</t>
  </si>
  <si>
    <t>Waskita Beton Precast Tbk</t>
  </si>
  <si>
    <t>Wijaya Karya Beton Tbk</t>
  </si>
  <si>
    <t>Alkindo Naratama Tbk</t>
  </si>
  <si>
    <t>B131</t>
  </si>
  <si>
    <t>Containers &amp; Packaging</t>
  </si>
  <si>
    <t>Berlina Tbk</t>
  </si>
  <si>
    <t>Megalestari Epack Sentosaraya Tbk</t>
  </si>
  <si>
    <t>Sinergi Inti Plastindo Tbk</t>
  </si>
  <si>
    <t>Fajar Surya Wisesa Tbk</t>
  </si>
  <si>
    <t>Kedawung Setia Industrial Tbk</t>
  </si>
  <si>
    <t>Panca Budi Idaman Tbk</t>
  </si>
  <si>
    <t>Satyamitra Kemas Lestari Tbk</t>
  </si>
  <si>
    <t>Suparma Tbk</t>
  </si>
  <si>
    <t>Trias Sentosa Tbk</t>
  </si>
  <si>
    <t>B141</t>
  </si>
  <si>
    <t>Metals &amp; Minerals</t>
  </si>
  <si>
    <t>Aluminum</t>
  </si>
  <si>
    <t>Alumindo Light Metal Industry Tbk</t>
  </si>
  <si>
    <t>Cita Mineral Investindo Tbk</t>
  </si>
  <si>
    <t>HK Metals Utama Tbk</t>
  </si>
  <si>
    <t>Indal Aluminium Industry Tbk</t>
  </si>
  <si>
    <t>B142</t>
  </si>
  <si>
    <t>Cooper</t>
  </si>
  <si>
    <t>Tembaga Mulia Semanan Tbk</t>
  </si>
  <si>
    <t>Archi Indonesia Tbk</t>
  </si>
  <si>
    <t>B143</t>
  </si>
  <si>
    <t>Gold</t>
  </si>
  <si>
    <t>J Resources Asia Pasifik Tbk</t>
  </si>
  <si>
    <t>Wilton Makmur Indonesia Tbk</t>
  </si>
  <si>
    <t>Saranacentral Bajatama Tbk</t>
  </si>
  <si>
    <t>B144</t>
  </si>
  <si>
    <t>Iron &amp; Steel</t>
  </si>
  <si>
    <t>Betonjaya Manunggal Tbk</t>
  </si>
  <si>
    <t>Citra Tubindo Tbk</t>
  </si>
  <si>
    <t>Gunawan Dianjaya Steel Tbk</t>
  </si>
  <si>
    <t>Gunung Raja Paksi Tbk</t>
  </si>
  <si>
    <t>Steel Pipe Industry of Indonesia Tbk</t>
  </si>
  <si>
    <t>Krakatau Steel (Persero) Tbk</t>
  </si>
  <si>
    <t>Lionmesh Prima Tbk</t>
  </si>
  <si>
    <t>B146</t>
  </si>
  <si>
    <t>Diversified Metals &amp; Minerals</t>
  </si>
  <si>
    <t>Bumi Resources Minerals Tbk</t>
  </si>
  <si>
    <t>Central Omega Resources Tbk</t>
  </si>
  <si>
    <t>Ifishdeco Tbk</t>
  </si>
  <si>
    <t>Vale Indonesia Tbk</t>
  </si>
  <si>
    <t>PAM Mineral Tbk</t>
  </si>
  <si>
    <t>Pelat Timah Nusantara Tbk</t>
  </si>
  <si>
    <t>Trinitan Metals and Minerals Tbk</t>
  </si>
  <si>
    <t>Timah Tbk</t>
  </si>
  <si>
    <t>Kapuas Prima Coal Tbk</t>
  </si>
  <si>
    <t>Indonesia Fibreboard Industry Tbk</t>
  </si>
  <si>
    <t>B151</t>
  </si>
  <si>
    <t>Forestry &amp; Paper</t>
  </si>
  <si>
    <t>Timber</t>
  </si>
  <si>
    <t>Darmi Bersaudara Tbk</t>
  </si>
  <si>
    <t>SLJ Global Tbk</t>
  </si>
  <si>
    <t>Indah Kiat Pulp &amp; Paper Tbk</t>
  </si>
  <si>
    <t>B152</t>
  </si>
  <si>
    <t>Paper</t>
  </si>
  <si>
    <t>Kertas Basuki Rachmat Indonesia Tbk</t>
  </si>
  <si>
    <t>Sriwahana Adityakarta Tbk</t>
  </si>
  <si>
    <t>Pabrik Kertas Tjiwi Kimia Tbk</t>
  </si>
  <si>
    <t>B153</t>
  </si>
  <si>
    <t>Diversified Forest</t>
  </si>
  <si>
    <t>Asahimas Flat Glass Tbk</t>
  </si>
  <si>
    <t>IDXINDUST</t>
  </si>
  <si>
    <t>Industrial Goods</t>
  </si>
  <si>
    <t>C121</t>
  </si>
  <si>
    <t>Building Products &amp; Fixtures</t>
  </si>
  <si>
    <t>Arwana Citramulia Tbk</t>
  </si>
  <si>
    <t>Cahayaputra Asa Keramik Tbk</t>
  </si>
  <si>
    <t>Citatah Tbk</t>
  </si>
  <si>
    <t>Impack Pratama Industri Tbk</t>
  </si>
  <si>
    <t>Keramika Indonesia Assosiasi Tbk</t>
  </si>
  <si>
    <t>Ace Oldfields Tbk</t>
  </si>
  <si>
    <t>Singaraja Putra Tbk</t>
  </si>
  <si>
    <t>Surya Pertiwi Tbk</t>
  </si>
  <si>
    <t>Surya Toto Indonesia Tbk</t>
  </si>
  <si>
    <t>Communication Cable Systems Indonesia Tbk</t>
  </si>
  <si>
    <t>C131</t>
  </si>
  <si>
    <t>Electrical</t>
  </si>
  <si>
    <t>Electrical Components &amp; Equipment</t>
  </si>
  <si>
    <t>Sumi Indo Kabel Tbk</t>
  </si>
  <si>
    <t>Jembo Cable Company Tbk</t>
  </si>
  <si>
    <t>KMI Wire &amp; Cable Tbk</t>
  </si>
  <si>
    <t>Kabelindo Murni Tbk</t>
  </si>
  <si>
    <t>Supreme Cable Manufacturing &amp; Commerce Tbk</t>
  </si>
  <si>
    <t>Voksel Electric Tbk</t>
  </si>
  <si>
    <t>Hexindo Adiperkasa Tbk</t>
  </si>
  <si>
    <t>C141</t>
  </si>
  <si>
    <t>Machinery</t>
  </si>
  <si>
    <t>Construction Machinery &amp; Heavy Vehicles</t>
  </si>
  <si>
    <t>Harapan Duta Pertiwi Tbk</t>
  </si>
  <si>
    <t>Intraco Penta Tbk</t>
  </si>
  <si>
    <t>Kobexindo Tractors Tbk</t>
  </si>
  <si>
    <t>Nusatama Berkah Tbk</t>
  </si>
  <si>
    <t>Superkrane Mitra Utama Tbk</t>
  </si>
  <si>
    <t>United Tractors Tbk</t>
  </si>
  <si>
    <t>C143</t>
  </si>
  <si>
    <t>Industrial Machinery &amp; Components</t>
  </si>
  <si>
    <t>Geoprima Solusi Tbk</t>
  </si>
  <si>
    <t>Industrial Services</t>
  </si>
  <si>
    <t>C211</t>
  </si>
  <si>
    <t>Diversified Industrial Trading</t>
  </si>
  <si>
    <t>Triwira Insanlestari Tbk</t>
  </si>
  <si>
    <t>Jasuindo Tiga Perkasa Tbk</t>
  </si>
  <si>
    <t>C221</t>
  </si>
  <si>
    <t>Commercial Services</t>
  </si>
  <si>
    <t>Commercial Printing</t>
  </si>
  <si>
    <t>C222</t>
  </si>
  <si>
    <t>Environmental &amp; Facilities Services</t>
  </si>
  <si>
    <t>Perma Plasindo Tbk</t>
  </si>
  <si>
    <t>C223</t>
  </si>
  <si>
    <t>Office Supplies</t>
  </si>
  <si>
    <t>Berkah Prima Perkasa Tbk</t>
  </si>
  <si>
    <t>Lion Metal Works Tbk</t>
  </si>
  <si>
    <t>Modern Internasional Tbk</t>
  </si>
  <si>
    <t>Astra Graphia Tbk</t>
  </si>
  <si>
    <t>C224</t>
  </si>
  <si>
    <t>Business Support Services</t>
  </si>
  <si>
    <t>Dyandra Media International Tbk</t>
  </si>
  <si>
    <t>Island Concepts Indonesia Tbk</t>
  </si>
  <si>
    <t>Multifiling Mitra Indonesia Tbk</t>
  </si>
  <si>
    <t>C231</t>
  </si>
  <si>
    <t>Professional Services</t>
  </si>
  <si>
    <t>Human Resource &amp; Employment Services</t>
  </si>
  <si>
    <t>Shield on Service Tbk</t>
  </si>
  <si>
    <t>C232</t>
  </si>
  <si>
    <t>Research &amp; Consulting Services</t>
  </si>
  <si>
    <t>ABM Investama Tbk</t>
  </si>
  <si>
    <t>Multi-sector Holdings</t>
  </si>
  <si>
    <t>C311</t>
  </si>
  <si>
    <t>Astra International Tbk</t>
  </si>
  <si>
    <t>Multipolar Tbk</t>
  </si>
  <si>
    <t>Dosni Roha Indonesia Tbk</t>
  </si>
  <si>
    <t>Duta Intidaya Tbk</t>
  </si>
  <si>
    <t>IDXNONCYC</t>
  </si>
  <si>
    <t>Food &amp; Staples Retailing</t>
  </si>
  <si>
    <t>D111</t>
  </si>
  <si>
    <t>Drug Retail &amp; Distributors</t>
  </si>
  <si>
    <t>Millennium Pharmacon International Tbk</t>
  </si>
  <si>
    <t>D112</t>
  </si>
  <si>
    <t>Food Retail &amp; Distributors</t>
  </si>
  <si>
    <t>Diamond Food Indonesia Tbk</t>
  </si>
  <si>
    <t>Kurniamitra Duta Sentosa Tbk</t>
  </si>
  <si>
    <t>Prima Cakrawala Abadi Tbk</t>
  </si>
  <si>
    <t>Wicaksana Overseas International Tbk</t>
  </si>
  <si>
    <t>D113</t>
  </si>
  <si>
    <t>Supermarkets &amp; Convenience Store</t>
  </si>
  <si>
    <t>Midi Utama Indonesia Tbk</t>
  </si>
  <si>
    <t>Matahari Putra Prima Tbk</t>
  </si>
  <si>
    <t>Supra Boga Lestari Tbk</t>
  </si>
  <si>
    <t>Food &amp; Beverage</t>
  </si>
  <si>
    <t>D211</t>
  </si>
  <si>
    <t>Beverages</t>
  </si>
  <si>
    <t>Liquors</t>
  </si>
  <si>
    <t>Delta Djakarta Tbk</t>
  </si>
  <si>
    <t>Multi Bintang Indonesia Tbk</t>
  </si>
  <si>
    <t>Akasha Wira International Tbk</t>
  </si>
  <si>
    <t>D212</t>
  </si>
  <si>
    <t>Soft Drinks</t>
  </si>
  <si>
    <t>Tri Banyan Tirta Tbk</t>
  </si>
  <si>
    <t>Sariguna Primatirta Tbk</t>
  </si>
  <si>
    <t>D221</t>
  </si>
  <si>
    <t>Processed Foods</t>
  </si>
  <si>
    <t>Dairy Products</t>
  </si>
  <si>
    <t>Cisarua Mountain Dairy Tbk</t>
  </si>
  <si>
    <t>Mulia Boga Raya Tbk</t>
  </si>
  <si>
    <t>FKS Food Sejahtera Tbk</t>
  </si>
  <si>
    <t>D222</t>
  </si>
  <si>
    <t>Estika Tata Tiara Tbk</t>
  </si>
  <si>
    <t>Budi Starch &amp; Sweetener Tbk</t>
  </si>
  <si>
    <t>Wilmar Cahaya Indonesia Tbk</t>
  </si>
  <si>
    <t>Sentra Food Indonesia Tbk</t>
  </si>
  <si>
    <t>Garudafood Putra Putri Jaya Tbk</t>
  </si>
  <si>
    <t>Buyung Poetra Sembada Tbk</t>
  </si>
  <si>
    <t>Indofood Sukses Makmur Tbk</t>
  </si>
  <si>
    <t>Mayora Indah Tbk</t>
  </si>
  <si>
    <t>Wahana Inti Makmur Tbk</t>
  </si>
  <si>
    <t>Pantai Indah Kapuk Dua Tbk</t>
  </si>
  <si>
    <t>Panca Mitra Multiperdana Tbk</t>
  </si>
  <si>
    <t>Nippon Indosari Corpindo Tbk</t>
  </si>
  <si>
    <t>Sekar Bumi Tbk</t>
  </si>
  <si>
    <t>Sekar Laut Tbk</t>
  </si>
  <si>
    <t>Siantar Top Tbk</t>
  </si>
  <si>
    <t>Jaya Swarasa Agung Tbk</t>
  </si>
  <si>
    <t>Tunas Baru Lampung Tbk</t>
  </si>
  <si>
    <t>Tigaraksa Satria Tbk</t>
  </si>
  <si>
    <t>Asia Sejahtera Mina Tbk</t>
  </si>
  <si>
    <t>D231</t>
  </si>
  <si>
    <t>Agricultural Products</t>
  </si>
  <si>
    <t>Fish, Meat, &amp; Poultry</t>
  </si>
  <si>
    <t>Cilacap Samudera Fishing Industry Tbk</t>
  </si>
  <si>
    <t>Central Proteina Prima Tbk</t>
  </si>
  <si>
    <t>Dua Putra Utama Makmur Tbk</t>
  </si>
  <si>
    <t>Dharma Samudera Fishing Industries Tbk</t>
  </si>
  <si>
    <t>Morenzo Abadi Perkasa Tbk</t>
  </si>
  <si>
    <t>Era Mandiri Cemerlang Tbk</t>
  </si>
  <si>
    <t>Japfa Comfeed Indonesia Tbk</t>
  </si>
  <si>
    <t>Malindo Feedmill Tbk</t>
  </si>
  <si>
    <t>Sreeya Sewu Indonesia Tbk</t>
  </si>
  <si>
    <t>Widodo Makmur Perkasa Tbk</t>
  </si>
  <si>
    <t>Widodo Makmur Unggas Tbk</t>
  </si>
  <si>
    <t>Astra Agro Lestari Tbk</t>
  </si>
  <si>
    <t>D232</t>
  </si>
  <si>
    <t>Plantations &amp; Crops</t>
  </si>
  <si>
    <t>BISI INTERNATIONAL Tbk</t>
  </si>
  <si>
    <t>Eagle High Plantations Tbk</t>
  </si>
  <si>
    <t>FKS Multi Agro Tbk</t>
  </si>
  <si>
    <t>Gozco Plantations Tbk</t>
  </si>
  <si>
    <t>Indo Pureco Pratama Tbk</t>
  </si>
  <si>
    <t>Jaya Agra Wattie Tbk</t>
  </si>
  <si>
    <t>PP London Sumatra Indonesia Tbk</t>
  </si>
  <si>
    <t>Multi Agro Gemilang Plantation Tbk</t>
  </si>
  <si>
    <t>Indo Oil Perkasa Tbk</t>
  </si>
  <si>
    <t>Salim Ivomas Pratama Tbk</t>
  </si>
  <si>
    <t>Triputra Agro Persada Tbk</t>
  </si>
  <si>
    <t>Bakrie Sumatera Plantations Tbk</t>
  </si>
  <si>
    <t>Wahana Pronatural Tbk</t>
  </si>
  <si>
    <t>Gudang Garam Tbk</t>
  </si>
  <si>
    <t>Tobacco</t>
  </si>
  <si>
    <t>D311</t>
  </si>
  <si>
    <t>Wismilak Inti Makmur Tbk</t>
  </si>
  <si>
    <t>Nondurable Household Products</t>
  </si>
  <si>
    <t>D421</t>
  </si>
  <si>
    <t>Personal Care Products</t>
  </si>
  <si>
    <t>Falmaco Nonwoven Industri Tbk</t>
  </si>
  <si>
    <t>Martina Berto Tbk</t>
  </si>
  <si>
    <t>Mustika Ratu Tbk</t>
  </si>
  <si>
    <t>Mandom Indonesia Tbk</t>
  </si>
  <si>
    <t>IDXCYCLIC</t>
  </si>
  <si>
    <t>Automobiles &amp; Components</t>
  </si>
  <si>
    <t>E111</t>
  </si>
  <si>
    <t>Auto Components</t>
  </si>
  <si>
    <t>Auto Parts &amp; Equipment</t>
  </si>
  <si>
    <t>Astra Otoparts Tbk</t>
  </si>
  <si>
    <t>Garuda Metalindo Tbk</t>
  </si>
  <si>
    <t>Dharma Polimetal Tbk</t>
  </si>
  <si>
    <t>Indospring Tbk</t>
  </si>
  <si>
    <t>Selamat Sempurna Tbk</t>
  </si>
  <si>
    <t>Indo Kordsa Tbk</t>
  </si>
  <si>
    <t>E112</t>
  </si>
  <si>
    <t>Tires</t>
  </si>
  <si>
    <t>Goodyear Indonesia Tbk</t>
  </si>
  <si>
    <t>Gajah Tunggal Tbk</t>
  </si>
  <si>
    <t>Cahaya Bintang Medan Tbk</t>
  </si>
  <si>
    <t>Household Goods</t>
  </si>
  <si>
    <t>E211</t>
  </si>
  <si>
    <t>Home Furnishings</t>
  </si>
  <si>
    <t>Chitose Internasional Tbk</t>
  </si>
  <si>
    <t>Gema Grahasarana Tbk</t>
  </si>
  <si>
    <t>Imago Mulia Persada Tbk</t>
  </si>
  <si>
    <t>Panca Anugrah Wisesa Tbk</t>
  </si>
  <si>
    <t>Oscar Mitra Sukses Sejahtera Tbk</t>
  </si>
  <si>
    <t>Integra Indocabinet Tbk</t>
  </si>
  <si>
    <t>Selaras Citra Nusantara Perkasa Tbk</t>
  </si>
  <si>
    <t>E212</t>
  </si>
  <si>
    <t>Household Appliances</t>
  </si>
  <si>
    <t>E213</t>
  </si>
  <si>
    <t>Housewares &amp; Specialties</t>
  </si>
  <si>
    <t>Langgeng Makmur Industri Tbk</t>
  </si>
  <si>
    <t>Multi Indocitra Tbk</t>
  </si>
  <si>
    <t>Leisure Goods</t>
  </si>
  <si>
    <t>E311</t>
  </si>
  <si>
    <t>Consumer Electronics</t>
  </si>
  <si>
    <t>E321</t>
  </si>
  <si>
    <t>Sport Equipment &amp; Hobbies Goods</t>
  </si>
  <si>
    <t>Eratex Djaja Tbk</t>
  </si>
  <si>
    <t>Apparel &amp; Luxury Goods</t>
  </si>
  <si>
    <t>E411</t>
  </si>
  <si>
    <t>Clothing, Accessories &amp; Bags</t>
  </si>
  <si>
    <t>Hartadinata Abadi Tbk</t>
  </si>
  <si>
    <t>Pan Brothers Tbk</t>
  </si>
  <si>
    <t>Golden Flower Tbk</t>
  </si>
  <si>
    <t>Trisula International Tbk</t>
  </si>
  <si>
    <t>Sepatu Bata Tbk</t>
  </si>
  <si>
    <t>E412</t>
  </si>
  <si>
    <t>Footwear</t>
  </si>
  <si>
    <t>Primarindo Asia Infrastructure Tbk</t>
  </si>
  <si>
    <t>E413</t>
  </si>
  <si>
    <t>Textiles</t>
  </si>
  <si>
    <t>Indorama Synthetics Tbk</t>
  </si>
  <si>
    <t>Tifico Fiber Indonesia Tbk</t>
  </si>
  <si>
    <t>Consumer Services</t>
  </si>
  <si>
    <t>E512</t>
  </si>
  <si>
    <t>Tourism &amp; Recreation</t>
  </si>
  <si>
    <t>Hotels, Resorts &amp; Cruise Lines</t>
  </si>
  <si>
    <t>Bukit Uluwatu Villa Tbk</t>
  </si>
  <si>
    <t>Citra Putra Realty Tbk</t>
  </si>
  <si>
    <t>Dafam Property Indonesia Tbk</t>
  </si>
  <si>
    <t>Eastparc Hotel Tbk</t>
  </si>
  <si>
    <t>Esta Multi Usaha Tbk</t>
  </si>
  <si>
    <t>Hotel Fitra International Tbk</t>
  </si>
  <si>
    <t>Hotel Mandarine Regency Tbk</t>
  </si>
  <si>
    <t>Saraswati Griya Lestari Tbk</t>
  </si>
  <si>
    <t>Menteng Heritage Realty Tbk</t>
  </si>
  <si>
    <t>Intikeramik Alamasri Industri Tbk</t>
  </si>
  <si>
    <t>Jakarta International Hotels &amp; Development Tbk</t>
  </si>
  <si>
    <t>Jakarta Setiabudi Internasional Tbk</t>
  </si>
  <si>
    <t>Marga Abhinaya Abadi Tbk</t>
  </si>
  <si>
    <t>Sanurhasta Mitra Tbk</t>
  </si>
  <si>
    <t>Andalan Perkasa Abadi Tbk</t>
  </si>
  <si>
    <t>Sinergi Megah Internusa Tbk</t>
  </si>
  <si>
    <t>Pembangunan Graha Lestari Indah Tbk</t>
  </si>
  <si>
    <t>Planet Properindo Jaya Tbk</t>
  </si>
  <si>
    <t>Pudjiadi &amp; Sons Tbk</t>
  </si>
  <si>
    <t>Red Planet Indonesia Tbk</t>
  </si>
  <si>
    <t>Hotel Sahid Jaya International Tbk</t>
  </si>
  <si>
    <t>Sunter Lakeside Hotel Tbk</t>
  </si>
  <si>
    <t>Satria Mega Kencana Tbk</t>
  </si>
  <si>
    <t>Pakuan Tbk</t>
  </si>
  <si>
    <t>E513</t>
  </si>
  <si>
    <t>Travel Agencies</t>
  </si>
  <si>
    <t>Panorama Sentrawisata Tbk</t>
  </si>
  <si>
    <t>Graha Layar Prima Tbk</t>
  </si>
  <si>
    <t>E514</t>
  </si>
  <si>
    <t>Recreational &amp; Sports Facilities</t>
  </si>
  <si>
    <t>Bali Bintang Sejahtera Tbk</t>
  </si>
  <si>
    <t>Graha Andrasentra Propertindo Tbk</t>
  </si>
  <si>
    <t>Pembangunan Jaya Ancol Tbk</t>
  </si>
  <si>
    <t>E515</t>
  </si>
  <si>
    <t>Restaurants</t>
  </si>
  <si>
    <t>Cipta Selera Murni Tbk</t>
  </si>
  <si>
    <t>Jaya Bersama Indo Tbk</t>
  </si>
  <si>
    <t>Champ Resto Indonesia Tbk</t>
  </si>
  <si>
    <t>Fast Food Indonesia Tbk</t>
  </si>
  <si>
    <t>Lima Dua Lima Tiga Tbk</t>
  </si>
  <si>
    <t>MAP Boga Adiperkasa Tbk</t>
  </si>
  <si>
    <t>Pioneerindo Gourmet International Tbk</t>
  </si>
  <si>
    <t>Sarimelati Kencana Tbk</t>
  </si>
  <si>
    <t>E521</t>
  </si>
  <si>
    <t>Education &amp; Support Services</t>
  </si>
  <si>
    <t>Education Services</t>
  </si>
  <si>
    <t>Idea Indonesia Akademi Tbk</t>
  </si>
  <si>
    <t>E522</t>
  </si>
  <si>
    <t>Consumer Support Services</t>
  </si>
  <si>
    <t>Media &amp; Entertainment</t>
  </si>
  <si>
    <t>E611</t>
  </si>
  <si>
    <t>Media</t>
  </si>
  <si>
    <t>Advertising</t>
  </si>
  <si>
    <t>Solusi Sinergi Digital Tbk</t>
  </si>
  <si>
    <t>Mahaka Radio Integra Tbk</t>
  </si>
  <si>
    <t>E612</t>
  </si>
  <si>
    <t>Broadcasting</t>
  </si>
  <si>
    <t>Intermedia Capital Tbk</t>
  </si>
  <si>
    <t>Media Nusantara Citra Tbk</t>
  </si>
  <si>
    <t>Surya Citra Media Tbk</t>
  </si>
  <si>
    <t>Visi Media Asia Tbk</t>
  </si>
  <si>
    <t>MNC Vision Networks Tbk</t>
  </si>
  <si>
    <t>E613</t>
  </si>
  <si>
    <t>Cable &amp; Satellite</t>
  </si>
  <si>
    <t>MNC Sky Vision Tbk</t>
  </si>
  <si>
    <t>Mahaka Media Tbk</t>
  </si>
  <si>
    <t>E614</t>
  </si>
  <si>
    <t>Consumer Publishing</t>
  </si>
  <si>
    <t>Arkadia Digital Media Tbk</t>
  </si>
  <si>
    <t>Tempo Intimedia Tbk</t>
  </si>
  <si>
    <t>E621</t>
  </si>
  <si>
    <t>Entertainment &amp; Movie Production</t>
  </si>
  <si>
    <t>Retailing</t>
  </si>
  <si>
    <t>E711</t>
  </si>
  <si>
    <t>Consumer Distributors</t>
  </si>
  <si>
    <t>Matahari Department Store Tbk</t>
  </si>
  <si>
    <t>E731</t>
  </si>
  <si>
    <t>Department Stores</t>
  </si>
  <si>
    <t>Ramayana Lestari Sentosa Tbk</t>
  </si>
  <si>
    <t>Sona Topas Tourism Industry Tbk</t>
  </si>
  <si>
    <t>E741</t>
  </si>
  <si>
    <t>Specialty Retail</t>
  </si>
  <si>
    <t>Apparel &amp; Textile Retail</t>
  </si>
  <si>
    <t>Map Aktif Adiperkasa Tbk</t>
  </si>
  <si>
    <t>Mitra Adiperkasa Tbk</t>
  </si>
  <si>
    <t>Mega Perintis Tbk</t>
  </si>
  <si>
    <t>Electronic City Indonesia Tbk</t>
  </si>
  <si>
    <t>E742</t>
  </si>
  <si>
    <t>Electronics Retail</t>
  </si>
  <si>
    <t>Erajaya Swasembada Tbk</t>
  </si>
  <si>
    <t>Globe Kita Terang Tbk</t>
  </si>
  <si>
    <t>Gaya Abadi Sempurna Tbk</t>
  </si>
  <si>
    <t>Trikomsel Oke Tbk</t>
  </si>
  <si>
    <t>Damai Sejahtera Abadi Tbk</t>
  </si>
  <si>
    <t>E743</t>
  </si>
  <si>
    <t>Home Improvement Retail</t>
  </si>
  <si>
    <t>Mitra Angkasa Sejahtera Tbk</t>
  </si>
  <si>
    <t>Catur Sentosa Adiprana Tbk</t>
  </si>
  <si>
    <t>Caturkarda Depo Bangunan Tbk</t>
  </si>
  <si>
    <t>Autopedia Sukses Lestari Tbk</t>
  </si>
  <si>
    <t>E745</t>
  </si>
  <si>
    <t>Automotive Retail</t>
  </si>
  <si>
    <t>Indomobil Sukses Internasional Tbk</t>
  </si>
  <si>
    <t>IDXHEALTH</t>
  </si>
  <si>
    <t>Healthcare Equipment &amp; Providers</t>
  </si>
  <si>
    <t>F112</t>
  </si>
  <si>
    <t>Healthcare Equipment &amp; Supplies</t>
  </si>
  <si>
    <t>Healthcare Supplies &amp; Distributions</t>
  </si>
  <si>
    <t>Itama Ranoraya Tbk</t>
  </si>
  <si>
    <t>Bundamedik Tbk</t>
  </si>
  <si>
    <t>F121</t>
  </si>
  <si>
    <t>Healthcare Providers</t>
  </si>
  <si>
    <t>Kedoya Adyaraya Tbk</t>
  </si>
  <si>
    <t>Sarana Meditama Metropolitan Tbk</t>
  </si>
  <si>
    <t>Sejahteraraya Anugrahjaya Tbk</t>
  </si>
  <si>
    <t>Darya-Varia Laboratoria Tbk</t>
  </si>
  <si>
    <t>Pharmaceuticals &amp; Health Care Research</t>
  </si>
  <si>
    <t>F211</t>
  </si>
  <si>
    <t>Pharmaceuticals</t>
  </si>
  <si>
    <t>Indofarma Tbk</t>
  </si>
  <si>
    <t>Kimia Farma Tbk</t>
  </si>
  <si>
    <t>Kalbe Farma Tbk</t>
  </si>
  <si>
    <t>Merck Tbk</t>
  </si>
  <si>
    <t>Phapros Tbk</t>
  </si>
  <si>
    <t>Organon Pharma Indonesia Tbk</t>
  </si>
  <si>
    <t>Industri Jamu dan Farmasi Sido Muncul Tbk</t>
  </si>
  <si>
    <t>Soho Global Health Tbk</t>
  </si>
  <si>
    <t>Tempo Scan Pacific Tbk</t>
  </si>
  <si>
    <t>IDXFINANCE</t>
  </si>
  <si>
    <t>Banks</t>
  </si>
  <si>
    <t>G111</t>
  </si>
  <si>
    <t>Bank Pembangunan Daerah Jawa Barat dan Banten Tbk</t>
  </si>
  <si>
    <t>Bank Pembangunan Daerah Jawa Timur Tbk</t>
  </si>
  <si>
    <t>Bank Bumi Arta Tbk</t>
  </si>
  <si>
    <t>Bank Permata Tbk</t>
  </si>
  <si>
    <t>Bank Sinarmas Tbk</t>
  </si>
  <si>
    <t>Bank of India Indonesia Tbk</t>
  </si>
  <si>
    <t>Bank Victoria International Tbk.</t>
  </si>
  <si>
    <t>Bank Artha Graha Internasional Tbk</t>
  </si>
  <si>
    <t>Bank Multiarta Sentosa Tbk</t>
  </si>
  <si>
    <t>Bank Mega Tbk</t>
  </si>
  <si>
    <t>Adira Dinamika Multi Finance Tbk</t>
  </si>
  <si>
    <t>Financing Service</t>
  </si>
  <si>
    <t>G211</t>
  </si>
  <si>
    <t>Consumer Financing</t>
  </si>
  <si>
    <t>Buana Finance Tbk</t>
  </si>
  <si>
    <t>BFI Finance Indonesia Tbk</t>
  </si>
  <si>
    <t>Clipan Finance Indonesia Tbk</t>
  </si>
  <si>
    <t>Danasupra Erapacific Tbk</t>
  </si>
  <si>
    <t>Fuji Finance Indonesia Tbk</t>
  </si>
  <si>
    <t>Radana Bhaskara Finance Tbk</t>
  </si>
  <si>
    <t>Indomobil Multi Jasa Tbk</t>
  </si>
  <si>
    <t>Pool Advista Finance Tbk</t>
  </si>
  <si>
    <t>KDB Tifa Finance Tbk</t>
  </si>
  <si>
    <t>Wahana Ottomitra Multiartha Tbk</t>
  </si>
  <si>
    <t>Ashmore Asset Management Indonesia Tbk</t>
  </si>
  <si>
    <t>Investment Service</t>
  </si>
  <si>
    <t>G311</t>
  </si>
  <si>
    <t>Investment Services</t>
  </si>
  <si>
    <t>Investment Management</t>
  </si>
  <si>
    <t>Minna Padi Investama Sekuritas Tbk</t>
  </si>
  <si>
    <t>G312</t>
  </si>
  <si>
    <t>Investment Banking &amp; Brokerage Services</t>
  </si>
  <si>
    <t>Panin Sekuritas Tbk</t>
  </si>
  <si>
    <t>Reliance Sekuritas Indonesia Tbk</t>
  </si>
  <si>
    <t>Trimegah Sekuritas Indonesia Tbk</t>
  </si>
  <si>
    <t>Yulie Sekuritas Indonesia Tbk</t>
  </si>
  <si>
    <t>Asuransi Bina Dana Arta Tbk</t>
  </si>
  <si>
    <t>Insurance</t>
  </si>
  <si>
    <t>G412</t>
  </si>
  <si>
    <t>General Insurance</t>
  </si>
  <si>
    <t>Asuransi Harta Aman Pratama Tbk</t>
  </si>
  <si>
    <t>Asuransi Multi Artha Guna Tbk</t>
  </si>
  <si>
    <t>Asuransi Bintang Tbk</t>
  </si>
  <si>
    <t>Asuransi Dayin Mitra Tbk</t>
  </si>
  <si>
    <t>Asuransi Jasa Tania Tbk</t>
  </si>
  <si>
    <t>Asuransi Maximus Graha Persada Tbk</t>
  </si>
  <si>
    <t>Asuransi Ramayana Tbk</t>
  </si>
  <si>
    <t>Lippo General Insurance Tbk</t>
  </si>
  <si>
    <t>Malacca Trust Wuwungan Insurance Tbk</t>
  </si>
  <si>
    <t>Paninvest Tbk</t>
  </si>
  <si>
    <t>Asuransi Tugu Pratama Indonesia Tbk</t>
  </si>
  <si>
    <t>Victoria Insurance Tbk</t>
  </si>
  <si>
    <t>Bhakti Multi Artha Tbk</t>
  </si>
  <si>
    <t>G413</t>
  </si>
  <si>
    <t>Life Insurance</t>
  </si>
  <si>
    <t>Asuransi Jiwa Syariah Jasa Mitra Abadi Tbk</t>
  </si>
  <si>
    <t>Asuransi Jiwa Sinarmas MSIG Tbk</t>
  </si>
  <si>
    <t>Panin Financial Tbk</t>
  </si>
  <si>
    <t>Maskapai Reasuransi Indonesia Tbk</t>
  </si>
  <si>
    <t>G414</t>
  </si>
  <si>
    <t>Reasurance</t>
  </si>
  <si>
    <t>Pacific Strategic Financial Tbk</t>
  </si>
  <si>
    <t>Holding &amp; Investment Companies</t>
  </si>
  <si>
    <t>G511</t>
  </si>
  <si>
    <t>Financial Holdings</t>
  </si>
  <si>
    <t>MNC Kapital Indonesia Tbk</t>
  </si>
  <si>
    <t>Batavia Prosperindo Internasional Tbk</t>
  </si>
  <si>
    <t>Capital Financial Indonesia Tbk</t>
  </si>
  <si>
    <t>Equity Development Investment Tbk</t>
  </si>
  <si>
    <t>Onix Capital Tbk</t>
  </si>
  <si>
    <t>Panca Global Kapital Tbk</t>
  </si>
  <si>
    <t>Pool Advista Indonesia Tbk</t>
  </si>
  <si>
    <t>Surya Fajar Capital Tbk</t>
  </si>
  <si>
    <t>Sinarmas Multiartha Tbk</t>
  </si>
  <si>
    <t>Buana Artha Anugerah Tbk</t>
  </si>
  <si>
    <t>Victoria Investama Tbk</t>
  </si>
  <si>
    <t>G512</t>
  </si>
  <si>
    <t>Investment Companies</t>
  </si>
  <si>
    <t>Adhi Commuter Properti Tbk</t>
  </si>
  <si>
    <t>IDXPROPERT</t>
  </si>
  <si>
    <t>Properties &amp; Real Estate</t>
  </si>
  <si>
    <t>H111</t>
  </si>
  <si>
    <t>Real Estate Management &amp; Development</t>
  </si>
  <si>
    <t>Real Estate Development &amp; Management</t>
  </si>
  <si>
    <t>Makmur Berkah Amanda Tbk</t>
  </si>
  <si>
    <t>Agung Podomoro Land Tbk</t>
  </si>
  <si>
    <t>Armidian Karyatama Tbk</t>
  </si>
  <si>
    <t>Andalan Sakti Primaindo Tbk</t>
  </si>
  <si>
    <t>Alam Sutera Realty Tbk</t>
  </si>
  <si>
    <t>Trimitra Prawara Goldland Tbk</t>
  </si>
  <si>
    <t>Bekasi Asri Pemula Tbk</t>
  </si>
  <si>
    <t>Bhakti Agung Propertindo Tbk</t>
  </si>
  <si>
    <t>Bumi Benowo Sukses Sejahtera Tbk</t>
  </si>
  <si>
    <t>Bumi Citra Permai Tbk</t>
  </si>
  <si>
    <t>Bekasi Fajar Industrial Estate Tbk</t>
  </si>
  <si>
    <t>Binakarya Jaya Abadi Tbk</t>
  </si>
  <si>
    <t>Bhuwanatala Indah Permai Tbk</t>
  </si>
  <si>
    <t>Sentul City Tbk</t>
  </si>
  <si>
    <t>Bumi Serpong Damai Tbk</t>
  </si>
  <si>
    <t>Natura City Developments Tbk</t>
  </si>
  <si>
    <t>Cowell Development Tbk</t>
  </si>
  <si>
    <t>Capri Nusa Satu Properti Tbk</t>
  </si>
  <si>
    <t>Cahayasakti Investindo Sukses Tbk</t>
  </si>
  <si>
    <t>Ciputra Development Tbk</t>
  </si>
  <si>
    <t>Diamond Citra Propertindo Tbk</t>
  </si>
  <si>
    <t>Duta Anggada Realty Tbk</t>
  </si>
  <si>
    <t>Intiland Development Tbk</t>
  </si>
  <si>
    <t>Puradelta Lestari Tbk</t>
  </si>
  <si>
    <t>Bakrieland Development Tbk</t>
  </si>
  <si>
    <t>Megapolitan Developments Tbk</t>
  </si>
  <si>
    <t>Aksara Global Development Tbk</t>
  </si>
  <si>
    <t>Gowa Makassar Tourism Development Tbk</t>
  </si>
  <si>
    <t>Perdana Gapuraprima Tbk</t>
  </si>
  <si>
    <t>Greenwood Sejahtera Tbk</t>
  </si>
  <si>
    <t>Grand House Mulia Tbk</t>
  </si>
  <si>
    <t>Indonesian Paradise Property Tbk</t>
  </si>
  <si>
    <t>Era Graharealty Tbk</t>
  </si>
  <si>
    <t>Jaya Real Property Tbk</t>
  </si>
  <si>
    <t>Karya Bersama Anugerah Tbk</t>
  </si>
  <si>
    <t>Kawasan Industri Jababeka Tbk</t>
  </si>
  <si>
    <t>DMS Propertindo Tbk</t>
  </si>
  <si>
    <t>Trimitra Propertindo Tbk</t>
  </si>
  <si>
    <t>Eureka Prima Jakarta Tbk</t>
  </si>
  <si>
    <t>Lippo Karawaci Tbk</t>
  </si>
  <si>
    <t>Modernland Realty Tbk</t>
  </si>
  <si>
    <t>Metropolitan Kentjana Tbk</t>
  </si>
  <si>
    <t>Mega Manunggal Property Tbk</t>
  </si>
  <si>
    <t>Maha Properti Indonesia Tbk</t>
  </si>
  <si>
    <t>Metropolitan Land Tbk</t>
  </si>
  <si>
    <t>Metro Realty Tbk</t>
  </si>
  <si>
    <t>City Retail Developments Tbk</t>
  </si>
  <si>
    <t>Nusantara Almazia Tbk</t>
  </si>
  <si>
    <t>Bima Sakti Pertiwi Tbk</t>
  </si>
  <si>
    <t>Plaza Indonesia Realty Tbk</t>
  </si>
  <si>
    <t>Pollux Hotels Group Tbk</t>
  </si>
  <si>
    <t>Pollux Properties Indonesia Tbk</t>
  </si>
  <si>
    <t>Bliss Properti Indonesia Tbk</t>
  </si>
  <si>
    <t>PP Properti Tbk</t>
  </si>
  <si>
    <t>Pudjiadi Prestige Tbk</t>
  </si>
  <si>
    <t>Puri Global Sukses Tbk</t>
  </si>
  <si>
    <t>Pakuwon Jati Tbk</t>
  </si>
  <si>
    <t>Ristia Bintang Mahkotasejati Tbk</t>
  </si>
  <si>
    <t>Repower Asia Indonesia Tbk</t>
  </si>
  <si>
    <t>Rockfields Properti Indonesia Tbk</t>
  </si>
  <si>
    <t>Pikko Land Development Tbk</t>
  </si>
  <si>
    <t>Kota Satu Properti Tbk</t>
  </si>
  <si>
    <t>Suryamas Dutamakmur Tbk</t>
  </si>
  <si>
    <t>Summarecon Agung Tbk</t>
  </si>
  <si>
    <t>Agung Semesta Sejahtera Tbk</t>
  </si>
  <si>
    <t>Perintis Triniti Properti Tbk</t>
  </si>
  <si>
    <t>Triniti Dinamik Tbk</t>
  </si>
  <si>
    <t>Urban Jakarta Propertindo Tbk</t>
  </si>
  <si>
    <t>H112</t>
  </si>
  <si>
    <t>Real Estate Services</t>
  </si>
  <si>
    <t>IDXTECHNO</t>
  </si>
  <si>
    <t>Software &amp; IT Services</t>
  </si>
  <si>
    <t>I111</t>
  </si>
  <si>
    <t>Online Applications &amp; Services</t>
  </si>
  <si>
    <t>Cashlez Worldwide Indonesia Tbk</t>
  </si>
  <si>
    <t>Distribusi Voucher Nusantara Tbk</t>
  </si>
  <si>
    <t>Elang Mahkota Teknologi Tbk</t>
  </si>
  <si>
    <t>Hensel Davest Indonesia Tbk</t>
  </si>
  <si>
    <t>M Cash Integrasi Tbk</t>
  </si>
  <si>
    <t>NFC Indonesia Tbk</t>
  </si>
  <si>
    <t>Telefast Indonesia Tbk</t>
  </si>
  <si>
    <t>Trimegah Karya Pratama Tbk</t>
  </si>
  <si>
    <t>I121</t>
  </si>
  <si>
    <t>IT Services &amp; Consulting</t>
  </si>
  <si>
    <t>Anabatic Technologies Tbk</t>
  </si>
  <si>
    <t>DCI Indonesia Tbk</t>
  </si>
  <si>
    <t>Digital Mediatama Maxima Tbk</t>
  </si>
  <si>
    <t>Indointernet Tbk</t>
  </si>
  <si>
    <t>Envy Technologies Indonesia Tbk</t>
  </si>
  <si>
    <t>Multipolar Technology Tbk</t>
  </si>
  <si>
    <t>Indosterling Technomedia Tbk</t>
  </si>
  <si>
    <t>I131</t>
  </si>
  <si>
    <t>Software</t>
  </si>
  <si>
    <t>Global Sukses Solusi Tbk</t>
  </si>
  <si>
    <t>Wira Global Solusi Tbk</t>
  </si>
  <si>
    <t>Technology Hardware &amp; Equipment</t>
  </si>
  <si>
    <t>I211</t>
  </si>
  <si>
    <t>Networking Equipment</t>
  </si>
  <si>
    <t>I221</t>
  </si>
  <si>
    <t>Computer Hardware</t>
  </si>
  <si>
    <t>Sentral Mitra Informatika Tbk</t>
  </si>
  <si>
    <t>Metrodata Electronics Tbk</t>
  </si>
  <si>
    <t>Zyrexindo Mandiri Buana Tbk</t>
  </si>
  <si>
    <t>I231</t>
  </si>
  <si>
    <t>Electronic Equipment, Instruments &amp; Components</t>
  </si>
  <si>
    <t>Electronic Equipment &amp; Instruments</t>
  </si>
  <si>
    <t>Galva Technologies Tbk</t>
  </si>
  <si>
    <t>IDXINFRA</t>
  </si>
  <si>
    <t>Transportation Infrastructure</t>
  </si>
  <si>
    <t>J111</t>
  </si>
  <si>
    <t>Transport Infrastructure Operator</t>
  </si>
  <si>
    <t>Airport Operators</t>
  </si>
  <si>
    <t>Garuda Maintenance Facility Aero Asia Tbk</t>
  </si>
  <si>
    <t>Citra Marga Nusaphala Persada Tbk</t>
  </si>
  <si>
    <t>J112</t>
  </si>
  <si>
    <t>Highways &amp; Railtracks</t>
  </si>
  <si>
    <t>Jasa Marga (Persero) Tbk</t>
  </si>
  <si>
    <t>Nusantara Infrastructure Tbk</t>
  </si>
  <si>
    <t>J113</t>
  </si>
  <si>
    <t>Marine Ports &amp; Services</t>
  </si>
  <si>
    <t>Meratus Jasa Prima Tbk</t>
  </si>
  <si>
    <t>Heavy Constructions &amp; Civil Engineering</t>
  </si>
  <si>
    <t>J211</t>
  </si>
  <si>
    <t>Bukaka Teknik Utama Tbk</t>
  </si>
  <si>
    <t>Fimperkasa Utama Tbk</t>
  </si>
  <si>
    <t>Jaya Konstruksi Manggala Pratama Tbk</t>
  </si>
  <si>
    <t>PP (Persero) Tbk</t>
  </si>
  <si>
    <t>Total Bangun Persada Tbk</t>
  </si>
  <si>
    <t>Telecommunication</t>
  </si>
  <si>
    <t>J311</t>
  </si>
  <si>
    <t>Telecommunication Service</t>
  </si>
  <si>
    <t>Wired Telecommunication Service</t>
  </si>
  <si>
    <t>Jasnita Telekomindo Tbk</t>
  </si>
  <si>
    <t>First Media Tbk</t>
  </si>
  <si>
    <t>Link Net Tbk</t>
  </si>
  <si>
    <t>Telkom Indonesia (Persero) Tbk.</t>
  </si>
  <si>
    <t>J312</t>
  </si>
  <si>
    <t>Integrated Telecommunication Service</t>
  </si>
  <si>
    <t>J321</t>
  </si>
  <si>
    <t>Wireless Telecommunication Services</t>
  </si>
  <si>
    <t>Bakrie Telecom Tbk</t>
  </si>
  <si>
    <t>FREN</t>
  </si>
  <si>
    <t>Smartfren Telecom Tbk</t>
  </si>
  <si>
    <t>Inti Bangun Sejahtera Tbk</t>
  </si>
  <si>
    <t>Dayamitra Telekomunikasi Tbk</t>
  </si>
  <si>
    <t>Solusi Tunas Pratama Tbk</t>
  </si>
  <si>
    <t>Sarana Menara Nusantara Tbk</t>
  </si>
  <si>
    <t>Utilities</t>
  </si>
  <si>
    <t>J411</t>
  </si>
  <si>
    <t>Electric Utilities</t>
  </si>
  <si>
    <t>Kencana Energi Lestari Tbk</t>
  </si>
  <si>
    <t>Leyand International Tbk</t>
  </si>
  <si>
    <t>Megapower Makmur Tbk</t>
  </si>
  <si>
    <t>Cikarang Listrindo Tbk</t>
  </si>
  <si>
    <t>Terregra Asia Energy Tbk</t>
  </si>
  <si>
    <t>Himalaya Energi Perkasa Tbk</t>
  </si>
  <si>
    <t>J421</t>
  </si>
  <si>
    <t>Gas Utilities</t>
  </si>
  <si>
    <t>AirAsia Indonesia Tbk</t>
  </si>
  <si>
    <t>IDXTRANS</t>
  </si>
  <si>
    <t>Transportation</t>
  </si>
  <si>
    <t>K111</t>
  </si>
  <si>
    <t>Airlines</t>
  </si>
  <si>
    <t>Jaya Trishindo Tbk</t>
  </si>
  <si>
    <t>MNC Energy Investments Tbk</t>
  </si>
  <si>
    <t>Adi Sarana Armada Tbk</t>
  </si>
  <si>
    <t>K132</t>
  </si>
  <si>
    <t>Passenger Land Transportation</t>
  </si>
  <si>
    <t>Road Transportation</t>
  </si>
  <si>
    <t>Express Transindo Utama Tbk</t>
  </si>
  <si>
    <t>Logistics &amp; Deliveries</t>
  </si>
  <si>
    <t>K211</t>
  </si>
  <si>
    <t>Hasnur Internasional Shipping Tbk</t>
  </si>
  <si>
    <t>Mitra International Resources Tbk</t>
  </si>
  <si>
    <t>Pelayaran Nelly Dwi Putri Tbk</t>
  </si>
  <si>
    <t>Sidomulyo Selaras Tbk</t>
  </si>
  <si>
    <t>Samudera Indonesia Tbk</t>
  </si>
  <si>
    <t>Status</t>
  </si>
  <si>
    <t>LISTED</t>
  </si>
  <si>
    <t>DELISTED</t>
  </si>
  <si>
    <t>Tanggal Delisting</t>
  </si>
  <si>
    <t>Adira Dinamika Multi Finance Tbk.</t>
  </si>
  <si>
    <t>Polychem Indonesia Tbk.</t>
  </si>
  <si>
    <t>Alamtri Minerals Indonesia Tbk.</t>
  </si>
  <si>
    <t>Alamtri Resources Indonesia Tbk.</t>
  </si>
  <si>
    <t>Anugerah Spareparts Sejahtera Tbk.</t>
  </si>
  <si>
    <t>Asuransi Harta Aman Pratama Tbk.</t>
  </si>
  <si>
    <t>Anugerah Kagum Karya Utama Tbk.</t>
  </si>
  <si>
    <t>Argha Karya Prima Industry Tbk.</t>
  </si>
  <si>
    <t>Mineral Sumberdaya Mandiri Tbk.</t>
  </si>
  <si>
    <t>Ancara Logistics Indonesia Tbk.</t>
  </si>
  <si>
    <t>Alakasa Industrindo Tbk.</t>
  </si>
  <si>
    <t>Alumindo Light Metal Industry Tbk.</t>
  </si>
  <si>
    <t>Ateliers Mecaniques D Indonesie Tbk.</t>
  </si>
  <si>
    <t>Amman Mineral Internasional Tbk.</t>
  </si>
  <si>
    <t>Ashmore Asset Management Indonesia Tbk.</t>
  </si>
  <si>
    <t>Pacific Strategic Financial Tbk.</t>
  </si>
  <si>
    <t>Argo Pantes Tbk.</t>
  </si>
  <si>
    <t>Arthavest Tbk.</t>
  </si>
  <si>
    <t>Ratu Prabu Energi Tbk.</t>
  </si>
  <si>
    <t>Cilacap Samudera Fishing Industry Tbk.</t>
  </si>
  <si>
    <t>Asuransi Maximus Graha Persada Tbk.</t>
  </si>
  <si>
    <t>Bayu Buana Tbk.</t>
  </si>
  <si>
    <t>Bank Negara Indonesia (Persero) Tbk.</t>
  </si>
  <si>
    <t>Bank Rakyat Indonesia (Persero) Tbk.</t>
  </si>
  <si>
    <t>Pelayaran Nasional Bina Buana Raya Tbk.</t>
  </si>
  <si>
    <t>Bumi Benowo Sukses Sejahtera Tbk.</t>
  </si>
  <si>
    <t>Bank Tabungan Negara (Persero) Tbk.</t>
  </si>
  <si>
    <t>Bank Pembangunan Daerah Banten Tbk.</t>
  </si>
  <si>
    <t>Trisula Textile Industries Tbk.</t>
  </si>
  <si>
    <t>Batulicin Nusantara Maritim Tbk.</t>
  </si>
  <si>
    <t>Bekasi Fajar Industrial Estate Tbk.</t>
  </si>
  <si>
    <t>Primarindo Asia Infrastructure Tbk.</t>
  </si>
  <si>
    <t>Astrindo Nusantara Infrastruktur Tbk.</t>
  </si>
  <si>
    <t>Bank Pembangunan Daerah Jawa Barat dan Banten Tbk.</t>
  </si>
  <si>
    <t>Bank Pembangunan Daerah Jawa Timur Tbk.</t>
  </si>
  <si>
    <t>Bukit Darmo Property Tbk.</t>
  </si>
  <si>
    <t>Berlian Laju Tanker Tbk.</t>
  </si>
  <si>
    <t>Bintang Mitra Semestaraya Tbk.</t>
  </si>
  <si>
    <t>Bakrie &amp; Brothers Tbk.</t>
  </si>
  <si>
    <t>Formosa Ingredient Factory Tbk.</t>
  </si>
  <si>
    <t>Batavia Prosperindo Internasional Tbk.</t>
  </si>
  <si>
    <t>Bintang Samudera Mandiri Lines Tbk.</t>
  </si>
  <si>
    <t>Bumi Teknokultura Unggul Tbk.</t>
  </si>
  <si>
    <t>Campina Ice Cream Industry Tbk.</t>
  </si>
  <si>
    <t>Capitol Nusantara Indonesia Tbk.</t>
  </si>
  <si>
    <t>Metro Healthcare Indonesia Tbk.</t>
  </si>
  <si>
    <t>Industri dan Perdagangan Bintraco Dharma Tbk.</t>
  </si>
  <si>
    <t>Capital Financial Indonesia Tbk.</t>
  </si>
  <si>
    <t>Cashlez Worldwide Indonesia Tbk.</t>
  </si>
  <si>
    <t>Cakra Buana Resources Energi Tbk.</t>
  </si>
  <si>
    <t>Communication Cable Systems Indonesia Tbk.</t>
  </si>
  <si>
    <t>Centratama Telekomunikasi Indonesia Tbk.</t>
  </si>
  <si>
    <t>Citra Marga Nusaphala Persada Tbk.</t>
  </si>
  <si>
    <t>Exploitasi Energi Indonesia Tbk.</t>
  </si>
  <si>
    <t>Wahana Interfood Nusantara Tbk.</t>
  </si>
  <si>
    <t>Charoen Pokphand Indonesia Tbk.</t>
  </si>
  <si>
    <t>Cahayasakti Investindo Sukses Tbk.</t>
  </si>
  <si>
    <t>Dewata Freightinternational Tbk.</t>
  </si>
  <si>
    <t>Darma Henwa Tbk.</t>
  </si>
  <si>
    <t>Nusa Konstruksi Enjiniring Tbk.</t>
  </si>
  <si>
    <t>Diagnos Laboratorium Utama Tbk.</t>
  </si>
  <si>
    <t>Distribusi Voucher Nusantara Tbk.</t>
  </si>
  <si>
    <t>Indoritel Makmur Internasional Tbk.</t>
  </si>
  <si>
    <t>Dian Swastatika Sentosa Tbk.</t>
  </si>
  <si>
    <t>Duta Pertiwi Tbk.</t>
  </si>
  <si>
    <t>Dyandra Media International Tbk.</t>
  </si>
  <si>
    <t>Pelayaran Nasional Ekalya Purnamasari Tbk.</t>
  </si>
  <si>
    <t>Envy Technologies Indonesia Tbk.</t>
  </si>
  <si>
    <t>Megalestari Epack Sentosaraya Tbk.</t>
  </si>
  <si>
    <t>Enseval Putera Megatrading Tbk.</t>
  </si>
  <si>
    <t>Eterindo Wahanatama Tbk.</t>
  </si>
  <si>
    <t>Fortune Mate Indonesia Tbk.</t>
  </si>
  <si>
    <t>Fortune Indonesia Tbk.</t>
  </si>
  <si>
    <t>Smartfren Telecom Tbk.</t>
  </si>
  <si>
    <t>Gihon Telekomunikasi Indonesia Tbk.</t>
  </si>
  <si>
    <t>Garuda Indonesia (Persero) Tbk.</t>
  </si>
  <si>
    <t>Garuda Maintenance Facility Aero Asia Tbk.</t>
  </si>
  <si>
    <t>Gowa Makassar Tourism Development Tbk.</t>
  </si>
  <si>
    <t>Visi Telekomunikasi Infrastruktur Tbk.</t>
  </si>
  <si>
    <t>Garudafood Putra Putri Jaya Tbk.</t>
  </si>
  <si>
    <t>Ingria Pratama Capitalindo Tbk.</t>
  </si>
  <si>
    <t>Equity Development Investment Tbk.</t>
  </si>
  <si>
    <t>Garda Tujuh Buana Tbk.</t>
  </si>
  <si>
    <t>Hasnur Internasional Shipping Tbk.</t>
  </si>
  <si>
    <t>Humpuss Intermoda Transportasi Tbk.</t>
  </si>
  <si>
    <t>Humpuss Maritim Internasional Tbk.</t>
  </si>
  <si>
    <t>Indofood CBP Sukses Makmur Tbk.</t>
  </si>
  <si>
    <t>Indonesia Fibreboard Industry Tbk.</t>
  </si>
  <si>
    <t>Champion Pacific Indonesia Tbk.</t>
  </si>
  <si>
    <t>Inti Agri Resources Tbk.</t>
  </si>
  <si>
    <t>Intikeramik Alamasri Industri Tbk.</t>
  </si>
  <si>
    <t>Indomobil Sukses Internasional Tbk.</t>
  </si>
  <si>
    <t>Intanwijaya Internasional Tbk.</t>
  </si>
  <si>
    <t>Tanah Laut Tbk.</t>
  </si>
  <si>
    <t>Sinergi Inti Andalan Prima Tbk.</t>
  </si>
  <si>
    <t>Bank Artha Graha Internasional Tbk.</t>
  </si>
  <si>
    <t>Indonesian Paradise Property Tbk.</t>
  </si>
  <si>
    <t>Inter Delta Tbk.</t>
  </si>
  <si>
    <t>Indocement Tunggal Prakarsa Tbk.</t>
  </si>
  <si>
    <t>Indonesia Kendaraan Terminal Tbk.</t>
  </si>
  <si>
    <t>Indopoly Swakarsa Industry Tbk.</t>
  </si>
  <si>
    <t>Steel Pipe Industry of Indonesia Tbk.</t>
  </si>
  <si>
    <t>Informasi Teknologi Indonesia Tbk.</t>
  </si>
  <si>
    <t>Graha Andrasentra Propertindo Tbk.</t>
  </si>
  <si>
    <t>Jakarta International Hotels &amp; Development Tbk.</t>
  </si>
  <si>
    <t>Jaya Konstruksi Manggala Pratama Tbk.</t>
  </si>
  <si>
    <t>Asuransi Jiwa Syariah Jasa Mitra Abadi Tbk.</t>
  </si>
  <si>
    <t>Jakarta Setiabudi Internasional Tbk.</t>
  </si>
  <si>
    <t>Kertas Basuki Rachmat Indonesia Tbk.</t>
  </si>
  <si>
    <t>Keramika Indonesia Assosiasi Tbk.</t>
  </si>
  <si>
    <t>Kedaung Indah Can Tbk.</t>
  </si>
  <si>
    <t>Kioson Komersial Indonesia Tbk.</t>
  </si>
  <si>
    <t>Pelayaran Kurnia Lautan Semesta Tbk.</t>
  </si>
  <si>
    <t>Kokoh Inti Arebama Tbk.</t>
  </si>
  <si>
    <t>Perdana Bangun Pusaka Tbk.</t>
  </si>
  <si>
    <t>Kentanix Supra International Tbk.</t>
  </si>
  <si>
    <t>Asuransi Jiwa Sinarmas MSIG Tbk.</t>
  </si>
  <si>
    <t>Limas Indonesia Makmur Tbk.</t>
  </si>
  <si>
    <t>Lupromax Pelumas Indonesia Tbk.</t>
  </si>
  <si>
    <t>Logisticsplus International Tbk.</t>
  </si>
  <si>
    <t>Lippo Cikarang Tbk.</t>
  </si>
  <si>
    <t>Multi Prima Sejahtera Tbk.</t>
  </si>
  <si>
    <t>Star Pacific Tbk.</t>
  </si>
  <si>
    <t>PP London Sumatra Indonesia Tbk.</t>
  </si>
  <si>
    <t>Multi Agro Gemilang Plantation Tbk.</t>
  </si>
  <si>
    <t>Mandiri Herindo Adiperkasa Tbk.</t>
  </si>
  <si>
    <t>Bank Mayapada Internasional Tbk.</t>
  </si>
  <si>
    <t>Mitrabahtera Segara Sejati Tbk.</t>
  </si>
  <si>
    <t>Bank China Construction Bank Indonesia Tbk.</t>
  </si>
  <si>
    <t>Medco Energi Internasional Tbk.</t>
  </si>
  <si>
    <t>Multifiling Mitra Indonesia Tbk.</t>
  </si>
  <si>
    <t>Mitra International Resources Tbk.</t>
  </si>
  <si>
    <t>Multikarya Asia Pasifik Raya Tbk.</t>
  </si>
  <si>
    <t>Mitra Komunikasi Nusantara Tbk.</t>
  </si>
  <si>
    <t>Mulia Industrindo Tbk.</t>
  </si>
  <si>
    <t>Multi Medika Internasional Tbk.</t>
  </si>
  <si>
    <t>MPX Logistics International Tbk.</t>
  </si>
  <si>
    <t>Maskapai Reasuransi Indonesia Tbk.</t>
  </si>
  <si>
    <t>Malacca Trust Wuwungan Insurance Tbk.</t>
  </si>
  <si>
    <t>Olympus Strategic Indonesia Tbk.</t>
  </si>
  <si>
    <t>Brigit Biofarmaka Teknologi Tbk.</t>
  </si>
  <si>
    <t>Ancora Indonesia Resources Tbk.</t>
  </si>
  <si>
    <t>Oscar Mitra Sukses Sejahtera Tbk.</t>
  </si>
  <si>
    <t>Indonesia Prima Property Tbk.</t>
  </si>
  <si>
    <t>Optima Prima Metal Sinergi Tbk.</t>
  </si>
  <si>
    <t>Abadi Nusantara Hijau Investama Tbk.</t>
  </si>
  <si>
    <t>Minna Padi Investama Sekuritas Tbk.</t>
  </si>
  <si>
    <t>Provident Investasi Bersama Tbk.</t>
  </si>
  <si>
    <t>Destinasi Tirta Nusantara Tbk.</t>
  </si>
  <si>
    <t>Pertamina Geothermal Energy Tbk.</t>
  </si>
  <si>
    <t>Perusahaan Gas Negara Tbk.</t>
  </si>
  <si>
    <t>Pembangunan Graha Lestari Indah Tbk.</t>
  </si>
  <si>
    <t>Pelangi Indah Canindo Tbk.</t>
  </si>
  <si>
    <t>Polaris Investama Tbk.</t>
  </si>
  <si>
    <t>Prima Multi Usaha Indonesia Tbk.</t>
  </si>
  <si>
    <t>Bank Pan Indonesia Tbk.</t>
  </si>
  <si>
    <t>Pollux Properties Indonesia Tbk.</t>
  </si>
  <si>
    <t>Asia Pacific Fibers Tbk.</t>
  </si>
  <si>
    <t>Nusantara Pelabuhan Handal Tbk.</t>
  </si>
  <si>
    <t>Pancaran Samudera Transport Tbk.</t>
  </si>
  <si>
    <t>Prasidha Aneka Niaga Tbk.</t>
  </si>
  <si>
    <t>Sat Nusapersada Tbk.</t>
  </si>
  <si>
    <t>Pioneerindo Gourmet International Tbk.</t>
  </si>
  <si>
    <t>Trinitan Metals and Minerals Tbk.</t>
  </si>
  <si>
    <t>Pyridam Farma Tbk.</t>
  </si>
  <si>
    <t>Ristia Bintang Mahkotasejati Tbk.</t>
  </si>
  <si>
    <t>Roda Vivatex Tbk.</t>
  </si>
  <si>
    <t>Reliance Sekuritas Indonesia Tbk.</t>
  </si>
  <si>
    <t>Ricky Putra Globalindo Tbk.</t>
  </si>
  <si>
    <t>Rimo International Lestari Tbk.</t>
  </si>
  <si>
    <t>Jaya Sukses Makmur Sentosa Tbk.</t>
  </si>
  <si>
    <t>Royaltama Mulia Kontraktorindo Tbk.</t>
  </si>
  <si>
    <t>Rockfields Properti Indonesia Tbk.</t>
  </si>
  <si>
    <t>Steady Safe Tbk.</t>
  </si>
  <si>
    <t>Sarana Meditama Metropolitan Tbk.</t>
  </si>
  <si>
    <t>Saraswanti Anugerah Makmur Tbk.</t>
  </si>
  <si>
    <t>Sejahtera Bintang Abadi Textile Tbk.</t>
  </si>
  <si>
    <t>Surya Biru Murni Acetylene Tbk.</t>
  </si>
  <si>
    <t>SUCACO Tbk.</t>
  </si>
  <si>
    <t>Selaras Citra Nusantara Perkasa Tbk.</t>
  </si>
  <si>
    <t>Millennium Pharmacon International Tbk.</t>
  </si>
  <si>
    <t>Bank Woori Saudara Indonesia 1906 Tbk.</t>
  </si>
  <si>
    <t>Hotel Sahid Jaya International Tbk.</t>
  </si>
  <si>
    <t>Industri Jamu dan Farmasi Sido Muncul Tbk.</t>
  </si>
  <si>
    <t>Siloam International Hospitals Tbk.</t>
  </si>
  <si>
    <t>Siwani Makmur Tbk.</t>
  </si>
  <si>
    <t>Northcliff Citranusa Indonesia Tbk.</t>
  </si>
  <si>
    <t>Sumber Mineral Global Abadi Tbk.</t>
  </si>
  <si>
    <t>Sona Topas Tourism Industry Tbk.</t>
  </si>
  <si>
    <t>Indo Acidatama Tbk.</t>
  </si>
  <si>
    <t>Sunson Textile Manufacture Tbk.</t>
  </si>
  <si>
    <t>Sumber Tani Agung Resources Tbk.</t>
  </si>
  <si>
    <t>Saraswanti Indoland Development Tbk.</t>
  </si>
  <si>
    <t>Tower Bersama Infrastructure Tbk.</t>
  </si>
  <si>
    <t>Tianrong Chemicals Industry Tbk.</t>
  </si>
  <si>
    <t>Tira Austenite Tbk.</t>
  </si>
  <si>
    <t>Tirta Mahakam Resources Tbk.</t>
  </si>
  <si>
    <t>Trimegah Sekuritas Indonesia Tbk.</t>
  </si>
  <si>
    <t>Teknologi Karya Digital Nusa Tbk.</t>
  </si>
  <si>
    <t>Trust Finance Indonesia Tbk.</t>
  </si>
  <si>
    <t>Asuransi Tugu Pratama Indonesia Tbk.</t>
  </si>
  <si>
    <t>Ultrajaya Milk Industry &amp; Trading Company Tbk.</t>
  </si>
  <si>
    <t>Nusantara Inti Corpora Tbk.</t>
  </si>
  <si>
    <t>Bakrie Sumatera Plantations Tbk.</t>
  </si>
  <si>
    <t>Wijaya Karya Bangunan Gedung Tbk.</t>
  </si>
  <si>
    <t>WEHA Transportasi Indonesia Tbk.</t>
  </si>
  <si>
    <t>Wicaksana Overseas International Tbk.</t>
  </si>
  <si>
    <t>Wahana Ottomitra Multiartha Tbk.</t>
  </si>
  <si>
    <t>Yanaprima Hastapersada Tbk.</t>
  </si>
  <si>
    <t>Adaro Andalan Indonesia Tbk</t>
  </si>
  <si>
    <t>Aspirasi Hidup Indonesia Tbk</t>
  </si>
  <si>
    <t>Artha Mahiya Investama Tbk</t>
  </si>
  <si>
    <t>Agung Menjangan Mas Tbk</t>
  </si>
  <si>
    <t>Andira Agro Tbk</t>
  </si>
  <si>
    <t>Dunia Virtual Online Tbk</t>
  </si>
  <si>
    <t>Asia Pramulia Tbk</t>
  </si>
  <si>
    <t>Atlantis Subsea Indonesia Tbk</t>
  </si>
  <si>
    <t>Era Digital Media Tbk</t>
  </si>
  <si>
    <t>Tera Data Indonusa Tbk</t>
  </si>
  <si>
    <t>Bank Capital Indonesia Tbk</t>
  </si>
  <si>
    <t>Benteng Api Technic Tbk</t>
  </si>
  <si>
    <t>Bank Negara Indonesia (Persero) Tbk</t>
  </si>
  <si>
    <t>Bank Rakyat Indonesia (Persero) Tbk</t>
  </si>
  <si>
    <t>Bank Tabungan Negara (Persero) Tbk</t>
  </si>
  <si>
    <t>Bank Danamon Indonesia Tbk</t>
  </si>
  <si>
    <t>Jobubu Jarum Minahasa Tbk</t>
  </si>
  <si>
    <t>Global Digital Niaga Tbk</t>
  </si>
  <si>
    <t>Sepeda Bersama Indonesia Tbk</t>
  </si>
  <si>
    <t>Blue Bird Tbk</t>
  </si>
  <si>
    <t>Bank QNB Indonesia Tbk</t>
  </si>
  <si>
    <t>Superior Prima Sukses Tbk</t>
  </si>
  <si>
    <t>Trimitra Trans Persada Tbk</t>
  </si>
  <si>
    <t>Lavender Bina Cendikia Tbk</t>
  </si>
  <si>
    <t>Global Mediacom Tbk</t>
  </si>
  <si>
    <t>Bank CIMB Niaga Tbk</t>
  </si>
  <si>
    <t>Bank Maybank Indonesia Tbk</t>
  </si>
  <si>
    <t>Newport Marine Services Tbk</t>
  </si>
  <si>
    <t>Raja Roti Cemerlang Tbk</t>
  </si>
  <si>
    <t>Wulandari Bangun Laksana Tbk</t>
  </si>
  <si>
    <t>Bank SMBC Indonesia Tbk</t>
  </si>
  <si>
    <t>Segar Kumala Indonesia Tbk</t>
  </si>
  <si>
    <t>Industri dan Perdagangan Bintraco Dharma Tbk</t>
  </si>
  <si>
    <t>Bangun Kosambi Sukses Tbk</t>
  </si>
  <si>
    <t>Citra Buana Prasida Tbk</t>
  </si>
  <si>
    <t>Cakra Buana Resources Energi Tbk</t>
  </si>
  <si>
    <t>Citra Borneo Utama Tbk</t>
  </si>
  <si>
    <t>Chandra Daya Investasi Tbk</t>
  </si>
  <si>
    <t>Diastika Biotekindo Tbk</t>
  </si>
  <si>
    <t>Chemstar Indonesia Tbk</t>
  </si>
  <si>
    <t>Pelita Teknologi Global Tbk</t>
  </si>
  <si>
    <t>Nusantara Sejahtera Raya Tbk</t>
  </si>
  <si>
    <t>Black Diamond Resources Tbk</t>
  </si>
  <si>
    <t>Indokripto Koin Semesta Tbk</t>
  </si>
  <si>
    <t>Toba Surimi Industries Tbk</t>
  </si>
  <si>
    <t>Carsurin Tbk</t>
  </si>
  <si>
    <t>Petrindo Jaya Kreasi Tbk</t>
  </si>
  <si>
    <t>Daaz Bara Lestari Tbk</t>
  </si>
  <si>
    <t>Remala Abadi Tbk</t>
  </si>
  <si>
    <t>Dewi Shri Farmindo Tbk</t>
  </si>
  <si>
    <t>Delta Giri Wacana Tbk</t>
  </si>
  <si>
    <t>Cipta Sarana Medika Tbk</t>
  </si>
  <si>
    <t>Era Media Sejahtera Tbk</t>
  </si>
  <si>
    <t>Global Sukses Digital Tbk</t>
  </si>
  <si>
    <t>Data Sinergitama Jaya Tbk</t>
  </si>
  <si>
    <t>Pelayaran Nasional Ekalya Purnamasari Tbk</t>
  </si>
  <si>
    <t>Merdeka Gold Resources Tbk</t>
  </si>
  <si>
    <t>Sinar Eka Selaras Tbk</t>
  </si>
  <si>
    <t>Estee Gold Feet Tbk</t>
  </si>
  <si>
    <t>FAP Agri Tbk</t>
  </si>
  <si>
    <t>MD Entertainment Tbk</t>
  </si>
  <si>
    <t>Fore Kopi Indonesia Tbk</t>
  </si>
  <si>
    <t>Wijaya Cahaya Timber Tbk</t>
  </si>
  <si>
    <t>Gihon Telekomunikasi Indonesia Tbk</t>
  </si>
  <si>
    <t>Intra GolfLink Resorts Tbk</t>
  </si>
  <si>
    <t>Golden Plantation Tbk</t>
  </si>
  <si>
    <t>Grahaprima Suksesmandiri Tbk</t>
  </si>
  <si>
    <t>Aman Agrindo Tbk</t>
  </si>
  <si>
    <t>Gunanusa Eramandiri Tbk</t>
  </si>
  <si>
    <t>Arsy Buana Travelindo Tbk</t>
  </si>
  <si>
    <t>Haloni Jane Tbk</t>
  </si>
  <si>
    <t>Habco Trans Maritima Tbk</t>
  </si>
  <si>
    <t>Minahasa Membangun Hebat Tbk</t>
  </si>
  <si>
    <t>DFI Retail Nusantara</t>
  </si>
  <si>
    <t>Hero Global Investment Tbk</t>
  </si>
  <si>
    <t>Hillcon Tbk</t>
  </si>
  <si>
    <t>Humpuss Maritim Internasional Tbk</t>
  </si>
  <si>
    <t>Indo Boga Sukses Tbk</t>
  </si>
  <si>
    <t>Royalindo Investa Wijaya Tbk</t>
  </si>
  <si>
    <t>Sumber Sinergi Makmur Tbk</t>
  </si>
  <si>
    <t>Indosat Tbk</t>
  </si>
  <si>
    <t>Indo American Seafoods Tbk</t>
  </si>
  <si>
    <t>Jhonlin Agro Raya Tbk</t>
  </si>
  <si>
    <t>Jantra Grupo Indonesia Tbk</t>
  </si>
  <si>
    <t>Puri Sentul Permai Tbk</t>
  </si>
  <si>
    <t>Hoffmen Cleanindo Tbk</t>
  </si>
  <si>
    <t>Kino Indonesia Tbk</t>
  </si>
  <si>
    <t>Kusuma Kemindo Sentosa Tbk</t>
  </si>
  <si>
    <t>Pelayaran Kurnia Lautan Semesta Tbk</t>
  </si>
  <si>
    <t>Klinko Karya Imaji Tbk</t>
  </si>
  <si>
    <t>Kokoh Exa Nusantara</t>
  </si>
  <si>
    <t>Bangun Karya Perkasa Jaya Tbk</t>
  </si>
  <si>
    <t>Kentanix Supra International Tbk</t>
  </si>
  <si>
    <t>Green Power Group Tbk</t>
  </si>
  <si>
    <t>UBC Medical Indonesia Tbk</t>
  </si>
  <si>
    <t>Jasa Berdikari Logistics Tbk</t>
  </si>
  <si>
    <t>LCK Global Kedaton Tbk</t>
  </si>
  <si>
    <t>Homeco Victoria Makmur Tbk</t>
  </si>
  <si>
    <t>Logisticsplus International Tbk</t>
  </si>
  <si>
    <t>Lenox Pasifik Investama Tbk</t>
  </si>
  <si>
    <t>Manggung Polahraya Tbk</t>
  </si>
  <si>
    <t>Maxindo Karya Anugerah Tbk</t>
  </si>
  <si>
    <t>Bank Mayapada Internasional Tbk</t>
  </si>
  <si>
    <t>Merdeka Battery Materials Tbk</t>
  </si>
  <si>
    <t>Bank China Construction Bank Indonesia Tbk</t>
  </si>
  <si>
    <t>Daya Intiguna Yasa Tbk</t>
  </si>
  <si>
    <t>Medela Potentia Tbk</t>
  </si>
  <si>
    <t>Hetzer Medical Indonesia Tbk</t>
  </si>
  <si>
    <t>Harta Djaya Karya Tbk</t>
  </si>
  <si>
    <t>Merry Riana Edukasi Tbk</t>
  </si>
  <si>
    <t>Magna Investama Mandiri Tbk</t>
  </si>
  <si>
    <t>Multi Hanna Kreasindo Tbk</t>
  </si>
  <si>
    <t>Sinar Terang Mandiri Tbk</t>
  </si>
  <si>
    <t>Multikarya Asia Pasifik Raya Tbk</t>
  </si>
  <si>
    <t>Menthobi Karyatama Raya Tbk</t>
  </si>
  <si>
    <t>Mora Telematika Indonesia Tbk</t>
  </si>
  <si>
    <t>MPX Logistics International Tbk</t>
  </si>
  <si>
    <t>Multisarana Intan Eduka Tbk</t>
  </si>
  <si>
    <t>Murni Sadar Tbk</t>
  </si>
  <si>
    <t>Mutuagung Lestari Tbk</t>
  </si>
  <si>
    <t>Adiwarna Anugerah Abadi Tbk</t>
  </si>
  <si>
    <t>Nanotech Indonesia Global Tbk</t>
  </si>
  <si>
    <t>Hassana Boga Sejahtera Tbk</t>
  </si>
  <si>
    <t>Esta Indonesia Tbk</t>
  </si>
  <si>
    <t>MDTV Media Technologies Tbk</t>
  </si>
  <si>
    <t>Adhi Kartiko Pratama Tbk</t>
  </si>
  <si>
    <t>Techno9 Indonesia Tbk</t>
  </si>
  <si>
    <t>Bank OCBC NISP Tbk</t>
  </si>
  <si>
    <t>Nusantara Sawit Sejahtera Tbk</t>
  </si>
  <si>
    <t>Brigit Biofarmaka Teknologi Tbk</t>
  </si>
  <si>
    <t>Jayamas Medica Industri Tbk</t>
  </si>
  <si>
    <t>Personel Alih Daya Tbk</t>
  </si>
  <si>
    <t>Provident Investasi Bersama Tbk</t>
  </si>
  <si>
    <t>Cipta Perdana Lancar Tbk</t>
  </si>
  <si>
    <t>Paramita Bangun Sarana Tbk</t>
  </si>
  <si>
    <t>Primadaya Plastisindo Tbk</t>
  </si>
  <si>
    <t>Penta Valent Tbk</t>
  </si>
  <si>
    <t>Pertamina Geothermal Energy Tbk</t>
  </si>
  <si>
    <t>Pradiksi Gunatama Tbk</t>
  </si>
  <si>
    <t>Pelayaran Jaya Hidup Baru Tbk</t>
  </si>
  <si>
    <t>Putra Mandiri Jembar Tbk</t>
  </si>
  <si>
    <t>Prima Multi Usaha Indonesia Tbk</t>
  </si>
  <si>
    <t>Pinago Utama Tbk</t>
  </si>
  <si>
    <t>Famon Awal Bros Sedaya Tbk</t>
  </si>
  <si>
    <t>Pancaran Samudera Transport Tbk</t>
  </si>
  <si>
    <t>Djasa Ubersakti Tbk</t>
  </si>
  <si>
    <t>Master Print Tbk</t>
  </si>
  <si>
    <t>Sari Kreasi Boga Tbk</t>
  </si>
  <si>
    <t>Raharja Energi Cepu Tbk</t>
  </si>
  <si>
    <t>Utama Radar Cahaya Tbk</t>
  </si>
  <si>
    <t>Abadi Lestari Indonesia Tbk</t>
  </si>
  <si>
    <t>Saptausaha Gemilangindah Tbk</t>
  </si>
  <si>
    <t>Bank Woori Saudara Indonesia 1906 Tbk</t>
  </si>
  <si>
    <t>Sigma Energy Compressindo Tbk</t>
  </si>
  <si>
    <t>Sumber Mineral Global Abadi Tbk</t>
  </si>
  <si>
    <t>Sarana Mitra Luas Tbk</t>
  </si>
  <si>
    <t>Sumber Mas Konstruksi Tbk</t>
  </si>
  <si>
    <t>Sinergi Multi Lestarindo Tbk</t>
  </si>
  <si>
    <t>Xolare RCR Energy Tbk</t>
  </si>
  <si>
    <t>Mitra Tirta Buwana Tbk</t>
  </si>
  <si>
    <t>Soraya Berjaya Indonesia Tbk</t>
  </si>
  <si>
    <t>Sri Rejeki Isman Tbk</t>
  </si>
  <si>
    <t>Surya Semesta Internusa Tbk</t>
  </si>
  <si>
    <t>Sumber Tani Agung Resources Tbk</t>
  </si>
  <si>
    <t>Sunindo Pratama Tbk</t>
  </si>
  <si>
    <t>Super Bank Indonesia Tbk</t>
  </si>
  <si>
    <t>Saraswanti Indoland Development Tbk</t>
  </si>
  <si>
    <t>Tower Bersama Infrastructure Tbk</t>
  </si>
  <si>
    <t>Tianrong Chemicals Industry Tbk</t>
  </si>
  <si>
    <t>Teladan Prima Agro Tbk</t>
  </si>
  <si>
    <t>Rohartindo Nusantara Luas Tbk</t>
  </si>
  <si>
    <t>Cerestar Indonesia Tbk</t>
  </si>
  <si>
    <t>Agro Bahari Nusantara Tbk</t>
  </si>
  <si>
    <t>Ulima Nitra Tbk</t>
  </si>
  <si>
    <t>Vastland Indonesia Tbk</t>
  </si>
  <si>
    <t>Verona Indah Pictures Tbk</t>
  </si>
  <si>
    <t>VKTR Teknologi Mobilitas Tbk</t>
  </si>
  <si>
    <t>WEHA Transportasi Indonesia Tbk</t>
  </si>
  <si>
    <t>Wijaya Karya (Persero) Tbk</t>
  </si>
  <si>
    <t>Hatten Bali Tbk</t>
  </si>
  <si>
    <t>Winner Nusantara Jaya Tbk</t>
  </si>
  <si>
    <t>WIR ASIA Tbk</t>
  </si>
  <si>
    <t>Ginting Jaya Energi Tbk</t>
  </si>
  <si>
    <t>Waskita Karya (Persero) Tbk</t>
  </si>
  <si>
    <t>Asuransi Digital Bersama Tbk</t>
  </si>
  <si>
    <t>Yupi Indo Jelly Gum Tbk</t>
  </si>
  <si>
    <t>Bersama Zatta Jaya Tbk</t>
  </si>
  <si>
    <t>BFI Finance Indonesia Tbk.</t>
  </si>
  <si>
    <t>Dharma Samudera Fishing Industries Tbk.</t>
  </si>
  <si>
    <t>Indorama Synthetics Tbk.</t>
  </si>
  <si>
    <t>Sinar Mas Agro Resources and Technology Tbk.</t>
  </si>
  <si>
    <t>Samudera Indonesia Tbk.</t>
  </si>
  <si>
    <t>SUSPENDED</t>
  </si>
  <si>
    <t>Venteny Fortuna International Tbk.</t>
  </si>
  <si>
    <t>INSERT INTO sub_industry (id, name, industry) VALUES ('</t>
  </si>
  <si>
    <t>INSERT INTO stock (ticker, name, listing_date, sub_industry, industry, sector, status) VALUES ('</t>
  </si>
  <si>
    <t>Alias</t>
  </si>
  <si>
    <t>Nama</t>
  </si>
  <si>
    <t>AADI, AAI, Adaro Andalan Indonesia, Adaro Andalan Indonesia Tbk, PT Adaro Andalan Indonesia</t>
  </si>
  <si>
    <t>AALI, AAL, Astra Agro Lestari, Astra Agro Lestari Tbk, PT Astra Agro Lestari</t>
  </si>
  <si>
    <t>ABBA, Mahaka Media, Mahaka Media Tbk, PT Mahaka Media</t>
  </si>
  <si>
    <t>ABDA, Asuransi Bina Dana Arta, Asuransi Bina Dana Arta Tbk, PT Asuransi Bina Dana Arta</t>
  </si>
  <si>
    <t>ABMM, ABM, ABM Investama, ABM Investama Tbk, PT ABM Investama</t>
  </si>
  <si>
    <t>ACES, AHI, AZKO, Aspirasi Hidup Indonesia, Aspirasi Hidup Indonesia Tbk, PT Aspirasi Hidup Indonesia</t>
  </si>
  <si>
    <t>ACRO, PT Samcro Hyosung Adilestari, Samcro Hyosung Adilestari, Samcro Hyosung Adilestari Tbk</t>
  </si>
  <si>
    <t>ACST, Acset, Acset Indonusa, Acset Indonusa Tbk, PT Acset Indonusa</t>
  </si>
  <si>
    <t>ADCP, Adhi Commuter Properti, Adhi Commuter Properti Tbk, PT Adhi Commuter Properti</t>
  </si>
  <si>
    <t>ADHI, Adhi Karya (Persero), Adhi Karya (Persero) Tbk, PT Adhi Karya (Persero)</t>
  </si>
  <si>
    <t>ADMF, Adira, Adira Dinamika Multi Finance, Adira Dinamika Multi Finance Tbk, PT Adira Dinamika Multi Finance</t>
  </si>
  <si>
    <t>ADMG, Polychem, PT Polychem Indonesia, Polychem Indonesia, Polychem Indonesia Tbk</t>
  </si>
  <si>
    <t>ADMR, Alamtri Minerals Indonesia, Alamtri Minerals Indonesia Tbk, PT Alamtri Minerals Indonesia</t>
  </si>
  <si>
    <t>ADRO, Alamtri Resources Indonesia, Alamtri Resources Indonesia Tbk, PT Alamtri Resources Indonesia</t>
  </si>
  <si>
    <t>AEGS, Anugerah Spareparts Sejahtera, Anugerah Spareparts Sejahtera Tbk, PT Anugerah Spareparts Sejahtera</t>
  </si>
  <si>
    <t>AGAR, Asia Sejahtera Mina, Asia Sejahtera Mina Tbk, PT Asia Sejahtera Mina</t>
  </si>
  <si>
    <t>AGII, PT Samator Indo Gas, Samator Indo Gas, Samator Indo Gas Tbk</t>
  </si>
  <si>
    <t>AGRO, Bank Raya Indonesia, Bank Raya Indonesia Tbk, PT Bank Raya Indonesia</t>
  </si>
  <si>
    <t>AGRS, Bank IBK Indonesia, Bank IBK Indonesia Tbk, PT Bank IBK Indonesia</t>
  </si>
  <si>
    <t>AHAP, Asuransi Harta Aman Pratama, Asuransi Harta Aman Pratama Tbk, PT Asuransi Harta Aman Pratama</t>
  </si>
  <si>
    <t>AIMS, Artha Mahiya Investama, Artha Mahiya Investama Tbk, PT Artha Mahiya Investama</t>
  </si>
  <si>
    <t>AISA, FKS Food Sejahtera, FKS Food Sejahtera Tbk, PT FKS Food Sejahtera</t>
  </si>
  <si>
    <t>AKKU, Anugerah Kagum Karya Utama, Anugerah Kagum Karya Utama Tbk, PT Anugerah Kagum Karya Utama</t>
  </si>
  <si>
    <t>AKPI, Argha Karya Prima Industry, Argha Karya Prima Industry Tbk, PT Argha Karya Prima Industry</t>
  </si>
  <si>
    <t>AKRA, AKR, AKR Corporindo, AKR Corporindo Tbk, PT AKR Corporindo</t>
  </si>
  <si>
    <t>AKSI, Mineral Sumberdaya Mandiri, Mineral Sumberdaya Mandiri Tbk, PT Mineral Sumberdaya Mandiri</t>
  </si>
  <si>
    <t>ALDO, Alkindo Naratama, Alkindo Naratama Tbk, PT Alkindo Naratama</t>
  </si>
  <si>
    <t>ALII, Ancara Logistics Indonesia, Ancara Logistics Indonesia Tbk, PT Ancara Logistics Indonesia</t>
  </si>
  <si>
    <t>ALKA, Alakasa Industrindo, Alakasa Industrindo Tbk, PT Alakasa Industrindo</t>
  </si>
  <si>
    <t>ALMI, Alumindo Light Metal Industry, Alumindo Light Metal Industry Tbk, PT Alumindo Light Metal Industry</t>
  </si>
  <si>
    <t>ALTO, PT Tri Banyan Tirta, Tri Banyan Tirta, Tri Banyan Tirta Tbk</t>
  </si>
  <si>
    <t>AMAG, Asuransi Multi Artha Guna, Asuransi Multi Artha Guna Tbk, PT Asuransi Multi Artha Guna</t>
  </si>
  <si>
    <t>AMAN, Makmur Berkah Amanda, Makmur Berkah Amanda Tbk, PT Makmur Berkah Amanda</t>
  </si>
  <si>
    <t>AMAR, Bank Amar Indonesia, Bank Amar Indonesia Tbk, PT Bank Amar Indonesia</t>
  </si>
  <si>
    <t>AMFG, Asahimas Flat Glass, Asahimas Flat Glass Tbk, PT Asahimas Flat Glass</t>
  </si>
  <si>
    <t>AMIN, Ateliers Mecaniques D Indonesie, Ateliers Mecaniques D Indonesie Tbk, PT Ateliers Mecaniques D Indonesie</t>
  </si>
  <si>
    <t>AMMN, Amman Mineral Internasional, Amman Mineral Internasional Tbk, PT Amman Mineral Internasional</t>
  </si>
  <si>
    <t>AMMS, Agung Menjangan Mas, Agung Menjangan Mas Tbk, PT Agung Menjangan Mas</t>
  </si>
  <si>
    <t>AMOR, Ashmore Asset Management Indonesia, Ashmore Asset Management Indonesia Tbk, PT Ashmore Asset Management Indonesia</t>
  </si>
  <si>
    <t>AMRT, PT Sumber Alfaria Trijaya, Sumber Alfaria Trijaya, Sumber Alfaria Trijaya Tbk</t>
  </si>
  <si>
    <t>ANDI, Andira Agro, Andira Agro Tbk, PT Andira Agro</t>
  </si>
  <si>
    <t>ANJT, ANJ, Austindo Nusantara Jaya, Austindo Nusantara Jaya Tbk, PT Austindo Nusantara Jaya</t>
  </si>
  <si>
    <t>ANTM, ANTAM, Aneka Tambang, Aneka Tambang Tbk, PT Aneka Tambang</t>
  </si>
  <si>
    <t>APEX, Apexindo Pratama Duta, Apexindo Pratama Duta Tbk, PT Apexindo Pratama Duta</t>
  </si>
  <si>
    <t>APIC, PT Pacific Strategic Financial, Pacific Strategic Financial, Pacific Strategic Financial Tbk</t>
  </si>
  <si>
    <t>APII, Arita Prima Indonesia, Arita Prima Indonesia Tbk, PT Arita Prima Indonesia</t>
  </si>
  <si>
    <t>APLI, Asiaplast Industries, Asiaplast Industries Tbk, PT Asiaplast Industries</t>
  </si>
  <si>
    <t>APLN, APL, Agung Podomoro Land, Agung Podomoro Land Tbk, PT Agung Podomoro Land</t>
  </si>
  <si>
    <t>ARCI, Archi Indonesia, Archi Indonesia Tbk, PT Archi Indonesia</t>
  </si>
  <si>
    <t>AREA, Dunia Virtual Online, Dunia Virtual Online Tbk, PT Dunia Virtual Online</t>
  </si>
  <si>
    <t>ARGO, Argo Pantes, Argo Pantes Tbk, PT Argo Pantes</t>
  </si>
  <si>
    <t>ARII, Atlas Resources, Atlas Resources Tbk, PT Atlas Resources</t>
  </si>
  <si>
    <t>ARKA, Arkha Jayanti Persada, Arkha Jayanti Persada Tbk, PT Arkha Jayanti Persada</t>
  </si>
  <si>
    <t>ARKO, Arkora Hydro, Arkora Hydro Tbk, PT Arkora Hydro</t>
  </si>
  <si>
    <t>ARMY, Armidian Karyatama, Armidian Karyatama Tbk, PT Armidian Karyatama</t>
  </si>
  <si>
    <t>ARNA, Arwana Citramulia, Arwana Citramulia Tbk, PT Arwana Citramulia</t>
  </si>
  <si>
    <t>ARTA Tbk, PT Arthavest</t>
  </si>
  <si>
    <t>ARTI, PT Ratu Prabu Energi, Ratu Prabu Energi, Ratu Prabu Energi Tbk</t>
  </si>
  <si>
    <t>ARTO, Bank Jago, Bank Jago Tbk, Jago, PT Bank Jago</t>
  </si>
  <si>
    <t>ASBI, Asuransi Bintang, Asuransi Bintang Tbk, PT Asuransi Bintang</t>
  </si>
  <si>
    <t>ASDM, Asuransi Dayin Mitra, Asuransi Dayin Mitra Tbk, PT Asuransi Dayin Mitra</t>
  </si>
  <si>
    <t>ASGR, Astra Graphia, Astra Graphia Tbk, PT Astra Graphia</t>
  </si>
  <si>
    <t>ASHA, Cilacap Samudera Fishing Industry, Cilacap Samudera Fishing Industry Tbk, PT Cilacap Samudera Fishing Industry</t>
  </si>
  <si>
    <t>ASII, Astra International, Astra International Tbk, PT Astra International</t>
  </si>
  <si>
    <t>ASJT, Asuransi Jasa Tania, Asuransi Jasa Tania Tbk, PT Asuransi Jasa Tania</t>
  </si>
  <si>
    <t>ASLC, Caroline, Autopedia Sukses Lestari, Autopedia Sukses Lestari Tbk, PT Autopedia Sukses Lestari</t>
  </si>
  <si>
    <t>ASLI, Asri Karya Lestari, Asri Karya Lestari Tbk, PT Asri Karya Lestari</t>
  </si>
  <si>
    <t>ASMI, Asuransi Maximus Graha Persada, Asuransi Maximus Graha Persada Tbk, PT Asuransi Maximus Graha Persada</t>
  </si>
  <si>
    <t>ASPI, Andalan Sakti Primaindo, Andalan Sakti Primaindo Tbk, PT Andalan Sakti Primaindo</t>
  </si>
  <si>
    <t>ASPR, Asia Pramulia, Asia Pramulia Tbk, PT Asia Pramulia</t>
  </si>
  <si>
    <t>ASRI, Alam Sutera Realty, Alam Sutera Realty Tbk, PT Alam Sutera Realty</t>
  </si>
  <si>
    <t>ASRM, Asuransi Ramayana, Asuransi Ramayana Tbk, PT Asuransi Ramayana</t>
  </si>
  <si>
    <t>ASSA, Adi Sarana Armada, Adi Sarana Armada Tbk, PT Adi Sarana Armada</t>
  </si>
  <si>
    <t>ATAP, PT Trimitra Prawara Goldland, Trimitra Prawara Goldland, Trimitra Prawara Goldland Tbk</t>
  </si>
  <si>
    <t>ATIC, Anabatic Technologies, Anabatic Technologies Tbk, PT Anabatic Technologies</t>
  </si>
  <si>
    <t>ATLA, Atlantis Subsea Indonesia, Atlantis Subsea Indonesia Tbk, PT Atlantis Subsea Indonesia</t>
  </si>
  <si>
    <t>AUTO, Astra Otoparts, Astra Otoparts Tbk, PT Astra Otoparts</t>
  </si>
  <si>
    <t>AVIA, Avia Avian, Avia Avian Tbk, PT Avia Avian</t>
  </si>
  <si>
    <t>AWAN, Era Digital Media, Era Digital Media Tbk, PT Era Digital Media</t>
  </si>
  <si>
    <t>AXIO, PT Tera Data Indonusa, TDI, Tera Data Indonusa, Tera Data Indonusa Tbk</t>
  </si>
  <si>
    <t>AYAM, Janu Putra Sejahtera, Janu Putra Sejahtera Tbk, PT Janu Putra Sejahtera</t>
  </si>
  <si>
    <t>AYLS, Agro Yasa Lestari, Agro Yasa Lestari Tbk, PT Agro Yasa Lestari</t>
  </si>
  <si>
    <t>BABP, BMI, Bank Internasional, Bank MNC Internasional, Bank MNC Internasional Tbk, Internasional, PT Bank MNC Internasional</t>
  </si>
  <si>
    <t>BABY, Multitrend Indo, Multitrend Indo Tbk, PT Multitrend Indo</t>
  </si>
  <si>
    <t>BACA, Bank Capital Indonesia, Bank Capital Indonesia Tbk, PT Bank Capital Indonesia</t>
  </si>
  <si>
    <t>BAIK, Bersama Mencapai Puncak, Bersama Mencapai Puncak Tbk, PT Bersama Mencapai Puncak</t>
  </si>
  <si>
    <t>BAJA, PT Saranacentral Bajatama, Saranacentral Bajatama, Saranacentral Bajatama Tbk</t>
  </si>
  <si>
    <t>BALI, Bali Towerindo Sentra, Bali Towerindo Sentra Tbk, PT Bali Towerindo Sentra</t>
  </si>
  <si>
    <t>BANK, Bank Aladin Syariah, Bank Aladin Syariah Tbk, Bank Syariah, PT Bank Aladin Syariah, Syariah</t>
  </si>
  <si>
    <t>BAPA, Bekasi Asri Pemula, Bekasi Asri Pemula Tbk, PT Bekasi Asri Pemula</t>
  </si>
  <si>
    <t>BAPI, Bhakti Agung Propertindo, Bhakti Agung Propertindo Tbk, PT Bhakti Agung Propertindo</t>
  </si>
  <si>
    <t>BATA, PT Sepatu Bata, Sepatu Bata, Sepatu Bata Tbk</t>
  </si>
  <si>
    <t>BATR, Benteng Api Technic, Benteng Api Technic Tbk, PT Benteng Api Technic</t>
  </si>
  <si>
    <t>BAUT, Mitra Angkasa Sejahtera, Mitra Angkasa Sejahtera Tbk, PT Mitra Angkasa Sejahtera</t>
  </si>
  <si>
    <t>BAYU, Bayu Buana, Bayu Buana Tbk, PT Bayu Buana</t>
  </si>
  <si>
    <t>BBHI, Allo Bank Indonesia, Allo Bank Indonesia Tbk, PT Allo Bank Indonesia</t>
  </si>
  <si>
    <t>BBKP, Bank KB Indonesia, Bank KB Indonesia Tbk, PT Bank KB Indonesia</t>
  </si>
  <si>
    <t>BBLD, Buana Finance, Buana Finance Tbk, PT Buana Finance</t>
  </si>
  <si>
    <t>BBMD, Bank Dharma, Bank Mestika Dharma, Bank Mestika Dharma Tbk, Dharma, PT Bank Mestika Dharma</t>
  </si>
  <si>
    <t>BBNI, BNI, Bank Negara Indonesia (Persero), Bank Negara Indonesia (Persero) Tbk, PT Bank Negara Indonesia (Persero)</t>
  </si>
  <si>
    <t>BBRI, BRI, Bank Rakyat Indonesia (Persero), Bank Rakyat Indonesia (Persero) Tbk, PT Bank Rakyat Indonesia (Persero)</t>
  </si>
  <si>
    <t>BBRM, PNBBR, PT Pelayaran Nasional Bina Buana Raya, Pelayaran Nasional Bina Buana Raya, Pelayaran Nasional Bina Buana Raya Tbk</t>
  </si>
  <si>
    <t>BBSI, Krom Bank Indonesia, Krom Bank Indonesia Tbk, PT Krom Bank Indonesia</t>
  </si>
  <si>
    <t>BBSS, Bumi Benowo Sukses Sejahtera, Bumi Benowo Sukses Sejahtera Tbk, PT Bumi Benowo Sukses Sejahtera</t>
  </si>
  <si>
    <t>BBTN, BTN, Bank Tabungan Negara (Persero), Bank Tabungan Negara (Persero) Tbk, PT Bank Tabungan Negara (Persero)</t>
  </si>
  <si>
    <t>BBYB, BNC, Bank Commerce, Bank Neo Commerce, Bank Neo Commerce Tbk, Commerce, PT Bank Neo Commerce</t>
  </si>
  <si>
    <t>BCAP, MNC Kapital Indonesia, MNC Kapital Indonesia Tbk, PT MNC Kapital Indonesia</t>
  </si>
  <si>
    <t>BCIC, Bank JTrust Indonesia, Bank JTrust Indonesia Tbk, PT Bank JTrust Indonesia</t>
  </si>
  <si>
    <t>BCIP, Bumi Citra Permai, Bumi Citra Permai Tbk, PT Bumi Citra Permai</t>
  </si>
  <si>
    <t>BDKR, Berdikari Pondasi Perkasa, Berdikari Pondasi Perkasa Tbk, PT Berdikari Pondasi Perkasa</t>
  </si>
  <si>
    <t>BDMN, Bank Danamon Indonesia, Bank Danamon Indonesia Tbk, PT Bank Danamon Indonesia</t>
  </si>
  <si>
    <t>BEBS, Berkah Beton Sadaya, Berkah Beton Sadaya Tbk, PT Berkah Beton Sadaya</t>
  </si>
  <si>
    <t>BEEF, Estika Tata Tiara, Estika Tata Tiara Tbk, PT Estika Tata Tiara</t>
  </si>
  <si>
    <t>BEER, Jobubu Jarum Minahasa, Jobubu Jarum Minahasa Tbk, PT Jobubu Jarum Minahasa</t>
  </si>
  <si>
    <t>BEKS, Bank Banten, Bank Pembangunan Daerah Banten, Bank Pembangunan Daerah Banten Tbk, Banten, PT Bank Pembangunan Daerah Banten</t>
  </si>
  <si>
    <t>BELI, GDN, Global Digital Niaga, Global Digital Niaga Tbk, PT Global Digital Niaga</t>
  </si>
  <si>
    <t>BELL, PT Trisula Textile Industries, Trisula Textile Industries, Trisula Textile Industries Tbk</t>
  </si>
  <si>
    <t>BESS, Batulicin Nusantara Maritim, Batulicin Nusantara Maritim Tbk, PT Batulicin Nusantara Maritim</t>
  </si>
  <si>
    <t>BEST, BFIE, Bekasi Fajar Industrial Estate, Bekasi Fajar Industrial Estate Tbk, PT Bekasi Fajar Industrial Estate</t>
  </si>
  <si>
    <t>BFIN, BFI, BFI Finance Indonesia, BFI Finance Indonesia Tbk, PT BFI Finance Indonesia</t>
  </si>
  <si>
    <t>BGTG, Bank Ganesha, Bank Ganesha Tbk, Ganesha, PT Bank Ganesha</t>
  </si>
  <si>
    <t>BHAT, Bhakti Multi Artha, Bhakti Multi Artha Tbk, PT Bhakti Multi Artha</t>
  </si>
  <si>
    <t>BHIT, MNC Asia Holding, MNC Asia Holding Tbk, PT MNC Asia Holding</t>
  </si>
  <si>
    <t>BIKA, Binakarya Jaya Abadi, Binakarya Jaya Abadi Tbk, PT Binakarya Jaya Abadi</t>
  </si>
  <si>
    <t>BIKE, PT Sepeda Bersama Indonesia, SBI, Sepeda Bersama Indonesia, Sepeda Bersama Indonesia Tbk</t>
  </si>
  <si>
    <t>BIMA, PT Primarindo Asia Infrastructure, Primarindo Asia Infrastructure, Primarindo Asia Infrastructure Tbk</t>
  </si>
  <si>
    <t>BINA, Bank Ina Perdana, Bank Ina Perdana Tbk, Bank Perdana, PT Bank Ina Perdana, Perdana</t>
  </si>
  <si>
    <t>BINO, PP, PT Perma Plasindo, Perma Plasindo, Perma Plasindo Tbk</t>
  </si>
  <si>
    <t>BIPI, Astrindo Nusantara Infrastruktur, Astrindo Nusantara Infrastruktur Tbk, PT Astrindo Nusantara Infrastruktur</t>
  </si>
  <si>
    <t>BIPP, Bhuwanatala Indah Permai, Bhuwanatala Indah Permai Tbk, PT Bhuwanatala Indah Permai</t>
  </si>
  <si>
    <t>BIRD, Blue Bird, Blue Bird Tbk, PT Blue Bird</t>
  </si>
  <si>
    <t>BISI, BISI International, BISI International Tbk, PT BISI International</t>
  </si>
  <si>
    <t>BJBR, BJB, Bank BJB, Bank Jabar, Bank Pembangunan Daerah Jawa Barat dan Banten, Bank Pembangunan Daerah Jawa Barat dan Banten Tbk, PT Bank Pembangunan Daerah Jawa Barat dan Banten</t>
  </si>
  <si>
    <t>BJTM, Bank Jatim, Bank Pembangunan Daerah Jawa Timur, Bank Pembangunan Daerah Jawa Timur Tbk, PT Bank Pembangunan Daerah Jawa Timur</t>
  </si>
  <si>
    <t>BKDP, Bukit Darmo Property, Bukit Darmo Property Tbk, PT Bukit Darmo Property</t>
  </si>
  <si>
    <t>BKSL, PT Sentul City, Sentul City, Sentul City Tbk</t>
  </si>
  <si>
    <t>BKSW, Bank QNB Indonesia, Bank QNB Indonesia Tbk, PT Bank QNB Indonesia</t>
  </si>
  <si>
    <t>BLES, PT Superior Prima Sukses, Superior Prima Sukses, Superior Prima Sukses Tbk</t>
  </si>
  <si>
    <t>BLOG, PT Trimitra Trans Persada, Trimitra Trans Persada, Trimitra Trans Persada Tbk</t>
  </si>
  <si>
    <t>BLTA, Berlian Laju Tanker, Berlian Laju Tanker Tbk, PT Berlian Laju Tanker</t>
  </si>
  <si>
    <t>BLTZ, Graha Layar Prima, Graha Layar Prima Tbk, PT Graha Layar Prima</t>
  </si>
  <si>
    <t>BLUE, Berkah Prima Perkasa, Berkah Prima Perkasa Tbk, PT Berkah Prima Perkasa</t>
  </si>
  <si>
    <t>BMAS, Bank Maspion Indonesia, Bank Maspion Indonesia Tbk, PT Bank Maspion Indonesia</t>
  </si>
  <si>
    <t>BMBL, Lavender Bina Cendikia, Lavender Bina Cendikia Tbk, PT Lavender Bina Cendikia</t>
  </si>
  <si>
    <t>BMHS Tbk, PT Bundamedik</t>
  </si>
  <si>
    <t>BMRI, Bank Mandiri (Persero), Bank Mandiri (Persero) Tbk, PT Bank Mandiri (Persero)</t>
  </si>
  <si>
    <t>BMSR, Bintang Mitra Semestaraya, Bintang Mitra Semestaraya Tbk, PT Bintang Mitra Semestaraya</t>
  </si>
  <si>
    <t>BMTR, Global Mediacom, Global Mediacom Tbk, PT Global Mediacom</t>
  </si>
  <si>
    <t>BNBA, Bank Bumi Arta, Bank Bumi Arta Tbk, PT Bank Bumi Arta</t>
  </si>
  <si>
    <t>BNBR, Bakrie &amp; Brothers, Bakrie &amp; Brothers Tbk, PT Bakrie &amp; Brothers</t>
  </si>
  <si>
    <t>BNGA, Bank CIMB Niaga, Bank CIMB Niaga Tbk, Bank Niaga, Bank Niaga, PT Bank CIMB Niaga</t>
  </si>
  <si>
    <t>BNII, MAYBANK, Bank Maybank Indonesia, Bank Maybank Indonesia Tbk, PT Bank Maybank Indonesia</t>
  </si>
  <si>
    <t>BNLI, Bank Permata, Bank Permata Tbk, PT Bank Permata, Permata</t>
  </si>
  <si>
    <t>BOAT, Newport Marine Services, Newport Marine Services Tbk, PT Newport Marine Services</t>
  </si>
  <si>
    <t>BOBA, Formosa Ingredient Factory, Formosa Ingredient Factory Tbk, PT Formosa Ingredient Factory</t>
  </si>
  <si>
    <t>BOGA, Apollo Global Interactive, Apollo Global Interactive Tbk, PT Apollo Global Interactive</t>
  </si>
  <si>
    <t>BOLA, Bali Bintang Sejahtera, Bali Bintang Sejahtera Tbk, PT Bali Bintang Sejahtera</t>
  </si>
  <si>
    <t>BOLT, Garuda Metalindo, Garuda Metalindo Tbk, PT Garuda Metalindo</t>
  </si>
  <si>
    <t>BOSS, Borneo Olah Sarana Sukses, Borneo Olah Sarana Sukses Tbk, PT Borneo Olah Sarana Sukses</t>
  </si>
  <si>
    <t>BPFI, PT Woori Finance Indonesia, Woori Finance Indonesia, Woori Finance Indonesia Tbk</t>
  </si>
  <si>
    <t>BPII, Batavia Prosperindo Internasional, Batavia Prosperindo Internasional Tbk, PT Batavia Prosperindo Internasional</t>
  </si>
  <si>
    <t>BPTR, Batavia Prosperindo Trans, Batavia Prosperindo Trans Tbk, PT Batavia Prosperindo Trans</t>
  </si>
  <si>
    <t>BRAM, Indo Kordsa, Indo Kordsa Tbk, PT Indo Kordsa</t>
  </si>
  <si>
    <t>BREN, Barito Renewables Energy, Barito Renewables Energy Tbk, PT Barito Renewables Energy</t>
  </si>
  <si>
    <t>BRIS, BSI, Bank Syariah Indonesia, Bank Syariah Indonesia Tbk, PT Bank Syariah Indonesia</t>
  </si>
  <si>
    <t>BRMS, Bumi Resources Minerals, Bumi Resources Minerals Tbk, PT Bumi Resources Minerals</t>
  </si>
  <si>
    <t>BRNA Tbk, PT Berlina</t>
  </si>
  <si>
    <t>BRPT, Barito Pacific, Barito Pacific Tbk, PT Barito Pacific</t>
  </si>
  <si>
    <t>BRRC, PT Raja Roti Cemerlang, Raja Roti Cemerlang, Raja Roti Cemerlang Tbk</t>
  </si>
  <si>
    <t>BSBK, PT Wulandari Bangun Laksana, Wulandari Bangun Laksana, Wulandari Bangun Laksana Tbk</t>
  </si>
  <si>
    <t>BSDE, BSD, Bumi Serpong Damai, Bumi Serpong Damai Tbk, PT Bumi Serpong Damai</t>
  </si>
  <si>
    <t>BSIM, Bank Sinarmas, Bank Sinarmas Tbk, PT Bank Sinarmas, Sinarmas</t>
  </si>
  <si>
    <t>BSML, Bintang Samudera Mandiri Lines, Bintang Samudera Mandiri Lines Tbk, PT Bintang Samudera Mandiri Lines</t>
  </si>
  <si>
    <t>BSSR, Baramulti Suksessarana, Baramulti Suksessarana Tbk, PT Baramulti Suksessarana</t>
  </si>
  <si>
    <t>BSWD, Bank Of India Indonesia, Bank Of India Indonesia Tbk, PT Bank Of India Indonesia</t>
  </si>
  <si>
    <t>BTEK, Bumi Teknokultura Unggul, Bumi Teknokultura Unggul Tbk, PT Bumi Teknokultura Unggul</t>
  </si>
  <si>
    <t>BTEL, Bakrie Telecom, Bakrie Telecom Tbk, PT Bakrie Telecom</t>
  </si>
  <si>
    <t>BTON, Betonjaya Manunggal, Betonjaya Manunggal Tbk, PT Betonjaya Manunggal</t>
  </si>
  <si>
    <t>BTPN, Bank SMBC Indonesia, Bank SMBC Indonesia Tbk, PT Bank SMBC Indonesia</t>
  </si>
  <si>
    <t>BTPS, Bank BTPN Syariah, Bank BTPN Syariah Tbk, Bank Syariah, PT Bank BTPN Syariah, Syariah</t>
  </si>
  <si>
    <t>BUAH, PT Segar Kumala Indonesia, Segar Kumala Indonesia, Segar Kumala Indonesia Tbk</t>
  </si>
  <si>
    <t>BUDI, Budi Starch &amp; Sweetener, Budi Starch &amp; Sweetener Tbk, PT Budi Starch &amp; Sweetener</t>
  </si>
  <si>
    <t>BUKA, Bukalapak Tbk, PT Bukalapak.com</t>
  </si>
  <si>
    <t>BUKK, Bukaka Teknik Utama, Bukaka Teknik Utama Tbk, PT Bukaka Teknik Utama</t>
  </si>
  <si>
    <t>BULL, Buana Lintas Lautan, Buana Lintas Lautan Tbk, PT Buana Lintas Lautan</t>
  </si>
  <si>
    <t>BUMI, Bumi Resources, Bumi Resources Tbk, PT Bumi Resources</t>
  </si>
  <si>
    <t>BUVA, Bukit Uluwatu Villa, Bukit Uluwatu Villa Tbk, PT Bukit Uluwatu Villa</t>
  </si>
  <si>
    <t>BVIC, Bank International, Bank Victoria International, Bank Victoria International Tbk, International, PT Bank Victoria International</t>
  </si>
  <si>
    <t>BWPT, Eagle High Plantations, Eagle High Plantations Tbk, PT Eagle High Plantations</t>
  </si>
  <si>
    <t>BYAN, Bayan Resources, Bayan Resources Tbk, PT Bayan Resources</t>
  </si>
  <si>
    <t>CAKK, Cahayaputra Asa Keramik, Cahayaputra Asa Keramik Tbk, PT Cahayaputra Asa Keramik</t>
  </si>
  <si>
    <t>CAMP, Campina Ice Cream Industry, Campina Ice Cream Industry Tbk, PT Campina Ice Cream Industry</t>
  </si>
  <si>
    <t>CANI, Capitol Nusantara Indonesia, Capitol Nusantara Indonesia Tbk, PT Capitol Nusantara Indonesia</t>
  </si>
  <si>
    <t>CARE, Metro Healthcare Indonesia, Metro Healthcare Indonesia Tbk, PT Metro Healthcare Indonesia</t>
  </si>
  <si>
    <t>CARS, Industri dan Perdagangan Bintraco Dharma, Industri dan Perdagangan Bintraco Dharma Tbk, PT Industri dan Perdagangan Bintraco Dharma</t>
  </si>
  <si>
    <t>CASA, Capital Financial Indonesia, Capital Financial Indonesia Tbk, PT Capital Financial Indonesia</t>
  </si>
  <si>
    <t>CASH, Cashlez Worldwide Indonesia, Cashlez Worldwide Indonesia Tbk, PT Cashlez Worldwide Indonesia</t>
  </si>
  <si>
    <t>CASS, Cahaya Aero Services, Cahaya Aero Services Tbk, PT Cahaya Aero Services</t>
  </si>
  <si>
    <t>CBDK, Bangun Kosambi Sukses, Bangun Kosambi Sukses Tbk, PT Bangun Kosambi Sukses</t>
  </si>
  <si>
    <t>CBMF, Cahaya Bintang Medan, Cahaya Bintang Medan Tbk, PT Cahaya Bintang Medan</t>
  </si>
  <si>
    <t>CBPE, Citra Buana Prasida, Citra Buana Prasida Tbk, PT Citra Buana Prasida</t>
  </si>
  <si>
    <t>CBRE, Cakra Buana Resources Energi, Cakra Buana Resources Energi Tbk, PT Cakra Buana Resources Energi</t>
  </si>
  <si>
    <t>CBUT, Citra Borneo Utama, Citra Borneo Utama Tbk, PT Citra Borneo Utama</t>
  </si>
  <si>
    <t>CCSI, Communication Cable Systems Indonesia, Communication Cable Systems Indonesia Tbk, PT Communication Cable Systems Indonesia</t>
  </si>
  <si>
    <t>CDIA, Chandra Daya Investasi, Chandra Daya Investasi Tbk, PT Chandra Daya Investasi</t>
  </si>
  <si>
    <t>CEKA, PT Wilmar Cahaya Indonesia, Wilmar Cahaya Indonesia, Wilmar Cahaya Indonesia Tbk</t>
  </si>
  <si>
    <t>CENT, Centratama Telekomunikasi Indonesia, Centratama Telekomunikasi Indonesia Tbk, PT Centratama Telekomunikasi Indonesia</t>
  </si>
  <si>
    <t>CFIN, Clipan Finance Indonesia, Clipan Finance Indonesia Tbk, PT Clipan Finance Indonesia</t>
  </si>
  <si>
    <t>CGAS, Citra Nusantara Gemilang, Citra Nusantara Gemilang Tbk, PT Citra Nusantara Gemilang</t>
  </si>
  <si>
    <t>CHEK, Diastika Biotekindo, Diastika Biotekindo Tbk, PT Diastika Biotekindo</t>
  </si>
  <si>
    <t>CHEM, Chemstar Indonesia, Chemstar Indonesia Tbk, PT Chemstar Indonesia</t>
  </si>
  <si>
    <t>CHIP, PT Pelita Teknologi Global, Pelita Teknologi Global, Pelita Teknologi Global Tbk</t>
  </si>
  <si>
    <t>CINT, Chitose Internasional, Chitose Internasional Tbk, PT Chitose Internasional</t>
  </si>
  <si>
    <t>CITA, Cita Mineral Investindo, Cita Mineral Investindo Tbk, PT Cita Mineral Investindo</t>
  </si>
  <si>
    <t>CITY, Natura City Developments, Natura City Developments Tbk, PT Natura City Developments</t>
  </si>
  <si>
    <t>CLAY, Citra Putra Realty, Citra Putra Realty Tbk, PT Citra Putra Realty</t>
  </si>
  <si>
    <t>CLEO, PT Sariguna Primatirta, Sariguna Primatirta, Sariguna Primatirta Tbk</t>
  </si>
  <si>
    <t>CLPI, Colorpak Indonesia, Colorpak Indonesia Tbk, PT Colorpak Indonesia</t>
  </si>
  <si>
    <t>CMNP, Citra Marga Nusaphala Persada, Citra Marga Nusaphala Persada Tbk, PT Citra Marga Nusaphala Persada</t>
  </si>
  <si>
    <t>CMNT, Cemindo Gemilang, Cemindo Gemilang Tbk, PT Cemindo Gemilang</t>
  </si>
  <si>
    <t>CMPP, AirAsia Indonesia, AirAsia Indonesia Tbk, PT AirAsia Indonesia</t>
  </si>
  <si>
    <t>CMRY, Cisarua Mountain Dairy, Cisarua Mountain Dairy Tbk, PT Cisarua Mountain Dairy</t>
  </si>
  <si>
    <t>CNKO, Exploitasi Energi Indonesia, Exploitasi Energi Indonesia Tbk, PT Exploitasi Energi Indonesia</t>
  </si>
  <si>
    <t>CNMA, Nusantara Sejahtera Raya, Nusantara Sejahtera Raya Tbk, PT Nusantara Sejahtera Raya</t>
  </si>
  <si>
    <t>CNTX, Century Textile Industry, Century Textile Industry Tbk, PT Century Textile Industry</t>
  </si>
  <si>
    <t>COAL, Black Diamond Resources, Black Diamond Resources Tbk, PT Black Diamond Resources</t>
  </si>
  <si>
    <t>COCO, PT Wahana Interfood Nusantara, Wahana Interfood Nusantara, Wahana Interfood Nusantara Tbk</t>
  </si>
  <si>
    <t>COIN, INDOKRIO KOIN SEMESTA, Indokrio Koin Semesta, Indokrio Koin Semesta Tbk, IndokrioKoinSemesta, PT Indokrio Koin Semesta, indokrio koin semesta</t>
  </si>
  <si>
    <t>COWL, Cowell Development, Cowell Development Tbk, PT Cowell Development</t>
  </si>
  <si>
    <t>CPIN, Charoen Pokphand Indonesia, Charoen Pokphand Indonesia Tbk, PT Charoen Pokphand Indonesia</t>
  </si>
  <si>
    <t>CPRI, Capri Nusa Satu Properti, Capri Nusa Satu Properti Tbk, PT Capri Nusa Satu Properti</t>
  </si>
  <si>
    <t>CPRO, Central Proteina Prima, Central Proteina Prima Tbk, PT Central Proteina Prima</t>
  </si>
  <si>
    <t>CRAB, PT Toba Surimi Industries, Toba Surimi Industries, Toba Surimi Industries Tbk</t>
  </si>
  <si>
    <t>CRSN Tbk, PT Carsurin</t>
  </si>
  <si>
    <t>CSAP, Catur Sentosa Adiprana, Catur Sentosa Adiprana Tbk, PT Catur Sentosa Adiprana</t>
  </si>
  <si>
    <t>CSIS, Cahayasakti Investindo Sukses, Cahayasakti Investindo Sukses Tbk, PT Cahayasakti Investindo Sukses</t>
  </si>
  <si>
    <t>CSMI, CIA SELERA MURNI, Cia Selera Murni, Cia Selera Murni Tbk, CiaSeleraMurni, PT Cia Selera Murni, cia selera murni</t>
  </si>
  <si>
    <t>CSRA, Cisadane Sawit Raya, Cisadane Sawit Raya Tbk, PT Cisadane Sawit Raya</t>
  </si>
  <si>
    <t>CTBN, Citra Tubindo, Citra Tubindo Tbk, PT Citra Tubindo</t>
  </si>
  <si>
    <t>CTRA, Ciputra Development, Ciputra Development Tbk, PT Ciputra Development</t>
  </si>
  <si>
    <t>CTTH Tbk, PT Citatah</t>
  </si>
  <si>
    <t>CUAN, PT Petrindo Jaya Kreasi, Petrindo Jaya Kreasi, Petrindo Jaya Kreasi Tbk</t>
  </si>
  <si>
    <t>CYBR, ITSEC Asia, ITSEC Asia Tbk, PT ITSEC Asia</t>
  </si>
  <si>
    <t>DAAZ, Daaz Bara Lestari, Daaz Bara Lestari Tbk, PT Daaz Bara Lestari</t>
  </si>
  <si>
    <t>DADA, Diamond Citra Propertindo, Diamond Citra Propertindo Tbk, PT Diamond Citra Propertindo</t>
  </si>
  <si>
    <t>DART, Duta Anggada Realty, Duta Anggada Realty Tbk, PT Duta Anggada Realty</t>
  </si>
  <si>
    <t>DATA, PT Remala Abadi, Remala Abadi, Remala Abadi Tbk</t>
  </si>
  <si>
    <t>DAYA, Duta Intidaya, Duta Intidaya Tbk, PT Duta Intidaya</t>
  </si>
  <si>
    <t>DCII, DCI, DCI Indonesia, DCI Indonesia Tbk, PT DCI Indonesia</t>
  </si>
  <si>
    <t>DEAL, Dewata Freightinternational, Dewata Freightinternational Tbk, PT Dewata Freightinternational</t>
  </si>
  <si>
    <t>DEFI, Danasupra Erapacific, Danasupra Erapacific Tbk, PT Danasupra Erapacific</t>
  </si>
  <si>
    <t>DEPO, Caturkarda Depo Bangunan, Caturkarda Depo Bangunan Tbk, PT Caturkarda Depo Bangunan</t>
  </si>
  <si>
    <t>DEWA, Darma Henwa, Darma Henwa Tbk, PT Darma Henwa</t>
  </si>
  <si>
    <t>DEWI, Dewi Shri Farmindo, Dewi Shri Farmindo Tbk, PT Dewi Shri Farmindo</t>
  </si>
  <si>
    <t>DFAM, Dafam Property Indonesia, Dafam Property Indonesia Tbk, PT Dafam Property Indonesia</t>
  </si>
  <si>
    <t>DGIK, Nusa Konstruksi Enjiniring, Nusa Konstruksi Enjiniring Tbk, PT Nusa Konstruksi Enjiniring</t>
  </si>
  <si>
    <t>DGNS, Diagnos, Diagnos Laboratorium Utama, Diagnos Laboratorium Utama Tbk, PT Diagnos Laboratorium Utama</t>
  </si>
  <si>
    <t>DGWG, Delta Giri Wacana, Delta Giri Wacana Tbk, PT Delta Giri Wacana</t>
  </si>
  <si>
    <t>DIGI, Arkadia Digital Media, Arkadia Digital Media Tbk, PT Arkadia Digital Media</t>
  </si>
  <si>
    <t>DILD, Intiland Development, Intiland Development Tbk, PT Intiland Development</t>
  </si>
  <si>
    <t>DIVA, Distribusi Voucher Nusantara, Distribusi Voucher Nusantara Tbk, PT Distribusi Voucher Nusantara</t>
  </si>
  <si>
    <t>DKFT, Central Omega Resources, Central Omega Resources Tbk, PT Central Omega Resources</t>
  </si>
  <si>
    <t>DKHH, CIA SARANA MEDIKA, Cia Sarana Medika, Cia Sarana Medika Tbk, CiaSaranaMedika, PT Cia Sarana Medika, cia sarana medika</t>
  </si>
  <si>
    <t>DLTA, Delta Djakarta, Delta Djakarta Tbk, PT Delta Djakarta</t>
  </si>
  <si>
    <t>DMAS, PT Puradelta Lestari, Puradelta Lestari, Puradelta Lestari Tbk</t>
  </si>
  <si>
    <t>DMMX, Digital Mediatama Maxima, Digital Mediatama Maxima Tbk, PT Digital Mediatama Maxima</t>
  </si>
  <si>
    <t>DMND, Diamond Food Indonesia, Diamond Food Indonesia Tbk, PT Diamond Food Indonesia</t>
  </si>
  <si>
    <t>DNAR, Bank Oke Indonesia, Bank Oke Indonesia Tbk, PT Bank Oke Indonesia</t>
  </si>
  <si>
    <t>DNET, Indoritel Makmur Internasional, Indoritel Makmur Internasional Tbk, PT Indoritel Makmur Internasional</t>
  </si>
  <si>
    <t>DOID, BUMA Internasional Grup, BUMA Internasional Grup Tbk, PT BUMA Internasional Grup</t>
  </si>
  <si>
    <t>DOOH, Era Media Sejahtera, Era Media Sejahtera Tbk, PT Era Media Sejahtera</t>
  </si>
  <si>
    <t>DOSS, Global Sukses Digital, Global Sukses Digital Tbk, PT Global Sukses Digital</t>
  </si>
  <si>
    <t>DPNS, Duta Pertiwi Nusantara, Duta Pertiwi Nusantara Tbk, PT Duta Pertiwi Nusantara</t>
  </si>
  <si>
    <t>DPUM, Dua Putra Utama Makmur, Dua Putra Utama Makmur Tbk, PT Dua Putra Utama Makmur</t>
  </si>
  <si>
    <t>DRMA, Dharma Polimetal, Dharma Polimetal Tbk, PT Dharma Polimetal</t>
  </si>
  <si>
    <t>DSFI, Dharma Samudera Fishing Industries, Dharma Samudera Fishing Industries Tbk, PT Dharma Samudera Fishing Industries</t>
  </si>
  <si>
    <t>DSNG, Dharma Satya Nusantara, Dharma Satya Nusantara Tbk, PT Dharma Satya Nusantara</t>
  </si>
  <si>
    <t>DSSA, Dian Swastatika Sentosa, Dian Swastatika Sentosa Tbk, PT Dian Swastatika Sentosa</t>
  </si>
  <si>
    <t>DUCK, Jaya Bersama Indo, Jaya Bersama Indo Tbk, PT Jaya Bersama Indo</t>
  </si>
  <si>
    <t>DUTI, Duta Pertiwi, Duta Pertiwi Tbk, PT Duta Pertiwi</t>
  </si>
  <si>
    <t>DVLA, Darya-Varia Laboratoria, Darya-Varia Laboratoria Tbk, PT Darya-Varia Laboratoria</t>
  </si>
  <si>
    <t>DWGL, Dwi Guna Laksana, Dwi Guna Laksana Tbk, PT Dwi Guna Laksana</t>
  </si>
  <si>
    <t>DYAN, Dyandra Media International, Dyandra Media International Tbk, PT Dyandra Media International</t>
  </si>
  <si>
    <t>EAST, Eastparc Hotel, Eastparc Hotel Tbk, PT Eastparc Hotel</t>
  </si>
  <si>
    <t>ECII, Electronic City Indonesia, Electronic City Indonesia Tbk, PT Electronic City Indonesia</t>
  </si>
  <si>
    <t>EDGE Tbk, PT Indointernet</t>
  </si>
  <si>
    <t>EKAD, Ekadharma International, Ekadharma International Tbk, PT Ekadharma International</t>
  </si>
  <si>
    <t>ELIT, Data Sinergitama Jaya, Data Sinergitama Jaya Tbk, PT Data Sinergitama Jaya</t>
  </si>
  <si>
    <t>ELPI, PT Pelayaran Nasional Ekalya Purnamasari, Pelayaran Nasional Ekalya Purnamasari, Pelayaran Nasional Ekalya Purnamasari Tbk</t>
  </si>
  <si>
    <t>ELSA Tbk, PT Elnusa</t>
  </si>
  <si>
    <t>ELTY, Bakrieland Development, Bakrieland Development Tbk, PT Bakrieland Development</t>
  </si>
  <si>
    <t>EMAS, Merdeka Gold Resources, Merdeka Gold Resources Tbk, PT Merdeka Gold Resources</t>
  </si>
  <si>
    <t>EMDE, Megapolitan Developments, Megapolitan Developments Tbk, PT Megapolitan Developments</t>
  </si>
  <si>
    <t>EMTK, Elang Mahkota Teknologi, Elang Mahkota Teknologi Tbk, PT Elang Mahkota Teknologi</t>
  </si>
  <si>
    <t>ENAK, Champ Resto Indonesia, Champ Resto Indonesia Tbk, PT Champ Resto Indonesia</t>
  </si>
  <si>
    <t>ENRG, EMP, Energi Mega Persada, Energi Mega Persada Tbk, PT Energi Mega Persada</t>
  </si>
  <si>
    <t>ENVY, Envy Technologies Indonesia, Envy Technologies Indonesia Tbk, PT Envy Technologies Indonesia</t>
  </si>
  <si>
    <t>ENZO, Morenzo Abadi Perkasa, Morenzo Abadi Perkasa Tbk, PT Morenzo Abadi Perkasa</t>
  </si>
  <si>
    <t>EPAC, Megalestari Epack Sentosaraya, Megalestari Epack Sentosaraya Tbk, PT Megalestari Epack Sentosaraya</t>
  </si>
  <si>
    <t>EPMT, Enseval Putera Megatrading, Enseval Putera Megatrading Tbk, PT Enseval Putera Megatrading</t>
  </si>
  <si>
    <t>ERAA, Erajaya Swasembada, Erajaya Swasembada Tbk, PT Erajaya Swasembada</t>
  </si>
  <si>
    <t>ERAL, PT Sinar Eka Selaras, SES, Sinar Eka Selaras, Sinar Eka Selaras Tbk</t>
  </si>
  <si>
    <t>ERTX, Eratex Djaja, Eratex Djaja Tbk, PT Eratex Djaja</t>
  </si>
  <si>
    <t>ESIP, PT Sinergi Inti Plastindo, Sinergi Inti Plastindo, Sinergi Inti Plastindo Tbk</t>
  </si>
  <si>
    <t>ESSA, ESSA Industries Indonesia, ESSA Industries Indonesia Tbk, PT ESSA Industries Indonesia</t>
  </si>
  <si>
    <t>ESTA, Esta Multi Usaha, Esta Multi Usaha Tbk, PT Esta Multi Usaha</t>
  </si>
  <si>
    <t>ESTI, Ever Shine Tex, Ever Shine Tex Tbk, PT Ever Shine Tex</t>
  </si>
  <si>
    <t>ETWA, Eterindo Wahanatama, Eterindo Wahanatama Tbk, PT Eterindo Wahanatama</t>
  </si>
  <si>
    <t>EURO, Estee Gold Feet, Estee Gold Feet Tbk, PT Estee Gold Feet</t>
  </si>
  <si>
    <t>EXCL, PT XLSMART Telecom Sejahtera, XLSMART Telecom Sejahtera, XLSMART Telecom Sejahtera Tbk, XTS</t>
  </si>
  <si>
    <t>FAPA, FAP Agri, FAP Agri Tbk, PT FAP Agri</t>
  </si>
  <si>
    <t>FAST, Fast Food Indonesia, Fast Food Indonesia Tbk, PT Fast Food Indonesia</t>
  </si>
  <si>
    <t>FASW, Fajar Surya Wisesa, Fajar Surya Wisesa Tbk, PT Fajar Surya Wisesa</t>
  </si>
  <si>
    <t>FILM, MD Entertainment, MD Entertainment Tbk, PT MD Entertainment</t>
  </si>
  <si>
    <t>FIMP, Fimperkasa Utama, Fimperkasa Utama Tbk, PT Fimperkasa Utama</t>
  </si>
  <si>
    <t>FIRE, Alfa Energi Investama, Alfa Energi Investama Tbk, PT Alfa Energi Investama</t>
  </si>
  <si>
    <t>FISH, FKS Multi Agro, FKS Multi Agro Tbk, PT FKS Multi Agro</t>
  </si>
  <si>
    <t>FITT, Hotel Fitra International, Hotel Fitra International Tbk, PT Hotel Fitra International</t>
  </si>
  <si>
    <t>FLMC, Falmaco Nonwoven Industri, Falmaco Nonwoven Industri Tbk, PT Falmaco Nonwoven Industri</t>
  </si>
  <si>
    <t>FMII, Fortune Mate Indonesia, Fortune Mate Indonesia Tbk, PT Fortune Mate Indonesia</t>
  </si>
  <si>
    <t>FOLK, Multi Garam Utama, Multi Garam Utama Tbk, PT Multi Garam Utama</t>
  </si>
  <si>
    <t>FOOD, PT Sentra Food Indonesia, Sentra Food Indonesia, Sentra Food Indonesia Tbk</t>
  </si>
  <si>
    <t>FORE, Fore Kopi Indonesia, Fore Kopi Indonesia Tbk, PT Fore Kopi Indonesia</t>
  </si>
  <si>
    <t>FORU, Fortune Indonesia, Fortune Indonesia Tbk, PT Fortune Indonesia</t>
  </si>
  <si>
    <t>FPNI, Lotte Chemical Titan, Lotte Chemical Titan Tbk, PT Lotte Chemical Titan</t>
  </si>
  <si>
    <t>FREN, PT Smartfren Telecom, Smartfren Telecom, Smartfren Telecom Tbk</t>
  </si>
  <si>
    <t>FUJI, Fuji Finance Indonesia, Fuji Finance Indonesia Tbk, PT Fuji Finance Indonesia</t>
  </si>
  <si>
    <t>FUTR, Futura Energi Global, Futura Energi Global Tbk, PT Futura Energi Global</t>
  </si>
  <si>
    <t>FWCT, PT Wijaya Cahaya Timber, WCT, Wijaya Cahaya Timber, Wijaya Cahaya Timber Tbk</t>
  </si>
  <si>
    <t>GAMA, Aksara Global Development, Aksara Global Development Tbk, PT Aksara Global Development</t>
  </si>
  <si>
    <t>GDST, Gunawan Dianjaya Steel, Gunawan Dianjaya Steel Tbk, PT Gunawan Dianjaya Steel</t>
  </si>
  <si>
    <t>GDYR, GI, Goodyear Indonesia, Goodyear Indonesia Tbk, PT Goodyear Indonesia</t>
  </si>
  <si>
    <t>GEMA, Gema Grahasarana, Gema Grahasarana Tbk, PT Gema Grahasarana</t>
  </si>
  <si>
    <t>GEMS, Golden Energy Mines, Golden Energy Mines Tbk, PT Golden Energy Mines</t>
  </si>
  <si>
    <t>GGRM, Gudang Garam, Gudang Garam Tbk, PT Gudang Garam</t>
  </si>
  <si>
    <t>GGRP, Gunung Raja Paksi, Gunung Raja Paksi Tbk, PT Gunung Raja Paksi</t>
  </si>
  <si>
    <t>GHON, GTI, Gihon Telekomunikasi Indonesia, Gihon Telekomunikasi Indonesia Tbk, PT Gihon Telekomunikasi Indonesia</t>
  </si>
  <si>
    <t>GIAA, Garuda Indonesia (Persero), Garuda Indonesia (Persero) Tbk, PT Garuda Indonesia (Persero)</t>
  </si>
  <si>
    <t>GJTL, Gajah Tunggal, Gajah Tunggal Tbk, PT Gajah Tunggal</t>
  </si>
  <si>
    <t>GLOB, Globe Kita Terang, Globe Kita Terang Tbk, PT Globe Kita Terang</t>
  </si>
  <si>
    <t>GLVA, Galva Technologies, Galva Technologies Tbk, PT Galva Technologies</t>
  </si>
  <si>
    <t>GMFI, Garuda Maintenance Facility Aero Asia, Garuda Maintenance Facility Aero Asia Tbk, PT Garuda Maintenance Facility Aero Asia</t>
  </si>
  <si>
    <t>GMTD, Gowa Makassar Tourism Development, Gowa Makassar Tourism Development Tbk, PT Gowa Makassar Tourism Development</t>
  </si>
  <si>
    <t>GOLD, PT Visi Telekomunikasi Infrastruktur, Visi Telekomunikasi Infrastruktur, Visi Telekomunikasi Infrastruktur Tbk</t>
  </si>
  <si>
    <t>GOLF, Intra Golflink Resorts, Intra Golflink Resorts Tbk, PT Intra Golflink Resorts</t>
  </si>
  <si>
    <t>GOLL, Golden Plantation, Golden Plantation Tbk, PT Golden Plantation</t>
  </si>
  <si>
    <t>GOOD, Garudafood Putra Putri Jaya, Garudafood Putra Putri Jaya Tbk, PT Garudafood Putra Putri Jaya</t>
  </si>
  <si>
    <t>GOTO, GoTo Gojek Tokopedia, GoTo Gojek Tokopedia Tbk, PT GoTo Gojek Tokopedia</t>
  </si>
  <si>
    <t>GPRA, PT Perdana Gapuraprima, Perdana Gapuraprima, Perdana Gapuraprima Tbk</t>
  </si>
  <si>
    <t>GPSO, Geoprima Solusi, Geoprima Solusi Tbk, PT Geoprima Solusi</t>
  </si>
  <si>
    <t>GRIA, Ingria Pratama Capitalindo, Ingria Pratama Capitalindo Tbk, PT Ingria Pratama Capitalindo</t>
  </si>
  <si>
    <t>GRPH, GRIHA PUTRA PERSADA, Griha Putra Persada, Griha Putra Persada Tbk, GrihaPutraPersada, PT Griha Putra Persada, griha putra persada</t>
  </si>
  <si>
    <t>GRPM, Graha Prima Mentari, Graha Prima Mentari Tbk, PT Graha Prima Mentari</t>
  </si>
  <si>
    <t>GSMF, Equity Development Investment, Equity Development Investment Tbk, PT Equity Development Investment</t>
  </si>
  <si>
    <t>GTBO, Garda Tujuh Buana, Garda Tujuh Buana Tbk, PT Garda Tujuh Buana</t>
  </si>
  <si>
    <t>GTRA, Grahaprima Suksesmandiri, Grahaprima Suksesmandiri Tbk, PT Grahaprima Suksesmandiri</t>
  </si>
  <si>
    <t>GTSI, GTS Internasional, GTS Internasional Tbk, PT GTS Internasional</t>
  </si>
  <si>
    <t>GULA, Aman Agrindo, Aman Agrindo Tbk, PT Aman Agrindo</t>
  </si>
  <si>
    <t>GUNA, Gunanusa Eramandiri, Gunanusa Eramandiri Tbk, PT Gunanusa Eramandiri</t>
  </si>
  <si>
    <t>GWSA, Greenwood Sejahtera, Greenwood Sejahtera Tbk, PT Greenwood Sejahtera</t>
  </si>
  <si>
    <t>GZCO, Gozco Plantations, Gozco Plantations Tbk, PT Gozco Plantations</t>
  </si>
  <si>
    <t>HADE, Himalaya Energi Perkasa, Himalaya Energi Perkasa Tbk, PT Himalaya Energi Perkasa</t>
  </si>
  <si>
    <t>HAIS, Hasnur Internasional Shipping, Hasnur Internasional Shipping Tbk, PT Hasnur Internasional Shipping</t>
  </si>
  <si>
    <t>HAJJ, Arsy Buana Travelindo, Arsy Buana Travelindo Tbk, PT Arsy Buana Travelindo</t>
  </si>
  <si>
    <t>HALO, Haloni Jane, Haloni Jane Tbk, PT Haloni Jane</t>
  </si>
  <si>
    <t>HATM, Habco Trans Maritima, Habco Trans Maritima Tbk, PT Habco Trans Maritima</t>
  </si>
  <si>
    <t>HBAT, Minahasa Membangun Hebat, Minahasa Membangun Hebat Tbk, PT Minahasa Membangun Hebat</t>
  </si>
  <si>
    <t>HDFA, PT Radana Bhaskara Finance, Radana Bhaskara Finance, Radana Bhaskara Finance Tbk</t>
  </si>
  <si>
    <t>HDIT, Hensel Davest Indonesia, Hensel Davest Indonesia Tbk, PT Hensel Davest Indonesia</t>
  </si>
  <si>
    <t>HEAL, Medikaloka Hermina, Medikaloka Hermina Tbk, PT Medikaloka Hermina</t>
  </si>
  <si>
    <t>HELI, Jaya Trishindo, Jaya Trishindo Tbk, PT Jaya Trishindo</t>
  </si>
  <si>
    <t>HERO, DFI Retail Nusantara, DFI Retail Nusantara Tbk, PT DFI Retail Nusantara</t>
  </si>
  <si>
    <t>HEXA, Hexindo Adiperkasa, Hexindo Adiperkasa Tbk, PT Hexindo Adiperkasa</t>
  </si>
  <si>
    <t>HGII, Hero Global Investment, Hero Global Investment Tbk, PT Hero Global Investment</t>
  </si>
  <si>
    <t>HILL Tbk, PT Hillcon</t>
  </si>
  <si>
    <t>HITS, Humpuss Intermoda Transportasi, Humpuss Intermoda Transportasi Tbk, PT Humpuss Intermoda Transportasi</t>
  </si>
  <si>
    <t>HKMU, HK Metals Utama, HK Metals Utama Tbk, PT HK Metals Utama</t>
  </si>
  <si>
    <t>HMSP, H.M. Sampoerna, H.M. Sampoerna Tbk, PT H.M. Sampoerna</t>
  </si>
  <si>
    <t>HOKI, Buyung Poetra Sembada, Buyung Poetra Sembada Tbk, PT Buyung Poetra Sembada</t>
  </si>
  <si>
    <t>HOME, Hotel Mandarine Regency, Hotel Mandarine Regency Tbk, PT Hotel Mandarine Regency</t>
  </si>
  <si>
    <t>HOMI, Grand House Mulia, Grand House Mulia Tbk, PT Grand House Mulia</t>
  </si>
  <si>
    <t>HOPE, Harapan Duta Pertiwi, Harapan Duta Pertiwi Tbk, PT Harapan Duta Pertiwi</t>
  </si>
  <si>
    <t>HOTL, PT Saraswati Griya Lestari, Saraswati Griya Lestari, Saraswati Griya Lestari Tbk</t>
  </si>
  <si>
    <t>HRME, MHR, Menteng Heritage Realty, Menteng Heritage Realty Tbk, PT Menteng Heritage Realty</t>
  </si>
  <si>
    <t>HRTA, Hartadinata Abadi, Hartadinata Abadi Tbk, PT Hartadinata Abadi</t>
  </si>
  <si>
    <t>HRUM, Harum Energy, Harum Energy Tbk, PT Harum Energy</t>
  </si>
  <si>
    <t>HUMI, Humpuss Maritim Internasional, Humpuss Maritim Internasional Tbk, PT Humpuss Maritim Internasional</t>
  </si>
  <si>
    <t>HYGN, Ecocare Indo Pasifik, Ecocare Indo Pasifik Tbk, PT Ecocare Indo Pasifik</t>
  </si>
  <si>
    <t>IATA, MNC Energy Investments, MNC Energy Investments Tbk, PT MNC Energy Investments</t>
  </si>
  <si>
    <t>IBFN, Intan Baru Prana, Intan Baru Prana Tbk, PT Intan Baru Prana</t>
  </si>
  <si>
    <t>IBOS, Indo Boga Sukses, Indo Boga Sukses Tbk, PT Indo Boga Sukses</t>
  </si>
  <si>
    <t>IBST, Inti Bangun Sejahtera, Inti Bangun Sejahtera Tbk, PT Inti Bangun Sejahtera</t>
  </si>
  <si>
    <t>ICBP, Indofood CBP Sukses Makmur, Indofood CBP Sukses Makmur Tbk, PT Indofood CBP Sukses Makmur</t>
  </si>
  <si>
    <t>ICON, ISLAND CONCES INDONESIA, Island Conces Indonesia, Island Conces Indonesia Tbk, IslandConcesIndonesia, PT Island Conces Indonesia, island conces indonesia</t>
  </si>
  <si>
    <t>IDEA, Idea Indonesia Akademi, Idea Indonesia Akademi Tbk, PT Idea Indonesia Akademi</t>
  </si>
  <si>
    <t>IDPR, Indonesia Pondasi Raya, Indonesia Pondasi Raya Tbk, PT Indonesia Pondasi Raya</t>
  </si>
  <si>
    <t>IFII, Indonesia Fibreboard Industry, Indonesia Fibreboard Industry Tbk, PT Indonesia Fibreboard Industry</t>
  </si>
  <si>
    <t>IFSH Tbk, PT Ifishdeco</t>
  </si>
  <si>
    <t>IGAR, Champion Pacific Indonesia, Champion Pacific Indonesia Tbk, PT Champion Pacific Indonesia</t>
  </si>
  <si>
    <t>IIKP, Inti Agri Resources, Inti Agri Resources Tbk, PT Inti Agri Resources</t>
  </si>
  <si>
    <t>IKAI, Intikeramik Alamasri Industri, Intikeramik Alamasri Industri Tbk, PT Intikeramik Alamasri Industri</t>
  </si>
  <si>
    <t>IKAN, Era Mandiri Cemerlang, Era Mandiri Cemerlang Tbk, PT Era Mandiri Cemerlang</t>
  </si>
  <si>
    <t>IKBI, PT Sumi Indo Kabel, Sumi Indo Kabel, Sumi Indo Kabel Tbk</t>
  </si>
  <si>
    <t>IKPM, Ikapharmindo Putramas, Ikapharmindo Putramas Tbk, PT Ikapharmindo Putramas</t>
  </si>
  <si>
    <t>IMAS, Indomobil Sukses Internasional, Indomobil Sukses Internasional Tbk, PT Indomobil Sukses Internasional</t>
  </si>
  <si>
    <t>IMJS, Indomobil Multi Jasa, Indomobil Multi Jasa Tbk, PT Indomobil Multi Jasa</t>
  </si>
  <si>
    <t>IMPC, Impack Pratama Industri, Impack Pratama Industri Tbk, PT Impack Pratama Industri</t>
  </si>
  <si>
    <t>INAF Tbk, PT Indofarma</t>
  </si>
  <si>
    <t>INAI, Indal Aluminium Industry, Indal Aluminium Industry Tbk, PT Indal Aluminium Industry</t>
  </si>
  <si>
    <t>INCF, Indo Komoditi Korpora, Indo Komoditi Korpora Tbk, PT Indo Komoditi Korpora</t>
  </si>
  <si>
    <t>INCI, Intanwijaya Internasional, Intanwijaya Internasional Tbk, PT Intanwijaya Internasional</t>
  </si>
  <si>
    <t>INCO, PT Vale Indonesia, Vale Indonesia, Vale Indonesia Tbk</t>
  </si>
  <si>
    <t>INDF, Indofood Sukses Makmur, Indofood Sukses Makmur Tbk, PT Indofood Sukses Makmur</t>
  </si>
  <si>
    <t>INDO, PT Royalindo Investa Wijaya, Royalindo Investa Wijaya, Royalindo Investa Wijaya Tbk</t>
  </si>
  <si>
    <t>INDR, Indorama Synthetics, Indorama Synthetics Tbk, PT Indorama Synthetics</t>
  </si>
  <si>
    <t>INDS Tbk, PT Indospring</t>
  </si>
  <si>
    <t>INDX, PT Tanah Laut, Tanah Laut, Tanah Laut Tbk</t>
  </si>
  <si>
    <t>INDY, Indika Energy, Indika Energy Tbk, PT Indika Energy</t>
  </si>
  <si>
    <t>INET, PT Sinergi Inti Andalan Prima, Sinergi Inti Andalan Prima, Sinergi Inti Andalan Prima Tbk</t>
  </si>
  <si>
    <t>INKP, Indah Kiat Pulp &amp; Paper, Indah Kiat Pulp &amp; Paper Tbk, PT Indah Kiat Pulp &amp; Paper</t>
  </si>
  <si>
    <t>INOV, Inocycle Technology Group, Inocycle Technology Group Tbk, PT Inocycle Technology Group</t>
  </si>
  <si>
    <t>INPC, Bank Artha Graha, Bank Artha Graha Internasional, Bank Artha Graha Internasional Tbk, Bank Internasional, Internasional, PT Bank Artha Graha Internasional</t>
  </si>
  <si>
    <t>INPP, Indonesian Paradise Property, Indonesian Paradise Property Tbk, PT Indonesian Paradise Property</t>
  </si>
  <si>
    <t>INPS, Indah Prakasa Sentosa, Indah Prakasa Sentosa Tbk, PT Indah Prakasa Sentosa</t>
  </si>
  <si>
    <t>INRU, PT Toba Pulp Lestari, Toba Pulp Lestari, Toba Pulp Lestari Tbk</t>
  </si>
  <si>
    <t>INTA, Intraco Penta, Intraco Penta Tbk, PT Intraco Penta</t>
  </si>
  <si>
    <t>INTD, Inter Delta, Inter Delta Tbk, PT Inter Delta</t>
  </si>
  <si>
    <t>INTP, Indocement Tunggal Prakarsa, Indocement Tunggal Prakarsa Tbk, PT Indocement Tunggal Prakarsa</t>
  </si>
  <si>
    <t>IOTF, PT Sumber Sinergi Makmur, Sumber Sinergi Makmur, Sumber Sinergi Makmur Tbk</t>
  </si>
  <si>
    <t>IPAC, Era Graharealty, Era Graharealty Tbk, PT Era Graharealty</t>
  </si>
  <si>
    <t>IPCC, Indonesia Kendaraan Terminal, Indonesia Kendaraan Terminal Tbk, PT Indonesia Kendaraan Terminal</t>
  </si>
  <si>
    <t>IPCM, Jasa Armada Indonesia, Jasa Armada Indonesia Tbk, PT Jasa Armada Indonesia</t>
  </si>
  <si>
    <t>IPOL, Indopoly Swakarsa Industry, Indopoly Swakarsa Industry Tbk, PT Indopoly Swakarsa Industry</t>
  </si>
  <si>
    <t>IPPE, Indo Pureco Pratama, Indo Pureco Pratama Tbk, PT Indo Pureco Pratama</t>
  </si>
  <si>
    <t>IPTV, MNC Vision Networks, MNC Vision Networks Tbk, PT MNC Vision Networks</t>
  </si>
  <si>
    <t>IRRA, Itama Ranoraya, Itama Ranoraya Tbk, PT Itama Ranoraya</t>
  </si>
  <si>
    <t>IRSX, Folago Global Nusantara, Folago Global Nusantara Tbk, PT Folago Global Nusantara</t>
  </si>
  <si>
    <t>ISAP, Isra Presisi Indonesia, Isra Presisi Indonesia Tbk, PT Isra Presisi Indonesia</t>
  </si>
  <si>
    <t>ISAT Tbk, PT Indosat</t>
  </si>
  <si>
    <t>ISEA, Indo American Seafoods, Indo American Seafoods Tbk, PT Indo American Seafoods</t>
  </si>
  <si>
    <t>ISSP, PT Steel Pipe Industry of Indonesia, Steel Pipe Industry of Indonesia, Steel Pipe Industry of Indonesia Tbk</t>
  </si>
  <si>
    <t>ITIC, Indonesian Tobacco, Indonesian Tobacco Tbk, PT Indonesian Tobacco</t>
  </si>
  <si>
    <t>ITMA, PT Sumber Energi Andalan, Sumber Energi Andalan, Sumber Energi Andalan Tbk</t>
  </si>
  <si>
    <t>ITMG, Indo Tambangraya Megah, Indo Tambangraya Megah Tbk, PT Indo Tambangraya Megah</t>
  </si>
  <si>
    <t>JARR, Jhonlin, Jhonlin Agro Raya, Jhonlin Agro Raya Tbk, PT Jhonlin Agro Raya</t>
  </si>
  <si>
    <t>JAST, Jasnita Telekomindo, Jasnita Telekomindo Tbk, PT Jasnita Telekomindo</t>
  </si>
  <si>
    <t>JATI, Informasi Teknologi Indonesia, Informasi Teknologi Indonesia Tbk, PT Informasi Teknologi Indonesia</t>
  </si>
  <si>
    <t>JAWA, Jaya Agra Wattie, Jaya Agra Wattie Tbk, PT Jaya Agra Wattie</t>
  </si>
  <si>
    <t>JAYA, Armada Berjaya Trans, Armada Berjaya Trans Tbk, PT Armada Berjaya Trans</t>
  </si>
  <si>
    <t>JECC, Jembo Cable Company, Jembo Cable Company Tbk, PT Jembo Cable Company</t>
  </si>
  <si>
    <t>JGLE, Graha Andrasentra Propertindo, Graha Andrasentra Propertindo Tbk, PT Graha Andrasentra Propertindo</t>
  </si>
  <si>
    <t>JIHD, Jakarta International Hotels &amp; Development, Jakarta International Hotels &amp; Development Tbk, PT Jakarta International Hotels &amp; Development</t>
  </si>
  <si>
    <t>JKON, Jaya Konstruksi Manggala Pratama, Jaya Konstruksi Manggala Pratama Tbk, PT Jaya Konstruksi Manggala Pratama</t>
  </si>
  <si>
    <t>JMAS, Asuransi Jiwa Syariah Jasa Mitra Abadi, Asuransi Jiwa Syariah Jasa Mitra Abadi Tbk, PT Asuransi Jiwa Syariah Jasa Mitra Abadi</t>
  </si>
  <si>
    <t>JPFA, Japfa, Japfa Comfeed Indonesia, Japfa Comfeed Indonesia Tbk, PT Japfa Comfeed Indonesia</t>
  </si>
  <si>
    <t>JRPT, Jaya Real Property, Jaya Real Property Tbk, PT Jaya Real Property</t>
  </si>
  <si>
    <t>JSKY, PT Sky Energy Indonesia, Sky Energy Indonesia, Sky Energy Indonesia Tbk</t>
  </si>
  <si>
    <t>JSMR, Jasa Marga (Persero), Jasa Marga (Persero) Tbk, PT Jasa Marga (Persero)</t>
  </si>
  <si>
    <t>JSPT, Jakarta Setiabudi Internasional, Jakarta Setiabudi Internasional Tbk, PT Jakarta Setiabudi Internasional</t>
  </si>
  <si>
    <t>JTPE, Jasuindo Tiga Perkasa, Jasuindo Tiga Perkasa Tbk, PT Jasuindo Tiga Perkasa</t>
  </si>
  <si>
    <t>KAEF, Kimia Farma, Kimia Farma Tbk, PT Kimia Farma</t>
  </si>
  <si>
    <t>KAQI, Jantra Grupo Indonesia, Jantra Grupo Indonesia Tbk, PT Jantra Grupo Indonesia</t>
  </si>
  <si>
    <t>KARW, Meratus Jasa Prima, Meratus Jasa Prima Tbk, PT Meratus Jasa Prima</t>
  </si>
  <si>
    <t>KAYU, Darmi Bersaudara, Darmi Bersaudara Tbk, PT Darmi Bersaudara</t>
  </si>
  <si>
    <t>KBAG, Karya Bersama Anugerah, Karya Bersama Anugerah Tbk, PT Karya Bersama Anugerah</t>
  </si>
  <si>
    <t>KBLI, KMI Wire &amp; Cable, KMI Wire &amp; Cable Tbk, PT KMI Wire &amp; Cable</t>
  </si>
  <si>
    <t>KBLM, Kabelindo Murni, Kabelindo Murni Tbk, PT Kabelindo Murni</t>
  </si>
  <si>
    <t>KBLV, First Media, First Media Tbk, PT First Media</t>
  </si>
  <si>
    <t>KBRI, Kertas Basuki Rachmat Indonesia, Kertas Basuki Rachmat Indonesia Tbk, PT Kertas Basuki Rachmat Indonesia</t>
  </si>
  <si>
    <t>KDSI, Kedawung Setia Industrial, Kedawung Setia Industrial Tbk, PT Kedawung Setia Industrial</t>
  </si>
  <si>
    <t>KDTN, PT Puri Sentul Permai, Puri Sentul Permai, Puri Sentul Permai Tbk</t>
  </si>
  <si>
    <t>KEEN, Kencana Energi Lestari, Kencana Energi Lestari Tbk, PT Kencana Energi Lestari</t>
  </si>
  <si>
    <t>KEJU, Mulia Boga Raya, Mulia Boga Raya Tbk, PT Mulia Boga Raya</t>
  </si>
  <si>
    <t>KETR, Ketrosden Triasmitra, Ketrosden Triasmitra Tbk, PT Ketrosden Triasmitra</t>
  </si>
  <si>
    <t>KIAS, Keramika Indonesia Assosiasi, Keramika Indonesia Assosiasi Tbk, PT Keramika Indonesia Assosiasi</t>
  </si>
  <si>
    <t>KICI, Kedaung Indah Can, Kedaung Indah Can Tbk, PT Kedaung Indah Can</t>
  </si>
  <si>
    <t>KIJA, Kawasan Industri Jababeka, Kawasan Industri Jababeka Tbk, PT Kawasan Industri Jababeka</t>
  </si>
  <si>
    <t>KING, Hoffmen Cleanindo, Hoffmen Cleanindo Tbk, PT Hoffmen Cleanindo</t>
  </si>
  <si>
    <t>KINO, Kino Indonesia, Kino Indonesia Tbk, PT Kino Indonesia</t>
  </si>
  <si>
    <t>KIOS, Kioson Komersial Indonesia, Kioson Komersial Indonesia Tbk, PT Kioson Komersial Indonesia</t>
  </si>
  <si>
    <t>KJEN, Krida Jaringan Nusantara, Krida Jaringan Nusantara Tbk, PT Krida Jaringan Nusantara</t>
  </si>
  <si>
    <t>KKES, Kusuma Kemindo Sentosa, Kusuma Kemindo Sentosa Tbk, PT Kusuma Kemindo Sentosa</t>
  </si>
  <si>
    <t>KKGI, PT Resource Alam Indonesia, Resource Alam Indonesia, Resource Alam Indonesia Tbk</t>
  </si>
  <si>
    <t>KLAS, PT Pelayaran Kurnia Lautan Semesta, Pelayaran Kurnia Lautan Semesta, Pelayaran Kurnia Lautan Semesta Tbk</t>
  </si>
  <si>
    <t>KLBF, Kalbe Farma, Kalbe Farma Tbk, PT Kalbe Farma</t>
  </si>
  <si>
    <t>KLIN, Klinko Karya Imaji, Klinko Karya Imaji Tbk, PT Klinko Karya Imaji</t>
  </si>
  <si>
    <t>KMDS, Kurniamitra Duta Sentosa, Kurniamitra Duta Sentosa Tbk, PT Kurniamitra Duta Sentosa</t>
  </si>
  <si>
    <t>KMTR, Kirana Megatara, Kirana Megatara Tbk, PT Kirana Megatara</t>
  </si>
  <si>
    <t>KOBX, Kobexindo Tractors, Kobexindo Tractors Tbk, PT Kobexindo Tractors</t>
  </si>
  <si>
    <t>KOCI, Kokoh Exa Nusantara, Kokoh Exa Nusantara Tbk, PT Kokoh Exa Nusantara</t>
  </si>
  <si>
    <t>KOIN, Kokoh Inti Arebama, Kokoh Inti Arebama Tbk, PT Kokoh Inti Arebama</t>
  </si>
  <si>
    <t>KOKA, Koka Indonesia, Koka Indonesia Tbk, PT Koka Indonesia</t>
  </si>
  <si>
    <t>KONI, PT Perdana Bangun Pusaka, Perdana Bangun Pusaka, Perdana Bangun Pusaka Tbk</t>
  </si>
  <si>
    <t>KOPI, Mitra Energi Persada, Mitra Energi Persada Tbk, PT Mitra Energi Persada</t>
  </si>
  <si>
    <t>KOTA, DMS Propertindo, DMS Propertindo Tbk, PT DMS Propertindo</t>
  </si>
  <si>
    <t>KPIG, MNC Tourism Indonesia, MNC Tourism Indonesia Tbk, PT MNC Tourism Indonesia</t>
  </si>
  <si>
    <t>KRAS, Krakatau Steel (Persero), Krakatau Steel (Persero) Tbk, PT Krakatau Steel (Persero)</t>
  </si>
  <si>
    <t>KREN, PT Quantum Clovera Investama, Quantum Clovera Investama, Quantum Clovera Investama Tbk</t>
  </si>
  <si>
    <t>KRYA, Bangun Karya Perkasa Jaya, Bangun Karya Perkasa Jaya Tbk, PT Bangun Karya Perkasa Jaya</t>
  </si>
  <si>
    <t>KSIX, Kentanix Supra International, Kentanix Supra International Tbk, PT Kentanix Supra International</t>
  </si>
  <si>
    <t>KUAS, Ace Oldfields, Ace Oldfields Tbk, PT Ace Oldfields</t>
  </si>
  <si>
    <t>LABA, Green Power Group, Green Power Group Tbk, PT Green Power Group</t>
  </si>
  <si>
    <t>LABS, PT UBC Medical Indonesia, UBC Medical Indonesia, UBC Medical Indonesia Tbk</t>
  </si>
  <si>
    <t>LAJU, Jasa Berdikari Logistics, Jasa Berdikari Logistics Tbk, PT Jasa Berdikari Logistics</t>
  </si>
  <si>
    <t>LAND, PT Trimitra Propertindo, Trimitra Propertindo, Trimitra Propertindo Tbk</t>
  </si>
  <si>
    <t>LAPD, Leyand International, Leyand International Tbk, PT Leyand International</t>
  </si>
  <si>
    <t>LCGP, Eureka Prima Jakarta, Eureka Prima Jakarta Tbk, PT Eureka Prima Jakarta</t>
  </si>
  <si>
    <t>LCKM, LCK Global Kedaton, LCK Global Kedaton Tbk, PT LCK Global Kedaton</t>
  </si>
  <si>
    <t>LEAD, Logindo Samudramakmur, Logindo Samudramakmur Tbk, PT Logindo Samudramakmur</t>
  </si>
  <si>
    <t>LFLO, Imago Mulia Persada, Imago Mulia Persada Tbk, PT Imago Mulia Persada</t>
  </si>
  <si>
    <t>LIFE, Asuransi Jiwa Sinarmas MSIG, Asuransi Jiwa Sinarmas MSIG Tbk, PT Asuransi Jiwa Sinarmas MSIG</t>
  </si>
  <si>
    <t>LINK, Link Net, Link Net Tbk, PT Link Net</t>
  </si>
  <si>
    <t>LION, Lion Metal Works, Lion Metal Works Tbk, PT Lion Metal Works</t>
  </si>
  <si>
    <t>LIVE, Homeco Victoria Makmur, Homeco Victoria Makmur Tbk, PT Homeco Victoria Makmur</t>
  </si>
  <si>
    <t>LMAS, Limas Indonesia Makmur, Limas Indonesia Makmur Tbk, PT Limas Indonesia Makmur</t>
  </si>
  <si>
    <t>LMAX, Lupromax Pelumas Indonesia, Lupromax Pelumas Indonesia Tbk, PT Lupromax Pelumas Indonesia</t>
  </si>
  <si>
    <t>LMPI, Langgeng Makmur Industri, Langgeng Makmur Industri Tbk, PT Langgeng Makmur Industri</t>
  </si>
  <si>
    <t>LMSH, Lionmesh Prima, Lionmesh Prima Tbk, PT Lionmesh Prima</t>
  </si>
  <si>
    <t>LOPI, Logisticsplus International, Logisticsplus International Tbk, PT Logisticsplus International</t>
  </si>
  <si>
    <t>LPCK, Lippo Cikarang, Lippo Cikarang Tbk, PT Lippo Cikarang</t>
  </si>
  <si>
    <t>LPGI, Lippo General Insurance, Lippo General Insurance Tbk, PT Lippo General Insurance</t>
  </si>
  <si>
    <t>LPIN, Multi Prima Sejahtera, Multi Prima Sejahtera Tbk, PT Multi Prima Sejahtera</t>
  </si>
  <si>
    <t>LPKR, Lippo Karawaci, Lippo Karawaci Tbk, PT Lippo Karawaci</t>
  </si>
  <si>
    <t>LPLI, PT Star Pacific, Star Pacific, Star Pacific Tbk</t>
  </si>
  <si>
    <t>LPPF, Matahari Department Store, Matahari Department Store Tbk, PT Matahari Department Store</t>
  </si>
  <si>
    <t>LPPS, Lenox Pasifik Investama, Lenox Pasifik Investama Tbk, PT Lenox Pasifik Investama</t>
  </si>
  <si>
    <t>LRNA, Eka Sari Lorena Transport, Eka Sari Lorena Transport Tbk, PT Eka Sari Lorena Transport</t>
  </si>
  <si>
    <t>LSIP, PP London Sumatra Indonesia, PP London Sumatra Indonesia Tbk, PT PP London Sumatra Indonesia</t>
  </si>
  <si>
    <t>LTLS, Lautan Luas, Lautan Luas Tbk, PT Lautan Luas</t>
  </si>
  <si>
    <t>LUCK, PT Sentral Mitra Informatika, Sentral Mitra Informatika, Sentral Mitra Informatika Tbk</t>
  </si>
  <si>
    <t>LUCY, Lima Dua Lima Tiga, Lima Dua Lima Tiga Tbk, PT Lima Dua Lima Tiga</t>
  </si>
  <si>
    <t>MABA, Marga Abhinaya Abadi, Marga Abhinaya Abadi Tbk, PT Marga Abhinaya Abadi</t>
  </si>
  <si>
    <t>MAGP, Multi Agro Gemilang Plantation, Multi Agro Gemilang Plantation Tbk, PT Multi Agro Gemilang Plantation</t>
  </si>
  <si>
    <t>MAHA, Mandiri Herindo Adiperkasa, Mandiri Herindo Adiperkasa Tbk, PT Mandiri Herindo Adiperkasa</t>
  </si>
  <si>
    <t>MAIN, Malindo Feedmill, Malindo Feedmill Tbk, PT Malindo Feedmill</t>
  </si>
  <si>
    <t>MANG, Manggung Polahraya, Manggung Polahraya Tbk, PT Manggung Polahraya</t>
  </si>
  <si>
    <t>MAPA, Map Aktif Adiperkasa, Map Aktif Adiperkasa Tbk, PT Map Aktif Adiperkasa</t>
  </si>
  <si>
    <t>MAPB, MAP Boga Adiperkasa, MAP Boga Adiperkasa Tbk, PT MAP Boga Adiperkasa</t>
  </si>
  <si>
    <t>MAPI, Mitra Adiperkasa, Mitra Adiperkasa Tbk, PT Mitra Adiperkasa</t>
  </si>
  <si>
    <t>MARI, Mahaka Radio Integra, Mahaka Radio Integra Tbk, PT Mahaka Radio Integra</t>
  </si>
  <si>
    <t>MARK, Mark Dynamics Indonesia, Mark Dynamics Indonesia Tbk, PT Mark Dynamics Indonesia</t>
  </si>
  <si>
    <t>MASB, Bank Multiarta Sentosa, Bank Multiarta Sentosa Tbk, Bank Sentosa, PT Bank Multiarta Sentosa, Sentosa</t>
  </si>
  <si>
    <t>MAXI, Maxindo Karya Anugerah, Maxindo Karya Anugerah Tbk, PT Maxindo Karya Anugerah</t>
  </si>
  <si>
    <t>MAYA, Bank Internasional, Bank Mayapada Internasional, Bank Mayapada Internasional Tbk, Internasional, PT Bank Mayapada Internasional</t>
  </si>
  <si>
    <t>MBAP, Mitrabara Adiperdana, Mitrabara Adiperdana Tbk, PT Mitrabara Adiperdana</t>
  </si>
  <si>
    <t>MBMA, Merdeka Battery Materials, Merdeka Battery Materials Tbk, PT Merdeka Battery Materials</t>
  </si>
  <si>
    <t>MBSS, Mitrabahtera Segara Sejati, Mitrabahtera Segara Sejati Tbk, PT Mitrabahtera Segara Sejati</t>
  </si>
  <si>
    <t>MBTO, Martina Berto, Martina Berto Tbk, PT Martina Berto</t>
  </si>
  <si>
    <t>MCAS, M Cash Integrasi, M Cash Integrasi Tbk, PT M Cash Integrasi</t>
  </si>
  <si>
    <t>MCOL, PT Prima Andalan Mandiri, Prima Andalan Mandiri, Prima Andalan Mandiri Tbk</t>
  </si>
  <si>
    <t>MCOR, Bank China Construction Bank Indonesia, Bank China Construction Bank Indonesia Tbk, PT Bank China Construction Bank Indonesia</t>
  </si>
  <si>
    <t>MDIA, Intermedia Capital, Intermedia Capital Tbk, PT Intermedia Capital</t>
  </si>
  <si>
    <t>MDIY, Daya Intiguna Yasa, Daya Intiguna Yasa Tbk, PT Daya Intiguna Yasa</t>
  </si>
  <si>
    <t>MDKA, Merdeka Copper Gold, Merdeka Copper Gold Tbk, PT Merdeka Copper Gold</t>
  </si>
  <si>
    <t>MDKI, Emdeki Utama, Emdeki Utama Tbk, PT Emdeki Utama</t>
  </si>
  <si>
    <t>MDLA, Medela Potentia, Medela Potentia Tbk, PT Medela Potentia</t>
  </si>
  <si>
    <t>MDLN, Modernland Realty, Modernland Realty Tbk, PT Modernland Realty</t>
  </si>
  <si>
    <t>MDRN, MI, Modern Internasional, Modern Internasional Tbk, PT Modern Internasional</t>
  </si>
  <si>
    <t>MEDC, Medco Energi Internasional, Medco Energi Internasional Tbk, PT Medco Energi Internasional</t>
  </si>
  <si>
    <t>MEDS, Hetzer Medical Indonesia, Hetzer Medical Indonesia Tbk, PT Hetzer Medical Indonesia</t>
  </si>
  <si>
    <t>MEGA, Bank Mega, Bank Mega Tbk, Mega, PT Bank Mega</t>
  </si>
  <si>
    <t>MEJA, Harta Djaya Karya, Harta Djaya Karya Tbk, PT Harta Djaya Karya</t>
  </si>
  <si>
    <t>MENN, Menn Teknologi Indonesia, Menn Teknologi Indonesia Tbk, PT Menn Teknologi Indonesia</t>
  </si>
  <si>
    <t>MERI, Merry Riana Edukasi, Merry Riana Edukasi Tbk, PT Merry Riana Edukasi</t>
  </si>
  <si>
    <t>MERK Tbk, PT Merck</t>
  </si>
  <si>
    <t>META, Nusantara Infrastructure, Nusantara Infrastructure Tbk, PT Nusantara Infrastructure</t>
  </si>
  <si>
    <t>MFMI, Multifiling Mitra Indonesia, Multifiling Mitra Indonesia Tbk, PT Multifiling Mitra Indonesia</t>
  </si>
  <si>
    <t>MGLV, PT Panca Anugrah Wisesa, Panca Anugrah Wisesa, Panca Anugrah Wisesa Tbk</t>
  </si>
  <si>
    <t>MGNA, Magna Investama Mandiri, Magna Investama Mandiri Tbk, PT Magna Investama Mandiri</t>
  </si>
  <si>
    <t>MGRO, Mahkota Group, Mahkota Group Tbk, PT Mahkota Group</t>
  </si>
  <si>
    <t>MHKI, Multi Hanna Kreasindo, Multi Hanna Kreasindo Tbk, PT Multi Hanna Kreasindo</t>
  </si>
  <si>
    <t>MICE, Multi Indocitra, Multi Indocitra Tbk, PT Multi Indocitra</t>
  </si>
  <si>
    <t>MIDI, Midi Utama Indonesia, Midi Utama Indonesia Tbk, PT Midi Utama Indonesia</t>
  </si>
  <si>
    <t>MIKA, Mitra Keluarga Karyasehat, Mitra Keluarga Karyasehat Tbk, PT Mitra Keluarga Karyasehat</t>
  </si>
  <si>
    <t>MINA, PT Sanurhasta Mitra, Sanurhasta Mitra, Sanurhasta Mitra Tbk</t>
  </si>
  <si>
    <t>MINE, PT Sinar Terang Mandiri, Sinar Terang Mandiri, Sinar Terang Mandiri Tbk</t>
  </si>
  <si>
    <t>MIRA, Mitra International Resources, Mitra International Resources Tbk, PT Mitra International Resources</t>
  </si>
  <si>
    <t>MITI, Mitra Investindo, Mitra Investindo Tbk, PT Mitra Investindo</t>
  </si>
  <si>
    <t>MKAP, Multikarya Asia Pasifik Raya, Multikarya Asia Pasifik Raya Tbk, PT Multikarya Asia Pasifik Raya</t>
  </si>
  <si>
    <t>MKNT, Mitra Komunikasi Nusantara, Mitra Komunikasi Nusantara Tbk, PT Mitra Komunikasi Nusantara</t>
  </si>
  <si>
    <t>MKPI, Metropolitan Kentjana, Metropolitan Kentjana Tbk, PT Metropolitan Kentjana</t>
  </si>
  <si>
    <t>MKTR, Menthobi Karyatama Raya, Menthobi Karyatama Raya Tbk, PT Menthobi Karyatama Raya</t>
  </si>
  <si>
    <t>MLBI, Multi Bintang Indonesia, Multi Bintang Indonesia Tbk, PT Multi Bintang Indonesia</t>
  </si>
  <si>
    <t>MLIA, Mulia Industrindo, Mulia Industrindo Tbk, PT Mulia Industrindo</t>
  </si>
  <si>
    <t>MLPL Tbk, PT Multipolar</t>
  </si>
  <si>
    <t>MLPT, Multipolar Technology, Multipolar Technology Tbk, PT Multipolar Technology</t>
  </si>
  <si>
    <t>MMIX, Multi Medika Internasional, Multi Medika Internasional Tbk, PT Multi Medika Internasional</t>
  </si>
  <si>
    <t>MMLP, Mega Manunggal Property, Mega Manunggal Property Tbk, PT Mega Manunggal Property</t>
  </si>
  <si>
    <t>MNCN, Media Nusantara Citra, Media Nusantara Citra Tbk, PT Media Nusantara Citra</t>
  </si>
  <si>
    <t>MOLI, Madusari Murni Indah, Madusari Murni Indah Tbk, PT Madusari Murni Indah</t>
  </si>
  <si>
    <t>MORA, Mora Telematika Indonesia, Mora Telematika Indonesia Tbk, PT Mora Telematika Indonesia</t>
  </si>
  <si>
    <t>MPIX, Mitra Pedagang Indonesia, Mitra Pedagang Indonesia Tbk, PT Mitra Pedagang Indonesia</t>
  </si>
  <si>
    <t>MPMX, MPM, Mitra Pinasthika Mustika, Mitra Pinasthika Mustika Tbk, PT Mitra Pinasthika Mustika</t>
  </si>
  <si>
    <t>MPOW, Megapower Makmur, Megapower Makmur Tbk, PT Megapower Makmur</t>
  </si>
  <si>
    <t>MPPA, Matahari Putra Prima, Matahari Putra Prima Tbk, PT Matahari Putra Prima</t>
  </si>
  <si>
    <t>MPRO, Maha Properti Indonesia, Maha Properti Indonesia Tbk, PT Maha Properti Indonesia</t>
  </si>
  <si>
    <t>MPXL, MPX Logistics International, MPX Logistics International Tbk, PT MPX Logistics International</t>
  </si>
  <si>
    <t>MRAT, Mustika Ratu, Mustika Ratu Tbk, PT Mustika Ratu</t>
  </si>
  <si>
    <t>MREI, Maskapai Reasuransi Indonesia, Maskapai Reasuransi Indonesia Tbk, PT Maskapai Reasuransi Indonesia</t>
  </si>
  <si>
    <t>MSIE, Multisarana Intan Eduka, Multisarana Intan Eduka Tbk, PT Multisarana Intan Eduka</t>
  </si>
  <si>
    <t>MSIN, MNC Digital Entertainment, MNC Digital Entertainment Tbk, PT MNC Digital Entertainment</t>
  </si>
  <si>
    <t>MSJA, Multi Spunindo Jaya, Multi Spunindo Jaya Tbk, PT Multi Spunindo Jaya</t>
  </si>
  <si>
    <t>MSKY, MNC Sky Vision, MNC Sky Vision Tbk, PT MNC Sky Vision</t>
  </si>
  <si>
    <t>MSTI, Mastersystem Infotama, Mastersystem Infotama Tbk, PT Mastersystem Infotama</t>
  </si>
  <si>
    <t>MTDL, Metrodata Electronics, Metrodata Electronics Tbk, PT Metrodata Electronics</t>
  </si>
  <si>
    <t>MTEL, Dayamitra Telekomunikasi, Dayamitra Telekomunikasi Tbk, PT Dayamitra Telekomunikasi</t>
  </si>
  <si>
    <t>MTFN, Capitalinc Investment, Capitalinc Investment Tbk, PT Capitalinc Investment</t>
  </si>
  <si>
    <t>MTLA, Metropolitan Land, Metropolitan Land Tbk, PT Metropolitan Land</t>
  </si>
  <si>
    <t>MTMH, Murni Sadar, Murni Sadar Tbk, PT Murni Sadar</t>
  </si>
  <si>
    <t>MTPS, Meta Epsi, Meta Epsi Tbk, PT Meta Epsi</t>
  </si>
  <si>
    <t>MTRA, Mitra Pemuda, Mitra Pemuda Tbk, PT Mitra Pemuda</t>
  </si>
  <si>
    <t>MTSM, Metro Realty, Metro Realty Tbk, PT Metro Realty</t>
  </si>
  <si>
    <t>MTWI, Malacca Trust Wuwungan Insurance, Malacca Trust Wuwungan Insurance Tbk, PT Malacca Trust Wuwungan Insurance</t>
  </si>
  <si>
    <t>MUTU, Mutuagung Lestari, Mutuagung Lestari Tbk, PT Mutuagung Lestari</t>
  </si>
  <si>
    <t>MYOH, PT Samindo Resources, Samindo Resources, Samindo Resources Tbk</t>
  </si>
  <si>
    <t>MYOR, Mayora Indah, Mayora Indah Tbk, PT Mayora Indah</t>
  </si>
  <si>
    <t>MYTX, Asia Pacific Investama, Asia Pacific Investama Tbk, PT Asia Pacific Investama</t>
  </si>
  <si>
    <t>NAIK, Adiwarna Anugerah Abadi, Adiwarna Anugerah Abadi Tbk, PT Adiwarna Anugerah Abadi</t>
  </si>
  <si>
    <t>NANO, Nanotech Indonesia Global, Nanotech Indonesia Global Tbk, PT Nanotech Indonesia Global</t>
  </si>
  <si>
    <t>NASA, Andalan Perkasa Abadi, Andalan Perkasa Abadi Tbk, PT Andalan Perkasa Abadi</t>
  </si>
  <si>
    <t>NASI, PT Wahana Inti Makmur, Wahana Inti Makmur, Wahana Inti Makmur Tbk</t>
  </si>
  <si>
    <t>NATO, Olympus Strategic Indonesia, Olympus Strategic Indonesia Tbk, PT Olympus Strategic Indonesia</t>
  </si>
  <si>
    <t>NAYZ, Hassana Boga Sejahtera, Hassana Boga Sejahtera Tbk, PT Hassana Boga Sejahtera</t>
  </si>
  <si>
    <t>NCKL, PT Trimegah Bangun Persada, Trimegah Bangun Persada, Trimegah Bangun Persada Tbk</t>
  </si>
  <si>
    <t>NELY, PT Pelayaran Nelly Dwi Putri, Pelayaran Nelly Dwi Putri, Pelayaran Nelly Dwi Putri Tbk</t>
  </si>
  <si>
    <t>NEST, Esta Indonesia, Esta Indonesia Tbk, PT Esta Indonesia</t>
  </si>
  <si>
    <t>NETV, MDTV Media Technologies, MDTV Media Technologies Tbk, PT MDTV Media Technologies</t>
  </si>
  <si>
    <t>NFCX, NFC Indonesia, NFC Indonesia Tbk, PT NFC Indonesia</t>
  </si>
  <si>
    <t>NICE, Adhi Kartiko Pratama, Adhi Kartiko Pratama Tbk, PT Adhi Kartiko Pratama</t>
  </si>
  <si>
    <t>NICK, Charnic Capital, Charnic Capital Tbk, PT Charnic Capital</t>
  </si>
  <si>
    <t>NICL, PAM Mineral, PAM Mineral Tbk, PT PAM Mineral</t>
  </si>
  <si>
    <t>NIKL, PT Pelat Timah Nusantara, Pelat Timah Nusantara, Pelat Timah Nusantara Tbk</t>
  </si>
  <si>
    <t>NINE, PT Techno9 Indonesia, Techno9 Indonesia, Techno9 Indonesia Tbk</t>
  </si>
  <si>
    <t>NIRO, City Retail Developments, City Retail Developments Tbk, PT City Retail Developments</t>
  </si>
  <si>
    <t>NISP, Bank NISP, Bank OCBC NISP, Bank OCBC NISP Tbk, PT Bank OCBC NISP</t>
  </si>
  <si>
    <t>NOBU, Bank Nationalnobu, Bank Nationalnobu Tbk, Nationalnobu, PT Bank Nationalnobu</t>
  </si>
  <si>
    <t>NPGF, Nusa Palapa Gemilang, Nusa Palapa Gemilang Tbk, PT Nusa Palapa Gemilang</t>
  </si>
  <si>
    <t>NRCA, NUSA RAYA CIA, Nusa Raya Cia, Nusa Raya Cia Tbk, NusaRayaCia, PT Nusa Raya Cia, nusa raya cia</t>
  </si>
  <si>
    <t>NSSS, Nusantara Sawit Sejahtera, Nusantara Sawit Sejahtera Tbk, PT Nusantara Sawit Sejahtera</t>
  </si>
  <si>
    <t>NTBK, Nusatama Berkah, Nusatama Berkah Tbk, PT Nusatama Berkah</t>
  </si>
  <si>
    <t>NUSA, PT Sinergi Megah Internusa, Sinergi Megah Internusa, Sinergi Megah Internusa Tbk</t>
  </si>
  <si>
    <t>NZIA, Nusantara Almazia, Nusantara Almazia Tbk, PT Nusantara Almazia</t>
  </si>
  <si>
    <t>OASA, Maharaksa Biru Energi, Maharaksa Biru Energi Tbk, PT Maharaksa Biru Energi</t>
  </si>
  <si>
    <t>OBAT, Brigit Biofarmaka Teknologi, Brigit Biofarmaka Teknologi Tbk, PT Brigit Biofarmaka Teknologi</t>
  </si>
  <si>
    <t>OBMD, OBM Drilchem, OBM Drilchem Tbk, PT OBM Drilchem</t>
  </si>
  <si>
    <t>OCAP, Onix Capital, Onix Capital Tbk, PT Onix Capital</t>
  </si>
  <si>
    <t>OILS, Indo Oil Perkasa, Indo Oil Perkasa Tbk, PT Indo Oil Perkasa</t>
  </si>
  <si>
    <t>OKAS, Ancora Indonesia Resources, Ancora Indonesia Resources Tbk, PT Ancora Indonesia Resources</t>
  </si>
  <si>
    <t>OLIV, Oscar Mitra Sukses Sejahtera, Oscar Mitra Sukses Sejahtera Tbk, PT Oscar Mitra Sukses Sejahtera</t>
  </si>
  <si>
    <t>OMED, Jayamas Medica Industri, Jayamas Medica Industri Tbk, PT Jayamas Medica Industri</t>
  </si>
  <si>
    <t>OMRE, Indonesia Prima Property, Indonesia Prima Property Tbk, PT Indonesia Prima Property</t>
  </si>
  <si>
    <t>OPMS, OIMA PRIMA METAL SINERGI, Oima Prima Metal Sinergi, Oima Prima Metal Sinergi Tbk, OimaPrimaMetalSinergi, PT Oima Prima Metal Sinergi, oima prima metal sinergi</t>
  </si>
  <si>
    <t>PACK, Abadi Nusantara Hijau Investama, Abadi Nusantara Hijau Investama Tbk, PT Abadi Nusantara Hijau Investama</t>
  </si>
  <si>
    <t>PADA, PT Personel Alih Daya, Personel Alih Daya, Personel Alih Daya Tbk</t>
  </si>
  <si>
    <t>PADI, Minna Padi Investama Sekuritas, Minna Padi Investama Sekuritas Tbk, PT Minna Padi Investama Sekuritas</t>
  </si>
  <si>
    <t>PALM, PT Provident Investasi Bersama, Provident Investasi Bersama, Provident Investasi Bersama Tbk</t>
  </si>
  <si>
    <t>PAMG, Bima Sakti Pertiwi, Bima Sakti Pertiwi Tbk, PT Bima Sakti Pertiwi</t>
  </si>
  <si>
    <t>PANI, PT Pantai Indah Kapuk Dua, Pantai Indah Kapuk Dua, Pantai Indah Kapuk Dua Tbk</t>
  </si>
  <si>
    <t>PANR, PT Panorama Sentrawisata, Panorama Sentrawisata, Panorama Sentrawisata Tbk</t>
  </si>
  <si>
    <t>PANS, PT Panin Sekuritas, Panin Sekuritas, Panin Sekuritas Tbk</t>
  </si>
  <si>
    <t>PART, Cipta Perdana Lancar, Cipta Perdana Lancar Tbk, PT Cipta Perdana Lancar</t>
  </si>
  <si>
    <t>PBID, PT Panca Budi Idaman, Panca Budi Idaman, Panca Budi Idaman Tbk</t>
  </si>
  <si>
    <t>PBRX, PT Pan Brothers, Pan Brothers, Pan Brothers Tbk</t>
  </si>
  <si>
    <t>PBSA, PT Paramita Bangun Sarana, Paramita Bangun Sarana, Paramita Bangun Sarana Tbk</t>
  </si>
  <si>
    <t>PCAR, PT Prima Cakrawala Abadi, Prima Cakrawala Abadi, Prima Cakrawala Abadi Tbk</t>
  </si>
  <si>
    <t>PDES, Destinasi Tirta Nusantara, Destinasi Tirta Nusantara Tbk, PT Destinasi Tirta Nusantara</t>
  </si>
  <si>
    <t>PDPP, PT Primadaya Plastisindo, Primadaya Plastisindo, Primadaya Plastisindo Tbk</t>
  </si>
  <si>
    <t>PEGE, PT Panca Global Kapital, Panca Global Kapital, Panca Global Kapital Tbk</t>
  </si>
  <si>
    <t>PEHA, PT Phapros Tbk</t>
  </si>
  <si>
    <t>PEVE, PT Penta Valent, Penta Valent, Penta Valent Tbk</t>
  </si>
  <si>
    <t>PGAS, PGN, PT Perusahaan Gas Negara, Perusahaan Gas Negara, Perusahaan Gas Negara Tbk</t>
  </si>
  <si>
    <t>PGEO, PT Pertamina Geothermal Energy, Pertamina Geothermal Energy, Pertamina Geothermal Energy Tbk</t>
  </si>
  <si>
    <t>PGJO, Bahtera Bumi Raya, Bahtera Bumi Raya Tbk, PT Bahtera Bumi Raya</t>
  </si>
  <si>
    <t>PGLI, PT Pembangunan Graha Lestari Indah, Pembangunan Graha Lestari Indah, Pembangunan Graha Lestari Indah Tbk</t>
  </si>
  <si>
    <t>PGUN, PT Pradiksi Gunatama, Pradiksi Gunatama, Pradiksi Gunatama Tbk</t>
  </si>
  <si>
    <t>PICO, PT Pelangi Indah Canindo, Pelangi Indah Canindo, Pelangi Indah Canindo Tbk</t>
  </si>
  <si>
    <t>PIPA, Multi Makmur Lemindo, Multi Makmur Lemindo Tbk, PT Multi Makmur Lemindo</t>
  </si>
  <si>
    <t>PJAA, PT Pembangunan Jaya Ancol, Pembangunan Jaya Ancol, Pembangunan Jaya Ancol Tbk</t>
  </si>
  <si>
    <t>PJHB, PT Pelayaran Jaya Hidup Baru, Pelayaran Jaya Hidup Baru, Pelayaran Jaya Hidup Baru Tbk</t>
  </si>
  <si>
    <t>PKPK, PT Paragon Karya Perkasa, Paragon Karya Perkasa, Paragon Karya Perkasa Tbk</t>
  </si>
  <si>
    <t>PLAN, PT Planet Properindo Jaya, Planet Properindo Jaya, Planet Properindo Jaya Tbk</t>
  </si>
  <si>
    <t>PLAS, PT Polaris Investama, Polaris Investama, Polaris Investama Tbk</t>
  </si>
  <si>
    <t>PLIN, PT Plaza Indonesia Realty, Plaza Indonesia Realty, Plaza Indonesia Realty Tbk</t>
  </si>
  <si>
    <t>PMJS, PT Putra Mandiri Jembar, Putra Mandiri Jembar, Putra Mandiri Jembar Tbk</t>
  </si>
  <si>
    <t>PMMP, PT Panca Mitra Multiperdana, Panca Mitra Multiperdana, Panca Mitra Multiperdana Tbk</t>
  </si>
  <si>
    <t>PMUI, PT Prima Multi Usaha Indonesia, Prima Multi Usaha Indonesia, Prima Multi Usaha Indonesia Tbk</t>
  </si>
  <si>
    <t>PNBN, Bank Pan Indonesia, Bank Pan Indonesia Tbk, PT Bank Pan Indonesia</t>
  </si>
  <si>
    <t>PNBS, Bank Panin Dubai Syariah, Bank Panin Dubai Syariah Tbk, Bank Syariah, PT Bank Panin Dubai Syariah, Syariah</t>
  </si>
  <si>
    <t>PNGO, PT Pinago Utama, Pinago Utama, Pinago Utama Tbk</t>
  </si>
  <si>
    <t>PNIN, PT Paninvest Tbk</t>
  </si>
  <si>
    <t>PNLF, PT Panin Financial, Panin Financial, Panin Financial Tbk</t>
  </si>
  <si>
    <t>PNSE, PT Pudjiadi &amp; Sons, Pudjiadi &amp; Sons, Pudjiadi &amp; Sons Tbk</t>
  </si>
  <si>
    <t>POLA, PT Pool Advista Finance, Pool Advista Finance, Pool Advista Finance Tbk</t>
  </si>
  <si>
    <t>POLI, PT Pollux Hotels Group, Pollux Hotels Group, Pollux Hotels Group Tbk</t>
  </si>
  <si>
    <t>POLL, PT Pollux Properties Indonesia, Pollux Properties Indonesia, Pollux Properties Indonesia Tbk</t>
  </si>
  <si>
    <t>POLU, Golden Flower, Golden Flower Tbk, PT Golden Flower</t>
  </si>
  <si>
    <t>POLY, Asia Pacific Fibers, Asia Pacific Fibers Tbk, PT Asia Pacific Fibers</t>
  </si>
  <si>
    <t>POOL, PT Pool Advista Indonesia, Pool Advista Indonesia, Pool Advista Indonesia Tbk</t>
  </si>
  <si>
    <t>PORT, Nusantara Pelabuhan Handal, Nusantara Pelabuhan Handal Tbk, PT Nusantara Pelabuhan Handal</t>
  </si>
  <si>
    <t>POSA, Bliss Properti Indonesia, Bliss Properti Indonesia Tbk, PT Bliss Properti Indonesia</t>
  </si>
  <si>
    <t>POWR, Cikarang Listrindo, Cikarang Listrindo Tbk, PT Cikarang Listrindo</t>
  </si>
  <si>
    <t>PPGL, PT Prima Globalindo Logistik, Prima Globalindo Logistik, Prima Globalindo Logistik Tbk</t>
  </si>
  <si>
    <t>PPRE, PP Presisi, PP Presisi Tbk, PT PP Presisi</t>
  </si>
  <si>
    <t>PPRI, PT Paperocks Indonesia, Paperocks Indonesia, Paperocks Indonesia Tbk</t>
  </si>
  <si>
    <t>PPRO, PP Properti, PP Properti Tbk, PT PP Properti</t>
  </si>
  <si>
    <t>PRAY, Famon Awal Bros Sedaya, Famon Awal Bros Sedaya Tbk, PT Famon Awal Bros Sedaya</t>
  </si>
  <si>
    <t>PRDA, PT Prodia Widyahusada, Prodia Widyahusada, Prodia Widyahusada Tbk</t>
  </si>
  <si>
    <t>PRIM, PT Royal Prima, Royal Prima, Royal Prima Tbk</t>
  </si>
  <si>
    <t>PSAB, J Resources Asia Pasifik, J Resources Asia Pasifik Tbk, PT J Resources Asia Pasifik</t>
  </si>
  <si>
    <t>PSAT, PT Pancaran Samudera Transport, Pancaran Samudera Transport, Pancaran Samudera Transport Tbk</t>
  </si>
  <si>
    <t>PSDN, PT Prasidha Aneka Niaga, Prasidha Aneka Niaga, Prasidha Aneka Niaga Tbk</t>
  </si>
  <si>
    <t>PSGO, PT Palma Serasih, Palma Serasih, Palma Serasih Tbk</t>
  </si>
  <si>
    <t>PSKT, PT Red Planet Indonesia, Red Planet Indonesia, Red Planet Indonesia Tbk</t>
  </si>
  <si>
    <t>PSSI, IMC Pelita Logistik, IMC Pelita Logistik Tbk, PT IMC Pelita Logistik</t>
  </si>
  <si>
    <t>PTBA, Bukit Asam (Persero), Bukit Asam (Persero) Tbk, PT Bukit Asam (Persero)</t>
  </si>
  <si>
    <t>PTDU, Djasa Ubersakti, Djasa Ubersakti Tbk, PT Djasa Ubersakti</t>
  </si>
  <si>
    <t>PTIS, Indo Straits, Indo Straits Tbk, PT Indo Straits</t>
  </si>
  <si>
    <t>PTMP, Mitra Pack, Mitra Pack Tbk, PT Mitra Pack</t>
  </si>
  <si>
    <t>PTMR, Master Print, Master Print Tbk, PT Master Print</t>
  </si>
  <si>
    <t>PTPP, PP (Persero), PP (Persero) Tbk, PT PP (Persero)</t>
  </si>
  <si>
    <t>PTPS, PT Pulau Subur, Pulau Subur, Pulau Subur Tbk</t>
  </si>
  <si>
    <t>PTPW, PT Pratama Widya, Pratama Widya, Pratama Widya Tbk</t>
  </si>
  <si>
    <t>PTRO, PT Petrosea Tbk</t>
  </si>
  <si>
    <t>PTSN, PT Sat Nusapersada, Sat Nusapersada, Sat Nusapersada Tbk</t>
  </si>
  <si>
    <t>PTSP, PT Pioneerindo Gourmet International, Pioneerindo Gourmet International, Pioneerindo Gourmet International Tbk</t>
  </si>
  <si>
    <t>PUDP, PT Pudjiadi Prestige, Pudjiadi Prestige, Pudjiadi Prestige Tbk</t>
  </si>
  <si>
    <t>PURA, PT Putra Rajawali Kencana, Putra Rajawali Kencana, Putra Rajawali Kencana Tbk</t>
  </si>
  <si>
    <t>PURE, PT Trinitan Metals and Minerals, Trinitan Metals and Minerals, Trinitan Metals and Minerals Tbk</t>
  </si>
  <si>
    <t>PURI, PT Puri Global Sukses, Puri Global Sukses, Puri Global Sukses Tbk</t>
  </si>
  <si>
    <t>PWON, PT Pakuwon Jati, Pakuwon Jati, Pakuwon Jati Tbk</t>
  </si>
  <si>
    <t>PYFA, PT Pyridam Farma, Pyridam Farma, Pyridam Farma Tbk</t>
  </si>
  <si>
    <t>PZZA, PT Sarimelati Kencana, Sarimelati Kencana, Sarimelati Kencana Tbk</t>
  </si>
  <si>
    <t>RAAM, PT Tripar Multivision Plus, Tripar Multivision Plus, Tripar Multivision Plus Tbk</t>
  </si>
  <si>
    <t>RAFI, PT Sari Kreasi Boga, Sari Kreasi Boga, Sari Kreasi Boga Tbk</t>
  </si>
  <si>
    <t>RAJA, PT Rukun Raharja, Rukun Raharja, Rukun Raharja Tbk</t>
  </si>
  <si>
    <t>RALS, PT Ramayana Lestari Sentosa, Ramayana Lestari Sentosa, Ramayana Lestari Sentosa Tbk</t>
  </si>
  <si>
    <t>RANC, PT Supra Boga Lestari, Supra Boga Lestari, Supra Boga Lestari Tbk</t>
  </si>
  <si>
    <t>RATU, PT Raharja Energi Cepu, Raharja Energi Cepu, Raharja Energi Cepu Tbk</t>
  </si>
  <si>
    <t>RBMS, PT Ristia Bintang Mahkotasejati, Ristia Bintang Mahkotasejati, Ristia Bintang Mahkotasejati Tbk</t>
  </si>
  <si>
    <t>RCCC, PT Utama Radar Cahaya, Utama Radar Cahaya, Utama Radar Cahaya Tbk</t>
  </si>
  <si>
    <t>RDTX, PT Roda Vivatex, Roda Vivatex, Roda Vivatex Tbk</t>
  </si>
  <si>
    <t>REAL, PT Repower Asia Indonesia, Repower Asia Indonesia, Repower Asia Indonesia Tbk</t>
  </si>
  <si>
    <t>RELF, Graha Mitra Asia, Graha Mitra Asia Tbk, PT Graha Mitra Asia</t>
  </si>
  <si>
    <t>RELI, PT Reliance Sekuritas Indonesia, Reliance Sekuritas Indonesia, Reliance Sekuritas Indonesia Tbk</t>
  </si>
  <si>
    <t>RGAS, Kian Santang Muliatama, Kian Santang Muliatama Tbk, PT Kian Santang Muliatama</t>
  </si>
  <si>
    <t>RICY, PT Ricky Putra Globalindo, Ricky Putra Globalindo, Ricky Putra Globalindo Tbk</t>
  </si>
  <si>
    <t>RIGS, PT Rig Tenders Indonesia, Rig Tenders Indonesia, Rig Tenders Indonesia Tbk</t>
  </si>
  <si>
    <t>RIMO, PT Rimo International Lestari, Rimo International Lestari, Rimo International Lestari Tbk</t>
  </si>
  <si>
    <t>RISE, Jaya Sukses Makmur Sentosa, Jaya Sukses Makmur Sentosa Tbk, PT Jaya Sukses Makmur Sentosa</t>
  </si>
  <si>
    <t>RLCO, Abadi Lestari Indonesia, Abadi Lestari Indonesia Tbk, PT Abadi Lestari Indonesia</t>
  </si>
  <si>
    <t>RMKE, PT RMK Energy, RMK Energy, RMK Energy Tbk</t>
  </si>
  <si>
    <t>RMKO, PT Royaltama Mulia Kontraktorindo, Royaltama Mulia Kontraktorindo, Royaltama Mulia Kontraktorindo Tbk</t>
  </si>
  <si>
    <t>ROCK, PT Rockfields Properti Indonesia, Rockfields Properti Indonesia, Rockfields Properti Indonesia Tbk</t>
  </si>
  <si>
    <t>RODA, PT Pikko Land Development, Pikko Land Development, Pikko Land Development Tbk</t>
  </si>
  <si>
    <t>RONY, Aracord Nusantara Group, Aracord Nusantara Group Tbk, PT Aracord Nusantara Group</t>
  </si>
  <si>
    <t>ROTI, Nippon Indosari Corpindo, Nippon Indosari Corpindo Tbk, PT Nippon Indosari Corpindo</t>
  </si>
  <si>
    <t>RSCH, Charlie Hospital Semarang, Charlie Hospital Semarang Tbk, PT Charlie Hospital Semarang</t>
  </si>
  <si>
    <t>RSGK, Kedoya Adyaraya, Kedoya Adyaraya Tbk, PT Kedoya Adyaraya</t>
  </si>
  <si>
    <t>RUIS, PT Radiant Utama Interinsco, Radiant Utama Interinsco, Radiant Utama Interinsco Tbk</t>
  </si>
  <si>
    <t>RUNS, Global Sukses Solusi, Global Sukses Solusi Tbk, PT Global Sukses Solusi</t>
  </si>
  <si>
    <t>SAFE, PT Steady Safe, Steady Safe, Steady Safe Tbk</t>
  </si>
  <si>
    <t>SAGE, PT Saausaha Gemilangindah, SAAUSAHA GEMILANGINDAH, Saausaha Gemilangindah, Saausaha Gemilangindah Tbk, SaausahaGemilangindah, saausaha gemilangindah</t>
  </si>
  <si>
    <t>SAME, PT Sarana Meditama Metropolitan, Sarana Meditama Metropolitan, Sarana Meditama Metropolitan Tbk</t>
  </si>
  <si>
    <t>SAMF, PT Saraswanti Anugerah Makmur, Saraswanti Anugerah Makmur, Saraswanti Anugerah Makmur Tbk</t>
  </si>
  <si>
    <t>SAPX, PT Satria Antaran Prima, Satria Antaran Prima, Satria Antaran Prima Tbk</t>
  </si>
  <si>
    <t>SATU, Kota Satu Properti, Kota Satu Properti Tbk, PT Kota Satu Properti</t>
  </si>
  <si>
    <t>SBAT, PT Sejahtera Bintang Abadi Textile, Sejahtera Bintang Abadi Textile, Sejahtera Bintang Abadi Textile Tbk</t>
  </si>
  <si>
    <t>SBMA, PT Surya Biru Murni Acetylene, Surya Biru Murni Acetylene, Surya Biru Murni Acetylene Tbk</t>
  </si>
  <si>
    <t>SCCO, PT SUCACO Tbk</t>
  </si>
  <si>
    <t>SCMA, PT Surya Citra Media, Surya Citra Media, Surya Citra Media Tbk</t>
  </si>
  <si>
    <t>SCNP, PT Selaras Citra Nusantara Perkasa, Selaras Citra Nusantara Perkasa, Selaras Citra Nusantara Perkasa Tbk</t>
  </si>
  <si>
    <t>SCPI, Organon Pharma Indonesia, Organon Pharma Indonesia Tbk, PT Organon Pharma Indonesia</t>
  </si>
  <si>
    <t>SDMU, PT Sidomulyo Selaras, Sidomulyo Selaras, Sidomulyo Selaras Tbk</t>
  </si>
  <si>
    <t>SDPC, Millennium Pharmacon International, Millennium Pharmacon International Tbk, PT Millennium Pharmacon International</t>
  </si>
  <si>
    <t>SDRA, Bank Woori Saudara Indonesia 1906, Bank Woori Saudara Indonesia 1906 Tbk, PT Bank Woori Saudara Indonesia 1906</t>
  </si>
  <si>
    <t>SEMA, PT Semacom Integrated, Semacom Integrated, Semacom Integrated Tbk</t>
  </si>
  <si>
    <t>SFAN, PT Surya Fajar Capital, Surya Fajar Capital, Surya Fajar Capital Tbk</t>
  </si>
  <si>
    <t>SGER, PT Sumber Global Energy, Sumber Global Energy, Sumber Global Energy Tbk</t>
  </si>
  <si>
    <t>SGRO, PT Prime Agri Resources, Prime Agri Resources, Prime Agri Resources Tbk</t>
  </si>
  <si>
    <t>SHID, Hotel Sahid Jaya International, Hotel Sahid Jaya International Tbk, PT Hotel Sahid Jaya International</t>
  </si>
  <si>
    <t>SHIP, PT Sillo Maritime Perdana, Sillo Maritime Perdana, Sillo Maritime Perdana Tbk</t>
  </si>
  <si>
    <t>SICO, PT Sigma Energy Compressindo, Sigma Energy Compressindo, Sigma Energy Compressindo Tbk</t>
  </si>
  <si>
    <t>SIDO, Industri Jamu dan Farmasi Sido Muncul, Industri Jamu dan Farmasi Sido Muncul Tbk, PT Industri Jamu dan Farmasi Sido Muncul</t>
  </si>
  <si>
    <t>SILO, PT Siloam International Hospitals, Siloam International Hospitals, Siloam International Hospitals Tbk</t>
  </si>
  <si>
    <t>SIMA, PT Siwani Makmur, Siwani Makmur, Siwani Makmur Tbk</t>
  </si>
  <si>
    <t>SIMP, PT Salim Ivomas Pratama, Salim Ivomas Pratama, Salim Ivomas Pratama Tbk</t>
  </si>
  <si>
    <t>SINI, PT Singaraja Putra, Singaraja Putra, Singaraja Putra Tbk</t>
  </si>
  <si>
    <t>SIPD, PT Sreeya Sewu Indonesia, Sreeya Sewu Indonesia, Sreeya Sewu Indonesia Tbk</t>
  </si>
  <si>
    <t>SKBM, PT Sekar Bumi, Sekar Bumi, Sekar Bumi Tbk</t>
  </si>
  <si>
    <t>SKLT, PT Sekar Laut, Sekar Laut, Sekar Laut Tbk</t>
  </si>
  <si>
    <t>SKRN, PT Superkrane Mitra Utama, Superkrane Mitra Utama, Superkrane Mitra Utama Tbk</t>
  </si>
  <si>
    <t>SKYB, Northcliff Citranusa Indonesia, Northcliff Citranusa Indonesia Tbk, PT Northcliff Citranusa Indonesia</t>
  </si>
  <si>
    <t>SLIS, Gaya Abadi Sempurna, Gaya Abadi Sempurna Tbk, PT Gaya Abadi Sempurna</t>
  </si>
  <si>
    <t>SMAR, PT Sinar Mas Agro Resources and Technology, Sinar Mas Agro Resources and Technology, Sinar Mas Agro Resources and Technology Tbk</t>
  </si>
  <si>
    <t>SMBR, PT Semen Baturaja (Persero), Semen Baturaja (Persero), Semen Baturaja (Persero) Tbk</t>
  </si>
  <si>
    <t>SMCB, PT Solusi Bangun Indonesia, Solusi Bangun Indonesia, Solusi Bangun Indonesia Tbk</t>
  </si>
  <si>
    <t>SMDM, PT Suryamas Dutamakmur, Suryamas Dutamakmur, Suryamas Dutamakmur Tbk</t>
  </si>
  <si>
    <t>SMDR, PT Samudera Indonesia, Samudera Indonesia, Samudera Indonesia Tbk</t>
  </si>
  <si>
    <t>SMGA, PT Sumber Mineral Global Abadi, Sumber Mineral Global Abadi, Sumber Mineral Global Abadi Tbk</t>
  </si>
  <si>
    <t>SMGR, PT Semen Indonesia (Persero), Semen Indonesia (Persero), Semen Indonesia (Persero) Tbk</t>
  </si>
  <si>
    <t>SMIL, PT Sarana Mitra Luas, Sarana Mitra Luas, Sarana Mitra Luas Tbk</t>
  </si>
  <si>
    <t>SMKL, PT Satyamitra Kemas Lestari, Satyamitra Kemas Lestari, Satyamitra Kemas Lestari Tbk</t>
  </si>
  <si>
    <t>SMKM, PT Sumber Mas Konstruksi, Sumber Mas Konstruksi, Sumber Mas Konstruksi Tbk</t>
  </si>
  <si>
    <t>SMLE, PT Sinergi Multi Lestarindo, Sinergi Multi Lestarindo, Sinergi Multi Lestarindo Tbk</t>
  </si>
  <si>
    <t>SMMA, PT Sinarmas Multiartha, Sinarmas Multiartha, Sinarmas Multiartha Tbk</t>
  </si>
  <si>
    <t>SMMT, Golden Eagle Energy, Golden Eagle Energy Tbk, PT Golden Eagle Energy</t>
  </si>
  <si>
    <t>SMRA, PT Summarecon Agung, Summarecon Agung, Summarecon Agung Tbk</t>
  </si>
  <si>
    <t>SMRU, PT SMR Utama, SMR Utama, SMR Utama Tbk</t>
  </si>
  <si>
    <t>SMSM, PT Selamat Sempurna, Selamat Sempurna, Selamat Sempurna Tbk</t>
  </si>
  <si>
    <t>SNLK, PT Sunter Lakeside Hotel, Sunter Lakeside Hotel, Sunter Lakeside Hotel Tbk</t>
  </si>
  <si>
    <t>SOCI, PT Soechi Lines, Soechi Lines, Soechi Lines Tbk</t>
  </si>
  <si>
    <t>SOFA, PT Solusi Environment Asia, Solusi Environment Asia, Solusi Environment Asia Tbk</t>
  </si>
  <si>
    <t>SOHO, PT Soho Global Health, Soho Global Health, Soho Global Health Tbk</t>
  </si>
  <si>
    <t>SOLA, PT Xolare RCR Energy, Xolare RCR Energy, Xolare RCR Energy Tbk</t>
  </si>
  <si>
    <t>SONA, PT Sona Topas Tourism Industry, Sona Topas Tourism Industry, Sona Topas Tourism Industry Tbk</t>
  </si>
  <si>
    <t>SOSS, PT Shield On Service, Shield On Service, Shield On Service Tbk</t>
  </si>
  <si>
    <t>SOTS, PT Satria Mega Kencana, Satria Mega Kencana, Satria Mega Kencana Tbk</t>
  </si>
  <si>
    <t>SOUL, Mitra Tirta Buwana, Mitra Tirta Buwana Tbk, PT Mitra Tirta Buwana</t>
  </si>
  <si>
    <t>SPMA, PT Suparma Tbk</t>
  </si>
  <si>
    <t>SPRE, PT Soraya Berjaya Indonesia, Soraya Berjaya Indonesia, Soraya Berjaya Indonesia Tbk</t>
  </si>
  <si>
    <t>SPTO, PT Surya Pertiwi, Surya Pertiwi, Surya Pertiwi Tbk</t>
  </si>
  <si>
    <t>SQMI, PT Wilton Makmur Indonesia, Wilton Makmur Indonesia, Wilton Makmur Indonesia Tbk</t>
  </si>
  <si>
    <t>SRAJ, PT Sejahteraraya Anugrahjaya, Sejahteraraya Anugrahjaya, Sejahteraraya Anugrahjaya Tbk</t>
  </si>
  <si>
    <t>SRIL, PT Sri Rejeki Isman, Sri Rejeki Isman, Sri Rejeki Isman Tbk</t>
  </si>
  <si>
    <t>SRSN, Indo Acidatama, Indo Acidatama Tbk, PT Indo Acidatama</t>
  </si>
  <si>
    <t>SRTG, PT Saratoga Investama Sedaya, Saratoga Investama Sedaya, Saratoga Investama Sedaya Tbk</t>
  </si>
  <si>
    <t>SSIA, PT Surya Semesta Internusa, Surya Semesta Internusa, Surya Semesta Internusa Tbk</t>
  </si>
  <si>
    <t>SSMS, PT Sawit Sumbermas Sarana, Sawit Sumbermas Sarana, Sawit Sumbermas Sarana Tbk</t>
  </si>
  <si>
    <t>SSTM, PT Sunson Textile Manufacture, Sunson Textile Manufacture, Sunson Textile Manufacture Tbk</t>
  </si>
  <si>
    <t>STAA, PT Sumber Tani Agung Resources, Sumber Tani Agung Resources, Sumber Tani Agung Resources Tbk</t>
  </si>
  <si>
    <t>STAR, Buana Artha Anugerah, Buana Artha Anugerah Tbk, PT Buana Artha Anugerah</t>
  </si>
  <si>
    <t>STRK, Lovina Beach Brewery, Lovina Beach Brewery Tbk, PT Lovina Beach Brewery</t>
  </si>
  <si>
    <t>STTP, PT Siantar Top, Siantar Top, Siantar Top Tbk</t>
  </si>
  <si>
    <t>SUGI, PT Sugih Energy, Sugih Energy, Sugih Energy Tbk</t>
  </si>
  <si>
    <t>SULI, PT SLJ Global, SLJ Global, SLJ Global Tbk</t>
  </si>
  <si>
    <t>SUNI, PT Sunindo Pratama, Sunindo Pratama, Sunindo Pratama Tbk</t>
  </si>
  <si>
    <t>SUPA, PT Super Bank Indonesia, Super Bank Indonesia, Super Bank Indonesia Tbk</t>
  </si>
  <si>
    <t>SUPR, PT Solusi Tunas Pratama, Solusi Tunas Pratama, Solusi Tunas Pratama Tbk</t>
  </si>
  <si>
    <t>SURE, PT Super Energy, Super Energy, Super Energy Tbk</t>
  </si>
  <si>
    <t>SURI, Maja Agung Latexindo, Maja Agung Latexindo Tbk, PT Maja Agung Latexindo</t>
  </si>
  <si>
    <t>SWAT, PT Sriwahana Adityakarta, Sriwahana Adityakarta, Sriwahana Adityakarta Tbk</t>
  </si>
  <si>
    <t>SWID, PT Saraswanti Indoland Development, Saraswanti Indoland Development, Saraswanti Indoland Development Tbk</t>
  </si>
  <si>
    <t>TALF, PT Tunas Alfin, Tunas Alfin, Tunas Alfin Tbk</t>
  </si>
  <si>
    <t>TAMA, Lancartama Sejati, Lancartama Sejati Tbk, PT Lancartama Sejati</t>
  </si>
  <si>
    <t>TAMU, PT Pelayaran Tamarin Samudra, Pelayaran Tamarin Samudra, Pelayaran Tamarin Samudra Tbk</t>
  </si>
  <si>
    <t>TAPG, PT Triputra Agro Persada, Triputra Agro Persada, Triputra Agro Persada Tbk</t>
  </si>
  <si>
    <t>TARA, Agung Semesta Sejahtera, Agung Semesta Sejahtera Tbk, PT Agung Semesta Sejahtera</t>
  </si>
  <si>
    <t>TAXI, Express Transindo Utama, Express Transindo Utama Tbk, PT Express Transindo Utama</t>
  </si>
  <si>
    <t>TAYS, Jaya Swarasa Agung, Jaya Swarasa Agung Tbk, PT Jaya Swarasa Agung</t>
  </si>
  <si>
    <t>TBIG, PT Tower Bersama Infrastructure, Tower Bersama Infrastructure, Tower Bersama Infrastructure Tbk</t>
  </si>
  <si>
    <t>TBLA, PT Tunas Baru Lampung, Tunas Baru Lampung, Tunas Baru Lampung Tbk</t>
  </si>
  <si>
    <t>TBMS, PT Tembaga Mulia Semanan, Tembaga Mulia Semanan, Tembaga Mulia Semanan Tbk</t>
  </si>
  <si>
    <t>TCID, Mandom Indonesia, Mandom Indonesia Tbk, PT Mandom Indonesia</t>
  </si>
  <si>
    <t>TCPI, PT Transcoal Pacific, Transcoal Pacific, Transcoal Pacific Tbk</t>
  </si>
  <si>
    <t>TDPM, PT Tianrong Chemicals Industry, Tianrong Chemicals Industry, Tianrong Chemicals Industry Tbk</t>
  </si>
  <si>
    <t>TEBE, Dana Brata Luhur, Dana Brata Luhur Tbk, PT Dana Brata Luhur</t>
  </si>
  <si>
    <t>TECH, Indosterling Technomedia, Indosterling Technomedia Tbk, PT Indosterling Technomedia</t>
  </si>
  <si>
    <t>TELE, Omni Inovasi Indonesia, Omni Inovasi Indonesia Tbk, PT Omni Inovasi Indonesia</t>
  </si>
  <si>
    <t>TFAS, PT Telefast Indonesia, Telefast Indonesia, Telefast Indonesia Tbk</t>
  </si>
  <si>
    <t>TFCO, PT Tifico Fiber Indonesia, Tifico Fiber Indonesia, Tifico Fiber Indonesia Tbk</t>
  </si>
  <si>
    <t>TGKA, PT Tigaraksa Satria, Tigaraksa Satria, Tigaraksa Satria Tbk</t>
  </si>
  <si>
    <t>TGRA, PT Terregra Asia Energy, Terregra Asia Energy, Terregra Asia Energy Tbk</t>
  </si>
  <si>
    <t>TGUK, PT Platinum Wahab Nusantara, Platinum Wahab Nusantara, Platinum Wahab Nusantara Tbk</t>
  </si>
  <si>
    <t>TIFA, KDB Tifa Finance, KDB Tifa Finance Tbk, PT KDB Tifa Finance</t>
  </si>
  <si>
    <t>TINS, PT Timah Tbk</t>
  </si>
  <si>
    <t>TIRA, PT Tira Austenite, Tira Austenite, Tira Austenite Tbk</t>
  </si>
  <si>
    <t>TIRT, PT Tirta Mahakam Resources, Tirta Mahakam Resources, Tirta Mahakam Resources Tbk</t>
  </si>
  <si>
    <t>TKIM, PT Pabrik Kertas Tjiwi Kimia, Pabrik Kertas Tjiwi Kimia, Pabrik Kertas Tjiwi Kimia Tbk</t>
  </si>
  <si>
    <t>TLDN, PT Teladan Prima Agro, Teladan Prima Agro, Teladan Prima Agro Tbk</t>
  </si>
  <si>
    <t>TLKM, PT Telkom Indonesia (Persero), Telkom Indonesia (Persero), Telkom Indonesia (Persero) Tbk</t>
  </si>
  <si>
    <t>TMAS, PT Temas Tbk</t>
  </si>
  <si>
    <t>TMPO, PT Tempo Intimedia, Tempo Intimedia, Tempo Intimedia Tbk</t>
  </si>
  <si>
    <t>TNCA, PT Trimuda Nuansa Citra, Trimuda Nuansa Citra, Trimuda Nuansa Citra Tbk</t>
  </si>
  <si>
    <t>TOBA, PT TBS Energi Utama, TBS Energi Utama, TBS Energi Utama Tbk</t>
  </si>
  <si>
    <t>TOOL, PT Rohartindo Nusantara Luas, Rohartindo Nusantara Luas, Rohartindo Nusantara Luas Tbk</t>
  </si>
  <si>
    <t>TOPS, PT Totalindo Eka Persada, Totalindo Eka Persada, Totalindo Eka Persada Tbk</t>
  </si>
  <si>
    <t>TOSK, PT Topindo Solusi Komunika, Topindo Solusi Komunika, Topindo Solusi Komunika Tbk</t>
  </si>
  <si>
    <t>TOTL, PT Total Bangun Persada, Total Bangun Persada, Total Bangun Persada Tbk</t>
  </si>
  <si>
    <t>TOTO, PT Surya Toto Indonesia, Surya Toto Indonesia, Surya Toto Indonesia Tbk</t>
  </si>
  <si>
    <t>TOWR, PT Sarana Menara Nusantara, Sarana Menara Nusantara, Sarana Menara Nusantara Tbk</t>
  </si>
  <si>
    <t>TOYS, PT Sunindo Adipersada, Sunindo Adipersada, Sunindo Adipersada Tbk</t>
  </si>
  <si>
    <t>TPIA, Chandra Asri Pacific, Chandra Asri Pacific Tbk, PT Chandra Asri Pacific</t>
  </si>
  <si>
    <t>TPMA, PT Trans Power Marine, Trans Power Marine, Trans Power Marine Tbk</t>
  </si>
  <si>
    <t>TRAM, PT Trada Alam Minera, Trada Alam Minera, Trada Alam Minera Tbk</t>
  </si>
  <si>
    <t>TRGU, Cerestar Indonesia, Cerestar Indonesia Tbk, PT Cerestar Indonesia</t>
  </si>
  <si>
    <t>TRIL, PT Triwira Insanlestari, Triwira Insanlestari, Triwira Insanlestari Tbk</t>
  </si>
  <si>
    <t>TRIM, PT Trimegah Sekuritas Indonesia, Trimegah Sekuritas Indonesia, Trimegah Sekuritas Indonesia Tbk</t>
  </si>
  <si>
    <t>TRIN, PT Perintis Triniti Properti, Perintis Triniti Properti, Perintis Triniti Properti Tbk</t>
  </si>
  <si>
    <t>TRIO, PT Trikomsel Oke, Trikomsel Oke, Trikomsel Oke Tbk</t>
  </si>
  <si>
    <t>TRIS, PT Trisula International, Trisula International, Trisula International Tbk</t>
  </si>
  <si>
    <t>TRJA, PT Transkon Jaya, Transkon Jaya, Transkon Jaya Tbk</t>
  </si>
  <si>
    <t>TRON, PT Teknologi Karya Digital Nusa, Teknologi Karya Digital Nusa, Teknologi Karya Digital Nusa Tbk</t>
  </si>
  <si>
    <t>TRST, PT Trias Sentosa, Trias Sentosa, Trias Sentosa Tbk</t>
  </si>
  <si>
    <t>TRUE, PT Triniti Dinamik, Triniti Dinamik, Triniti Dinamik Tbk</t>
  </si>
  <si>
    <t>TRUK, Guna Timur Raya, Guna Timur Raya Tbk, PT Guna Timur Raya</t>
  </si>
  <si>
    <t>TRUS, PT Trust Finance Indonesia, Trust Finance Indonesia, Trust Finance Indonesia Tbk</t>
  </si>
  <si>
    <t>TSPC, PT Tempo Scan Pacific, Tempo Scan Pacific, Tempo Scan Pacific Tbk</t>
  </si>
  <si>
    <t>ATPI, Asuransi Tugu Pratama Indonesia, Asuransi Tugu Pratama Indonesia Tbk, PT Asuransi Tugu Pratama Indonesia, TUGU</t>
  </si>
  <si>
    <t>TYRE, King Tire Indonesia, King Tire Indonesia Tbk, PT King Tire Indonesia</t>
  </si>
  <si>
    <t>UANG, PT Pakuan Tbk</t>
  </si>
  <si>
    <t>UCID, PT Uni-Charm Indonesia, Uni-Charm Indonesia, Uni-Charm Indonesia Tbk</t>
  </si>
  <si>
    <t>UDNG, Agro Bahari Nusantara, Agro Bahari Nusantara Tbk, PT Agro Bahari Nusantara</t>
  </si>
  <si>
    <t>UFOE, Damai Sejahtera Abadi, Damai Sejahtera Abadi Tbk, PT Damai Sejahtera Abadi</t>
  </si>
  <si>
    <t>ULTJ, PT Ultrajaya Milk Industry &amp; Trading Company, Ultrajaya Milk Industry &amp; Trading Company, Ultrajaya Milk Industry &amp; Trading Company Tbk</t>
  </si>
  <si>
    <t>UNIC, PT Unggul Indah Cahaya, Unggul Indah Cahaya, Unggul Indah Cahaya Tbk</t>
  </si>
  <si>
    <t>UNIQ, PT Ulima Nitra, Ulima Nitra, Ulima Nitra Tbk</t>
  </si>
  <si>
    <t>UNIT, Nusantara Inti Corpora, Nusantara Inti Corpora Tbk, PT Nusantara Inti Corpora</t>
  </si>
  <si>
    <t>UNSP, Bakrie Sumatera Plantations, Bakrie Sumatera Plantations Tbk, PT Bakrie Sumatera Plantations</t>
  </si>
  <si>
    <t>UNTD, PT Terang Dunia Internusa, Terang Dunia Internusa, Terang Dunia Internusa Tbk</t>
  </si>
  <si>
    <t>UNTR, UT, PT United Tractors, United Tractors, United Tractors Tbk</t>
  </si>
  <si>
    <t>UNVR, Unilever, PT Unilever Indonesia, Unilever Indonesia, Unilever Indonesia Tbk</t>
  </si>
  <si>
    <t>URBN, PT Urban Jakarta Propertindo, Urban Jakarta Propertindo, Urban Jakarta Propertindo Tbk</t>
  </si>
  <si>
    <t>UVCR, PT Trimegah Karya Pratama, Trimegah Karya Pratama, Trimegah Karya Pratama Tbk</t>
  </si>
  <si>
    <t>VAST, PT Vastland Indonesia, Vastland Indonesia, Vastland Indonesia Tbk</t>
  </si>
  <si>
    <t>VERN, PT Verona Indah Pictures, Verona Indah Pictures, Verona Indah Pictures Tbk</t>
  </si>
  <si>
    <t>VICI, PT Victoria Care Indonesia, Victoria Care Indonesia, Victoria Care Indonesia Tbk</t>
  </si>
  <si>
    <t>VICO, PT Victoria Investama, Victoria Investama, Victoria Investama Tbk</t>
  </si>
  <si>
    <t>VINS, PT Victoria Insurance, Victoria Insurance, Victoria Insurance Tbk</t>
  </si>
  <si>
    <t>VISI, PT Satu Visi Putra, Satu Visi Putra, Satu Visi Putra Tbk</t>
  </si>
  <si>
    <t>VIVA, PT Visi Media Asia, Visi Media Asia, Visi Media Asia Tbk</t>
  </si>
  <si>
    <t>VKTR, PT VKTR Teknologi Mobilitas, VKTR Teknologi Mobilitas, VKTR Teknologi Mobilitas Tbk</t>
  </si>
  <si>
    <t>VOKS, PT Voksel Electric, Voksel Electric, Voksel Electric Tbk</t>
  </si>
  <si>
    <t>VRNA, Mizuho Leasing Indonesia, Mizuho Leasing Indonesia Tbk, PT Mizuho Leasing Indonesia</t>
  </si>
  <si>
    <t>VTNY, PT Venteny Fortuna International, Venteny Fortuna International, Venteny Fortuna International Tbk</t>
  </si>
  <si>
    <t>WAPO, PT Wahana Pronatural, Wahana Pronatural, Wahana Pronatural Tbk</t>
  </si>
  <si>
    <t>WEGE, PT Wijaya Karya Bangunan Gedung, Wijaya Karya Bangunan Gedung, Wijaya Karya Bangunan Gedung Tbk</t>
  </si>
  <si>
    <t>WEHA, PT WEHA Transportasi Indonesia, WEHA Transportasi Indonesia, WEHA Transportasi Indonesia Tbk</t>
  </si>
  <si>
    <t>WGSH, PT Wira Global Solusi, Wira Global Solusi, Wira Global Solusi Tbk</t>
  </si>
  <si>
    <t>WICO, PT Wicaksana Overseas International, Wicaksana Overseas International, Wicaksana Overseas International Tbk</t>
  </si>
  <si>
    <t>WIDI, PT Widiant Jaya Krenindo, Widiant Jaya Krenindo, Widiant Jaya Krenindo Tbk</t>
  </si>
  <si>
    <t>WIFI, PT Solusi Sinergi Digital, Solusi Sinergi Digital, Solusi Sinergi Digital Tbk</t>
  </si>
  <si>
    <t>WIIM, PT Wismilak Inti Makmur, Wismilak Inti Makmur, Wismilak Inti Makmur Tbk</t>
  </si>
  <si>
    <t>WIKA, PT Wijaya Karya (Persero), Wijaya Karya (Persero), Wijaya Karya (Persero) Tbk</t>
  </si>
  <si>
    <t>WINE, Hatten Bali, Hatten Bali Tbk, PT Hatten Bali</t>
  </si>
  <si>
    <t>WINR, PT Winner Nusantara Jaya, Winner Nusantara Jaya, Winner Nusantara Jaya Tbk</t>
  </si>
  <si>
    <t>WINS, PT Wintermar Offshore Marine, Wintermar Offshore Marine, Wintermar Offshore Marine Tbk</t>
  </si>
  <si>
    <t>WIRG, PT WIR ASIA Tbk</t>
  </si>
  <si>
    <t>WMPP, PT Widodo Makmur Perkasa, Widodo Makmur Perkasa, Widodo Makmur Perkasa Tbk</t>
  </si>
  <si>
    <t>WMUU, PT Widodo Makmur Unggas, Widodo Makmur Unggas, Widodo Makmur Unggas Tbk</t>
  </si>
  <si>
    <t>WOMF, PT Wahana Ottomitra Multiartha, Wahana Ottomitra Multiartha, Wahana Ottomitra Multiartha Tbk</t>
  </si>
  <si>
    <t>WOOD, Integra Indocabinet, Integra Indocabinet Tbk, PT Integra Indocabinet</t>
  </si>
  <si>
    <t>WOWS, Ginting Jaya Energi, Ginting Jaya Energi Tbk, PT Ginting Jaya Energi</t>
  </si>
  <si>
    <t>WSBP, PT Waskita Beton Precast, Waskita Beton Precast, Waskita Beton Precast Tbk</t>
  </si>
  <si>
    <t>WSKT, PT Waskita Karya (Persero), Waskita Karya (Persero), Waskita Karya (Persero) Tbk</t>
  </si>
  <si>
    <t>WTON, PT Wijaya Karya Beton, Wijaya Karya Beton, Wijaya Karya Beton Tbk</t>
  </si>
  <si>
    <t>YELO, PT Yelooo Integra Datanet, Yelooo Integra Datanet, Yelooo Integra Datanet Tbk</t>
  </si>
  <si>
    <t>YOII, Asuransi Digital Bersama, Asuransi Digital Bersama Tbk, PT Asuransi Digital Bersama</t>
  </si>
  <si>
    <t>YPAS, PT Yanaprima Hastapersada, Yanaprima Hastapersada, Yanaprima Hastapersada Tbk</t>
  </si>
  <si>
    <t>YULE, PT Yulie Sekuritas Indonesia, Yulie Sekuritas Indonesia, Yulie Sekuritas Indonesia Tbk</t>
  </si>
  <si>
    <t>YUPI, PT Yupi Indo Jelly Gum, Yupi Indo Jelly Gum, Yupi Indo Jelly Gum Tbk</t>
  </si>
  <si>
    <t>ZATA, Bersama Zatta Jaya, Bersama Zatta Jaya Tbk, PT Bersama Zatta Jaya</t>
  </si>
  <si>
    <t>ZBRA, Dosni Roha Indonesia, Dosni Roha Indonesia Tbk, PT Dosni Roha Indonesia</t>
  </si>
  <si>
    <t>ZINC, Kapuas Prima Coal, Kapuas Prima Coal Tbk, PT Kapuas Prima Coal</t>
  </si>
  <si>
    <t>ZONE, Mega Perintis, Mega Perintis Tbk, PT Mega Perintis</t>
  </si>
  <si>
    <t>ZYRX, PT Zyrexindo Mandiri Buana, Zyrexindo Mandiri Buana, Zyrexindo Mandiri Buana Tbk</t>
  </si>
  <si>
    <t xml:space="preserve"> AAI</t>
  </si>
  <si>
    <t xml:space="preserve"> Adaro Andalan Indonesia</t>
  </si>
  <si>
    <t xml:space="preserve"> Adaro Andalan Indonesia Tbk</t>
  </si>
  <si>
    <t xml:space="preserve"> PT Adaro Andalan Indonesia</t>
  </si>
  <si>
    <t xml:space="preserve"> AAL</t>
  </si>
  <si>
    <t xml:space="preserve"> Astra Agro Lestari</t>
  </si>
  <si>
    <t xml:space="preserve"> Astra Agro Lestari Tbk</t>
  </si>
  <si>
    <t xml:space="preserve"> PT Astra Agro Lestari</t>
  </si>
  <si>
    <t xml:space="preserve"> Mahaka Media</t>
  </si>
  <si>
    <t xml:space="preserve"> Mahaka Media Tbk</t>
  </si>
  <si>
    <t xml:space="preserve"> PT Mahaka Media</t>
  </si>
  <si>
    <t xml:space="preserve"> Asuransi Bina Dana Arta</t>
  </si>
  <si>
    <t xml:space="preserve"> Asuransi Bina Dana Arta Tbk</t>
  </si>
  <si>
    <t xml:space="preserve"> PT Asuransi Bina Dana Arta</t>
  </si>
  <si>
    <t xml:space="preserve"> ABM</t>
  </si>
  <si>
    <t xml:space="preserve"> ABM Investama</t>
  </si>
  <si>
    <t xml:space="preserve"> ABM Investama Tbk</t>
  </si>
  <si>
    <t xml:space="preserve"> PT ABM Investama</t>
  </si>
  <si>
    <t xml:space="preserve"> AHI</t>
  </si>
  <si>
    <t xml:space="preserve"> AZKO</t>
  </si>
  <si>
    <t xml:space="preserve"> Aspirasi Hidup Indonesia</t>
  </si>
  <si>
    <t xml:space="preserve"> Aspirasi Hidup Indonesia Tbk</t>
  </si>
  <si>
    <t xml:space="preserve"> PT Aspirasi Hidup Indonesia</t>
  </si>
  <si>
    <t xml:space="preserve"> PT Samcro Hyosung Adilestari</t>
  </si>
  <si>
    <t xml:space="preserve"> Samcro Hyosung Adilestari</t>
  </si>
  <si>
    <t xml:space="preserve"> Samcro Hyosung Adilestari Tbk</t>
  </si>
  <si>
    <t xml:space="preserve"> Acset</t>
  </si>
  <si>
    <t xml:space="preserve"> Acset Indonusa</t>
  </si>
  <si>
    <t xml:space="preserve"> Acset Indonusa Tbk</t>
  </si>
  <si>
    <t xml:space="preserve"> PT Acset Indonusa</t>
  </si>
  <si>
    <t xml:space="preserve"> Adhi Commuter Properti</t>
  </si>
  <si>
    <t xml:space="preserve"> Adhi Commuter Properti Tbk</t>
  </si>
  <si>
    <t xml:space="preserve"> PT Adhi Commuter Properti</t>
  </si>
  <si>
    <t xml:space="preserve"> Makarizo</t>
  </si>
  <si>
    <t xml:space="preserve"> Akasha Wira International</t>
  </si>
  <si>
    <t xml:space="preserve"> Akasha Wira International Tbk</t>
  </si>
  <si>
    <t xml:space="preserve"> PT Akasha Wira International</t>
  </si>
  <si>
    <t xml:space="preserve"> Adhi Karya (Persero)</t>
  </si>
  <si>
    <t xml:space="preserve"> Adhi Karya (Persero) Tbk</t>
  </si>
  <si>
    <t xml:space="preserve"> PT Adhi Karya (Persero)</t>
  </si>
  <si>
    <t xml:space="preserve"> Adira</t>
  </si>
  <si>
    <t xml:space="preserve"> Adira Dinamika Multi Finance</t>
  </si>
  <si>
    <t xml:space="preserve"> Adira Dinamika Multi Finance Tbk</t>
  </si>
  <si>
    <t xml:space="preserve"> PT Adira Dinamika Multi Finance</t>
  </si>
  <si>
    <t xml:space="preserve"> Polychem</t>
  </si>
  <si>
    <t xml:space="preserve"> PT Polychem Indonesia</t>
  </si>
  <si>
    <t xml:space="preserve"> Polychem Indonesia</t>
  </si>
  <si>
    <t xml:space="preserve"> Polychem Indonesia Tbk</t>
  </si>
  <si>
    <t xml:space="preserve"> Alamtri Minerals Indonesia</t>
  </si>
  <si>
    <t xml:space="preserve"> Alamtri Minerals Indonesia Tbk</t>
  </si>
  <si>
    <t xml:space="preserve"> PT Alamtri Minerals Indonesia</t>
  </si>
  <si>
    <t xml:space="preserve"> Alamtri Resources Indonesia</t>
  </si>
  <si>
    <t xml:space="preserve"> Alamtri Resources Indonesia Tbk</t>
  </si>
  <si>
    <t xml:space="preserve"> PT Alamtri Resources Indonesia</t>
  </si>
  <si>
    <t xml:space="preserve"> Anugerah Spareparts Sejahtera</t>
  </si>
  <si>
    <t xml:space="preserve"> Anugerah Spareparts Sejahtera Tbk</t>
  </si>
  <si>
    <t xml:space="preserve"> PT Anugerah Spareparts Sejahtera</t>
  </si>
  <si>
    <t xml:space="preserve"> Asia Sejahtera Mina</t>
  </si>
  <si>
    <t xml:space="preserve"> Asia Sejahtera Mina Tbk</t>
  </si>
  <si>
    <t xml:space="preserve"> PT Asia Sejahtera Mina</t>
  </si>
  <si>
    <t xml:space="preserve"> PT Samator Indo Gas</t>
  </si>
  <si>
    <t xml:space="preserve"> Samator Indo Gas</t>
  </si>
  <si>
    <t xml:space="preserve"> Samator Indo Gas Tbk</t>
  </si>
  <si>
    <t xml:space="preserve"> Bank Raya Indonesia</t>
  </si>
  <si>
    <t xml:space="preserve"> Bank Raya Indonesia Tbk</t>
  </si>
  <si>
    <t xml:space="preserve"> PT Bank Raya Indonesia</t>
  </si>
  <si>
    <t xml:space="preserve"> Bank IBK Indonesia</t>
  </si>
  <si>
    <t xml:space="preserve"> Bank IBK Indonesia Tbk</t>
  </si>
  <si>
    <t xml:space="preserve"> PT Bank IBK Indonesia</t>
  </si>
  <si>
    <t xml:space="preserve"> Asuransi Harta Aman Pratama</t>
  </si>
  <si>
    <t xml:space="preserve"> Asuransi Harta Aman Pratama Tbk</t>
  </si>
  <si>
    <t xml:space="preserve"> PT Asuransi Harta Aman Pratama</t>
  </si>
  <si>
    <t xml:space="preserve"> Artha Mahiya Investama</t>
  </si>
  <si>
    <t xml:space="preserve"> Artha Mahiya Investama Tbk</t>
  </si>
  <si>
    <t xml:space="preserve"> PT Artha Mahiya Investama</t>
  </si>
  <si>
    <t xml:space="preserve"> FKS Food Sejahtera</t>
  </si>
  <si>
    <t xml:space="preserve"> FKS Food Sejahtera Tbk</t>
  </si>
  <si>
    <t xml:space="preserve"> PT FKS Food Sejahtera</t>
  </si>
  <si>
    <t xml:space="preserve"> Anugerah Kagum Karya Utama</t>
  </si>
  <si>
    <t xml:space="preserve"> Anugerah Kagum Karya Utama Tbk</t>
  </si>
  <si>
    <t xml:space="preserve"> PT Anugerah Kagum Karya Utama</t>
  </si>
  <si>
    <t xml:space="preserve"> Argha Karya Prima Industry</t>
  </si>
  <si>
    <t xml:space="preserve"> Argha Karya Prima Industry Tbk</t>
  </si>
  <si>
    <t xml:space="preserve"> PT Argha Karya Prima Industry</t>
  </si>
  <si>
    <t xml:space="preserve"> AKR</t>
  </si>
  <si>
    <t xml:space="preserve"> AKR Corporindo</t>
  </si>
  <si>
    <t xml:space="preserve"> AKR Corporindo Tbk</t>
  </si>
  <si>
    <t xml:space="preserve"> PT AKR Corporindo</t>
  </si>
  <si>
    <t xml:space="preserve"> Mineral Sumberdaya Mandiri</t>
  </si>
  <si>
    <t xml:space="preserve"> Mineral Sumberdaya Mandiri Tbk</t>
  </si>
  <si>
    <t xml:space="preserve"> PT Mineral Sumberdaya Mandiri</t>
  </si>
  <si>
    <t xml:space="preserve"> Alkindo Naratama</t>
  </si>
  <si>
    <t xml:space="preserve"> Alkindo Naratama Tbk</t>
  </si>
  <si>
    <t xml:space="preserve"> PT Alkindo Naratama</t>
  </si>
  <si>
    <t xml:space="preserve"> Ancara Logistics Indonesia</t>
  </si>
  <si>
    <t xml:space="preserve"> Ancara Logistics Indonesia Tbk</t>
  </si>
  <si>
    <t xml:space="preserve"> PT Ancara Logistics Indonesia</t>
  </si>
  <si>
    <t xml:space="preserve"> Alakasa Industrindo</t>
  </si>
  <si>
    <t xml:space="preserve"> Alakasa Industrindo Tbk</t>
  </si>
  <si>
    <t xml:space="preserve"> PT Alakasa Industrindo</t>
  </si>
  <si>
    <t xml:space="preserve"> Alumindo Light Metal Industry</t>
  </si>
  <si>
    <t xml:space="preserve"> Alumindo Light Metal Industry Tbk</t>
  </si>
  <si>
    <t xml:space="preserve"> PT Alumindo Light Metal Industry</t>
  </si>
  <si>
    <t xml:space="preserve"> PT Tri Banyan Tirta</t>
  </si>
  <si>
    <t xml:space="preserve"> Tri Banyan Tirta</t>
  </si>
  <si>
    <t xml:space="preserve"> Tri Banyan Tirta Tbk</t>
  </si>
  <si>
    <t xml:space="preserve"> Asuransi Multi Artha Guna</t>
  </si>
  <si>
    <t xml:space="preserve"> Asuransi Multi Artha Guna Tbk</t>
  </si>
  <si>
    <t xml:space="preserve"> PT Asuransi Multi Artha Guna</t>
  </si>
  <si>
    <t xml:space="preserve"> Makmur Berkah Amanda</t>
  </si>
  <si>
    <t xml:space="preserve"> Makmur Berkah Amanda Tbk</t>
  </si>
  <si>
    <t xml:space="preserve"> PT Makmur Berkah Amanda</t>
  </si>
  <si>
    <t xml:space="preserve"> Bank Amar Indonesia</t>
  </si>
  <si>
    <t xml:space="preserve"> Bank Amar Indonesia Tbk</t>
  </si>
  <si>
    <t xml:space="preserve"> PT Bank Amar Indonesia</t>
  </si>
  <si>
    <t xml:space="preserve"> Asahimas Flat Glass</t>
  </si>
  <si>
    <t xml:space="preserve"> Asahimas Flat Glass Tbk</t>
  </si>
  <si>
    <t xml:space="preserve"> PT Asahimas Flat Glass</t>
  </si>
  <si>
    <t xml:space="preserve"> Ateliers Mecaniques D Indonesie</t>
  </si>
  <si>
    <t xml:space="preserve"> Ateliers Mecaniques D Indonesie Tbk</t>
  </si>
  <si>
    <t xml:space="preserve"> PT Ateliers Mecaniques D Indonesie</t>
  </si>
  <si>
    <t xml:space="preserve"> Amman Mineral Internasional</t>
  </si>
  <si>
    <t xml:space="preserve"> Amman Mineral Internasional Tbk</t>
  </si>
  <si>
    <t xml:space="preserve"> PT Amman Mineral Internasional</t>
  </si>
  <si>
    <t xml:space="preserve"> Agung Menjangan Mas</t>
  </si>
  <si>
    <t xml:space="preserve"> Agung Menjangan Mas Tbk</t>
  </si>
  <si>
    <t xml:space="preserve"> PT Agung Menjangan Mas</t>
  </si>
  <si>
    <t xml:space="preserve"> Ashmore Asset Management Indonesia</t>
  </si>
  <si>
    <t xml:space="preserve"> Ashmore Asset Management Indonesia Tbk</t>
  </si>
  <si>
    <t xml:space="preserve"> PT Ashmore Asset Management Indonesia</t>
  </si>
  <si>
    <t xml:space="preserve"> PT Sumber Alfaria Trijaya</t>
  </si>
  <si>
    <t xml:space="preserve"> Sumber Alfaria Trijaya</t>
  </si>
  <si>
    <t xml:space="preserve"> Sumber Alfaria Trijaya Tbk</t>
  </si>
  <si>
    <t xml:space="preserve"> Andira Agro</t>
  </si>
  <si>
    <t xml:space="preserve"> Andira Agro Tbk</t>
  </si>
  <si>
    <t xml:space="preserve"> PT Andira Agro</t>
  </si>
  <si>
    <t xml:space="preserve"> ANJ</t>
  </si>
  <si>
    <t xml:space="preserve"> Austindo Nusantara Jaya</t>
  </si>
  <si>
    <t xml:space="preserve"> Austindo Nusantara Jaya Tbk</t>
  </si>
  <si>
    <t xml:space="preserve"> PT Austindo Nusantara Jaya</t>
  </si>
  <si>
    <t xml:space="preserve"> ANTAM</t>
  </si>
  <si>
    <t xml:space="preserve"> Aneka Tambang</t>
  </si>
  <si>
    <t xml:space="preserve"> Aneka Tambang Tbk</t>
  </si>
  <si>
    <t xml:space="preserve"> PT Aneka Tambang</t>
  </si>
  <si>
    <t xml:space="preserve"> Apexindo Pratama Duta</t>
  </si>
  <si>
    <t xml:space="preserve"> Apexindo Pratama Duta Tbk</t>
  </si>
  <si>
    <t xml:space="preserve"> PT Apexindo Pratama Duta</t>
  </si>
  <si>
    <t xml:space="preserve"> PT Pacific Strategic Financial</t>
  </si>
  <si>
    <t xml:space="preserve"> Pacific Strategic Financial</t>
  </si>
  <si>
    <t xml:space="preserve"> Pacific Strategic Financial Tbk</t>
  </si>
  <si>
    <t xml:space="preserve"> Arita Prima Indonesia</t>
  </si>
  <si>
    <t xml:space="preserve"> Arita Prima Indonesia Tbk</t>
  </si>
  <si>
    <t xml:space="preserve"> PT Arita Prima Indonesia</t>
  </si>
  <si>
    <t xml:space="preserve"> Asiaplast Industries</t>
  </si>
  <si>
    <t xml:space="preserve"> Asiaplast Industries Tbk</t>
  </si>
  <si>
    <t xml:space="preserve"> PT Asiaplast Industries</t>
  </si>
  <si>
    <t xml:space="preserve"> APL</t>
  </si>
  <si>
    <t xml:space="preserve"> Agung Podomoro Land</t>
  </si>
  <si>
    <t xml:space="preserve"> Agung Podomoro Land Tbk</t>
  </si>
  <si>
    <t xml:space="preserve"> PT Agung Podomoro Land</t>
  </si>
  <si>
    <t xml:space="preserve"> Archi Indonesia</t>
  </si>
  <si>
    <t xml:space="preserve"> Archi Indonesia Tbk</t>
  </si>
  <si>
    <t xml:space="preserve"> PT Archi Indonesia</t>
  </si>
  <si>
    <t xml:space="preserve"> Dunia Virtual Online</t>
  </si>
  <si>
    <t xml:space="preserve"> Dunia Virtual Online Tbk</t>
  </si>
  <si>
    <t xml:space="preserve"> PT Dunia Virtual Online</t>
  </si>
  <si>
    <t xml:space="preserve"> Argo Pantes</t>
  </si>
  <si>
    <t xml:space="preserve"> Argo Pantes Tbk</t>
  </si>
  <si>
    <t xml:space="preserve"> PT Argo Pantes</t>
  </si>
  <si>
    <t xml:space="preserve"> Atlas Resources</t>
  </si>
  <si>
    <t xml:space="preserve"> Atlas Resources Tbk</t>
  </si>
  <si>
    <t xml:space="preserve"> PT Atlas Resources</t>
  </si>
  <si>
    <t xml:space="preserve"> Arkha Jayanti Persada</t>
  </si>
  <si>
    <t xml:space="preserve"> Arkha Jayanti Persada Tbk</t>
  </si>
  <si>
    <t xml:space="preserve"> PT Arkha Jayanti Persada</t>
  </si>
  <si>
    <t xml:space="preserve"> Arkora Hydro</t>
  </si>
  <si>
    <t xml:space="preserve"> Arkora Hydro Tbk</t>
  </si>
  <si>
    <t xml:space="preserve"> PT Arkora Hydro</t>
  </si>
  <si>
    <t xml:space="preserve"> Armidian Karyatama</t>
  </si>
  <si>
    <t xml:space="preserve"> Armidian Karyatama Tbk</t>
  </si>
  <si>
    <t xml:space="preserve"> PT Armidian Karyatama</t>
  </si>
  <si>
    <t xml:space="preserve"> Arwana Citramulia</t>
  </si>
  <si>
    <t xml:space="preserve"> Arwana Citramulia Tbk</t>
  </si>
  <si>
    <t xml:space="preserve"> PT Arwana Citramulia</t>
  </si>
  <si>
    <t>ARTA Tbk</t>
  </si>
  <si>
    <t xml:space="preserve"> PT Arthavest</t>
  </si>
  <si>
    <t xml:space="preserve"> PT Ratu Prabu Energi</t>
  </si>
  <si>
    <t xml:space="preserve"> Ratu Prabu Energi</t>
  </si>
  <si>
    <t xml:space="preserve"> Ratu Prabu Energi Tbk</t>
  </si>
  <si>
    <t xml:space="preserve"> Bank Jago</t>
  </si>
  <si>
    <t xml:space="preserve"> Bank Jago Tbk</t>
  </si>
  <si>
    <t xml:space="preserve"> Jago</t>
  </si>
  <si>
    <t xml:space="preserve"> PT Bank Jago</t>
  </si>
  <si>
    <t xml:space="preserve"> Asuransi Bintang</t>
  </si>
  <si>
    <t xml:space="preserve"> Asuransi Bintang Tbk</t>
  </si>
  <si>
    <t xml:space="preserve"> PT Asuransi Bintang</t>
  </si>
  <si>
    <t xml:space="preserve"> Asuransi Dayin Mitra</t>
  </si>
  <si>
    <t xml:space="preserve"> Asuransi Dayin Mitra Tbk</t>
  </si>
  <si>
    <t xml:space="preserve"> PT Asuransi Dayin Mitra</t>
  </si>
  <si>
    <t xml:space="preserve"> Astra Graphia</t>
  </si>
  <si>
    <t xml:space="preserve"> Astra Graphia Tbk</t>
  </si>
  <si>
    <t xml:space="preserve"> PT Astra Graphia</t>
  </si>
  <si>
    <t xml:space="preserve"> Cilacap Samudera Fishing Industry</t>
  </si>
  <si>
    <t xml:space="preserve"> Cilacap Samudera Fishing Industry Tbk</t>
  </si>
  <si>
    <t xml:space="preserve"> PT Cilacap Samudera Fishing Industry</t>
  </si>
  <si>
    <t xml:space="preserve"> Astra International</t>
  </si>
  <si>
    <t xml:space="preserve"> Astra International Tbk</t>
  </si>
  <si>
    <t xml:space="preserve"> PT Astra International</t>
  </si>
  <si>
    <t xml:space="preserve"> Asuransi Jasa Tania</t>
  </si>
  <si>
    <t xml:space="preserve"> Asuransi Jasa Tania Tbk</t>
  </si>
  <si>
    <t xml:space="preserve"> PT Asuransi Jasa Tania</t>
  </si>
  <si>
    <t xml:space="preserve"> Caroline</t>
  </si>
  <si>
    <t xml:space="preserve"> Autopedia Sukses Lestari</t>
  </si>
  <si>
    <t xml:space="preserve"> Autopedia Sukses Lestari Tbk</t>
  </si>
  <si>
    <t xml:space="preserve"> PT Autopedia Sukses Lestari</t>
  </si>
  <si>
    <t xml:space="preserve"> Asri Karya Lestari</t>
  </si>
  <si>
    <t xml:space="preserve"> Asri Karya Lestari Tbk</t>
  </si>
  <si>
    <t xml:space="preserve"> PT Asri Karya Lestari</t>
  </si>
  <si>
    <t xml:space="preserve"> Asuransi Maximus Graha Persada</t>
  </si>
  <si>
    <t xml:space="preserve"> Asuransi Maximus Graha Persada Tbk</t>
  </si>
  <si>
    <t xml:space="preserve"> PT Asuransi Maximus Graha Persada</t>
  </si>
  <si>
    <t xml:space="preserve"> Andalan Sakti Primaindo</t>
  </si>
  <si>
    <t xml:space="preserve"> Andalan Sakti Primaindo Tbk</t>
  </si>
  <si>
    <t xml:space="preserve"> PT Andalan Sakti Primaindo</t>
  </si>
  <si>
    <t xml:space="preserve"> Asia Pramulia</t>
  </si>
  <si>
    <t xml:space="preserve"> Asia Pramulia Tbk</t>
  </si>
  <si>
    <t xml:space="preserve"> PT Asia Pramulia</t>
  </si>
  <si>
    <t xml:space="preserve"> Alam Sutera Realty</t>
  </si>
  <si>
    <t xml:space="preserve"> Alam Sutera Realty Tbk</t>
  </si>
  <si>
    <t xml:space="preserve"> PT Alam Sutera Realty</t>
  </si>
  <si>
    <t xml:space="preserve"> Asuransi Ramayana</t>
  </si>
  <si>
    <t xml:space="preserve"> Asuransi Ramayana Tbk</t>
  </si>
  <si>
    <t xml:space="preserve"> PT Asuransi Ramayana</t>
  </si>
  <si>
    <t xml:space="preserve"> Adi Sarana Armada</t>
  </si>
  <si>
    <t xml:space="preserve"> Adi Sarana Armada Tbk</t>
  </si>
  <si>
    <t xml:space="preserve"> PT Adi Sarana Armada</t>
  </si>
  <si>
    <t xml:space="preserve"> PT Trimitra Prawara Goldland</t>
  </si>
  <si>
    <t xml:space="preserve"> Trimitra Prawara Goldland</t>
  </si>
  <si>
    <t xml:space="preserve"> Trimitra Prawara Goldland Tbk</t>
  </si>
  <si>
    <t xml:space="preserve"> Anabatic Technologies</t>
  </si>
  <si>
    <t xml:space="preserve"> Anabatic Technologies Tbk</t>
  </si>
  <si>
    <t xml:space="preserve"> PT Anabatic Technologies</t>
  </si>
  <si>
    <t xml:space="preserve"> Atlantis Subsea Indonesia</t>
  </si>
  <si>
    <t xml:space="preserve"> Atlantis Subsea Indonesia Tbk</t>
  </si>
  <si>
    <t xml:space="preserve"> PT Atlantis Subsea Indonesia</t>
  </si>
  <si>
    <t xml:space="preserve"> Astra Otoparts</t>
  </si>
  <si>
    <t xml:space="preserve"> Astra Otoparts Tbk</t>
  </si>
  <si>
    <t xml:space="preserve"> PT Astra Otoparts</t>
  </si>
  <si>
    <t xml:space="preserve"> Avia Avian</t>
  </si>
  <si>
    <t xml:space="preserve"> Avia Avian Tbk</t>
  </si>
  <si>
    <t xml:space="preserve"> PT Avia Avian</t>
  </si>
  <si>
    <t xml:space="preserve"> Era Digital Media</t>
  </si>
  <si>
    <t xml:space="preserve"> Era Digital Media Tbk</t>
  </si>
  <si>
    <t xml:space="preserve"> PT Era Digital Media</t>
  </si>
  <si>
    <t xml:space="preserve"> PT Tera Data Indonusa</t>
  </si>
  <si>
    <t xml:space="preserve"> TDI</t>
  </si>
  <si>
    <t xml:space="preserve"> Tera Data Indonusa</t>
  </si>
  <si>
    <t xml:space="preserve"> Tera Data Indonusa Tbk</t>
  </si>
  <si>
    <t xml:space="preserve"> Janu Putra Sejahtera</t>
  </si>
  <si>
    <t xml:space="preserve"> Janu Putra Sejahtera Tbk</t>
  </si>
  <si>
    <t xml:space="preserve"> PT Janu Putra Sejahtera</t>
  </si>
  <si>
    <t xml:space="preserve"> Agro Yasa Lestari</t>
  </si>
  <si>
    <t xml:space="preserve"> Agro Yasa Lestari Tbk</t>
  </si>
  <si>
    <t xml:space="preserve"> PT Agro Yasa Lestari</t>
  </si>
  <si>
    <t xml:space="preserve"> BMI</t>
  </si>
  <si>
    <t xml:space="preserve"> Bank Internasional</t>
  </si>
  <si>
    <t xml:space="preserve"> Bank MNC Internasional</t>
  </si>
  <si>
    <t xml:space="preserve"> Bank MNC Internasional Tbk</t>
  </si>
  <si>
    <t xml:space="preserve"> Internasional</t>
  </si>
  <si>
    <t xml:space="preserve"> PT Bank MNC Internasional</t>
  </si>
  <si>
    <t xml:space="preserve"> Multitrend Indo</t>
  </si>
  <si>
    <t xml:space="preserve"> Multitrend Indo Tbk</t>
  </si>
  <si>
    <t xml:space="preserve"> PT Multitrend Indo</t>
  </si>
  <si>
    <t xml:space="preserve"> Bank Capital Indonesia</t>
  </si>
  <si>
    <t xml:space="preserve"> Bank Capital Indonesia Tbk</t>
  </si>
  <si>
    <t xml:space="preserve"> PT Bank Capital Indonesia</t>
  </si>
  <si>
    <t xml:space="preserve"> Bersama Mencapai Puncak</t>
  </si>
  <si>
    <t xml:space="preserve"> Bersama Mencapai Puncak Tbk</t>
  </si>
  <si>
    <t xml:space="preserve"> PT Bersama Mencapai Puncak</t>
  </si>
  <si>
    <t xml:space="preserve"> PT Saranacentral Bajatama</t>
  </si>
  <si>
    <t xml:space="preserve"> Saranacentral Bajatama</t>
  </si>
  <si>
    <t xml:space="preserve"> Saranacentral Bajatama Tbk</t>
  </si>
  <si>
    <t xml:space="preserve"> Bali Towerindo Sentra</t>
  </si>
  <si>
    <t xml:space="preserve"> Bali Towerindo Sentra Tbk</t>
  </si>
  <si>
    <t xml:space="preserve"> PT Bali Towerindo Sentra</t>
  </si>
  <si>
    <t xml:space="preserve"> Bank Aladin Syariah</t>
  </si>
  <si>
    <t xml:space="preserve"> Bank Aladin Syariah Tbk</t>
  </si>
  <si>
    <t xml:space="preserve"> Bank Syariah</t>
  </si>
  <si>
    <t xml:space="preserve"> PT Bank Aladin Syariah</t>
  </si>
  <si>
    <t xml:space="preserve"> Syariah</t>
  </si>
  <si>
    <t xml:space="preserve"> Bekasi Asri Pemula</t>
  </si>
  <si>
    <t xml:space="preserve"> Bekasi Asri Pemula Tbk</t>
  </si>
  <si>
    <t xml:space="preserve"> PT Bekasi Asri Pemula</t>
  </si>
  <si>
    <t xml:space="preserve"> Bhakti Agung Propertindo</t>
  </si>
  <si>
    <t xml:space="preserve"> Bhakti Agung Propertindo Tbk</t>
  </si>
  <si>
    <t xml:space="preserve"> PT Bhakti Agung Propertindo</t>
  </si>
  <si>
    <t xml:space="preserve"> PT Sepatu Bata</t>
  </si>
  <si>
    <t xml:space="preserve"> Sepatu Bata</t>
  </si>
  <si>
    <t xml:space="preserve"> Sepatu Bata Tbk</t>
  </si>
  <si>
    <t xml:space="preserve"> Benteng Api Technic</t>
  </si>
  <si>
    <t xml:space="preserve"> Benteng Api Technic Tbk</t>
  </si>
  <si>
    <t xml:space="preserve"> PT Benteng Api Technic</t>
  </si>
  <si>
    <t xml:space="preserve"> Mitra Angkasa Sejahtera</t>
  </si>
  <si>
    <t xml:space="preserve"> Mitra Angkasa Sejahtera Tbk</t>
  </si>
  <si>
    <t xml:space="preserve"> PT Mitra Angkasa Sejahtera</t>
  </si>
  <si>
    <t xml:space="preserve"> Bayu Buana</t>
  </si>
  <si>
    <t xml:space="preserve"> Bayu Buana Tbk</t>
  </si>
  <si>
    <t xml:space="preserve"> PT Bayu Buana</t>
  </si>
  <si>
    <t xml:space="preserve"> BCA</t>
  </si>
  <si>
    <t xml:space="preserve"> Bank Central Asia</t>
  </si>
  <si>
    <t xml:space="preserve"> Bank Central Asia Tbk</t>
  </si>
  <si>
    <t xml:space="preserve"> PT Bank Central Asia</t>
  </si>
  <si>
    <t xml:space="preserve"> Allo Bank Indonesia</t>
  </si>
  <si>
    <t xml:space="preserve"> Allo Bank Indonesia Tbk</t>
  </si>
  <si>
    <t xml:space="preserve"> PT Allo Bank Indonesia</t>
  </si>
  <si>
    <t xml:space="preserve"> Bank KB Indonesia</t>
  </si>
  <si>
    <t xml:space="preserve"> Bank KB Indonesia Tbk</t>
  </si>
  <si>
    <t xml:space="preserve"> PT Bank KB Indonesia</t>
  </si>
  <si>
    <t xml:space="preserve"> Buana Finance</t>
  </si>
  <si>
    <t xml:space="preserve"> Buana Finance Tbk</t>
  </si>
  <si>
    <t xml:space="preserve"> PT Buana Finance</t>
  </si>
  <si>
    <t xml:space="preserve"> Bank Dharma</t>
  </si>
  <si>
    <t xml:space="preserve"> Bank Mestika Dharma</t>
  </si>
  <si>
    <t xml:space="preserve"> Bank Mestika Dharma Tbk</t>
  </si>
  <si>
    <t xml:space="preserve"> Dharma</t>
  </si>
  <si>
    <t xml:space="preserve"> PT Bank Mestika Dharma</t>
  </si>
  <si>
    <t xml:space="preserve"> BNI</t>
  </si>
  <si>
    <t xml:space="preserve"> Bank Negara Indonesia (Persero)</t>
  </si>
  <si>
    <t xml:space="preserve"> Bank Negara Indonesia (Persero) Tbk</t>
  </si>
  <si>
    <t xml:space="preserve"> PT Bank Negara Indonesia (Persero)</t>
  </si>
  <si>
    <t xml:space="preserve"> BRI</t>
  </si>
  <si>
    <t xml:space="preserve"> Bank Rakyat Indonesia (Persero)</t>
  </si>
  <si>
    <t xml:space="preserve"> Bank Rakyat Indonesia (Persero) Tbk</t>
  </si>
  <si>
    <t xml:space="preserve"> PT Bank Rakyat Indonesia (Persero)</t>
  </si>
  <si>
    <t xml:space="preserve"> PNBBR</t>
  </si>
  <si>
    <t xml:space="preserve"> PT Pelayaran Nasional Bina Buana Raya</t>
  </si>
  <si>
    <t xml:space="preserve"> Pelayaran Nasional Bina Buana Raya</t>
  </si>
  <si>
    <t xml:space="preserve"> Pelayaran Nasional Bina Buana Raya Tbk</t>
  </si>
  <si>
    <t xml:space="preserve"> Krom Bank Indonesia</t>
  </si>
  <si>
    <t xml:space="preserve"> Krom Bank Indonesia Tbk</t>
  </si>
  <si>
    <t xml:space="preserve"> PT Krom Bank Indonesia</t>
  </si>
  <si>
    <t xml:space="preserve"> Bumi Benowo Sukses Sejahtera</t>
  </si>
  <si>
    <t xml:space="preserve"> Bumi Benowo Sukses Sejahtera Tbk</t>
  </si>
  <si>
    <t xml:space="preserve"> PT Bumi Benowo Sukses Sejahtera</t>
  </si>
  <si>
    <t xml:space="preserve"> BTN</t>
  </si>
  <si>
    <t xml:space="preserve"> Bank Tabungan Negara (Persero)</t>
  </si>
  <si>
    <t xml:space="preserve"> Bank Tabungan Negara (Persero) Tbk</t>
  </si>
  <si>
    <t xml:space="preserve"> PT Bank Tabungan Negara (Persero)</t>
  </si>
  <si>
    <t xml:space="preserve"> BNC</t>
  </si>
  <si>
    <t xml:space="preserve"> Bank Commerce</t>
  </si>
  <si>
    <t xml:space="preserve"> Bank Neo Commerce</t>
  </si>
  <si>
    <t xml:space="preserve"> Bank Neo Commerce Tbk</t>
  </si>
  <si>
    <t xml:space="preserve"> Commerce</t>
  </si>
  <si>
    <t xml:space="preserve"> PT Bank Neo Commerce</t>
  </si>
  <si>
    <t xml:space="preserve"> MNC Kapital Indonesia</t>
  </si>
  <si>
    <t xml:space="preserve"> MNC Kapital Indonesia Tbk</t>
  </si>
  <si>
    <t xml:space="preserve"> PT MNC Kapital Indonesia</t>
  </si>
  <si>
    <t xml:space="preserve"> Bank JTrust Indonesia</t>
  </si>
  <si>
    <t xml:space="preserve"> Bank JTrust Indonesia Tbk</t>
  </si>
  <si>
    <t xml:space="preserve"> PT Bank JTrust Indonesia</t>
  </si>
  <si>
    <t xml:space="preserve"> Bumi Citra Permai</t>
  </si>
  <si>
    <t xml:space="preserve"> Bumi Citra Permai Tbk</t>
  </si>
  <si>
    <t xml:space="preserve"> PT Bumi Citra Permai</t>
  </si>
  <si>
    <t xml:space="preserve"> Berdikari Pondasi Perkasa</t>
  </si>
  <si>
    <t xml:space="preserve"> Berdikari Pondasi Perkasa Tbk</t>
  </si>
  <si>
    <t xml:space="preserve"> PT Berdikari Pondasi Perkasa</t>
  </si>
  <si>
    <t xml:space="preserve"> Bank Danamon Indonesia</t>
  </si>
  <si>
    <t xml:space="preserve"> Bank Danamon Indonesia Tbk</t>
  </si>
  <si>
    <t xml:space="preserve"> PT Bank Danamon Indonesia</t>
  </si>
  <si>
    <t xml:space="preserve"> Berkah Beton Sadaya</t>
  </si>
  <si>
    <t xml:space="preserve"> Berkah Beton Sadaya Tbk</t>
  </si>
  <si>
    <t xml:space="preserve"> PT Berkah Beton Sadaya</t>
  </si>
  <si>
    <t xml:space="preserve"> Estika Tata Tiara</t>
  </si>
  <si>
    <t xml:space="preserve"> Estika Tata Tiara Tbk</t>
  </si>
  <si>
    <t xml:space="preserve"> PT Estika Tata Tiara</t>
  </si>
  <si>
    <t xml:space="preserve"> Jobubu Jarum Minahasa</t>
  </si>
  <si>
    <t xml:space="preserve"> Jobubu Jarum Minahasa Tbk</t>
  </si>
  <si>
    <t xml:space="preserve"> PT Jobubu Jarum Minahasa</t>
  </si>
  <si>
    <t xml:space="preserve"> Bank Banten</t>
  </si>
  <si>
    <t xml:space="preserve"> Bank Pembangunan Daerah Banten</t>
  </si>
  <si>
    <t xml:space="preserve"> Bank Pembangunan Daerah Banten Tbk</t>
  </si>
  <si>
    <t xml:space="preserve"> Banten</t>
  </si>
  <si>
    <t xml:space="preserve"> PT Bank Pembangunan Daerah Banten</t>
  </si>
  <si>
    <t xml:space="preserve"> GDN</t>
  </si>
  <si>
    <t xml:space="preserve"> Global Digital Niaga</t>
  </si>
  <si>
    <t xml:space="preserve"> Global Digital Niaga Tbk</t>
  </si>
  <si>
    <t xml:space="preserve"> PT Global Digital Niaga</t>
  </si>
  <si>
    <t xml:space="preserve"> PT Trisula Textile Industries</t>
  </si>
  <si>
    <t xml:space="preserve"> Trisula Textile Industries</t>
  </si>
  <si>
    <t xml:space="preserve"> Trisula Textile Industries Tbk</t>
  </si>
  <si>
    <t xml:space="preserve"> Batulicin Nusantara Maritim</t>
  </si>
  <si>
    <t xml:space="preserve"> Batulicin Nusantara Maritim Tbk</t>
  </si>
  <si>
    <t xml:space="preserve"> PT Batulicin Nusantara Maritim</t>
  </si>
  <si>
    <t xml:space="preserve"> BFIE</t>
  </si>
  <si>
    <t xml:space="preserve"> Bekasi Fajar Industrial Estate</t>
  </si>
  <si>
    <t xml:space="preserve"> Bekasi Fajar Industrial Estate Tbk</t>
  </si>
  <si>
    <t xml:space="preserve"> PT Bekasi Fajar Industrial Estate</t>
  </si>
  <si>
    <t xml:space="preserve"> BFI</t>
  </si>
  <si>
    <t xml:space="preserve"> BFI Finance Indonesia</t>
  </si>
  <si>
    <t xml:space="preserve"> BFI Finance Indonesia Tbk</t>
  </si>
  <si>
    <t xml:space="preserve"> PT BFI Finance Indonesia</t>
  </si>
  <si>
    <t xml:space="preserve"> Bank Ganesha</t>
  </si>
  <si>
    <t xml:space="preserve"> Bank Ganesha Tbk</t>
  </si>
  <si>
    <t xml:space="preserve"> Ganesha</t>
  </si>
  <si>
    <t xml:space="preserve"> PT Bank Ganesha</t>
  </si>
  <si>
    <t xml:space="preserve"> Bhakti Multi Artha</t>
  </si>
  <si>
    <t xml:space="preserve"> Bhakti Multi Artha Tbk</t>
  </si>
  <si>
    <t xml:space="preserve"> PT Bhakti Multi Artha</t>
  </si>
  <si>
    <t xml:space="preserve"> MNC Asia Holding</t>
  </si>
  <si>
    <t xml:space="preserve"> MNC Asia Holding Tbk</t>
  </si>
  <si>
    <t xml:space="preserve"> PT MNC Asia Holding</t>
  </si>
  <si>
    <t xml:space="preserve"> Binakarya Jaya Abadi</t>
  </si>
  <si>
    <t xml:space="preserve"> Binakarya Jaya Abadi Tbk</t>
  </si>
  <si>
    <t xml:space="preserve"> PT Binakarya Jaya Abadi</t>
  </si>
  <si>
    <t xml:space="preserve"> PT Sepeda Bersama Indonesia</t>
  </si>
  <si>
    <t xml:space="preserve"> SBI</t>
  </si>
  <si>
    <t xml:space="preserve"> Sepeda Bersama Indonesia</t>
  </si>
  <si>
    <t xml:space="preserve"> Sepeda Bersama Indonesia Tbk</t>
  </si>
  <si>
    <t xml:space="preserve"> PT Primarindo Asia Infrastructure</t>
  </si>
  <si>
    <t xml:space="preserve"> Primarindo Asia Infrastructure</t>
  </si>
  <si>
    <t xml:space="preserve"> Primarindo Asia Infrastructure Tbk</t>
  </si>
  <si>
    <t xml:space="preserve"> Bank Ina Perdana</t>
  </si>
  <si>
    <t xml:space="preserve"> Bank Ina Perdana Tbk</t>
  </si>
  <si>
    <t xml:space="preserve"> Bank Perdana</t>
  </si>
  <si>
    <t xml:space="preserve"> PT Bank Ina Perdana</t>
  </si>
  <si>
    <t xml:space="preserve"> Perdana</t>
  </si>
  <si>
    <t xml:space="preserve"> PP</t>
  </si>
  <si>
    <t xml:space="preserve"> PT Perma Plasindo</t>
  </si>
  <si>
    <t xml:space="preserve"> Perma Plasindo</t>
  </si>
  <si>
    <t xml:space="preserve"> Perma Plasindo Tbk</t>
  </si>
  <si>
    <t xml:space="preserve"> Astrindo Nusantara Infrastruktur</t>
  </si>
  <si>
    <t xml:space="preserve"> Astrindo Nusantara Infrastruktur Tbk</t>
  </si>
  <si>
    <t xml:space="preserve"> PT Astrindo Nusantara Infrastruktur</t>
  </si>
  <si>
    <t xml:space="preserve"> Bhuwanatala Indah Permai</t>
  </si>
  <si>
    <t xml:space="preserve"> Bhuwanatala Indah Permai Tbk</t>
  </si>
  <si>
    <t xml:space="preserve"> PT Bhuwanatala Indah Permai</t>
  </si>
  <si>
    <t xml:space="preserve"> Blue Bird</t>
  </si>
  <si>
    <t xml:space="preserve"> Blue Bird Tbk</t>
  </si>
  <si>
    <t xml:space="preserve"> PT Blue Bird</t>
  </si>
  <si>
    <t xml:space="preserve"> BISI International</t>
  </si>
  <si>
    <t xml:space="preserve"> BISI International Tbk</t>
  </si>
  <si>
    <t xml:space="preserve"> PT BISI International</t>
  </si>
  <si>
    <t xml:space="preserve"> BJB</t>
  </si>
  <si>
    <t xml:space="preserve"> Bank BJB</t>
  </si>
  <si>
    <t xml:space="preserve"> Bank Jabar</t>
  </si>
  <si>
    <t xml:space="preserve"> Bank Pembangunan Daerah Jawa Barat dan Banten</t>
  </si>
  <si>
    <t xml:space="preserve"> Bank Pembangunan Daerah Jawa Barat dan Banten Tbk</t>
  </si>
  <si>
    <t xml:space="preserve"> PT Bank Pembangunan Daerah Jawa Barat dan Banten</t>
  </si>
  <si>
    <t xml:space="preserve"> Bank Jatim</t>
  </si>
  <si>
    <t xml:space="preserve"> Bank Pembangunan Daerah Jawa Timur</t>
  </si>
  <si>
    <t xml:space="preserve"> Bank Pembangunan Daerah Jawa Timur Tbk</t>
  </si>
  <si>
    <t xml:space="preserve"> PT Bank Pembangunan Daerah Jawa Timur</t>
  </si>
  <si>
    <t xml:space="preserve"> Bukit Darmo Property</t>
  </si>
  <si>
    <t xml:space="preserve"> Bukit Darmo Property Tbk</t>
  </si>
  <si>
    <t xml:space="preserve"> PT Bukit Darmo Property</t>
  </si>
  <si>
    <t xml:space="preserve"> PT Sentul City</t>
  </si>
  <si>
    <t xml:space="preserve"> Sentul City</t>
  </si>
  <si>
    <t xml:space="preserve"> Sentul City Tbk</t>
  </si>
  <si>
    <t xml:space="preserve"> Bank QNB Indonesia</t>
  </si>
  <si>
    <t xml:space="preserve"> Bank QNB Indonesia Tbk</t>
  </si>
  <si>
    <t xml:space="preserve"> PT Bank QNB Indonesia</t>
  </si>
  <si>
    <t xml:space="preserve"> PT Superior Prima Sukses</t>
  </si>
  <si>
    <t xml:space="preserve"> Superior Prima Sukses</t>
  </si>
  <si>
    <t xml:space="preserve"> Superior Prima Sukses Tbk</t>
  </si>
  <si>
    <t xml:space="preserve"> PT Trimitra Trans Persada</t>
  </si>
  <si>
    <t xml:space="preserve"> Trimitra Trans Persada</t>
  </si>
  <si>
    <t xml:space="preserve"> Trimitra Trans Persada Tbk</t>
  </si>
  <si>
    <t xml:space="preserve"> Berlian Laju Tanker</t>
  </si>
  <si>
    <t xml:space="preserve"> Berlian Laju Tanker Tbk</t>
  </si>
  <si>
    <t xml:space="preserve"> PT Berlian Laju Tanker</t>
  </si>
  <si>
    <t xml:space="preserve"> Graha Layar Prima</t>
  </si>
  <si>
    <t xml:space="preserve"> Graha Layar Prima Tbk</t>
  </si>
  <si>
    <t xml:space="preserve"> PT Graha Layar Prima</t>
  </si>
  <si>
    <t xml:space="preserve"> Berkah Prima Perkasa</t>
  </si>
  <si>
    <t xml:space="preserve"> Berkah Prima Perkasa Tbk</t>
  </si>
  <si>
    <t xml:space="preserve"> PT Berkah Prima Perkasa</t>
  </si>
  <si>
    <t xml:space="preserve"> Bank Maspion Indonesia</t>
  </si>
  <si>
    <t xml:space="preserve"> Bank Maspion Indonesia Tbk</t>
  </si>
  <si>
    <t xml:space="preserve"> PT Bank Maspion Indonesia</t>
  </si>
  <si>
    <t xml:space="preserve"> Lavender Bina Cendikia</t>
  </si>
  <si>
    <t xml:space="preserve"> Lavender Bina Cendikia Tbk</t>
  </si>
  <si>
    <t xml:space="preserve"> PT Lavender Bina Cendikia</t>
  </si>
  <si>
    <t>BMHS Tbk</t>
  </si>
  <si>
    <t xml:space="preserve"> PT Bundamedik</t>
  </si>
  <si>
    <t xml:space="preserve"> Bank Mandiri (Persero)</t>
  </si>
  <si>
    <t xml:space="preserve"> Bank Mandiri (Persero) Tbk</t>
  </si>
  <si>
    <t xml:space="preserve"> PT Bank Mandiri (Persero)</t>
  </si>
  <si>
    <t xml:space="preserve"> Bintang Mitra Semestaraya</t>
  </si>
  <si>
    <t xml:space="preserve"> Bintang Mitra Semestaraya Tbk</t>
  </si>
  <si>
    <t xml:space="preserve"> PT Bintang Mitra Semestaraya</t>
  </si>
  <si>
    <t xml:space="preserve"> Global Mediacom</t>
  </si>
  <si>
    <t xml:space="preserve"> Global Mediacom Tbk</t>
  </si>
  <si>
    <t xml:space="preserve"> PT Global Mediacom</t>
  </si>
  <si>
    <t xml:space="preserve"> Bank Bumi Arta</t>
  </si>
  <si>
    <t xml:space="preserve"> Bank Bumi Arta Tbk</t>
  </si>
  <si>
    <t xml:space="preserve"> PT Bank Bumi Arta</t>
  </si>
  <si>
    <t xml:space="preserve"> Bakrie &amp; Brothers</t>
  </si>
  <si>
    <t xml:space="preserve"> Bakrie &amp; Brothers Tbk</t>
  </si>
  <si>
    <t xml:space="preserve"> PT Bakrie &amp; Brothers</t>
  </si>
  <si>
    <t xml:space="preserve"> Bank CIMB Niaga</t>
  </si>
  <si>
    <t xml:space="preserve"> Bank CIMB Niaga Tbk</t>
  </si>
  <si>
    <t xml:space="preserve"> Bank Niaga</t>
  </si>
  <si>
    <t xml:space="preserve"> PT Bank CIMB Niaga</t>
  </si>
  <si>
    <t xml:space="preserve"> MAYBANK</t>
  </si>
  <si>
    <t xml:space="preserve"> Bank Maybank Indonesia</t>
  </si>
  <si>
    <t xml:space="preserve"> Bank Maybank Indonesia Tbk</t>
  </si>
  <si>
    <t xml:space="preserve"> PT Bank Maybank Indonesia</t>
  </si>
  <si>
    <t xml:space="preserve"> Bank Permata</t>
  </si>
  <si>
    <t xml:space="preserve"> Bank Permata Tbk</t>
  </si>
  <si>
    <t xml:space="preserve"> PT Bank Permata</t>
  </si>
  <si>
    <t xml:space="preserve"> Permata</t>
  </si>
  <si>
    <t xml:space="preserve"> Newport Marine Services</t>
  </si>
  <si>
    <t xml:space="preserve"> Newport Marine Services Tbk</t>
  </si>
  <si>
    <t xml:space="preserve"> PT Newport Marine Services</t>
  </si>
  <si>
    <t xml:space="preserve"> Formosa Ingredient Factory</t>
  </si>
  <si>
    <t xml:space="preserve"> Formosa Ingredient Factory Tbk</t>
  </si>
  <si>
    <t xml:space="preserve"> PT Formosa Ingredient Factory</t>
  </si>
  <si>
    <t xml:space="preserve"> Apollo Global Interactive</t>
  </si>
  <si>
    <t xml:space="preserve"> Apollo Global Interactive Tbk</t>
  </si>
  <si>
    <t xml:space="preserve"> PT Apollo Global Interactive</t>
  </si>
  <si>
    <t xml:space="preserve"> Bali Bintang Sejahtera</t>
  </si>
  <si>
    <t xml:space="preserve"> Bali Bintang Sejahtera Tbk</t>
  </si>
  <si>
    <t xml:space="preserve"> PT Bali Bintang Sejahtera</t>
  </si>
  <si>
    <t xml:space="preserve"> Garuda Metalindo</t>
  </si>
  <si>
    <t xml:space="preserve"> Garuda Metalindo Tbk</t>
  </si>
  <si>
    <t xml:space="preserve"> PT Garuda Metalindo</t>
  </si>
  <si>
    <t xml:space="preserve"> Borneo Olah Sarana Sukses</t>
  </si>
  <si>
    <t xml:space="preserve"> Borneo Olah Sarana Sukses Tbk</t>
  </si>
  <si>
    <t xml:space="preserve"> PT Borneo Olah Sarana Sukses</t>
  </si>
  <si>
    <t xml:space="preserve"> PT Woori Finance Indonesia</t>
  </si>
  <si>
    <t xml:space="preserve"> Woori Finance Indonesia</t>
  </si>
  <si>
    <t xml:space="preserve"> Woori Finance Indonesia Tbk</t>
  </si>
  <si>
    <t xml:space="preserve"> Batavia Prosperindo Internasional</t>
  </si>
  <si>
    <t xml:space="preserve"> Batavia Prosperindo Internasional Tbk</t>
  </si>
  <si>
    <t xml:space="preserve"> PT Batavia Prosperindo Internasional</t>
  </si>
  <si>
    <t xml:space="preserve"> Batavia Prosperindo Trans</t>
  </si>
  <si>
    <t xml:space="preserve"> Batavia Prosperindo Trans Tbk</t>
  </si>
  <si>
    <t xml:space="preserve"> PT Batavia Prosperindo Trans</t>
  </si>
  <si>
    <t xml:space="preserve"> Indo Kordsa</t>
  </si>
  <si>
    <t xml:space="preserve"> Indo Kordsa Tbk</t>
  </si>
  <si>
    <t xml:space="preserve"> PT Indo Kordsa</t>
  </si>
  <si>
    <t xml:space="preserve"> Barito Renewables Energy</t>
  </si>
  <si>
    <t xml:space="preserve"> Barito Renewables Energy Tbk</t>
  </si>
  <si>
    <t xml:space="preserve"> PT Barito Renewables Energy</t>
  </si>
  <si>
    <t xml:space="preserve"> BSI</t>
  </si>
  <si>
    <t xml:space="preserve"> Bank Syariah Indonesia</t>
  </si>
  <si>
    <t xml:space="preserve"> Bank Syariah Indonesia Tbk</t>
  </si>
  <si>
    <t xml:space="preserve"> PT Bank Syariah Indonesia</t>
  </si>
  <si>
    <t xml:space="preserve"> Bumi Resources Minerals</t>
  </si>
  <si>
    <t xml:space="preserve"> Bumi Resources Minerals Tbk</t>
  </si>
  <si>
    <t xml:space="preserve"> PT Bumi Resources Minerals</t>
  </si>
  <si>
    <t>BRNA Tbk</t>
  </si>
  <si>
    <t xml:space="preserve"> PT Berlina</t>
  </si>
  <si>
    <t xml:space="preserve"> Barito Pacific</t>
  </si>
  <si>
    <t xml:space="preserve"> Barito Pacific Tbk</t>
  </si>
  <si>
    <t xml:space="preserve"> PT Barito Pacific</t>
  </si>
  <si>
    <t xml:space="preserve"> PT Raja Roti Cemerlang</t>
  </si>
  <si>
    <t xml:space="preserve"> Raja Roti Cemerlang</t>
  </si>
  <si>
    <t xml:space="preserve"> Raja Roti Cemerlang Tbk</t>
  </si>
  <si>
    <t xml:space="preserve"> PT Wulandari Bangun Laksana</t>
  </si>
  <si>
    <t xml:space="preserve"> Wulandari Bangun Laksana</t>
  </si>
  <si>
    <t xml:space="preserve"> Wulandari Bangun Laksana Tbk</t>
  </si>
  <si>
    <t xml:space="preserve"> BSD</t>
  </si>
  <si>
    <t xml:space="preserve"> Bumi Serpong Damai</t>
  </si>
  <si>
    <t xml:space="preserve"> Bumi Serpong Damai Tbk</t>
  </si>
  <si>
    <t xml:space="preserve"> PT Bumi Serpong Damai</t>
  </si>
  <si>
    <t xml:space="preserve"> Bank Sinarmas</t>
  </si>
  <si>
    <t xml:space="preserve"> Bank Sinarmas Tbk</t>
  </si>
  <si>
    <t xml:space="preserve"> PT Bank Sinarmas</t>
  </si>
  <si>
    <t xml:space="preserve"> Sinarmas</t>
  </si>
  <si>
    <t xml:space="preserve"> Bintang Samudera Mandiri Lines</t>
  </si>
  <si>
    <t xml:space="preserve"> Bintang Samudera Mandiri Lines Tbk</t>
  </si>
  <si>
    <t xml:space="preserve"> PT Bintang Samudera Mandiri Lines</t>
  </si>
  <si>
    <t xml:space="preserve"> Baramulti Suksessarana</t>
  </si>
  <si>
    <t xml:space="preserve"> Baramulti Suksessarana Tbk</t>
  </si>
  <si>
    <t xml:space="preserve"> PT Baramulti Suksessarana</t>
  </si>
  <si>
    <t xml:space="preserve"> Bank Of India Indonesia</t>
  </si>
  <si>
    <t xml:space="preserve"> Bank Of India Indonesia Tbk</t>
  </si>
  <si>
    <t xml:space="preserve"> PT Bank Of India Indonesia</t>
  </si>
  <si>
    <t xml:space="preserve"> Bumi Teknokultura Unggul</t>
  </si>
  <si>
    <t xml:space="preserve"> Bumi Teknokultura Unggul Tbk</t>
  </si>
  <si>
    <t xml:space="preserve"> PT Bumi Teknokultura Unggul</t>
  </si>
  <si>
    <t xml:space="preserve"> Bakrie Telecom</t>
  </si>
  <si>
    <t xml:space="preserve"> Bakrie Telecom Tbk</t>
  </si>
  <si>
    <t xml:space="preserve"> PT Bakrie Telecom</t>
  </si>
  <si>
    <t xml:space="preserve"> Betonjaya Manunggal</t>
  </si>
  <si>
    <t xml:space="preserve"> Betonjaya Manunggal Tbk</t>
  </si>
  <si>
    <t xml:space="preserve"> PT Betonjaya Manunggal</t>
  </si>
  <si>
    <t xml:space="preserve"> Bank SMBC Indonesia</t>
  </si>
  <si>
    <t xml:space="preserve"> Bank SMBC Indonesia Tbk</t>
  </si>
  <si>
    <t xml:space="preserve"> PT Bank SMBC Indonesia</t>
  </si>
  <si>
    <t xml:space="preserve"> Bank BTPN Syariah</t>
  </si>
  <si>
    <t xml:space="preserve"> Bank BTPN Syariah Tbk</t>
  </si>
  <si>
    <t xml:space="preserve"> PT Bank BTPN Syariah</t>
  </si>
  <si>
    <t xml:space="preserve"> PT Segar Kumala Indonesia</t>
  </si>
  <si>
    <t xml:space="preserve"> Segar Kumala Indonesia</t>
  </si>
  <si>
    <t xml:space="preserve"> Segar Kumala Indonesia Tbk</t>
  </si>
  <si>
    <t xml:space="preserve"> Budi Starch &amp; Sweetener</t>
  </si>
  <si>
    <t xml:space="preserve"> Budi Starch &amp; Sweetener Tbk</t>
  </si>
  <si>
    <t xml:space="preserve"> PT Budi Starch &amp; Sweetener</t>
  </si>
  <si>
    <t xml:space="preserve"> Bukalapak Tbk</t>
  </si>
  <si>
    <t xml:space="preserve"> PT Bukalapak.com</t>
  </si>
  <si>
    <t xml:space="preserve"> Bukaka Teknik Utama</t>
  </si>
  <si>
    <t xml:space="preserve"> Bukaka Teknik Utama Tbk</t>
  </si>
  <si>
    <t xml:space="preserve"> PT Bukaka Teknik Utama</t>
  </si>
  <si>
    <t xml:space="preserve"> Buana Lintas Lautan</t>
  </si>
  <si>
    <t xml:space="preserve"> Buana Lintas Lautan Tbk</t>
  </si>
  <si>
    <t xml:space="preserve"> PT Buana Lintas Lautan</t>
  </si>
  <si>
    <t xml:space="preserve"> Bumi Resources</t>
  </si>
  <si>
    <t xml:space="preserve"> Bumi Resources Tbk</t>
  </si>
  <si>
    <t xml:space="preserve"> PT Bumi Resources</t>
  </si>
  <si>
    <t xml:space="preserve"> Bukit Uluwatu Villa</t>
  </si>
  <si>
    <t xml:space="preserve"> Bukit Uluwatu Villa Tbk</t>
  </si>
  <si>
    <t xml:space="preserve"> PT Bukit Uluwatu Villa</t>
  </si>
  <si>
    <t xml:space="preserve"> Bank International</t>
  </si>
  <si>
    <t xml:space="preserve"> Bank Victoria International</t>
  </si>
  <si>
    <t xml:space="preserve"> Bank Victoria International Tbk</t>
  </si>
  <si>
    <t xml:space="preserve"> International</t>
  </si>
  <si>
    <t xml:space="preserve"> PT Bank Victoria International</t>
  </si>
  <si>
    <t xml:space="preserve"> Eagle High Plantations</t>
  </si>
  <si>
    <t xml:space="preserve"> Eagle High Plantations Tbk</t>
  </si>
  <si>
    <t xml:space="preserve"> PT Eagle High Plantations</t>
  </si>
  <si>
    <t xml:space="preserve"> Bayan Resources</t>
  </si>
  <si>
    <t xml:space="preserve"> Bayan Resources Tbk</t>
  </si>
  <si>
    <t xml:space="preserve"> PT Bayan Resources</t>
  </si>
  <si>
    <t xml:space="preserve"> Cahayaputra Asa Keramik</t>
  </si>
  <si>
    <t xml:space="preserve"> Cahayaputra Asa Keramik Tbk</t>
  </si>
  <si>
    <t xml:space="preserve"> PT Cahayaputra Asa Keramik</t>
  </si>
  <si>
    <t xml:space="preserve"> Campina Ice Cream Industry</t>
  </si>
  <si>
    <t xml:space="preserve"> Campina Ice Cream Industry Tbk</t>
  </si>
  <si>
    <t xml:space="preserve"> PT Campina Ice Cream Industry</t>
  </si>
  <si>
    <t xml:space="preserve"> Capitol Nusantara Indonesia</t>
  </si>
  <si>
    <t xml:space="preserve"> Capitol Nusantara Indonesia Tbk</t>
  </si>
  <si>
    <t xml:space="preserve"> PT Capitol Nusantara Indonesia</t>
  </si>
  <si>
    <t xml:space="preserve"> Metro Healthcare Indonesia</t>
  </si>
  <si>
    <t xml:space="preserve"> Metro Healthcare Indonesia Tbk</t>
  </si>
  <si>
    <t xml:space="preserve"> PT Metro Healthcare Indonesia</t>
  </si>
  <si>
    <t xml:space="preserve"> Industri dan Perdagangan Bintraco Dharma</t>
  </si>
  <si>
    <t xml:space="preserve"> Industri dan Perdagangan Bintraco Dharma Tbk</t>
  </si>
  <si>
    <t xml:space="preserve"> PT Industri dan Perdagangan Bintraco Dharma</t>
  </si>
  <si>
    <t xml:space="preserve"> Capital Financial Indonesia</t>
  </si>
  <si>
    <t xml:space="preserve"> Capital Financial Indonesia Tbk</t>
  </si>
  <si>
    <t xml:space="preserve"> PT Capital Financial Indonesia</t>
  </si>
  <si>
    <t xml:space="preserve"> Cashlez Worldwide Indonesia</t>
  </si>
  <si>
    <t xml:space="preserve"> Cashlez Worldwide Indonesia Tbk</t>
  </si>
  <si>
    <t xml:space="preserve"> PT Cashlez Worldwide Indonesia</t>
  </si>
  <si>
    <t xml:space="preserve"> Cahaya Aero Services</t>
  </si>
  <si>
    <t xml:space="preserve"> Cahaya Aero Services Tbk</t>
  </si>
  <si>
    <t xml:space="preserve"> PT Cahaya Aero Services</t>
  </si>
  <si>
    <t xml:space="preserve"> Bangun Kosambi Sukses</t>
  </si>
  <si>
    <t xml:space="preserve"> Bangun Kosambi Sukses Tbk</t>
  </si>
  <si>
    <t xml:space="preserve"> PT Bangun Kosambi Sukses</t>
  </si>
  <si>
    <t xml:space="preserve"> Cahaya Bintang Medan</t>
  </si>
  <si>
    <t xml:space="preserve"> Cahaya Bintang Medan Tbk</t>
  </si>
  <si>
    <t xml:space="preserve"> PT Cahaya Bintang Medan</t>
  </si>
  <si>
    <t xml:space="preserve"> Citra Buana Prasida</t>
  </si>
  <si>
    <t xml:space="preserve"> Citra Buana Prasida Tbk</t>
  </si>
  <si>
    <t xml:space="preserve"> PT Citra Buana Prasida</t>
  </si>
  <si>
    <t xml:space="preserve"> Cakra Buana Resources Energi</t>
  </si>
  <si>
    <t xml:space="preserve"> Cakra Buana Resources Energi Tbk</t>
  </si>
  <si>
    <t xml:space="preserve"> PT Cakra Buana Resources Energi</t>
  </si>
  <si>
    <t xml:space="preserve"> Citra Borneo Utama</t>
  </si>
  <si>
    <t xml:space="preserve"> Citra Borneo Utama Tbk</t>
  </si>
  <si>
    <t xml:space="preserve"> PT Citra Borneo Utama</t>
  </si>
  <si>
    <t xml:space="preserve"> Communication Cable Systems Indonesia</t>
  </si>
  <si>
    <t xml:space="preserve"> Communication Cable Systems Indonesia Tbk</t>
  </si>
  <si>
    <t xml:space="preserve"> PT Communication Cable Systems Indonesia</t>
  </si>
  <si>
    <t xml:space="preserve"> Chandra Daya Investasi</t>
  </si>
  <si>
    <t xml:space="preserve"> Chandra Daya Investasi Tbk</t>
  </si>
  <si>
    <t xml:space="preserve"> PT Chandra Daya Investasi</t>
  </si>
  <si>
    <t xml:space="preserve"> PT Wilmar Cahaya Indonesia</t>
  </si>
  <si>
    <t xml:space="preserve"> Wilmar Cahaya Indonesia</t>
  </si>
  <si>
    <t xml:space="preserve"> Wilmar Cahaya Indonesia Tbk</t>
  </si>
  <si>
    <t xml:space="preserve"> Centratama Telekomunikasi Indonesia</t>
  </si>
  <si>
    <t xml:space="preserve"> Centratama Telekomunikasi Indonesia Tbk</t>
  </si>
  <si>
    <t xml:space="preserve"> PT Centratama Telekomunikasi Indonesia</t>
  </si>
  <si>
    <t xml:space="preserve"> Clipan Finance Indonesia</t>
  </si>
  <si>
    <t xml:space="preserve"> Clipan Finance Indonesia Tbk</t>
  </si>
  <si>
    <t xml:space="preserve"> PT Clipan Finance Indonesia</t>
  </si>
  <si>
    <t xml:space="preserve"> Citra Nusantara Gemilang</t>
  </si>
  <si>
    <t xml:space="preserve"> Citra Nusantara Gemilang Tbk</t>
  </si>
  <si>
    <t xml:space="preserve"> PT Citra Nusantara Gemilang</t>
  </si>
  <si>
    <t xml:space="preserve"> Diastika Biotekindo</t>
  </si>
  <si>
    <t xml:space="preserve"> Diastika Biotekindo Tbk</t>
  </si>
  <si>
    <t xml:space="preserve"> PT Diastika Biotekindo</t>
  </si>
  <si>
    <t xml:space="preserve"> Chemstar Indonesia</t>
  </si>
  <si>
    <t xml:space="preserve"> Chemstar Indonesia Tbk</t>
  </si>
  <si>
    <t xml:space="preserve"> PT Chemstar Indonesia</t>
  </si>
  <si>
    <t xml:space="preserve"> PT Pelita Teknologi Global</t>
  </si>
  <si>
    <t xml:space="preserve"> Pelita Teknologi Global</t>
  </si>
  <si>
    <t xml:space="preserve"> Pelita Teknologi Global Tbk</t>
  </si>
  <si>
    <t xml:space="preserve"> Chitose Internasional</t>
  </si>
  <si>
    <t xml:space="preserve"> Chitose Internasional Tbk</t>
  </si>
  <si>
    <t xml:space="preserve"> PT Chitose Internasional</t>
  </si>
  <si>
    <t xml:space="preserve"> Cita Mineral Investindo</t>
  </si>
  <si>
    <t xml:space="preserve"> Cita Mineral Investindo Tbk</t>
  </si>
  <si>
    <t xml:space="preserve"> PT Cita Mineral Investindo</t>
  </si>
  <si>
    <t xml:space="preserve"> Natura City Developments</t>
  </si>
  <si>
    <t xml:space="preserve"> Natura City Developments Tbk</t>
  </si>
  <si>
    <t xml:space="preserve"> PT Natura City Developments</t>
  </si>
  <si>
    <t xml:space="preserve"> Citra Putra Realty</t>
  </si>
  <si>
    <t xml:space="preserve"> Citra Putra Realty Tbk</t>
  </si>
  <si>
    <t xml:space="preserve"> PT Citra Putra Realty</t>
  </si>
  <si>
    <t xml:space="preserve"> PT Sariguna Primatirta</t>
  </si>
  <si>
    <t xml:space="preserve"> Sariguna Primatirta</t>
  </si>
  <si>
    <t xml:space="preserve"> Sariguna Primatirta Tbk</t>
  </si>
  <si>
    <t xml:space="preserve"> Colorpak Indonesia</t>
  </si>
  <si>
    <t xml:space="preserve"> Colorpak Indonesia Tbk</t>
  </si>
  <si>
    <t xml:space="preserve"> PT Colorpak Indonesia</t>
  </si>
  <si>
    <t xml:space="preserve"> Citra Marga Nusaphala Persada</t>
  </si>
  <si>
    <t xml:space="preserve"> Citra Marga Nusaphala Persada Tbk</t>
  </si>
  <si>
    <t xml:space="preserve"> PT Citra Marga Nusaphala Persada</t>
  </si>
  <si>
    <t xml:space="preserve"> Cemindo Gemilang</t>
  </si>
  <si>
    <t xml:space="preserve"> Cemindo Gemilang Tbk</t>
  </si>
  <si>
    <t xml:space="preserve"> PT Cemindo Gemilang</t>
  </si>
  <si>
    <t xml:space="preserve"> AirAsia Indonesia</t>
  </si>
  <si>
    <t xml:space="preserve"> AirAsia Indonesia Tbk</t>
  </si>
  <si>
    <t xml:space="preserve"> PT AirAsia Indonesia</t>
  </si>
  <si>
    <t xml:space="preserve"> Cisarua Mountain Dairy</t>
  </si>
  <si>
    <t xml:space="preserve"> Cisarua Mountain Dairy Tbk</t>
  </si>
  <si>
    <t xml:space="preserve"> PT Cisarua Mountain Dairy</t>
  </si>
  <si>
    <t xml:space="preserve"> Exploitasi Energi Indonesia</t>
  </si>
  <si>
    <t xml:space="preserve"> Exploitasi Energi Indonesia Tbk</t>
  </si>
  <si>
    <t xml:space="preserve"> PT Exploitasi Energi Indonesia</t>
  </si>
  <si>
    <t xml:space="preserve"> Nusantara Sejahtera Raya</t>
  </si>
  <si>
    <t xml:space="preserve"> Nusantara Sejahtera Raya Tbk</t>
  </si>
  <si>
    <t xml:space="preserve"> PT Nusantara Sejahtera Raya</t>
  </si>
  <si>
    <t xml:space="preserve"> Century Textile Industry</t>
  </si>
  <si>
    <t xml:space="preserve"> Century Textile Industry Tbk</t>
  </si>
  <si>
    <t xml:space="preserve"> PT Century Textile Industry</t>
  </si>
  <si>
    <t xml:space="preserve"> Black Diamond Resources</t>
  </si>
  <si>
    <t xml:space="preserve"> Black Diamond Resources Tbk</t>
  </si>
  <si>
    <t xml:space="preserve"> PT Black Diamond Resources</t>
  </si>
  <si>
    <t xml:space="preserve"> PT Wahana Interfood Nusantara</t>
  </si>
  <si>
    <t xml:space="preserve"> Wahana Interfood Nusantara</t>
  </si>
  <si>
    <t xml:space="preserve"> Wahana Interfood Nusantara Tbk</t>
  </si>
  <si>
    <t xml:space="preserve"> INDOKRIO KOIN SEMESTA</t>
  </si>
  <si>
    <t xml:space="preserve"> Indokrio Koin Semesta</t>
  </si>
  <si>
    <t xml:space="preserve"> Indokrio Koin Semesta Tbk</t>
  </si>
  <si>
    <t xml:space="preserve"> IndokrioKoinSemesta</t>
  </si>
  <si>
    <t xml:space="preserve"> PT Indokrio Koin Semesta</t>
  </si>
  <si>
    <t xml:space="preserve"> indokrio koin semesta</t>
  </si>
  <si>
    <t xml:space="preserve"> Cowell Development</t>
  </si>
  <si>
    <t xml:space="preserve"> Cowell Development Tbk</t>
  </si>
  <si>
    <t xml:space="preserve"> PT Cowell Development</t>
  </si>
  <si>
    <t xml:space="preserve"> Charoen Pokphand Indonesia</t>
  </si>
  <si>
    <t xml:space="preserve"> Charoen Pokphand Indonesia Tbk</t>
  </si>
  <si>
    <t xml:space="preserve"> PT Charoen Pokphand Indonesia</t>
  </si>
  <si>
    <t xml:space="preserve"> Capri Nusa Satu Properti</t>
  </si>
  <si>
    <t xml:space="preserve"> Capri Nusa Satu Properti Tbk</t>
  </si>
  <si>
    <t xml:space="preserve"> PT Capri Nusa Satu Properti</t>
  </si>
  <si>
    <t xml:space="preserve"> Central Proteina Prima</t>
  </si>
  <si>
    <t xml:space="preserve"> Central Proteina Prima Tbk</t>
  </si>
  <si>
    <t xml:space="preserve"> PT Central Proteina Prima</t>
  </si>
  <si>
    <t xml:space="preserve"> PT Toba Surimi Industries</t>
  </si>
  <si>
    <t xml:space="preserve"> Toba Surimi Industries</t>
  </si>
  <si>
    <t xml:space="preserve"> Toba Surimi Industries Tbk</t>
  </si>
  <si>
    <t>CRSN Tbk</t>
  </si>
  <si>
    <t xml:space="preserve"> PT Carsurin</t>
  </si>
  <si>
    <t xml:space="preserve"> Catur Sentosa Adiprana</t>
  </si>
  <si>
    <t xml:space="preserve"> Catur Sentosa Adiprana Tbk</t>
  </si>
  <si>
    <t xml:space="preserve"> PT Catur Sentosa Adiprana</t>
  </si>
  <si>
    <t xml:space="preserve"> Cahayasakti Investindo Sukses</t>
  </si>
  <si>
    <t xml:space="preserve"> Cahayasakti Investindo Sukses Tbk</t>
  </si>
  <si>
    <t xml:space="preserve"> PT Cahayasakti Investindo Sukses</t>
  </si>
  <si>
    <t xml:space="preserve"> CIA SELERA MURNI</t>
  </si>
  <si>
    <t xml:space="preserve"> Cia Selera Murni</t>
  </si>
  <si>
    <t xml:space="preserve"> Cia Selera Murni Tbk</t>
  </si>
  <si>
    <t xml:space="preserve"> CiaSeleraMurni</t>
  </si>
  <si>
    <t xml:space="preserve"> PT Cia Selera Murni</t>
  </si>
  <si>
    <t xml:space="preserve"> cia selera murni</t>
  </si>
  <si>
    <t xml:space="preserve"> Cisadane Sawit Raya</t>
  </si>
  <si>
    <t xml:space="preserve"> Cisadane Sawit Raya Tbk</t>
  </si>
  <si>
    <t xml:space="preserve"> PT Cisadane Sawit Raya</t>
  </si>
  <si>
    <t xml:space="preserve"> Citra Tubindo</t>
  </si>
  <si>
    <t xml:space="preserve"> Citra Tubindo Tbk</t>
  </si>
  <si>
    <t xml:space="preserve"> PT Citra Tubindo</t>
  </si>
  <si>
    <t xml:space="preserve"> Ciputra Development</t>
  </si>
  <si>
    <t xml:space="preserve"> Ciputra Development Tbk</t>
  </si>
  <si>
    <t xml:space="preserve"> PT Ciputra Development</t>
  </si>
  <si>
    <t>CTTH Tbk</t>
  </si>
  <si>
    <t xml:space="preserve"> PT Citatah</t>
  </si>
  <si>
    <t xml:space="preserve"> PT Petrindo Jaya Kreasi</t>
  </si>
  <si>
    <t xml:space="preserve"> Petrindo Jaya Kreasi</t>
  </si>
  <si>
    <t xml:space="preserve"> Petrindo Jaya Kreasi Tbk</t>
  </si>
  <si>
    <t xml:space="preserve"> ITSEC Asia</t>
  </si>
  <si>
    <t xml:space="preserve"> ITSEC Asia Tbk</t>
  </si>
  <si>
    <t xml:space="preserve"> PT ITSEC Asia</t>
  </si>
  <si>
    <t xml:space="preserve"> Daaz Bara Lestari</t>
  </si>
  <si>
    <t xml:space="preserve"> Daaz Bara Lestari Tbk</t>
  </si>
  <si>
    <t xml:space="preserve"> PT Daaz Bara Lestari</t>
  </si>
  <si>
    <t xml:space="preserve"> Diamond Citra Propertindo</t>
  </si>
  <si>
    <t xml:space="preserve"> Diamond Citra Propertindo Tbk</t>
  </si>
  <si>
    <t xml:space="preserve"> PT Diamond Citra Propertindo</t>
  </si>
  <si>
    <t xml:space="preserve"> Duta Anggada Realty</t>
  </si>
  <si>
    <t xml:space="preserve"> Duta Anggada Realty Tbk</t>
  </si>
  <si>
    <t xml:space="preserve"> PT Duta Anggada Realty</t>
  </si>
  <si>
    <t xml:space="preserve"> PT Remala Abadi</t>
  </si>
  <si>
    <t xml:space="preserve"> Remala Abadi</t>
  </si>
  <si>
    <t xml:space="preserve"> Remala Abadi Tbk</t>
  </si>
  <si>
    <t xml:space="preserve"> Duta Intidaya</t>
  </si>
  <si>
    <t xml:space="preserve"> Duta Intidaya Tbk</t>
  </si>
  <si>
    <t xml:space="preserve"> PT Duta Intidaya</t>
  </si>
  <si>
    <t xml:space="preserve"> DCI</t>
  </si>
  <si>
    <t xml:space="preserve"> DCI Indonesia</t>
  </si>
  <si>
    <t xml:space="preserve"> DCI Indonesia Tbk</t>
  </si>
  <si>
    <t xml:space="preserve"> PT DCI Indonesia</t>
  </si>
  <si>
    <t xml:space="preserve"> Dewata Freightinternational</t>
  </si>
  <si>
    <t xml:space="preserve"> Dewata Freightinternational Tbk</t>
  </si>
  <si>
    <t xml:space="preserve"> PT Dewata Freightinternational</t>
  </si>
  <si>
    <t xml:space="preserve"> Danasupra Erapacific</t>
  </si>
  <si>
    <t xml:space="preserve"> Danasupra Erapacific Tbk</t>
  </si>
  <si>
    <t xml:space="preserve"> PT Danasupra Erapacific</t>
  </si>
  <si>
    <t xml:space="preserve"> Caturkarda Depo Bangunan</t>
  </si>
  <si>
    <t xml:space="preserve"> Caturkarda Depo Bangunan Tbk</t>
  </si>
  <si>
    <t xml:space="preserve"> PT Caturkarda Depo Bangunan</t>
  </si>
  <si>
    <t xml:space="preserve"> Darma Henwa</t>
  </si>
  <si>
    <t xml:space="preserve"> Darma Henwa Tbk</t>
  </si>
  <si>
    <t xml:space="preserve"> PT Darma Henwa</t>
  </si>
  <si>
    <t xml:space="preserve"> Dewi Shri Farmindo</t>
  </si>
  <si>
    <t xml:space="preserve"> Dewi Shri Farmindo Tbk</t>
  </si>
  <si>
    <t xml:space="preserve"> PT Dewi Shri Farmindo</t>
  </si>
  <si>
    <t xml:space="preserve"> Dafam Property Indonesia</t>
  </si>
  <si>
    <t xml:space="preserve"> Dafam Property Indonesia Tbk</t>
  </si>
  <si>
    <t xml:space="preserve"> PT Dafam Property Indonesia</t>
  </si>
  <si>
    <t xml:space="preserve"> Nusa Konstruksi Enjiniring</t>
  </si>
  <si>
    <t xml:space="preserve"> Nusa Konstruksi Enjiniring Tbk</t>
  </si>
  <si>
    <t xml:space="preserve"> PT Nusa Konstruksi Enjiniring</t>
  </si>
  <si>
    <t xml:space="preserve"> Diagnos</t>
  </si>
  <si>
    <t xml:space="preserve"> Diagnos Laboratorium Utama</t>
  </si>
  <si>
    <t xml:space="preserve"> Diagnos Laboratorium Utama Tbk</t>
  </si>
  <si>
    <t xml:space="preserve"> PT Diagnos Laboratorium Utama</t>
  </si>
  <si>
    <t xml:space="preserve"> Delta Giri Wacana</t>
  </si>
  <si>
    <t xml:space="preserve"> Delta Giri Wacana Tbk</t>
  </si>
  <si>
    <t xml:space="preserve"> PT Delta Giri Wacana</t>
  </si>
  <si>
    <t xml:space="preserve"> Arkadia Digital Media</t>
  </si>
  <si>
    <t xml:space="preserve"> Arkadia Digital Media Tbk</t>
  </si>
  <si>
    <t xml:space="preserve"> PT Arkadia Digital Media</t>
  </si>
  <si>
    <t xml:space="preserve"> Intiland Development</t>
  </si>
  <si>
    <t xml:space="preserve"> Intiland Development Tbk</t>
  </si>
  <si>
    <t xml:space="preserve"> PT Intiland Development</t>
  </si>
  <si>
    <t xml:space="preserve"> Distribusi Voucher Nusantara</t>
  </si>
  <si>
    <t xml:space="preserve"> Distribusi Voucher Nusantara Tbk</t>
  </si>
  <si>
    <t xml:space="preserve"> PT Distribusi Voucher Nusantara</t>
  </si>
  <si>
    <t xml:space="preserve"> Central Omega Resources</t>
  </si>
  <si>
    <t xml:space="preserve"> Central Omega Resources Tbk</t>
  </si>
  <si>
    <t xml:space="preserve"> PT Central Omega Resources</t>
  </si>
  <si>
    <t xml:space="preserve"> CIA SARANA MEDIKA</t>
  </si>
  <si>
    <t xml:space="preserve"> Cia Sarana Medika</t>
  </si>
  <si>
    <t xml:space="preserve"> Cia Sarana Medika Tbk</t>
  </si>
  <si>
    <t xml:space="preserve"> CiaSaranaMedika</t>
  </si>
  <si>
    <t xml:space="preserve"> PT Cia Sarana Medika</t>
  </si>
  <si>
    <t xml:space="preserve"> cia sarana medika</t>
  </si>
  <si>
    <t xml:space="preserve"> Delta Djakarta</t>
  </si>
  <si>
    <t xml:space="preserve"> Delta Djakarta Tbk</t>
  </si>
  <si>
    <t xml:space="preserve"> PT Delta Djakarta</t>
  </si>
  <si>
    <t xml:space="preserve"> PT Puradelta Lestari</t>
  </si>
  <si>
    <t xml:space="preserve"> Puradelta Lestari</t>
  </si>
  <si>
    <t xml:space="preserve"> Puradelta Lestari Tbk</t>
  </si>
  <si>
    <t xml:space="preserve"> Digital Mediatama Maxima</t>
  </si>
  <si>
    <t xml:space="preserve"> Digital Mediatama Maxima Tbk</t>
  </si>
  <si>
    <t xml:space="preserve"> PT Digital Mediatama Maxima</t>
  </si>
  <si>
    <t xml:space="preserve"> Diamond Food Indonesia</t>
  </si>
  <si>
    <t xml:space="preserve"> Diamond Food Indonesia Tbk</t>
  </si>
  <si>
    <t xml:space="preserve"> PT Diamond Food Indonesia</t>
  </si>
  <si>
    <t xml:space="preserve"> Bank Oke Indonesia</t>
  </si>
  <si>
    <t xml:space="preserve"> Bank Oke Indonesia Tbk</t>
  </si>
  <si>
    <t xml:space="preserve"> PT Bank Oke Indonesia</t>
  </si>
  <si>
    <t xml:space="preserve"> Indoritel Makmur Internasional</t>
  </si>
  <si>
    <t xml:space="preserve"> Indoritel Makmur Internasional Tbk</t>
  </si>
  <si>
    <t xml:space="preserve"> PT Indoritel Makmur Internasional</t>
  </si>
  <si>
    <t xml:space="preserve"> BUMA Internasional Grup</t>
  </si>
  <si>
    <t xml:space="preserve"> BUMA Internasional Grup Tbk</t>
  </si>
  <si>
    <t xml:space="preserve"> PT BUMA Internasional Grup</t>
  </si>
  <si>
    <t xml:space="preserve"> Era Media Sejahtera</t>
  </si>
  <si>
    <t xml:space="preserve"> Era Media Sejahtera Tbk</t>
  </si>
  <si>
    <t xml:space="preserve"> PT Era Media Sejahtera</t>
  </si>
  <si>
    <t xml:space="preserve"> Global Sukses Digital</t>
  </si>
  <si>
    <t xml:space="preserve"> Global Sukses Digital Tbk</t>
  </si>
  <si>
    <t xml:space="preserve"> PT Global Sukses Digital</t>
  </si>
  <si>
    <t xml:space="preserve"> Duta Pertiwi Nusantara</t>
  </si>
  <si>
    <t xml:space="preserve"> Duta Pertiwi Nusantara Tbk</t>
  </si>
  <si>
    <t xml:space="preserve"> PT Duta Pertiwi Nusantara</t>
  </si>
  <si>
    <t xml:space="preserve"> Dua Putra Utama Makmur</t>
  </si>
  <si>
    <t xml:space="preserve"> Dua Putra Utama Makmur Tbk</t>
  </si>
  <si>
    <t xml:space="preserve"> PT Dua Putra Utama Makmur</t>
  </si>
  <si>
    <t xml:space="preserve"> Dharma Polimetal</t>
  </si>
  <si>
    <t xml:space="preserve"> Dharma Polimetal Tbk</t>
  </si>
  <si>
    <t xml:space="preserve"> PT Dharma Polimetal</t>
  </si>
  <si>
    <t xml:space="preserve"> Dharma Samudera Fishing Industries</t>
  </si>
  <si>
    <t xml:space="preserve"> Dharma Samudera Fishing Industries Tbk</t>
  </si>
  <si>
    <t xml:space="preserve"> PT Dharma Samudera Fishing Industries</t>
  </si>
  <si>
    <t xml:space="preserve"> Dharma Satya Nusantara</t>
  </si>
  <si>
    <t xml:space="preserve"> Dharma Satya Nusantara Tbk</t>
  </si>
  <si>
    <t xml:space="preserve"> PT Dharma Satya Nusantara</t>
  </si>
  <si>
    <t xml:space="preserve"> Dian Swastatika Sentosa</t>
  </si>
  <si>
    <t xml:space="preserve"> Dian Swastatika Sentosa Tbk</t>
  </si>
  <si>
    <t xml:space="preserve"> PT Dian Swastatika Sentosa</t>
  </si>
  <si>
    <t xml:space="preserve"> Jaya Bersama Indo</t>
  </si>
  <si>
    <t xml:space="preserve"> Jaya Bersama Indo Tbk</t>
  </si>
  <si>
    <t xml:space="preserve"> PT Jaya Bersama Indo</t>
  </si>
  <si>
    <t xml:space="preserve"> Duta Pertiwi</t>
  </si>
  <si>
    <t xml:space="preserve"> Duta Pertiwi Tbk</t>
  </si>
  <si>
    <t xml:space="preserve"> PT Duta Pertiwi</t>
  </si>
  <si>
    <t xml:space="preserve"> Darya-Varia Laboratoria</t>
  </si>
  <si>
    <t xml:space="preserve"> Darya-Varia Laboratoria Tbk</t>
  </si>
  <si>
    <t xml:space="preserve"> PT Darya-Varia Laboratoria</t>
  </si>
  <si>
    <t xml:space="preserve"> Dwi Guna Laksana</t>
  </si>
  <si>
    <t xml:space="preserve"> Dwi Guna Laksana Tbk</t>
  </si>
  <si>
    <t xml:space="preserve"> PT Dwi Guna Laksana</t>
  </si>
  <si>
    <t xml:space="preserve"> Dyandra Media International</t>
  </si>
  <si>
    <t xml:space="preserve"> Dyandra Media International Tbk</t>
  </si>
  <si>
    <t xml:space="preserve"> PT Dyandra Media International</t>
  </si>
  <si>
    <t xml:space="preserve"> Eastparc Hotel</t>
  </si>
  <si>
    <t xml:space="preserve"> Eastparc Hotel Tbk</t>
  </si>
  <si>
    <t xml:space="preserve"> PT Eastparc Hotel</t>
  </si>
  <si>
    <t xml:space="preserve"> Electronic City Indonesia</t>
  </si>
  <si>
    <t xml:space="preserve"> Electronic City Indonesia Tbk</t>
  </si>
  <si>
    <t xml:space="preserve"> PT Electronic City Indonesia</t>
  </si>
  <si>
    <t>EDGE Tbk</t>
  </si>
  <si>
    <t xml:space="preserve"> PT Indointernet</t>
  </si>
  <si>
    <t xml:space="preserve"> Ekadharma International</t>
  </si>
  <si>
    <t xml:space="preserve"> Ekadharma International Tbk</t>
  </si>
  <si>
    <t xml:space="preserve"> PT Ekadharma International</t>
  </si>
  <si>
    <t xml:space="preserve"> Data Sinergitama Jaya</t>
  </si>
  <si>
    <t xml:space="preserve"> Data Sinergitama Jaya Tbk</t>
  </si>
  <si>
    <t xml:space="preserve"> PT Data Sinergitama Jaya</t>
  </si>
  <si>
    <t xml:space="preserve"> PT Pelayaran Nasional Ekalya Purnamasari</t>
  </si>
  <si>
    <t xml:space="preserve"> Pelayaran Nasional Ekalya Purnamasari</t>
  </si>
  <si>
    <t xml:space="preserve"> Pelayaran Nasional Ekalya Purnamasari Tbk</t>
  </si>
  <si>
    <t>ELSA Tbk</t>
  </si>
  <si>
    <t xml:space="preserve"> PT Elnusa</t>
  </si>
  <si>
    <t xml:space="preserve"> Bakrieland Development</t>
  </si>
  <si>
    <t xml:space="preserve"> Bakrieland Development Tbk</t>
  </si>
  <si>
    <t xml:space="preserve"> PT Bakrieland Development</t>
  </si>
  <si>
    <t xml:space="preserve"> Merdeka Gold Resources</t>
  </si>
  <si>
    <t xml:space="preserve"> Merdeka Gold Resources Tbk</t>
  </si>
  <si>
    <t xml:space="preserve"> PT Merdeka Gold Resources</t>
  </si>
  <si>
    <t xml:space="preserve"> Megapolitan Developments</t>
  </si>
  <si>
    <t xml:space="preserve"> Megapolitan Developments Tbk</t>
  </si>
  <si>
    <t xml:space="preserve"> PT Megapolitan Developments</t>
  </si>
  <si>
    <t xml:space="preserve"> Elang Mahkota Teknologi</t>
  </si>
  <si>
    <t xml:space="preserve"> Elang Mahkota Teknologi Tbk</t>
  </si>
  <si>
    <t xml:space="preserve"> PT Elang Mahkota Teknologi</t>
  </si>
  <si>
    <t xml:space="preserve"> Champ Resto Indonesia</t>
  </si>
  <si>
    <t xml:space="preserve"> Champ Resto Indonesia Tbk</t>
  </si>
  <si>
    <t xml:space="preserve"> PT Champ Resto Indonesia</t>
  </si>
  <si>
    <t xml:space="preserve"> EMP</t>
  </si>
  <si>
    <t xml:space="preserve"> Energi Mega Persada</t>
  </si>
  <si>
    <t xml:space="preserve"> Energi Mega Persada Tbk</t>
  </si>
  <si>
    <t xml:space="preserve"> PT Energi Mega Persada</t>
  </si>
  <si>
    <t xml:space="preserve"> Envy Technologies Indonesia</t>
  </si>
  <si>
    <t xml:space="preserve"> Envy Technologies Indonesia Tbk</t>
  </si>
  <si>
    <t xml:space="preserve"> PT Envy Technologies Indonesia</t>
  </si>
  <si>
    <t xml:space="preserve"> Morenzo Abadi Perkasa</t>
  </si>
  <si>
    <t xml:space="preserve"> Morenzo Abadi Perkasa Tbk</t>
  </si>
  <si>
    <t xml:space="preserve"> PT Morenzo Abadi Perkasa</t>
  </si>
  <si>
    <t xml:space="preserve"> Megalestari Epack Sentosaraya</t>
  </si>
  <si>
    <t xml:space="preserve"> Megalestari Epack Sentosaraya Tbk</t>
  </si>
  <si>
    <t xml:space="preserve"> PT Megalestari Epack Sentosaraya</t>
  </si>
  <si>
    <t xml:space="preserve"> Enseval Putera Megatrading</t>
  </si>
  <si>
    <t xml:space="preserve"> Enseval Putera Megatrading Tbk</t>
  </si>
  <si>
    <t xml:space="preserve"> PT Enseval Putera Megatrading</t>
  </si>
  <si>
    <t xml:space="preserve"> Erajaya Swasembada</t>
  </si>
  <si>
    <t xml:space="preserve"> Erajaya Swasembada Tbk</t>
  </si>
  <si>
    <t xml:space="preserve"> PT Erajaya Swasembada</t>
  </si>
  <si>
    <t xml:space="preserve"> PT Sinar Eka Selaras</t>
  </si>
  <si>
    <t xml:space="preserve"> SES</t>
  </si>
  <si>
    <t xml:space="preserve"> Sinar Eka Selaras</t>
  </si>
  <si>
    <t xml:space="preserve"> Sinar Eka Selaras Tbk</t>
  </si>
  <si>
    <t xml:space="preserve"> Eratex Djaja</t>
  </si>
  <si>
    <t xml:space="preserve"> Eratex Djaja Tbk</t>
  </si>
  <si>
    <t xml:space="preserve"> PT Eratex Djaja</t>
  </si>
  <si>
    <t xml:space="preserve"> PT Sinergi Inti Plastindo</t>
  </si>
  <si>
    <t xml:space="preserve"> Sinergi Inti Plastindo</t>
  </si>
  <si>
    <t xml:space="preserve"> Sinergi Inti Plastindo Tbk</t>
  </si>
  <si>
    <t xml:space="preserve"> ESSA Industries Indonesia</t>
  </si>
  <si>
    <t xml:space="preserve"> ESSA Industries Indonesia Tbk</t>
  </si>
  <si>
    <t xml:space="preserve"> PT ESSA Industries Indonesia</t>
  </si>
  <si>
    <t xml:space="preserve"> Esta Multi Usaha</t>
  </si>
  <si>
    <t xml:space="preserve"> Esta Multi Usaha Tbk</t>
  </si>
  <si>
    <t xml:space="preserve"> PT Esta Multi Usaha</t>
  </si>
  <si>
    <t xml:space="preserve"> Ever Shine Tex</t>
  </si>
  <si>
    <t xml:space="preserve"> Ever Shine Tex Tbk</t>
  </si>
  <si>
    <t xml:space="preserve"> PT Ever Shine Tex</t>
  </si>
  <si>
    <t xml:space="preserve"> Eterindo Wahanatama</t>
  </si>
  <si>
    <t xml:space="preserve"> Eterindo Wahanatama Tbk</t>
  </si>
  <si>
    <t xml:space="preserve"> PT Eterindo Wahanatama</t>
  </si>
  <si>
    <t xml:space="preserve"> Estee Gold Feet</t>
  </si>
  <si>
    <t xml:space="preserve"> Estee Gold Feet Tbk</t>
  </si>
  <si>
    <t xml:space="preserve"> PT Estee Gold Feet</t>
  </si>
  <si>
    <t xml:space="preserve"> PT XLSMART Telecom Sejahtera</t>
  </si>
  <si>
    <t xml:space="preserve"> XLSMART Telecom Sejahtera</t>
  </si>
  <si>
    <t xml:space="preserve"> XLSMART Telecom Sejahtera Tbk</t>
  </si>
  <si>
    <t xml:space="preserve"> XTS</t>
  </si>
  <si>
    <t xml:space="preserve"> FAP Agri</t>
  </si>
  <si>
    <t xml:space="preserve"> FAP Agri Tbk</t>
  </si>
  <si>
    <t xml:space="preserve"> PT FAP Agri</t>
  </si>
  <si>
    <t xml:space="preserve"> Fast Food Indonesia</t>
  </si>
  <si>
    <t xml:space="preserve"> Fast Food Indonesia Tbk</t>
  </si>
  <si>
    <t xml:space="preserve"> PT Fast Food Indonesia</t>
  </si>
  <si>
    <t xml:space="preserve"> Fajar Surya Wisesa</t>
  </si>
  <si>
    <t xml:space="preserve"> Fajar Surya Wisesa Tbk</t>
  </si>
  <si>
    <t xml:space="preserve"> PT Fajar Surya Wisesa</t>
  </si>
  <si>
    <t xml:space="preserve"> MD Entertainment</t>
  </si>
  <si>
    <t xml:space="preserve"> MD Entertainment Tbk</t>
  </si>
  <si>
    <t xml:space="preserve"> PT MD Entertainment</t>
  </si>
  <si>
    <t xml:space="preserve"> Fimperkasa Utama</t>
  </si>
  <si>
    <t xml:space="preserve"> Fimperkasa Utama Tbk</t>
  </si>
  <si>
    <t xml:space="preserve"> PT Fimperkasa Utama</t>
  </si>
  <si>
    <t xml:space="preserve"> Alfa Energi Investama</t>
  </si>
  <si>
    <t xml:space="preserve"> Alfa Energi Investama Tbk</t>
  </si>
  <si>
    <t xml:space="preserve"> PT Alfa Energi Investama</t>
  </si>
  <si>
    <t xml:space="preserve"> FKS Multi Agro</t>
  </si>
  <si>
    <t xml:space="preserve"> FKS Multi Agro Tbk</t>
  </si>
  <si>
    <t xml:space="preserve"> PT FKS Multi Agro</t>
  </si>
  <si>
    <t xml:space="preserve"> Hotel Fitra International</t>
  </si>
  <si>
    <t xml:space="preserve"> Hotel Fitra International Tbk</t>
  </si>
  <si>
    <t xml:space="preserve"> PT Hotel Fitra International</t>
  </si>
  <si>
    <t xml:space="preserve"> Falmaco Nonwoven Industri</t>
  </si>
  <si>
    <t xml:space="preserve"> Falmaco Nonwoven Industri Tbk</t>
  </si>
  <si>
    <t xml:space="preserve"> PT Falmaco Nonwoven Industri</t>
  </si>
  <si>
    <t xml:space="preserve"> Fortune Mate Indonesia</t>
  </si>
  <si>
    <t xml:space="preserve"> Fortune Mate Indonesia Tbk</t>
  </si>
  <si>
    <t xml:space="preserve"> PT Fortune Mate Indonesia</t>
  </si>
  <si>
    <t xml:space="preserve"> Multi Garam Utama</t>
  </si>
  <si>
    <t xml:space="preserve"> Multi Garam Utama Tbk</t>
  </si>
  <si>
    <t xml:space="preserve"> PT Multi Garam Utama</t>
  </si>
  <si>
    <t xml:space="preserve"> PT Sentra Food Indonesia</t>
  </si>
  <si>
    <t xml:space="preserve"> Sentra Food Indonesia</t>
  </si>
  <si>
    <t xml:space="preserve"> Sentra Food Indonesia Tbk</t>
  </si>
  <si>
    <t xml:space="preserve"> Fore Kopi Indonesia</t>
  </si>
  <si>
    <t xml:space="preserve"> Fore Kopi Indonesia Tbk</t>
  </si>
  <si>
    <t xml:space="preserve"> PT Fore Kopi Indonesia</t>
  </si>
  <si>
    <t xml:space="preserve"> Fortune Indonesia</t>
  </si>
  <si>
    <t xml:space="preserve"> Fortune Indonesia Tbk</t>
  </si>
  <si>
    <t xml:space="preserve"> PT Fortune Indonesia</t>
  </si>
  <si>
    <t xml:space="preserve"> Lotte Chemical Titan</t>
  </si>
  <si>
    <t xml:space="preserve"> Lotte Chemical Titan Tbk</t>
  </si>
  <si>
    <t xml:space="preserve"> PT Lotte Chemical Titan</t>
  </si>
  <si>
    <t xml:space="preserve"> PT Smartfren Telecom</t>
  </si>
  <si>
    <t xml:space="preserve"> Smartfren Telecom</t>
  </si>
  <si>
    <t xml:space="preserve"> Smartfren Telecom Tbk</t>
  </si>
  <si>
    <t xml:space="preserve"> Fuji Finance Indonesia</t>
  </si>
  <si>
    <t xml:space="preserve"> Fuji Finance Indonesia Tbk</t>
  </si>
  <si>
    <t xml:space="preserve"> PT Fuji Finance Indonesia</t>
  </si>
  <si>
    <t xml:space="preserve"> Futura Energi Global</t>
  </si>
  <si>
    <t xml:space="preserve"> Futura Energi Global Tbk</t>
  </si>
  <si>
    <t xml:space="preserve"> PT Futura Energi Global</t>
  </si>
  <si>
    <t xml:space="preserve"> PT Wijaya Cahaya Timber</t>
  </si>
  <si>
    <t xml:space="preserve"> WCT</t>
  </si>
  <si>
    <t xml:space="preserve"> Wijaya Cahaya Timber</t>
  </si>
  <si>
    <t xml:space="preserve"> Wijaya Cahaya Timber Tbk</t>
  </si>
  <si>
    <t xml:space="preserve"> Aksara Global Development</t>
  </si>
  <si>
    <t xml:space="preserve"> Aksara Global Development Tbk</t>
  </si>
  <si>
    <t xml:space="preserve"> PT Aksara Global Development</t>
  </si>
  <si>
    <t xml:space="preserve"> Gunawan Dianjaya Steel</t>
  </si>
  <si>
    <t xml:space="preserve"> Gunawan Dianjaya Steel Tbk</t>
  </si>
  <si>
    <t xml:space="preserve"> PT Gunawan Dianjaya Steel</t>
  </si>
  <si>
    <t xml:space="preserve"> GI</t>
  </si>
  <si>
    <t xml:space="preserve"> Goodyear Indonesia</t>
  </si>
  <si>
    <t xml:space="preserve"> Goodyear Indonesia Tbk</t>
  </si>
  <si>
    <t xml:space="preserve"> PT Goodyear Indonesia</t>
  </si>
  <si>
    <t xml:space="preserve"> Gema Grahasarana</t>
  </si>
  <si>
    <t xml:space="preserve"> Gema Grahasarana Tbk</t>
  </si>
  <si>
    <t xml:space="preserve"> PT Gema Grahasarana</t>
  </si>
  <si>
    <t xml:space="preserve"> Golden Energy Mines</t>
  </si>
  <si>
    <t xml:space="preserve"> Golden Energy Mines Tbk</t>
  </si>
  <si>
    <t xml:space="preserve"> PT Golden Energy Mines</t>
  </si>
  <si>
    <t xml:space="preserve"> Gudang Garam</t>
  </si>
  <si>
    <t xml:space="preserve"> Gudang Garam Tbk</t>
  </si>
  <si>
    <t xml:space="preserve"> PT Gudang Garam</t>
  </si>
  <si>
    <t xml:space="preserve"> Gunung Raja Paksi</t>
  </si>
  <si>
    <t xml:space="preserve"> Gunung Raja Paksi Tbk</t>
  </si>
  <si>
    <t xml:space="preserve"> PT Gunung Raja Paksi</t>
  </si>
  <si>
    <t xml:space="preserve"> GTI</t>
  </si>
  <si>
    <t xml:space="preserve"> Gihon Telekomunikasi Indonesia</t>
  </si>
  <si>
    <t xml:space="preserve"> Gihon Telekomunikasi Indonesia Tbk</t>
  </si>
  <si>
    <t xml:space="preserve"> PT Gihon Telekomunikasi Indonesia</t>
  </si>
  <si>
    <t xml:space="preserve"> Garuda Indonesia (Persero)</t>
  </si>
  <si>
    <t xml:space="preserve"> Garuda Indonesia (Persero) Tbk</t>
  </si>
  <si>
    <t xml:space="preserve"> PT Garuda Indonesia (Persero)</t>
  </si>
  <si>
    <t xml:space="preserve"> Gajah Tunggal</t>
  </si>
  <si>
    <t xml:space="preserve"> Gajah Tunggal Tbk</t>
  </si>
  <si>
    <t xml:space="preserve"> PT Gajah Tunggal</t>
  </si>
  <si>
    <t xml:space="preserve"> Globe Kita Terang</t>
  </si>
  <si>
    <t xml:space="preserve"> Globe Kita Terang Tbk</t>
  </si>
  <si>
    <t xml:space="preserve"> PT Globe Kita Terang</t>
  </si>
  <si>
    <t xml:space="preserve"> Galva Technologies</t>
  </si>
  <si>
    <t xml:space="preserve"> Galva Technologies Tbk</t>
  </si>
  <si>
    <t xml:space="preserve"> PT Galva Technologies</t>
  </si>
  <si>
    <t xml:space="preserve"> Garuda Maintenance Facility Aero Asia</t>
  </si>
  <si>
    <t xml:space="preserve"> Garuda Maintenance Facility Aero Asia Tbk</t>
  </si>
  <si>
    <t xml:space="preserve"> PT Garuda Maintenance Facility Aero Asia</t>
  </si>
  <si>
    <t xml:space="preserve"> Gowa Makassar Tourism Development</t>
  </si>
  <si>
    <t xml:space="preserve"> Gowa Makassar Tourism Development Tbk</t>
  </si>
  <si>
    <t xml:space="preserve"> PT Gowa Makassar Tourism Development</t>
  </si>
  <si>
    <t xml:space="preserve"> PT Visi Telekomunikasi Infrastruktur</t>
  </si>
  <si>
    <t xml:space="preserve"> Visi Telekomunikasi Infrastruktur</t>
  </si>
  <si>
    <t xml:space="preserve"> Visi Telekomunikasi Infrastruktur Tbk</t>
  </si>
  <si>
    <t xml:space="preserve"> Intra Golflink Resorts</t>
  </si>
  <si>
    <t xml:space="preserve"> Intra Golflink Resorts Tbk</t>
  </si>
  <si>
    <t xml:space="preserve"> PT Intra Golflink Resorts</t>
  </si>
  <si>
    <t xml:space="preserve"> Golden Plantation</t>
  </si>
  <si>
    <t xml:space="preserve"> Golden Plantation Tbk</t>
  </si>
  <si>
    <t xml:space="preserve"> PT Golden Plantation</t>
  </si>
  <si>
    <t xml:space="preserve"> Garudafood Putra Putri Jaya</t>
  </si>
  <si>
    <t xml:space="preserve"> Garudafood Putra Putri Jaya Tbk</t>
  </si>
  <si>
    <t xml:space="preserve"> PT Garudafood Putra Putri Jaya</t>
  </si>
  <si>
    <t xml:space="preserve"> GoTo Gojek Tokopedia</t>
  </si>
  <si>
    <t xml:space="preserve"> GoTo Gojek Tokopedia Tbk</t>
  </si>
  <si>
    <t xml:space="preserve"> PT GoTo Gojek Tokopedia</t>
  </si>
  <si>
    <t xml:space="preserve"> PT Perdana Gapuraprima</t>
  </si>
  <si>
    <t xml:space="preserve"> Perdana Gapuraprima</t>
  </si>
  <si>
    <t xml:space="preserve"> Perdana Gapuraprima Tbk</t>
  </si>
  <si>
    <t xml:space="preserve"> Geoprima Solusi</t>
  </si>
  <si>
    <t xml:space="preserve"> Geoprima Solusi Tbk</t>
  </si>
  <si>
    <t xml:space="preserve"> PT Geoprima Solusi</t>
  </si>
  <si>
    <t xml:space="preserve"> Ingria Pratama Capitalindo</t>
  </si>
  <si>
    <t xml:space="preserve"> Ingria Pratama Capitalindo Tbk</t>
  </si>
  <si>
    <t xml:space="preserve"> PT Ingria Pratama Capitalindo</t>
  </si>
  <si>
    <t xml:space="preserve"> GRIHA PUTRA PERSADA</t>
  </si>
  <si>
    <t xml:space="preserve"> Griha Putra Persada</t>
  </si>
  <si>
    <t xml:space="preserve"> Griha Putra Persada Tbk</t>
  </si>
  <si>
    <t xml:space="preserve"> GrihaPutraPersada</t>
  </si>
  <si>
    <t xml:space="preserve"> PT Griha Putra Persada</t>
  </si>
  <si>
    <t xml:space="preserve"> griha putra persada</t>
  </si>
  <si>
    <t xml:space="preserve"> Graha Prima Mentari</t>
  </si>
  <si>
    <t xml:space="preserve"> Graha Prima Mentari Tbk</t>
  </si>
  <si>
    <t xml:space="preserve"> PT Graha Prima Mentari</t>
  </si>
  <si>
    <t xml:space="preserve"> Equity Development Investment</t>
  </si>
  <si>
    <t xml:space="preserve"> Equity Development Investment Tbk</t>
  </si>
  <si>
    <t xml:space="preserve"> PT Equity Development Investment</t>
  </si>
  <si>
    <t xml:space="preserve"> Garda Tujuh Buana</t>
  </si>
  <si>
    <t xml:space="preserve"> Garda Tujuh Buana Tbk</t>
  </si>
  <si>
    <t xml:space="preserve"> PT Garda Tujuh Buana</t>
  </si>
  <si>
    <t xml:space="preserve"> Grahaprima Suksesmandiri</t>
  </si>
  <si>
    <t xml:space="preserve"> Grahaprima Suksesmandiri Tbk</t>
  </si>
  <si>
    <t xml:space="preserve"> PT Grahaprima Suksesmandiri</t>
  </si>
  <si>
    <t xml:space="preserve"> GTS Internasional</t>
  </si>
  <si>
    <t xml:space="preserve"> GTS Internasional Tbk</t>
  </si>
  <si>
    <t xml:space="preserve"> PT GTS Internasional</t>
  </si>
  <si>
    <t xml:space="preserve"> Aman Agrindo</t>
  </si>
  <si>
    <t xml:space="preserve"> Aman Agrindo Tbk</t>
  </si>
  <si>
    <t xml:space="preserve"> PT Aman Agrindo</t>
  </si>
  <si>
    <t xml:space="preserve"> Gunanusa Eramandiri</t>
  </si>
  <si>
    <t xml:space="preserve"> Gunanusa Eramandiri Tbk</t>
  </si>
  <si>
    <t xml:space="preserve"> PT Gunanusa Eramandiri</t>
  </si>
  <si>
    <t xml:space="preserve"> Greenwood Sejahtera</t>
  </si>
  <si>
    <t xml:space="preserve"> Greenwood Sejahtera Tbk</t>
  </si>
  <si>
    <t xml:space="preserve"> PT Greenwood Sejahtera</t>
  </si>
  <si>
    <t xml:space="preserve"> Gozco Plantations</t>
  </si>
  <si>
    <t xml:space="preserve"> Gozco Plantations Tbk</t>
  </si>
  <si>
    <t xml:space="preserve"> PT Gozco Plantations</t>
  </si>
  <si>
    <t xml:space="preserve"> Himalaya Energi Perkasa</t>
  </si>
  <si>
    <t xml:space="preserve"> Himalaya Energi Perkasa Tbk</t>
  </si>
  <si>
    <t xml:space="preserve"> PT Himalaya Energi Perkasa</t>
  </si>
  <si>
    <t xml:space="preserve"> Hasnur Internasional Shipping</t>
  </si>
  <si>
    <t xml:space="preserve"> Hasnur Internasional Shipping Tbk</t>
  </si>
  <si>
    <t xml:space="preserve"> PT Hasnur Internasional Shipping</t>
  </si>
  <si>
    <t xml:space="preserve"> Arsy Buana Travelindo</t>
  </si>
  <si>
    <t xml:space="preserve"> Arsy Buana Travelindo Tbk</t>
  </si>
  <si>
    <t xml:space="preserve"> PT Arsy Buana Travelindo</t>
  </si>
  <si>
    <t xml:space="preserve"> Haloni Jane</t>
  </si>
  <si>
    <t xml:space="preserve"> Haloni Jane Tbk</t>
  </si>
  <si>
    <t xml:space="preserve"> PT Haloni Jane</t>
  </si>
  <si>
    <t xml:space="preserve"> Habco Trans Maritima</t>
  </si>
  <si>
    <t xml:space="preserve"> Habco Trans Maritima Tbk</t>
  </si>
  <si>
    <t xml:space="preserve"> PT Habco Trans Maritima</t>
  </si>
  <si>
    <t xml:space="preserve"> Minahasa Membangun Hebat</t>
  </si>
  <si>
    <t xml:space="preserve"> Minahasa Membangun Hebat Tbk</t>
  </si>
  <si>
    <t xml:space="preserve"> PT Minahasa Membangun Hebat</t>
  </si>
  <si>
    <t xml:space="preserve"> PT Radana Bhaskara Finance</t>
  </si>
  <si>
    <t xml:space="preserve"> Radana Bhaskara Finance</t>
  </si>
  <si>
    <t xml:space="preserve"> Radana Bhaskara Finance Tbk</t>
  </si>
  <si>
    <t xml:space="preserve"> Hensel Davest Indonesia</t>
  </si>
  <si>
    <t xml:space="preserve"> Hensel Davest Indonesia Tbk</t>
  </si>
  <si>
    <t xml:space="preserve"> PT Hensel Davest Indonesia</t>
  </si>
  <si>
    <t xml:space="preserve"> Medikaloka Hermina</t>
  </si>
  <si>
    <t xml:space="preserve"> Medikaloka Hermina Tbk</t>
  </si>
  <si>
    <t xml:space="preserve"> PT Medikaloka Hermina</t>
  </si>
  <si>
    <t xml:space="preserve"> Jaya Trishindo</t>
  </si>
  <si>
    <t xml:space="preserve"> Jaya Trishindo Tbk</t>
  </si>
  <si>
    <t xml:space="preserve"> PT Jaya Trishindo</t>
  </si>
  <si>
    <t xml:space="preserve"> DFI Retail Nusantara</t>
  </si>
  <si>
    <t xml:space="preserve"> DFI Retail Nusantara Tbk</t>
  </si>
  <si>
    <t xml:space="preserve"> PT DFI Retail Nusantara</t>
  </si>
  <si>
    <t xml:space="preserve"> Hexindo Adiperkasa</t>
  </si>
  <si>
    <t xml:space="preserve"> Hexindo Adiperkasa Tbk</t>
  </si>
  <si>
    <t xml:space="preserve"> PT Hexindo Adiperkasa</t>
  </si>
  <si>
    <t xml:space="preserve"> Hero Global Investment</t>
  </si>
  <si>
    <t xml:space="preserve"> Hero Global Investment Tbk</t>
  </si>
  <si>
    <t xml:space="preserve"> PT Hero Global Investment</t>
  </si>
  <si>
    <t>HILL Tbk</t>
  </si>
  <si>
    <t xml:space="preserve"> PT Hillcon</t>
  </si>
  <si>
    <t xml:space="preserve"> Humpuss Intermoda Transportasi</t>
  </si>
  <si>
    <t xml:space="preserve"> Humpuss Intermoda Transportasi Tbk</t>
  </si>
  <si>
    <t xml:space="preserve"> PT Humpuss Intermoda Transportasi</t>
  </si>
  <si>
    <t xml:space="preserve"> HK Metals Utama</t>
  </si>
  <si>
    <t xml:space="preserve"> HK Metals Utama Tbk</t>
  </si>
  <si>
    <t xml:space="preserve"> PT HK Metals Utama</t>
  </si>
  <si>
    <t xml:space="preserve"> H.M. Sampoerna</t>
  </si>
  <si>
    <t xml:space="preserve"> H.M. Sampoerna Tbk</t>
  </si>
  <si>
    <t xml:space="preserve"> PT H.M. Sampoerna</t>
  </si>
  <si>
    <t xml:space="preserve"> Buyung Poetra Sembada</t>
  </si>
  <si>
    <t xml:space="preserve"> Buyung Poetra Sembada Tbk</t>
  </si>
  <si>
    <t xml:space="preserve"> PT Buyung Poetra Sembada</t>
  </si>
  <si>
    <t xml:space="preserve"> Hotel Mandarine Regency</t>
  </si>
  <si>
    <t xml:space="preserve"> Hotel Mandarine Regency Tbk</t>
  </si>
  <si>
    <t xml:space="preserve"> PT Hotel Mandarine Regency</t>
  </si>
  <si>
    <t xml:space="preserve"> Grand House Mulia</t>
  </si>
  <si>
    <t xml:space="preserve"> Grand House Mulia Tbk</t>
  </si>
  <si>
    <t xml:space="preserve"> PT Grand House Mulia</t>
  </si>
  <si>
    <t xml:space="preserve"> Harapan Duta Pertiwi</t>
  </si>
  <si>
    <t xml:space="preserve"> Harapan Duta Pertiwi Tbk</t>
  </si>
  <si>
    <t xml:space="preserve"> PT Harapan Duta Pertiwi</t>
  </si>
  <si>
    <t xml:space="preserve"> PT Saraswati Griya Lestari</t>
  </si>
  <si>
    <t xml:space="preserve"> Saraswati Griya Lestari</t>
  </si>
  <si>
    <t xml:space="preserve"> Saraswati Griya Lestari Tbk</t>
  </si>
  <si>
    <t xml:space="preserve"> MHR</t>
  </si>
  <si>
    <t xml:space="preserve"> Menteng Heritage Realty</t>
  </si>
  <si>
    <t xml:space="preserve"> Menteng Heritage Realty Tbk</t>
  </si>
  <si>
    <t xml:space="preserve"> PT Menteng Heritage Realty</t>
  </si>
  <si>
    <t xml:space="preserve"> Hartadinata Abadi</t>
  </si>
  <si>
    <t xml:space="preserve"> Hartadinata Abadi Tbk</t>
  </si>
  <si>
    <t xml:space="preserve"> PT Hartadinata Abadi</t>
  </si>
  <si>
    <t xml:space="preserve"> Harum Energy</t>
  </si>
  <si>
    <t xml:space="preserve"> Harum Energy Tbk</t>
  </si>
  <si>
    <t xml:space="preserve"> PT Harum Energy</t>
  </si>
  <si>
    <t xml:space="preserve"> Humpuss Maritim Internasional</t>
  </si>
  <si>
    <t xml:space="preserve"> Humpuss Maritim Internasional Tbk</t>
  </si>
  <si>
    <t xml:space="preserve"> PT Humpuss Maritim Internasional</t>
  </si>
  <si>
    <t xml:space="preserve"> Ecocare Indo Pasifik</t>
  </si>
  <si>
    <t xml:space="preserve"> Ecocare Indo Pasifik Tbk</t>
  </si>
  <si>
    <t xml:space="preserve"> PT Ecocare Indo Pasifik</t>
  </si>
  <si>
    <t xml:space="preserve"> MNC Energy Investments</t>
  </si>
  <si>
    <t xml:space="preserve"> MNC Energy Investments Tbk</t>
  </si>
  <si>
    <t xml:space="preserve"> PT MNC Energy Investments</t>
  </si>
  <si>
    <t xml:space="preserve"> Intan Baru Prana</t>
  </si>
  <si>
    <t xml:space="preserve"> Intan Baru Prana Tbk</t>
  </si>
  <si>
    <t xml:space="preserve"> PT Intan Baru Prana</t>
  </si>
  <si>
    <t xml:space="preserve"> Indo Boga Sukses</t>
  </si>
  <si>
    <t xml:space="preserve"> Indo Boga Sukses Tbk</t>
  </si>
  <si>
    <t xml:space="preserve"> PT Indo Boga Sukses</t>
  </si>
  <si>
    <t xml:space="preserve"> Inti Bangun Sejahtera</t>
  </si>
  <si>
    <t xml:space="preserve"> Inti Bangun Sejahtera Tbk</t>
  </si>
  <si>
    <t xml:space="preserve"> PT Inti Bangun Sejahtera</t>
  </si>
  <si>
    <t xml:space="preserve"> Indofood CBP Sukses Makmur</t>
  </si>
  <si>
    <t xml:space="preserve"> Indofood CBP Sukses Makmur Tbk</t>
  </si>
  <si>
    <t xml:space="preserve"> PT Indofood CBP Sukses Makmur</t>
  </si>
  <si>
    <t xml:space="preserve"> ISLAND CONCES INDONESIA</t>
  </si>
  <si>
    <t xml:space="preserve"> Island Conces Indonesia</t>
  </si>
  <si>
    <t xml:space="preserve"> Island Conces Indonesia Tbk</t>
  </si>
  <si>
    <t xml:space="preserve"> IslandConcesIndonesia</t>
  </si>
  <si>
    <t xml:space="preserve"> PT Island Conces Indonesia</t>
  </si>
  <si>
    <t xml:space="preserve"> island conces indonesia</t>
  </si>
  <si>
    <t xml:space="preserve"> Idea Indonesia Akademi</t>
  </si>
  <si>
    <t xml:space="preserve"> Idea Indonesia Akademi Tbk</t>
  </si>
  <si>
    <t xml:space="preserve"> PT Idea Indonesia Akademi</t>
  </si>
  <si>
    <t xml:space="preserve"> Indonesia Pondasi Raya</t>
  </si>
  <si>
    <t xml:space="preserve"> Indonesia Pondasi Raya Tbk</t>
  </si>
  <si>
    <t xml:space="preserve"> PT Indonesia Pondasi Raya</t>
  </si>
  <si>
    <t xml:space="preserve"> Indonesia Fibreboard Industry</t>
  </si>
  <si>
    <t xml:space="preserve"> Indonesia Fibreboard Industry Tbk</t>
  </si>
  <si>
    <t xml:space="preserve"> PT Indonesia Fibreboard Industry</t>
  </si>
  <si>
    <t>IFSH Tbk</t>
  </si>
  <si>
    <t xml:space="preserve"> PT Ifishdeco</t>
  </si>
  <si>
    <t xml:space="preserve"> Champion Pacific Indonesia</t>
  </si>
  <si>
    <t xml:space="preserve"> Champion Pacific Indonesia Tbk</t>
  </si>
  <si>
    <t xml:space="preserve"> PT Champion Pacific Indonesia</t>
  </si>
  <si>
    <t xml:space="preserve"> Inti Agri Resources</t>
  </si>
  <si>
    <t xml:space="preserve"> Inti Agri Resources Tbk</t>
  </si>
  <si>
    <t xml:space="preserve"> PT Inti Agri Resources</t>
  </si>
  <si>
    <t xml:space="preserve"> Intikeramik Alamasri Industri</t>
  </si>
  <si>
    <t xml:space="preserve"> Intikeramik Alamasri Industri Tbk</t>
  </si>
  <si>
    <t xml:space="preserve"> PT Intikeramik Alamasri Industri</t>
  </si>
  <si>
    <t xml:space="preserve"> Era Mandiri Cemerlang</t>
  </si>
  <si>
    <t xml:space="preserve"> Era Mandiri Cemerlang Tbk</t>
  </si>
  <si>
    <t xml:space="preserve"> PT Era Mandiri Cemerlang</t>
  </si>
  <si>
    <t xml:space="preserve"> PT Sumi Indo Kabel</t>
  </si>
  <si>
    <t xml:space="preserve"> Sumi Indo Kabel</t>
  </si>
  <si>
    <t xml:space="preserve"> Sumi Indo Kabel Tbk</t>
  </si>
  <si>
    <t xml:space="preserve"> Ikapharmindo Putramas</t>
  </si>
  <si>
    <t xml:space="preserve"> Ikapharmindo Putramas Tbk</t>
  </si>
  <si>
    <t xml:space="preserve"> PT Ikapharmindo Putramas</t>
  </si>
  <si>
    <t xml:space="preserve"> Indomobil Sukses Internasional</t>
  </si>
  <si>
    <t xml:space="preserve"> Indomobil Sukses Internasional Tbk</t>
  </si>
  <si>
    <t xml:space="preserve"> PT Indomobil Sukses Internasional</t>
  </si>
  <si>
    <t xml:space="preserve"> Indomobil Multi Jasa</t>
  </si>
  <si>
    <t xml:space="preserve"> Indomobil Multi Jasa Tbk</t>
  </si>
  <si>
    <t xml:space="preserve"> PT Indomobil Multi Jasa</t>
  </si>
  <si>
    <t xml:space="preserve"> Impack Pratama Industri</t>
  </si>
  <si>
    <t xml:space="preserve"> Impack Pratama Industri Tbk</t>
  </si>
  <si>
    <t xml:space="preserve"> PT Impack Pratama Industri</t>
  </si>
  <si>
    <t>INAF Tbk</t>
  </si>
  <si>
    <t xml:space="preserve"> PT Indofarma</t>
  </si>
  <si>
    <t xml:space="preserve"> Indal Aluminium Industry</t>
  </si>
  <si>
    <t xml:space="preserve"> Indal Aluminium Industry Tbk</t>
  </si>
  <si>
    <t xml:space="preserve"> PT Indal Aluminium Industry</t>
  </si>
  <si>
    <t xml:space="preserve"> Indo Komoditi Korpora</t>
  </si>
  <si>
    <t xml:space="preserve"> Indo Komoditi Korpora Tbk</t>
  </si>
  <si>
    <t xml:space="preserve"> PT Indo Komoditi Korpora</t>
  </si>
  <si>
    <t xml:space="preserve"> Intanwijaya Internasional</t>
  </si>
  <si>
    <t xml:space="preserve"> Intanwijaya Internasional Tbk</t>
  </si>
  <si>
    <t xml:space="preserve"> PT Intanwijaya Internasional</t>
  </si>
  <si>
    <t xml:space="preserve"> PT Vale Indonesia</t>
  </si>
  <si>
    <t xml:space="preserve"> Vale Indonesia</t>
  </si>
  <si>
    <t xml:space="preserve"> Vale Indonesia Tbk</t>
  </si>
  <si>
    <t xml:space="preserve"> Indofood Sukses Makmur</t>
  </si>
  <si>
    <t xml:space="preserve"> Indofood Sukses Makmur Tbk</t>
  </si>
  <si>
    <t xml:space="preserve"> PT Indofood Sukses Makmur</t>
  </si>
  <si>
    <t xml:space="preserve"> PT Royalindo Investa Wijaya</t>
  </si>
  <si>
    <t xml:space="preserve"> Royalindo Investa Wijaya</t>
  </si>
  <si>
    <t xml:space="preserve"> Royalindo Investa Wijaya Tbk</t>
  </si>
  <si>
    <t xml:space="preserve"> Indorama Synthetics</t>
  </si>
  <si>
    <t xml:space="preserve"> Indorama Synthetics Tbk</t>
  </si>
  <si>
    <t xml:space="preserve"> PT Indorama Synthetics</t>
  </si>
  <si>
    <t>INDS Tbk</t>
  </si>
  <si>
    <t xml:space="preserve"> PT Indospring</t>
  </si>
  <si>
    <t xml:space="preserve"> PT Tanah Laut</t>
  </si>
  <si>
    <t xml:space="preserve"> Tanah Laut</t>
  </si>
  <si>
    <t xml:space="preserve"> Tanah Laut Tbk</t>
  </si>
  <si>
    <t xml:space="preserve"> Indika Energy</t>
  </si>
  <si>
    <t xml:space="preserve"> Indika Energy Tbk</t>
  </si>
  <si>
    <t xml:space="preserve"> PT Indika Energy</t>
  </si>
  <si>
    <t xml:space="preserve"> PT Sinergi Inti Andalan Prima</t>
  </si>
  <si>
    <t xml:space="preserve"> Sinergi Inti Andalan Prima</t>
  </si>
  <si>
    <t xml:space="preserve"> Sinergi Inti Andalan Prima Tbk</t>
  </si>
  <si>
    <t xml:space="preserve"> Indah Kiat Pulp &amp; Paper</t>
  </si>
  <si>
    <t xml:space="preserve"> Indah Kiat Pulp &amp; Paper Tbk</t>
  </si>
  <si>
    <t xml:space="preserve"> PT Indah Kiat Pulp &amp; Paper</t>
  </si>
  <si>
    <t xml:space="preserve"> Inocycle Technology Group</t>
  </si>
  <si>
    <t xml:space="preserve"> Inocycle Technology Group Tbk</t>
  </si>
  <si>
    <t xml:space="preserve"> PT Inocycle Technology Group</t>
  </si>
  <si>
    <t xml:space="preserve"> Bank Artha Graha</t>
  </si>
  <si>
    <t xml:space="preserve"> Bank Artha Graha Internasional</t>
  </si>
  <si>
    <t xml:space="preserve"> Bank Artha Graha Internasional Tbk</t>
  </si>
  <si>
    <t xml:space="preserve"> PT Bank Artha Graha Internasional</t>
  </si>
  <si>
    <t xml:space="preserve"> Indonesian Paradise Property</t>
  </si>
  <si>
    <t xml:space="preserve"> Indonesian Paradise Property Tbk</t>
  </si>
  <si>
    <t xml:space="preserve"> PT Indonesian Paradise Property</t>
  </si>
  <si>
    <t xml:space="preserve"> Indah Prakasa Sentosa</t>
  </si>
  <si>
    <t xml:space="preserve"> Indah Prakasa Sentosa Tbk</t>
  </si>
  <si>
    <t xml:space="preserve"> PT Indah Prakasa Sentosa</t>
  </si>
  <si>
    <t xml:space="preserve"> PT Toba Pulp Lestari</t>
  </si>
  <si>
    <t xml:space="preserve"> Toba Pulp Lestari</t>
  </si>
  <si>
    <t xml:space="preserve"> Toba Pulp Lestari Tbk</t>
  </si>
  <si>
    <t xml:space="preserve"> Intraco Penta</t>
  </si>
  <si>
    <t xml:space="preserve"> Intraco Penta Tbk</t>
  </si>
  <si>
    <t xml:space="preserve"> PT Intraco Penta</t>
  </si>
  <si>
    <t xml:space="preserve"> Inter Delta</t>
  </si>
  <si>
    <t xml:space="preserve"> Inter Delta Tbk</t>
  </si>
  <si>
    <t xml:space="preserve"> PT Inter Delta</t>
  </si>
  <si>
    <t xml:space="preserve"> Indocement Tunggal Prakarsa</t>
  </si>
  <si>
    <t xml:space="preserve"> Indocement Tunggal Prakarsa Tbk</t>
  </si>
  <si>
    <t xml:space="preserve"> PT Indocement Tunggal Prakarsa</t>
  </si>
  <si>
    <t xml:space="preserve"> PT Sumber Sinergi Makmur</t>
  </si>
  <si>
    <t xml:space="preserve"> Sumber Sinergi Makmur</t>
  </si>
  <si>
    <t xml:space="preserve"> Sumber Sinergi Makmur Tbk</t>
  </si>
  <si>
    <t xml:space="preserve"> Era Graharealty</t>
  </si>
  <si>
    <t xml:space="preserve"> Era Graharealty Tbk</t>
  </si>
  <si>
    <t xml:space="preserve"> PT Era Graharealty</t>
  </si>
  <si>
    <t xml:space="preserve"> Indonesia Kendaraan Terminal</t>
  </si>
  <si>
    <t xml:space="preserve"> Indonesia Kendaraan Terminal Tbk</t>
  </si>
  <si>
    <t xml:space="preserve"> PT Indonesia Kendaraan Terminal</t>
  </si>
  <si>
    <t xml:space="preserve"> Jasa Armada Indonesia</t>
  </si>
  <si>
    <t xml:space="preserve"> Jasa Armada Indonesia Tbk</t>
  </si>
  <si>
    <t xml:space="preserve"> PT Jasa Armada Indonesia</t>
  </si>
  <si>
    <t xml:space="preserve"> Indopoly Swakarsa Industry</t>
  </si>
  <si>
    <t xml:space="preserve"> Indopoly Swakarsa Industry Tbk</t>
  </si>
  <si>
    <t xml:space="preserve"> PT Indopoly Swakarsa Industry</t>
  </si>
  <si>
    <t xml:space="preserve"> Indo Pureco Pratama</t>
  </si>
  <si>
    <t xml:space="preserve"> Indo Pureco Pratama Tbk</t>
  </si>
  <si>
    <t xml:space="preserve"> PT Indo Pureco Pratama</t>
  </si>
  <si>
    <t xml:space="preserve"> MNC Vision Networks</t>
  </si>
  <si>
    <t xml:space="preserve"> MNC Vision Networks Tbk</t>
  </si>
  <si>
    <t xml:space="preserve"> PT MNC Vision Networks</t>
  </si>
  <si>
    <t xml:space="preserve"> Itama Ranoraya</t>
  </si>
  <si>
    <t xml:space="preserve"> Itama Ranoraya Tbk</t>
  </si>
  <si>
    <t xml:space="preserve"> PT Itama Ranoraya</t>
  </si>
  <si>
    <t xml:space="preserve"> Folago Global Nusantara</t>
  </si>
  <si>
    <t xml:space="preserve"> Folago Global Nusantara Tbk</t>
  </si>
  <si>
    <t xml:space="preserve"> PT Folago Global Nusantara</t>
  </si>
  <si>
    <t xml:space="preserve"> Isra Presisi Indonesia</t>
  </si>
  <si>
    <t xml:space="preserve"> Isra Presisi Indonesia Tbk</t>
  </si>
  <si>
    <t xml:space="preserve"> PT Isra Presisi Indonesia</t>
  </si>
  <si>
    <t>ISAT Tbk</t>
  </si>
  <si>
    <t xml:space="preserve"> PT Indosat</t>
  </si>
  <si>
    <t xml:space="preserve"> Indo American Seafoods</t>
  </si>
  <si>
    <t xml:space="preserve"> Indo American Seafoods Tbk</t>
  </si>
  <si>
    <t xml:space="preserve"> PT Indo American Seafoods</t>
  </si>
  <si>
    <t xml:space="preserve"> PT Steel Pipe Industry of Indonesia</t>
  </si>
  <si>
    <t xml:space="preserve"> Steel Pipe Industry of Indonesia</t>
  </si>
  <si>
    <t xml:space="preserve"> Steel Pipe Industry of Indonesia Tbk</t>
  </si>
  <si>
    <t xml:space="preserve"> Indonesian Tobacco</t>
  </si>
  <si>
    <t xml:space="preserve"> Indonesian Tobacco Tbk</t>
  </si>
  <si>
    <t xml:space="preserve"> PT Indonesian Tobacco</t>
  </si>
  <si>
    <t xml:space="preserve"> PT Sumber Energi Andalan</t>
  </si>
  <si>
    <t xml:space="preserve"> Sumber Energi Andalan</t>
  </si>
  <si>
    <t xml:space="preserve"> Sumber Energi Andalan Tbk</t>
  </si>
  <si>
    <t xml:space="preserve"> Indo Tambangraya Megah</t>
  </si>
  <si>
    <t xml:space="preserve"> Indo Tambangraya Megah Tbk</t>
  </si>
  <si>
    <t xml:space="preserve"> PT Indo Tambangraya Megah</t>
  </si>
  <si>
    <t xml:space="preserve"> Jhonlin</t>
  </si>
  <si>
    <t xml:space="preserve"> Jhonlin Agro Raya</t>
  </si>
  <si>
    <t xml:space="preserve"> Jhonlin Agro Raya Tbk</t>
  </si>
  <si>
    <t xml:space="preserve"> PT Jhonlin Agro Raya</t>
  </si>
  <si>
    <t xml:space="preserve"> Jasnita Telekomindo</t>
  </si>
  <si>
    <t xml:space="preserve"> Jasnita Telekomindo Tbk</t>
  </si>
  <si>
    <t xml:space="preserve"> PT Jasnita Telekomindo</t>
  </si>
  <si>
    <t xml:space="preserve"> Informasi Teknologi Indonesia</t>
  </si>
  <si>
    <t xml:space="preserve"> Informasi Teknologi Indonesia Tbk</t>
  </si>
  <si>
    <t xml:space="preserve"> PT Informasi Teknologi Indonesia</t>
  </si>
  <si>
    <t xml:space="preserve"> Jaya Agra Wattie</t>
  </si>
  <si>
    <t xml:space="preserve"> Jaya Agra Wattie Tbk</t>
  </si>
  <si>
    <t xml:space="preserve"> PT Jaya Agra Wattie</t>
  </si>
  <si>
    <t xml:space="preserve"> Armada Berjaya Trans</t>
  </si>
  <si>
    <t xml:space="preserve"> Armada Berjaya Trans Tbk</t>
  </si>
  <si>
    <t xml:space="preserve"> PT Armada Berjaya Trans</t>
  </si>
  <si>
    <t xml:space="preserve"> Jembo Cable Company</t>
  </si>
  <si>
    <t xml:space="preserve"> Jembo Cable Company Tbk</t>
  </si>
  <si>
    <t xml:space="preserve"> PT Jembo Cable Company</t>
  </si>
  <si>
    <t xml:space="preserve"> Graha Andrasentra Propertindo</t>
  </si>
  <si>
    <t xml:space="preserve"> Graha Andrasentra Propertindo Tbk</t>
  </si>
  <si>
    <t xml:space="preserve"> PT Graha Andrasentra Propertindo</t>
  </si>
  <si>
    <t xml:space="preserve"> Jakarta International Hotels &amp; Development</t>
  </si>
  <si>
    <t xml:space="preserve"> Jakarta International Hotels &amp; Development Tbk</t>
  </si>
  <si>
    <t xml:space="preserve"> PT Jakarta International Hotels &amp; Development</t>
  </si>
  <si>
    <t xml:space="preserve"> Jaya Konstruksi Manggala Pratama</t>
  </si>
  <si>
    <t xml:space="preserve"> Jaya Konstruksi Manggala Pratama Tbk</t>
  </si>
  <si>
    <t xml:space="preserve"> PT Jaya Konstruksi Manggala Pratama</t>
  </si>
  <si>
    <t xml:space="preserve"> Asuransi Jiwa Syariah Jasa Mitra Abadi</t>
  </si>
  <si>
    <t xml:space="preserve"> Asuransi Jiwa Syariah Jasa Mitra Abadi Tbk</t>
  </si>
  <si>
    <t xml:space="preserve"> PT Asuransi Jiwa Syariah Jasa Mitra Abadi</t>
  </si>
  <si>
    <t xml:space="preserve"> Japfa</t>
  </si>
  <si>
    <t xml:space="preserve"> Japfa Comfeed Indonesia</t>
  </si>
  <si>
    <t xml:space="preserve"> Japfa Comfeed Indonesia Tbk</t>
  </si>
  <si>
    <t xml:space="preserve"> PT Japfa Comfeed Indonesia</t>
  </si>
  <si>
    <t xml:space="preserve"> Jaya Real Property</t>
  </si>
  <si>
    <t xml:space="preserve"> Jaya Real Property Tbk</t>
  </si>
  <si>
    <t xml:space="preserve"> PT Jaya Real Property</t>
  </si>
  <si>
    <t xml:space="preserve"> PT Sky Energy Indonesia</t>
  </si>
  <si>
    <t xml:space="preserve"> Sky Energy Indonesia</t>
  </si>
  <si>
    <t xml:space="preserve"> Sky Energy Indonesia Tbk</t>
  </si>
  <si>
    <t xml:space="preserve"> Jasa Marga (Persero)</t>
  </si>
  <si>
    <t xml:space="preserve"> Jasa Marga (Persero) Tbk</t>
  </si>
  <si>
    <t xml:space="preserve"> PT Jasa Marga (Persero)</t>
  </si>
  <si>
    <t xml:space="preserve"> Jakarta Setiabudi Internasional</t>
  </si>
  <si>
    <t xml:space="preserve"> Jakarta Setiabudi Internasional Tbk</t>
  </si>
  <si>
    <t xml:space="preserve"> PT Jakarta Setiabudi Internasional</t>
  </si>
  <si>
    <t xml:space="preserve"> Jasuindo Tiga Perkasa</t>
  </si>
  <si>
    <t xml:space="preserve"> Jasuindo Tiga Perkasa Tbk</t>
  </si>
  <si>
    <t xml:space="preserve"> PT Jasuindo Tiga Perkasa</t>
  </si>
  <si>
    <t xml:space="preserve"> Kimia Farma</t>
  </si>
  <si>
    <t xml:space="preserve"> Kimia Farma Tbk</t>
  </si>
  <si>
    <t xml:space="preserve"> PT Kimia Farma</t>
  </si>
  <si>
    <t xml:space="preserve"> Jantra Grupo Indonesia</t>
  </si>
  <si>
    <t xml:space="preserve"> Jantra Grupo Indonesia Tbk</t>
  </si>
  <si>
    <t xml:space="preserve"> PT Jantra Grupo Indonesia</t>
  </si>
  <si>
    <t xml:space="preserve"> Meratus Jasa Prima</t>
  </si>
  <si>
    <t xml:space="preserve"> Meratus Jasa Prima Tbk</t>
  </si>
  <si>
    <t xml:space="preserve"> PT Meratus Jasa Prima</t>
  </si>
  <si>
    <t xml:space="preserve"> Darmi Bersaudara</t>
  </si>
  <si>
    <t xml:space="preserve"> Darmi Bersaudara Tbk</t>
  </si>
  <si>
    <t xml:space="preserve"> PT Darmi Bersaudara</t>
  </si>
  <si>
    <t xml:space="preserve"> Karya Bersama Anugerah</t>
  </si>
  <si>
    <t xml:space="preserve"> Karya Bersama Anugerah Tbk</t>
  </si>
  <si>
    <t xml:space="preserve"> PT Karya Bersama Anugerah</t>
  </si>
  <si>
    <t xml:space="preserve"> KMI Wire &amp; Cable</t>
  </si>
  <si>
    <t xml:space="preserve"> KMI Wire &amp; Cable Tbk</t>
  </si>
  <si>
    <t xml:space="preserve"> PT KMI Wire &amp; Cable</t>
  </si>
  <si>
    <t xml:space="preserve"> Kabelindo Murni</t>
  </si>
  <si>
    <t xml:space="preserve"> Kabelindo Murni Tbk</t>
  </si>
  <si>
    <t xml:space="preserve"> PT Kabelindo Murni</t>
  </si>
  <si>
    <t xml:space="preserve"> First Media</t>
  </si>
  <si>
    <t xml:space="preserve"> First Media Tbk</t>
  </si>
  <si>
    <t xml:space="preserve"> PT First Media</t>
  </si>
  <si>
    <t xml:space="preserve"> Kertas Basuki Rachmat Indonesia</t>
  </si>
  <si>
    <t xml:space="preserve"> Kertas Basuki Rachmat Indonesia Tbk</t>
  </si>
  <si>
    <t xml:space="preserve"> PT Kertas Basuki Rachmat Indonesia</t>
  </si>
  <si>
    <t xml:space="preserve"> Kedawung Setia Industrial</t>
  </si>
  <si>
    <t xml:space="preserve"> Kedawung Setia Industrial Tbk</t>
  </si>
  <si>
    <t xml:space="preserve"> PT Kedawung Setia Industrial</t>
  </si>
  <si>
    <t xml:space="preserve"> PT Puri Sentul Permai</t>
  </si>
  <si>
    <t xml:space="preserve"> Puri Sentul Permai</t>
  </si>
  <si>
    <t xml:space="preserve"> Puri Sentul Permai Tbk</t>
  </si>
  <si>
    <t xml:space="preserve"> Kencana Energi Lestari</t>
  </si>
  <si>
    <t xml:space="preserve"> Kencana Energi Lestari Tbk</t>
  </si>
  <si>
    <t xml:space="preserve"> PT Kencana Energi Lestari</t>
  </si>
  <si>
    <t xml:space="preserve"> Mulia Boga Raya</t>
  </si>
  <si>
    <t xml:space="preserve"> Mulia Boga Raya Tbk</t>
  </si>
  <si>
    <t xml:space="preserve"> PT Mulia Boga Raya</t>
  </si>
  <si>
    <t xml:space="preserve"> Ketrosden Triasmitra</t>
  </si>
  <si>
    <t xml:space="preserve"> Ketrosden Triasmitra Tbk</t>
  </si>
  <si>
    <t xml:space="preserve"> PT Ketrosden Triasmitra</t>
  </si>
  <si>
    <t xml:space="preserve"> Keramika Indonesia Assosiasi</t>
  </si>
  <si>
    <t xml:space="preserve"> Keramika Indonesia Assosiasi Tbk</t>
  </si>
  <si>
    <t xml:space="preserve"> PT Keramika Indonesia Assosiasi</t>
  </si>
  <si>
    <t xml:space="preserve"> Kedaung Indah Can</t>
  </si>
  <si>
    <t xml:space="preserve"> Kedaung Indah Can Tbk</t>
  </si>
  <si>
    <t xml:space="preserve"> PT Kedaung Indah Can</t>
  </si>
  <si>
    <t xml:space="preserve"> Kawasan Industri Jababeka</t>
  </si>
  <si>
    <t xml:space="preserve"> Kawasan Industri Jababeka Tbk</t>
  </si>
  <si>
    <t xml:space="preserve"> PT Kawasan Industri Jababeka</t>
  </si>
  <si>
    <t xml:space="preserve"> Hoffmen Cleanindo</t>
  </si>
  <si>
    <t xml:space="preserve"> Hoffmen Cleanindo Tbk</t>
  </si>
  <si>
    <t xml:space="preserve"> PT Hoffmen Cleanindo</t>
  </si>
  <si>
    <t xml:space="preserve"> Kino Indonesia</t>
  </si>
  <si>
    <t xml:space="preserve"> Kino Indonesia Tbk</t>
  </si>
  <si>
    <t xml:space="preserve"> PT Kino Indonesia</t>
  </si>
  <si>
    <t xml:space="preserve"> Kioson Komersial Indonesia</t>
  </si>
  <si>
    <t xml:space="preserve"> Kioson Komersial Indonesia Tbk</t>
  </si>
  <si>
    <t xml:space="preserve"> PT Kioson Komersial Indonesia</t>
  </si>
  <si>
    <t xml:space="preserve"> Krida Jaringan Nusantara</t>
  </si>
  <si>
    <t xml:space="preserve"> Krida Jaringan Nusantara Tbk</t>
  </si>
  <si>
    <t xml:space="preserve"> PT Krida Jaringan Nusantara</t>
  </si>
  <si>
    <t xml:space="preserve"> Kusuma Kemindo Sentosa</t>
  </si>
  <si>
    <t xml:space="preserve"> Kusuma Kemindo Sentosa Tbk</t>
  </si>
  <si>
    <t xml:space="preserve"> PT Kusuma Kemindo Sentosa</t>
  </si>
  <si>
    <t xml:space="preserve"> PT Resource Alam Indonesia</t>
  </si>
  <si>
    <t xml:space="preserve"> Resource Alam Indonesia</t>
  </si>
  <si>
    <t xml:space="preserve"> Resource Alam Indonesia Tbk</t>
  </si>
  <si>
    <t xml:space="preserve"> PT Pelayaran Kurnia Lautan Semesta</t>
  </si>
  <si>
    <t xml:space="preserve"> Pelayaran Kurnia Lautan Semesta</t>
  </si>
  <si>
    <t xml:space="preserve"> Pelayaran Kurnia Lautan Semesta Tbk</t>
  </si>
  <si>
    <t xml:space="preserve"> Kalbe Farma</t>
  </si>
  <si>
    <t xml:space="preserve"> Kalbe Farma Tbk</t>
  </si>
  <si>
    <t xml:space="preserve"> PT Kalbe Farma</t>
  </si>
  <si>
    <t xml:space="preserve"> Klinko Karya Imaji</t>
  </si>
  <si>
    <t xml:space="preserve"> Klinko Karya Imaji Tbk</t>
  </si>
  <si>
    <t xml:space="preserve"> PT Klinko Karya Imaji</t>
  </si>
  <si>
    <t xml:space="preserve"> Kurniamitra Duta Sentosa</t>
  </si>
  <si>
    <t xml:space="preserve"> Kurniamitra Duta Sentosa Tbk</t>
  </si>
  <si>
    <t xml:space="preserve"> PT Kurniamitra Duta Sentosa</t>
  </si>
  <si>
    <t xml:space="preserve"> Kirana Megatara</t>
  </si>
  <si>
    <t xml:space="preserve"> Kirana Megatara Tbk</t>
  </si>
  <si>
    <t xml:space="preserve"> PT Kirana Megatara</t>
  </si>
  <si>
    <t xml:space="preserve"> Kobexindo Tractors</t>
  </si>
  <si>
    <t xml:space="preserve"> Kobexindo Tractors Tbk</t>
  </si>
  <si>
    <t xml:space="preserve"> PT Kobexindo Tractors</t>
  </si>
  <si>
    <t xml:space="preserve"> Kokoh Exa Nusantara</t>
  </si>
  <si>
    <t xml:space="preserve"> Kokoh Exa Nusantara Tbk</t>
  </si>
  <si>
    <t xml:space="preserve"> PT Kokoh Exa Nusantara</t>
  </si>
  <si>
    <t xml:space="preserve"> Kokoh Inti Arebama</t>
  </si>
  <si>
    <t xml:space="preserve"> Kokoh Inti Arebama Tbk</t>
  </si>
  <si>
    <t xml:space="preserve"> PT Kokoh Inti Arebama</t>
  </si>
  <si>
    <t xml:space="preserve"> Koka Indonesia</t>
  </si>
  <si>
    <t xml:space="preserve"> Koka Indonesia Tbk</t>
  </si>
  <si>
    <t xml:space="preserve"> PT Koka Indonesia</t>
  </si>
  <si>
    <t xml:space="preserve"> PT Perdana Bangun Pusaka</t>
  </si>
  <si>
    <t xml:space="preserve"> Perdana Bangun Pusaka</t>
  </si>
  <si>
    <t xml:space="preserve"> Perdana Bangun Pusaka Tbk</t>
  </si>
  <si>
    <t xml:space="preserve"> Mitra Energi Persada</t>
  </si>
  <si>
    <t xml:space="preserve"> Mitra Energi Persada Tbk</t>
  </si>
  <si>
    <t xml:space="preserve"> PT Mitra Energi Persada</t>
  </si>
  <si>
    <t xml:space="preserve"> DMS Propertindo</t>
  </si>
  <si>
    <t xml:space="preserve"> DMS Propertindo Tbk</t>
  </si>
  <si>
    <t xml:space="preserve"> PT DMS Propertindo</t>
  </si>
  <si>
    <t xml:space="preserve"> MNC Tourism Indonesia</t>
  </si>
  <si>
    <t xml:space="preserve"> MNC Tourism Indonesia Tbk</t>
  </si>
  <si>
    <t xml:space="preserve"> PT MNC Tourism Indonesia</t>
  </si>
  <si>
    <t xml:space="preserve"> Krakatau Steel (Persero)</t>
  </si>
  <si>
    <t xml:space="preserve"> Krakatau Steel (Persero) Tbk</t>
  </si>
  <si>
    <t xml:space="preserve"> PT Krakatau Steel (Persero)</t>
  </si>
  <si>
    <t xml:space="preserve"> PT Quantum Clovera Investama</t>
  </si>
  <si>
    <t xml:space="preserve"> Quantum Clovera Investama</t>
  </si>
  <si>
    <t xml:space="preserve"> Quantum Clovera Investama Tbk</t>
  </si>
  <si>
    <t xml:space="preserve"> Bangun Karya Perkasa Jaya</t>
  </si>
  <si>
    <t xml:space="preserve"> Bangun Karya Perkasa Jaya Tbk</t>
  </si>
  <si>
    <t xml:space="preserve"> PT Bangun Karya Perkasa Jaya</t>
  </si>
  <si>
    <t xml:space="preserve"> Kentanix Supra International</t>
  </si>
  <si>
    <t xml:space="preserve"> Kentanix Supra International Tbk</t>
  </si>
  <si>
    <t xml:space="preserve"> PT Kentanix Supra International</t>
  </si>
  <si>
    <t xml:space="preserve"> Ace Oldfields</t>
  </si>
  <si>
    <t xml:space="preserve"> Ace Oldfields Tbk</t>
  </si>
  <si>
    <t xml:space="preserve"> PT Ace Oldfields</t>
  </si>
  <si>
    <t xml:space="preserve"> Green Power Group</t>
  </si>
  <si>
    <t xml:space="preserve"> Green Power Group Tbk</t>
  </si>
  <si>
    <t xml:space="preserve"> PT Green Power Group</t>
  </si>
  <si>
    <t xml:space="preserve"> PT UBC Medical Indonesia</t>
  </si>
  <si>
    <t xml:space="preserve"> UBC Medical Indonesia</t>
  </si>
  <si>
    <t xml:space="preserve"> UBC Medical Indonesia Tbk</t>
  </si>
  <si>
    <t xml:space="preserve"> Jasa Berdikari Logistics</t>
  </si>
  <si>
    <t xml:space="preserve"> Jasa Berdikari Logistics Tbk</t>
  </si>
  <si>
    <t xml:space="preserve"> PT Jasa Berdikari Logistics</t>
  </si>
  <si>
    <t xml:space="preserve"> PT Trimitra Propertindo</t>
  </si>
  <si>
    <t xml:space="preserve"> Trimitra Propertindo</t>
  </si>
  <si>
    <t xml:space="preserve"> Trimitra Propertindo Tbk</t>
  </si>
  <si>
    <t xml:space="preserve"> Leyand International</t>
  </si>
  <si>
    <t xml:space="preserve"> Leyand International Tbk</t>
  </si>
  <si>
    <t xml:space="preserve"> PT Leyand International</t>
  </si>
  <si>
    <t xml:space="preserve"> Eureka Prima Jakarta</t>
  </si>
  <si>
    <t xml:space="preserve"> Eureka Prima Jakarta Tbk</t>
  </si>
  <si>
    <t xml:space="preserve"> PT Eureka Prima Jakarta</t>
  </si>
  <si>
    <t xml:space="preserve"> LCK Global Kedaton</t>
  </si>
  <si>
    <t xml:space="preserve"> LCK Global Kedaton Tbk</t>
  </si>
  <si>
    <t xml:space="preserve"> PT LCK Global Kedaton</t>
  </si>
  <si>
    <t xml:space="preserve"> Logindo Samudramakmur</t>
  </si>
  <si>
    <t xml:space="preserve"> Logindo Samudramakmur Tbk</t>
  </si>
  <si>
    <t xml:space="preserve"> PT Logindo Samudramakmur</t>
  </si>
  <si>
    <t xml:space="preserve"> Imago Mulia Persada</t>
  </si>
  <si>
    <t xml:space="preserve"> Imago Mulia Persada Tbk</t>
  </si>
  <si>
    <t xml:space="preserve"> PT Imago Mulia Persada</t>
  </si>
  <si>
    <t xml:space="preserve"> Asuransi Jiwa Sinarmas MSIG</t>
  </si>
  <si>
    <t xml:space="preserve"> Asuransi Jiwa Sinarmas MSIG Tbk</t>
  </si>
  <si>
    <t xml:space="preserve"> PT Asuransi Jiwa Sinarmas MSIG</t>
  </si>
  <si>
    <t xml:space="preserve"> Link Net</t>
  </si>
  <si>
    <t xml:space="preserve"> Link Net Tbk</t>
  </si>
  <si>
    <t xml:space="preserve"> PT Link Net</t>
  </si>
  <si>
    <t xml:space="preserve"> Lion Metal Works</t>
  </si>
  <si>
    <t xml:space="preserve"> Lion Metal Works Tbk</t>
  </si>
  <si>
    <t xml:space="preserve"> PT Lion Metal Works</t>
  </si>
  <si>
    <t xml:space="preserve"> Homeco Victoria Makmur</t>
  </si>
  <si>
    <t xml:space="preserve"> Homeco Victoria Makmur Tbk</t>
  </si>
  <si>
    <t xml:space="preserve"> PT Homeco Victoria Makmur</t>
  </si>
  <si>
    <t xml:space="preserve"> Limas Indonesia Makmur</t>
  </si>
  <si>
    <t xml:space="preserve"> Limas Indonesia Makmur Tbk</t>
  </si>
  <si>
    <t xml:space="preserve"> PT Limas Indonesia Makmur</t>
  </si>
  <si>
    <t xml:space="preserve"> Lupromax Pelumas Indonesia</t>
  </si>
  <si>
    <t xml:space="preserve"> Lupromax Pelumas Indonesia Tbk</t>
  </si>
  <si>
    <t xml:space="preserve"> PT Lupromax Pelumas Indonesia</t>
  </si>
  <si>
    <t xml:space="preserve"> Langgeng Makmur Industri</t>
  </si>
  <si>
    <t xml:space="preserve"> Langgeng Makmur Industri Tbk</t>
  </si>
  <si>
    <t xml:space="preserve"> PT Langgeng Makmur Industri</t>
  </si>
  <si>
    <t xml:space="preserve"> Lionmesh Prima</t>
  </si>
  <si>
    <t xml:space="preserve"> Lionmesh Prima Tbk</t>
  </si>
  <si>
    <t xml:space="preserve"> PT Lionmesh Prima</t>
  </si>
  <si>
    <t xml:space="preserve"> Logisticsplus International</t>
  </si>
  <si>
    <t xml:space="preserve"> Logisticsplus International Tbk</t>
  </si>
  <si>
    <t xml:space="preserve"> PT Logisticsplus International</t>
  </si>
  <si>
    <t xml:space="preserve"> Lippo Cikarang</t>
  </si>
  <si>
    <t xml:space="preserve"> Lippo Cikarang Tbk</t>
  </si>
  <si>
    <t xml:space="preserve"> PT Lippo Cikarang</t>
  </si>
  <si>
    <t xml:space="preserve"> Lippo General Insurance</t>
  </si>
  <si>
    <t xml:space="preserve"> Lippo General Insurance Tbk</t>
  </si>
  <si>
    <t xml:space="preserve"> PT Lippo General Insurance</t>
  </si>
  <si>
    <t xml:space="preserve"> Multi Prima Sejahtera</t>
  </si>
  <si>
    <t xml:space="preserve"> Multi Prima Sejahtera Tbk</t>
  </si>
  <si>
    <t xml:space="preserve"> PT Multi Prima Sejahtera</t>
  </si>
  <si>
    <t xml:space="preserve"> Lippo Karawaci</t>
  </si>
  <si>
    <t xml:space="preserve"> Lippo Karawaci Tbk</t>
  </si>
  <si>
    <t xml:space="preserve"> PT Lippo Karawaci</t>
  </si>
  <si>
    <t xml:space="preserve"> PT Star Pacific</t>
  </si>
  <si>
    <t xml:space="preserve"> Star Pacific</t>
  </si>
  <si>
    <t xml:space="preserve"> Star Pacific Tbk</t>
  </si>
  <si>
    <t xml:space="preserve"> Matahari Department Store</t>
  </si>
  <si>
    <t xml:space="preserve"> Matahari Department Store Tbk</t>
  </si>
  <si>
    <t xml:space="preserve"> PT Matahari Department Store</t>
  </si>
  <si>
    <t xml:space="preserve"> Lenox Pasifik Investama</t>
  </si>
  <si>
    <t xml:space="preserve"> Lenox Pasifik Investama Tbk</t>
  </si>
  <si>
    <t xml:space="preserve"> PT Lenox Pasifik Investama</t>
  </si>
  <si>
    <t xml:space="preserve"> Eka Sari Lorena Transport</t>
  </si>
  <si>
    <t xml:space="preserve"> Eka Sari Lorena Transport Tbk</t>
  </si>
  <si>
    <t xml:space="preserve"> PT Eka Sari Lorena Transport</t>
  </si>
  <si>
    <t xml:space="preserve"> PP London Sumatra Indonesia</t>
  </si>
  <si>
    <t xml:space="preserve"> PP London Sumatra Indonesia Tbk</t>
  </si>
  <si>
    <t xml:space="preserve"> PT PP London Sumatra Indonesia</t>
  </si>
  <si>
    <t xml:space="preserve"> Lautan Luas</t>
  </si>
  <si>
    <t xml:space="preserve"> Lautan Luas Tbk</t>
  </si>
  <si>
    <t xml:space="preserve"> PT Lautan Luas</t>
  </si>
  <si>
    <t xml:space="preserve"> PT Sentral Mitra Informatika</t>
  </si>
  <si>
    <t xml:space="preserve"> Sentral Mitra Informatika</t>
  </si>
  <si>
    <t xml:space="preserve"> Sentral Mitra Informatika Tbk</t>
  </si>
  <si>
    <t xml:space="preserve"> Lima Dua Lima Tiga</t>
  </si>
  <si>
    <t xml:space="preserve"> Lima Dua Lima Tiga Tbk</t>
  </si>
  <si>
    <t xml:space="preserve"> PT Lima Dua Lima Tiga</t>
  </si>
  <si>
    <t xml:space="preserve"> Marga Abhinaya Abadi</t>
  </si>
  <si>
    <t xml:space="preserve"> Marga Abhinaya Abadi Tbk</t>
  </si>
  <si>
    <t xml:space="preserve"> PT Marga Abhinaya Abadi</t>
  </si>
  <si>
    <t xml:space="preserve"> Multi Agro Gemilang Plantation</t>
  </si>
  <si>
    <t xml:space="preserve"> Multi Agro Gemilang Plantation Tbk</t>
  </si>
  <si>
    <t xml:space="preserve"> PT Multi Agro Gemilang Plantation</t>
  </si>
  <si>
    <t xml:space="preserve"> Mandiri Herindo Adiperkasa</t>
  </si>
  <si>
    <t xml:space="preserve"> Mandiri Herindo Adiperkasa Tbk</t>
  </si>
  <si>
    <t xml:space="preserve"> PT Mandiri Herindo Adiperkasa</t>
  </si>
  <si>
    <t xml:space="preserve"> Malindo Feedmill</t>
  </si>
  <si>
    <t xml:space="preserve"> Malindo Feedmill Tbk</t>
  </si>
  <si>
    <t xml:space="preserve"> PT Malindo Feedmill</t>
  </si>
  <si>
    <t xml:space="preserve"> Manggung Polahraya</t>
  </si>
  <si>
    <t xml:space="preserve"> Manggung Polahraya Tbk</t>
  </si>
  <si>
    <t xml:space="preserve"> PT Manggung Polahraya</t>
  </si>
  <si>
    <t xml:space="preserve"> Map Aktif Adiperkasa</t>
  </si>
  <si>
    <t xml:space="preserve"> Map Aktif Adiperkasa Tbk</t>
  </si>
  <si>
    <t xml:space="preserve"> PT Map Aktif Adiperkasa</t>
  </si>
  <si>
    <t xml:space="preserve"> MAP Boga Adiperkasa</t>
  </si>
  <si>
    <t xml:space="preserve"> MAP Boga Adiperkasa Tbk</t>
  </si>
  <si>
    <t xml:space="preserve"> PT MAP Boga Adiperkasa</t>
  </si>
  <si>
    <t xml:space="preserve"> Mitra Adiperkasa</t>
  </si>
  <si>
    <t xml:space="preserve"> Mitra Adiperkasa Tbk</t>
  </si>
  <si>
    <t xml:space="preserve"> PT Mitra Adiperkasa</t>
  </si>
  <si>
    <t xml:space="preserve"> Mahaka Radio Integra</t>
  </si>
  <si>
    <t xml:space="preserve"> Mahaka Radio Integra Tbk</t>
  </si>
  <si>
    <t xml:space="preserve"> PT Mahaka Radio Integra</t>
  </si>
  <si>
    <t xml:space="preserve"> Mark Dynamics Indonesia</t>
  </si>
  <si>
    <t xml:space="preserve"> Mark Dynamics Indonesia Tbk</t>
  </si>
  <si>
    <t xml:space="preserve"> PT Mark Dynamics Indonesia</t>
  </si>
  <si>
    <t xml:space="preserve"> Bank Multiarta Sentosa</t>
  </si>
  <si>
    <t xml:space="preserve"> Bank Multiarta Sentosa Tbk</t>
  </si>
  <si>
    <t xml:space="preserve"> Bank Sentosa</t>
  </si>
  <si>
    <t xml:space="preserve"> PT Bank Multiarta Sentosa</t>
  </si>
  <si>
    <t xml:space="preserve"> Sentosa</t>
  </si>
  <si>
    <t xml:space="preserve"> Maxindo Karya Anugerah</t>
  </si>
  <si>
    <t xml:space="preserve"> Maxindo Karya Anugerah Tbk</t>
  </si>
  <si>
    <t xml:space="preserve"> PT Maxindo Karya Anugerah</t>
  </si>
  <si>
    <t xml:space="preserve"> Bank Mayapada Internasional</t>
  </si>
  <si>
    <t xml:space="preserve"> Bank Mayapada Internasional Tbk</t>
  </si>
  <si>
    <t xml:space="preserve"> PT Bank Mayapada Internasional</t>
  </si>
  <si>
    <t xml:space="preserve"> Mitrabara Adiperdana</t>
  </si>
  <si>
    <t xml:space="preserve"> Mitrabara Adiperdana Tbk</t>
  </si>
  <si>
    <t xml:space="preserve"> PT Mitrabara Adiperdana</t>
  </si>
  <si>
    <t xml:space="preserve"> Merdeka Battery Materials</t>
  </si>
  <si>
    <t xml:space="preserve"> Merdeka Battery Materials Tbk</t>
  </si>
  <si>
    <t xml:space="preserve"> PT Merdeka Battery Materials</t>
  </si>
  <si>
    <t xml:space="preserve"> Mitrabahtera Segara Sejati</t>
  </si>
  <si>
    <t xml:space="preserve"> Mitrabahtera Segara Sejati Tbk</t>
  </si>
  <si>
    <t xml:space="preserve"> PT Mitrabahtera Segara Sejati</t>
  </si>
  <si>
    <t xml:space="preserve"> Martina Berto</t>
  </si>
  <si>
    <t xml:space="preserve"> Martina Berto Tbk</t>
  </si>
  <si>
    <t xml:space="preserve"> PT Martina Berto</t>
  </si>
  <si>
    <t xml:space="preserve"> M Cash Integrasi</t>
  </si>
  <si>
    <t xml:space="preserve"> M Cash Integrasi Tbk</t>
  </si>
  <si>
    <t xml:space="preserve"> PT M Cash Integrasi</t>
  </si>
  <si>
    <t xml:space="preserve"> PT Prima Andalan Mandiri</t>
  </si>
  <si>
    <t xml:space="preserve"> Prima Andalan Mandiri</t>
  </si>
  <si>
    <t xml:space="preserve"> Prima Andalan Mandiri Tbk</t>
  </si>
  <si>
    <t xml:space="preserve"> Bank China Construction Bank Indonesia</t>
  </si>
  <si>
    <t xml:space="preserve"> Bank China Construction Bank Indonesia Tbk</t>
  </si>
  <si>
    <t xml:space="preserve"> PT Bank China Construction Bank Indonesia</t>
  </si>
  <si>
    <t xml:space="preserve"> Intermedia Capital</t>
  </si>
  <si>
    <t xml:space="preserve"> Intermedia Capital Tbk</t>
  </si>
  <si>
    <t xml:space="preserve"> PT Intermedia Capital</t>
  </si>
  <si>
    <t xml:space="preserve"> Daya Intiguna Yasa</t>
  </si>
  <si>
    <t xml:space="preserve"> Daya Intiguna Yasa Tbk</t>
  </si>
  <si>
    <t xml:space="preserve"> PT Daya Intiguna Yasa</t>
  </si>
  <si>
    <t xml:space="preserve"> Merdeka Copper Gold</t>
  </si>
  <si>
    <t xml:space="preserve"> Merdeka Copper Gold Tbk</t>
  </si>
  <si>
    <t xml:space="preserve"> PT Merdeka Copper Gold</t>
  </si>
  <si>
    <t xml:space="preserve"> Emdeki Utama</t>
  </si>
  <si>
    <t xml:space="preserve"> Emdeki Utama Tbk</t>
  </si>
  <si>
    <t xml:space="preserve"> PT Emdeki Utama</t>
  </si>
  <si>
    <t xml:space="preserve"> Medela Potentia</t>
  </si>
  <si>
    <t xml:space="preserve"> Medela Potentia Tbk</t>
  </si>
  <si>
    <t xml:space="preserve"> PT Medela Potentia</t>
  </si>
  <si>
    <t xml:space="preserve"> Modernland Realty</t>
  </si>
  <si>
    <t xml:space="preserve"> Modernland Realty Tbk</t>
  </si>
  <si>
    <t xml:space="preserve"> PT Modernland Realty</t>
  </si>
  <si>
    <t xml:space="preserve"> MI</t>
  </si>
  <si>
    <t xml:space="preserve"> Modern Internasional</t>
  </si>
  <si>
    <t xml:space="preserve"> Modern Internasional Tbk</t>
  </si>
  <si>
    <t xml:space="preserve"> PT Modern Internasional</t>
  </si>
  <si>
    <t xml:space="preserve"> Medco Energi Internasional</t>
  </si>
  <si>
    <t xml:space="preserve"> Medco Energi Internasional Tbk</t>
  </si>
  <si>
    <t xml:space="preserve"> PT Medco Energi Internasional</t>
  </si>
  <si>
    <t xml:space="preserve"> Hetzer Medical Indonesia</t>
  </si>
  <si>
    <t xml:space="preserve"> Hetzer Medical Indonesia Tbk</t>
  </si>
  <si>
    <t xml:space="preserve"> PT Hetzer Medical Indonesia</t>
  </si>
  <si>
    <t xml:space="preserve"> Bank Mega</t>
  </si>
  <si>
    <t xml:space="preserve"> Bank Mega Tbk</t>
  </si>
  <si>
    <t xml:space="preserve"> Mega</t>
  </si>
  <si>
    <t xml:space="preserve"> PT Bank Mega</t>
  </si>
  <si>
    <t xml:space="preserve"> Harta Djaya Karya</t>
  </si>
  <si>
    <t xml:space="preserve"> Harta Djaya Karya Tbk</t>
  </si>
  <si>
    <t xml:space="preserve"> PT Harta Djaya Karya</t>
  </si>
  <si>
    <t xml:space="preserve"> Menn Teknologi Indonesia</t>
  </si>
  <si>
    <t xml:space="preserve"> Menn Teknologi Indonesia Tbk</t>
  </si>
  <si>
    <t xml:space="preserve"> PT Menn Teknologi Indonesia</t>
  </si>
  <si>
    <t xml:space="preserve"> Merry Riana Edukasi</t>
  </si>
  <si>
    <t xml:space="preserve"> Merry Riana Edukasi Tbk</t>
  </si>
  <si>
    <t xml:space="preserve"> PT Merry Riana Edukasi</t>
  </si>
  <si>
    <t>MERK Tbk</t>
  </si>
  <si>
    <t xml:space="preserve"> PT Merck</t>
  </si>
  <si>
    <t xml:space="preserve"> Nusantara Infrastructure</t>
  </si>
  <si>
    <t xml:space="preserve"> Nusantara Infrastructure Tbk</t>
  </si>
  <si>
    <t xml:space="preserve"> PT Nusantara Infrastructure</t>
  </si>
  <si>
    <t xml:space="preserve"> Multifiling Mitra Indonesia</t>
  </si>
  <si>
    <t xml:space="preserve"> Multifiling Mitra Indonesia Tbk</t>
  </si>
  <si>
    <t xml:space="preserve"> PT Multifiling Mitra Indonesia</t>
  </si>
  <si>
    <t xml:space="preserve"> PT Panca Anugrah Wisesa</t>
  </si>
  <si>
    <t xml:space="preserve"> Panca Anugrah Wisesa</t>
  </si>
  <si>
    <t xml:space="preserve"> Panca Anugrah Wisesa Tbk</t>
  </si>
  <si>
    <t xml:space="preserve"> Magna Investama Mandiri</t>
  </si>
  <si>
    <t xml:space="preserve"> Magna Investama Mandiri Tbk</t>
  </si>
  <si>
    <t xml:space="preserve"> PT Magna Investama Mandiri</t>
  </si>
  <si>
    <t xml:space="preserve"> Mahkota Group</t>
  </si>
  <si>
    <t xml:space="preserve"> Mahkota Group Tbk</t>
  </si>
  <si>
    <t xml:space="preserve"> PT Mahkota Group</t>
  </si>
  <si>
    <t xml:space="preserve"> Multi Hanna Kreasindo</t>
  </si>
  <si>
    <t xml:space="preserve"> Multi Hanna Kreasindo Tbk</t>
  </si>
  <si>
    <t xml:space="preserve"> PT Multi Hanna Kreasindo</t>
  </si>
  <si>
    <t xml:space="preserve"> Multi Indocitra</t>
  </si>
  <si>
    <t xml:space="preserve"> Multi Indocitra Tbk</t>
  </si>
  <si>
    <t xml:space="preserve"> PT Multi Indocitra</t>
  </si>
  <si>
    <t xml:space="preserve"> Midi Utama Indonesia</t>
  </si>
  <si>
    <t xml:space="preserve"> Midi Utama Indonesia Tbk</t>
  </si>
  <si>
    <t xml:space="preserve"> PT Midi Utama Indonesia</t>
  </si>
  <si>
    <t xml:space="preserve"> Mitra Keluarga Karyasehat</t>
  </si>
  <si>
    <t xml:space="preserve"> Mitra Keluarga Karyasehat Tbk</t>
  </si>
  <si>
    <t xml:space="preserve"> PT Mitra Keluarga Karyasehat</t>
  </si>
  <si>
    <t xml:space="preserve"> PT Sanurhasta Mitra</t>
  </si>
  <si>
    <t xml:space="preserve"> Sanurhasta Mitra</t>
  </si>
  <si>
    <t xml:space="preserve"> Sanurhasta Mitra Tbk</t>
  </si>
  <si>
    <t xml:space="preserve"> PT Sinar Terang Mandiri</t>
  </si>
  <si>
    <t xml:space="preserve"> Sinar Terang Mandiri</t>
  </si>
  <si>
    <t xml:space="preserve"> Sinar Terang Mandiri Tbk</t>
  </si>
  <si>
    <t xml:space="preserve"> Mitra International Resources</t>
  </si>
  <si>
    <t xml:space="preserve"> Mitra International Resources Tbk</t>
  </si>
  <si>
    <t xml:space="preserve"> PT Mitra International Resources</t>
  </si>
  <si>
    <t xml:space="preserve"> Mitra Investindo</t>
  </si>
  <si>
    <t xml:space="preserve"> Mitra Investindo Tbk</t>
  </si>
  <si>
    <t xml:space="preserve"> PT Mitra Investindo</t>
  </si>
  <si>
    <t xml:space="preserve"> Multikarya Asia Pasifik Raya</t>
  </si>
  <si>
    <t xml:space="preserve"> Multikarya Asia Pasifik Raya Tbk</t>
  </si>
  <si>
    <t xml:space="preserve"> PT Multikarya Asia Pasifik Raya</t>
  </si>
  <si>
    <t xml:space="preserve"> Mitra Komunikasi Nusantara</t>
  </si>
  <si>
    <t xml:space="preserve"> Mitra Komunikasi Nusantara Tbk</t>
  </si>
  <si>
    <t xml:space="preserve"> PT Mitra Komunikasi Nusantara</t>
  </si>
  <si>
    <t xml:space="preserve"> Metropolitan Kentjana</t>
  </si>
  <si>
    <t xml:space="preserve"> Metropolitan Kentjana Tbk</t>
  </si>
  <si>
    <t xml:space="preserve"> PT Metropolitan Kentjana</t>
  </si>
  <si>
    <t xml:space="preserve"> Menthobi Karyatama Raya</t>
  </si>
  <si>
    <t xml:space="preserve"> Menthobi Karyatama Raya Tbk</t>
  </si>
  <si>
    <t xml:space="preserve"> PT Menthobi Karyatama Raya</t>
  </si>
  <si>
    <t xml:space="preserve"> Multi Bintang Indonesia</t>
  </si>
  <si>
    <t xml:space="preserve"> Multi Bintang Indonesia Tbk</t>
  </si>
  <si>
    <t xml:space="preserve"> PT Multi Bintang Indonesia</t>
  </si>
  <si>
    <t xml:space="preserve"> Mulia Industrindo</t>
  </si>
  <si>
    <t xml:space="preserve"> Mulia Industrindo Tbk</t>
  </si>
  <si>
    <t xml:space="preserve"> PT Mulia Industrindo</t>
  </si>
  <si>
    <t>MLPL Tbk</t>
  </si>
  <si>
    <t xml:space="preserve"> PT Multipolar</t>
  </si>
  <si>
    <t xml:space="preserve"> Multipolar Technology</t>
  </si>
  <si>
    <t xml:space="preserve"> Multipolar Technology Tbk</t>
  </si>
  <si>
    <t xml:space="preserve"> PT Multipolar Technology</t>
  </si>
  <si>
    <t xml:space="preserve"> Multi Medika Internasional</t>
  </si>
  <si>
    <t xml:space="preserve"> Multi Medika Internasional Tbk</t>
  </si>
  <si>
    <t xml:space="preserve"> PT Multi Medika Internasional</t>
  </si>
  <si>
    <t xml:space="preserve"> Mega Manunggal Property</t>
  </si>
  <si>
    <t xml:space="preserve"> Mega Manunggal Property Tbk</t>
  </si>
  <si>
    <t xml:space="preserve"> PT Mega Manunggal Property</t>
  </si>
  <si>
    <t xml:space="preserve"> Media Nusantara Citra</t>
  </si>
  <si>
    <t xml:space="preserve"> Media Nusantara Citra Tbk</t>
  </si>
  <si>
    <t xml:space="preserve"> PT Media Nusantara Citra</t>
  </si>
  <si>
    <t xml:space="preserve"> Madusari Murni Indah</t>
  </si>
  <si>
    <t xml:space="preserve"> Madusari Murni Indah Tbk</t>
  </si>
  <si>
    <t xml:space="preserve"> PT Madusari Murni Indah</t>
  </si>
  <si>
    <t xml:space="preserve"> Mora Telematika Indonesia</t>
  </si>
  <si>
    <t xml:space="preserve"> Mora Telematika Indonesia Tbk</t>
  </si>
  <si>
    <t xml:space="preserve"> PT Mora Telematika Indonesia</t>
  </si>
  <si>
    <t xml:space="preserve"> Mitra Pedagang Indonesia</t>
  </si>
  <si>
    <t xml:space="preserve"> Mitra Pedagang Indonesia Tbk</t>
  </si>
  <si>
    <t xml:space="preserve"> PT Mitra Pedagang Indonesia</t>
  </si>
  <si>
    <t xml:space="preserve"> MPM</t>
  </si>
  <si>
    <t xml:space="preserve"> Mitra Pinasthika Mustika</t>
  </si>
  <si>
    <t xml:space="preserve"> Mitra Pinasthika Mustika Tbk</t>
  </si>
  <si>
    <t xml:space="preserve"> PT Mitra Pinasthika Mustika</t>
  </si>
  <si>
    <t xml:space="preserve"> Megapower Makmur</t>
  </si>
  <si>
    <t xml:space="preserve"> Megapower Makmur Tbk</t>
  </si>
  <si>
    <t xml:space="preserve"> PT Megapower Makmur</t>
  </si>
  <si>
    <t xml:space="preserve"> Matahari Putra Prima</t>
  </si>
  <si>
    <t xml:space="preserve"> Matahari Putra Prima Tbk</t>
  </si>
  <si>
    <t xml:space="preserve"> PT Matahari Putra Prima</t>
  </si>
  <si>
    <t xml:space="preserve"> Maha Properti Indonesia</t>
  </si>
  <si>
    <t xml:space="preserve"> Maha Properti Indonesia Tbk</t>
  </si>
  <si>
    <t xml:space="preserve"> PT Maha Properti Indonesia</t>
  </si>
  <si>
    <t xml:space="preserve"> MPX Logistics International</t>
  </si>
  <si>
    <t xml:space="preserve"> MPX Logistics International Tbk</t>
  </si>
  <si>
    <t xml:space="preserve"> PT MPX Logistics International</t>
  </si>
  <si>
    <t xml:space="preserve"> Mustika Ratu</t>
  </si>
  <si>
    <t xml:space="preserve"> Mustika Ratu Tbk</t>
  </si>
  <si>
    <t xml:space="preserve"> PT Mustika Ratu</t>
  </si>
  <si>
    <t xml:space="preserve"> Maskapai Reasuransi Indonesia</t>
  </si>
  <si>
    <t xml:space="preserve"> Maskapai Reasuransi Indonesia Tbk</t>
  </si>
  <si>
    <t xml:space="preserve"> PT Maskapai Reasuransi Indonesia</t>
  </si>
  <si>
    <t xml:space="preserve"> Multisarana Intan Eduka</t>
  </si>
  <si>
    <t xml:space="preserve"> Multisarana Intan Eduka Tbk</t>
  </si>
  <si>
    <t xml:space="preserve"> PT Multisarana Intan Eduka</t>
  </si>
  <si>
    <t xml:space="preserve"> MNC Digital Entertainment</t>
  </si>
  <si>
    <t xml:space="preserve"> MNC Digital Entertainment Tbk</t>
  </si>
  <si>
    <t xml:space="preserve"> PT MNC Digital Entertainment</t>
  </si>
  <si>
    <t xml:space="preserve"> Multi Spunindo Jaya</t>
  </si>
  <si>
    <t xml:space="preserve"> Multi Spunindo Jaya Tbk</t>
  </si>
  <si>
    <t xml:space="preserve"> PT Multi Spunindo Jaya</t>
  </si>
  <si>
    <t xml:space="preserve"> MNC Sky Vision</t>
  </si>
  <si>
    <t xml:space="preserve"> MNC Sky Vision Tbk</t>
  </si>
  <si>
    <t xml:space="preserve"> PT MNC Sky Vision</t>
  </si>
  <si>
    <t xml:space="preserve"> Mastersystem Infotama</t>
  </si>
  <si>
    <t xml:space="preserve"> Mastersystem Infotama Tbk</t>
  </si>
  <si>
    <t xml:space="preserve"> PT Mastersystem Infotama</t>
  </si>
  <si>
    <t xml:space="preserve"> Metrodata Electronics</t>
  </si>
  <si>
    <t xml:space="preserve"> Metrodata Electronics Tbk</t>
  </si>
  <si>
    <t xml:space="preserve"> PT Metrodata Electronics</t>
  </si>
  <si>
    <t xml:space="preserve"> Dayamitra Telekomunikasi</t>
  </si>
  <si>
    <t xml:space="preserve"> Dayamitra Telekomunikasi Tbk</t>
  </si>
  <si>
    <t xml:space="preserve"> PT Dayamitra Telekomunikasi</t>
  </si>
  <si>
    <t xml:space="preserve"> Capitalinc Investment</t>
  </si>
  <si>
    <t xml:space="preserve"> Capitalinc Investment Tbk</t>
  </si>
  <si>
    <t xml:space="preserve"> PT Capitalinc Investment</t>
  </si>
  <si>
    <t xml:space="preserve"> Metropolitan Land</t>
  </si>
  <si>
    <t xml:space="preserve"> Metropolitan Land Tbk</t>
  </si>
  <si>
    <t xml:space="preserve"> PT Metropolitan Land</t>
  </si>
  <si>
    <t xml:space="preserve"> Murni Sadar</t>
  </si>
  <si>
    <t xml:space="preserve"> Murni Sadar Tbk</t>
  </si>
  <si>
    <t xml:space="preserve"> PT Murni Sadar</t>
  </si>
  <si>
    <t xml:space="preserve"> Meta Epsi</t>
  </si>
  <si>
    <t xml:space="preserve"> Meta Epsi Tbk</t>
  </si>
  <si>
    <t xml:space="preserve"> PT Meta Epsi</t>
  </si>
  <si>
    <t xml:space="preserve"> Mitra Pemuda</t>
  </si>
  <si>
    <t xml:space="preserve"> Mitra Pemuda Tbk</t>
  </si>
  <si>
    <t xml:space="preserve"> PT Mitra Pemuda</t>
  </si>
  <si>
    <t xml:space="preserve"> Metro Realty</t>
  </si>
  <si>
    <t xml:space="preserve"> Metro Realty Tbk</t>
  </si>
  <si>
    <t xml:space="preserve"> PT Metro Realty</t>
  </si>
  <si>
    <t xml:space="preserve"> Malacca Trust Wuwungan Insurance</t>
  </si>
  <si>
    <t xml:space="preserve"> Malacca Trust Wuwungan Insurance Tbk</t>
  </si>
  <si>
    <t xml:space="preserve"> PT Malacca Trust Wuwungan Insurance</t>
  </si>
  <si>
    <t xml:space="preserve"> Mutuagung Lestari</t>
  </si>
  <si>
    <t xml:space="preserve"> Mutuagung Lestari Tbk</t>
  </si>
  <si>
    <t xml:space="preserve"> PT Mutuagung Lestari</t>
  </si>
  <si>
    <t xml:space="preserve"> PT Samindo Resources</t>
  </si>
  <si>
    <t xml:space="preserve"> Samindo Resources</t>
  </si>
  <si>
    <t xml:space="preserve"> Samindo Resources Tbk</t>
  </si>
  <si>
    <t xml:space="preserve"> Mayora Indah</t>
  </si>
  <si>
    <t xml:space="preserve"> Mayora Indah Tbk</t>
  </si>
  <si>
    <t xml:space="preserve"> PT Mayora Indah</t>
  </si>
  <si>
    <t xml:space="preserve"> Asia Pacific Investama</t>
  </si>
  <si>
    <t xml:space="preserve"> Asia Pacific Investama Tbk</t>
  </si>
  <si>
    <t xml:space="preserve"> PT Asia Pacific Investama</t>
  </si>
  <si>
    <t xml:space="preserve"> Adiwarna Anugerah Abadi</t>
  </si>
  <si>
    <t xml:space="preserve"> Adiwarna Anugerah Abadi Tbk</t>
  </si>
  <si>
    <t xml:space="preserve"> PT Adiwarna Anugerah Abadi</t>
  </si>
  <si>
    <t xml:space="preserve"> Nanotech Indonesia Global</t>
  </si>
  <si>
    <t xml:space="preserve"> Nanotech Indonesia Global Tbk</t>
  </si>
  <si>
    <t xml:space="preserve"> PT Nanotech Indonesia Global</t>
  </si>
  <si>
    <t xml:space="preserve"> Andalan Perkasa Abadi</t>
  </si>
  <si>
    <t xml:space="preserve"> Andalan Perkasa Abadi Tbk</t>
  </si>
  <si>
    <t xml:space="preserve"> PT Andalan Perkasa Abadi</t>
  </si>
  <si>
    <t xml:space="preserve"> PT Wahana Inti Makmur</t>
  </si>
  <si>
    <t xml:space="preserve"> Wahana Inti Makmur</t>
  </si>
  <si>
    <t xml:space="preserve"> Wahana Inti Makmur Tbk</t>
  </si>
  <si>
    <t xml:space="preserve"> Olympus Strategic Indonesia</t>
  </si>
  <si>
    <t xml:space="preserve"> Olympus Strategic Indonesia Tbk</t>
  </si>
  <si>
    <t xml:space="preserve"> PT Olympus Strategic Indonesia</t>
  </si>
  <si>
    <t xml:space="preserve"> Hassana Boga Sejahtera</t>
  </si>
  <si>
    <t xml:space="preserve"> Hassana Boga Sejahtera Tbk</t>
  </si>
  <si>
    <t xml:space="preserve"> PT Hassana Boga Sejahtera</t>
  </si>
  <si>
    <t xml:space="preserve"> PT Trimegah Bangun Persada</t>
  </si>
  <si>
    <t xml:space="preserve"> Trimegah Bangun Persada</t>
  </si>
  <si>
    <t xml:space="preserve"> Trimegah Bangun Persada Tbk</t>
  </si>
  <si>
    <t xml:space="preserve"> PT Pelayaran Nelly Dwi Putri</t>
  </si>
  <si>
    <t xml:space="preserve"> Pelayaran Nelly Dwi Putri</t>
  </si>
  <si>
    <t xml:space="preserve"> Pelayaran Nelly Dwi Putri Tbk</t>
  </si>
  <si>
    <t xml:space="preserve"> Esta Indonesia</t>
  </si>
  <si>
    <t xml:space="preserve"> Esta Indonesia Tbk</t>
  </si>
  <si>
    <t xml:space="preserve"> PT Esta Indonesia</t>
  </si>
  <si>
    <t xml:space="preserve"> MDTV Media Technologies</t>
  </si>
  <si>
    <t xml:space="preserve"> MDTV Media Technologies Tbk</t>
  </si>
  <si>
    <t xml:space="preserve"> PT MDTV Media Technologies</t>
  </si>
  <si>
    <t xml:space="preserve"> NFC Indonesia</t>
  </si>
  <si>
    <t xml:space="preserve"> NFC Indonesia Tbk</t>
  </si>
  <si>
    <t xml:space="preserve"> PT NFC Indonesia</t>
  </si>
  <si>
    <t xml:space="preserve"> Adhi Kartiko Pratama</t>
  </si>
  <si>
    <t xml:space="preserve"> Adhi Kartiko Pratama Tbk</t>
  </si>
  <si>
    <t xml:space="preserve"> PT Adhi Kartiko Pratama</t>
  </si>
  <si>
    <t xml:space="preserve"> Charnic Capital</t>
  </si>
  <si>
    <t xml:space="preserve"> Charnic Capital Tbk</t>
  </si>
  <si>
    <t xml:space="preserve"> PT Charnic Capital</t>
  </si>
  <si>
    <t xml:space="preserve"> PAM Mineral</t>
  </si>
  <si>
    <t xml:space="preserve"> PAM Mineral Tbk</t>
  </si>
  <si>
    <t xml:space="preserve"> PT PAM Mineral</t>
  </si>
  <si>
    <t xml:space="preserve"> PT Pelat Timah Nusantara</t>
  </si>
  <si>
    <t xml:space="preserve"> Pelat Timah Nusantara</t>
  </si>
  <si>
    <t xml:space="preserve"> Pelat Timah Nusantara Tbk</t>
  </si>
  <si>
    <t xml:space="preserve"> PT Techno9 Indonesia</t>
  </si>
  <si>
    <t xml:space="preserve"> Techno9 Indonesia</t>
  </si>
  <si>
    <t xml:space="preserve"> Techno9 Indonesia Tbk</t>
  </si>
  <si>
    <t xml:space="preserve"> City Retail Developments</t>
  </si>
  <si>
    <t xml:space="preserve"> City Retail Developments Tbk</t>
  </si>
  <si>
    <t xml:space="preserve"> PT City Retail Developments</t>
  </si>
  <si>
    <t xml:space="preserve"> Bank NISP</t>
  </si>
  <si>
    <t xml:space="preserve"> Bank OCBC NISP</t>
  </si>
  <si>
    <t xml:space="preserve"> Bank OCBC NISP Tbk</t>
  </si>
  <si>
    <t xml:space="preserve"> PT Bank OCBC NISP</t>
  </si>
  <si>
    <t xml:space="preserve"> Bank Nationalnobu</t>
  </si>
  <si>
    <t xml:space="preserve"> Bank Nationalnobu Tbk</t>
  </si>
  <si>
    <t xml:space="preserve"> Nationalnobu</t>
  </si>
  <si>
    <t xml:space="preserve"> PT Bank Nationalnobu</t>
  </si>
  <si>
    <t xml:space="preserve"> Nusa Palapa Gemilang</t>
  </si>
  <si>
    <t xml:space="preserve"> Nusa Palapa Gemilang Tbk</t>
  </si>
  <si>
    <t xml:space="preserve"> PT Nusa Palapa Gemilang</t>
  </si>
  <si>
    <t xml:space="preserve"> NUSA RAYA CIA</t>
  </si>
  <si>
    <t xml:space="preserve"> Nusa Raya Cia</t>
  </si>
  <si>
    <t xml:space="preserve"> Nusa Raya Cia Tbk</t>
  </si>
  <si>
    <t xml:space="preserve"> NusaRayaCia</t>
  </si>
  <si>
    <t xml:space="preserve"> PT Nusa Raya Cia</t>
  </si>
  <si>
    <t xml:space="preserve"> nusa raya cia</t>
  </si>
  <si>
    <t xml:space="preserve"> Nusantara Sawit Sejahtera</t>
  </si>
  <si>
    <t xml:space="preserve"> Nusantara Sawit Sejahtera Tbk</t>
  </si>
  <si>
    <t xml:space="preserve"> PT Nusantara Sawit Sejahtera</t>
  </si>
  <si>
    <t xml:space="preserve"> Nusatama Berkah</t>
  </si>
  <si>
    <t xml:space="preserve"> Nusatama Berkah Tbk</t>
  </si>
  <si>
    <t xml:space="preserve"> PT Nusatama Berkah</t>
  </si>
  <si>
    <t xml:space="preserve"> PT Sinergi Megah Internusa</t>
  </si>
  <si>
    <t xml:space="preserve"> Sinergi Megah Internusa</t>
  </si>
  <si>
    <t xml:space="preserve"> Sinergi Megah Internusa Tbk</t>
  </si>
  <si>
    <t xml:space="preserve"> Nusantara Almazia</t>
  </si>
  <si>
    <t xml:space="preserve"> Nusantara Almazia Tbk</t>
  </si>
  <si>
    <t xml:space="preserve"> PT Nusantara Almazia</t>
  </si>
  <si>
    <t xml:space="preserve"> Maharaksa Biru Energi</t>
  </si>
  <si>
    <t xml:space="preserve"> Maharaksa Biru Energi Tbk</t>
  </si>
  <si>
    <t xml:space="preserve"> PT Maharaksa Biru Energi</t>
  </si>
  <si>
    <t xml:space="preserve"> Brigit Biofarmaka Teknologi</t>
  </si>
  <si>
    <t xml:space="preserve"> Brigit Biofarmaka Teknologi Tbk</t>
  </si>
  <si>
    <t xml:space="preserve"> PT Brigit Biofarmaka Teknologi</t>
  </si>
  <si>
    <t xml:space="preserve"> OBM Drilchem</t>
  </si>
  <si>
    <t xml:space="preserve"> OBM Drilchem Tbk</t>
  </si>
  <si>
    <t xml:space="preserve"> PT OBM Drilchem</t>
  </si>
  <si>
    <t xml:space="preserve"> Onix Capital</t>
  </si>
  <si>
    <t xml:space="preserve"> Onix Capital Tbk</t>
  </si>
  <si>
    <t xml:space="preserve"> PT Onix Capital</t>
  </si>
  <si>
    <t xml:space="preserve"> Indo Oil Perkasa</t>
  </si>
  <si>
    <t xml:space="preserve"> Indo Oil Perkasa Tbk</t>
  </si>
  <si>
    <t xml:space="preserve"> PT Indo Oil Perkasa</t>
  </si>
  <si>
    <t xml:space="preserve"> Ancora Indonesia Resources</t>
  </si>
  <si>
    <t xml:space="preserve"> Ancora Indonesia Resources Tbk</t>
  </si>
  <si>
    <t xml:space="preserve"> PT Ancora Indonesia Resources</t>
  </si>
  <si>
    <t xml:space="preserve"> Oscar Mitra Sukses Sejahtera</t>
  </si>
  <si>
    <t xml:space="preserve"> Oscar Mitra Sukses Sejahtera Tbk</t>
  </si>
  <si>
    <t xml:space="preserve"> PT Oscar Mitra Sukses Sejahtera</t>
  </si>
  <si>
    <t xml:space="preserve"> Jayamas Medica Industri</t>
  </si>
  <si>
    <t xml:space="preserve"> Jayamas Medica Industri Tbk</t>
  </si>
  <si>
    <t xml:space="preserve"> PT Jayamas Medica Industri</t>
  </si>
  <si>
    <t xml:space="preserve"> Indonesia Prima Property</t>
  </si>
  <si>
    <t xml:space="preserve"> Indonesia Prima Property Tbk</t>
  </si>
  <si>
    <t xml:space="preserve"> PT Indonesia Prima Property</t>
  </si>
  <si>
    <t xml:space="preserve"> OIMA PRIMA METAL SINERGI</t>
  </si>
  <si>
    <t xml:space="preserve"> Oima Prima Metal Sinergi</t>
  </si>
  <si>
    <t xml:space="preserve"> Oima Prima Metal Sinergi Tbk</t>
  </si>
  <si>
    <t xml:space="preserve"> OimaPrimaMetalSinergi</t>
  </si>
  <si>
    <t xml:space="preserve"> PT Oima Prima Metal Sinergi</t>
  </si>
  <si>
    <t xml:space="preserve"> oima prima metal sinergi</t>
  </si>
  <si>
    <t xml:space="preserve"> Abadi Nusantara Hijau Investama</t>
  </si>
  <si>
    <t xml:space="preserve"> Abadi Nusantara Hijau Investama Tbk</t>
  </si>
  <si>
    <t xml:space="preserve"> PT Abadi Nusantara Hijau Investama</t>
  </si>
  <si>
    <t xml:space="preserve"> PT Personel Alih Daya</t>
  </si>
  <si>
    <t xml:space="preserve"> Personel Alih Daya</t>
  </si>
  <si>
    <t xml:space="preserve"> Personel Alih Daya Tbk</t>
  </si>
  <si>
    <t xml:space="preserve"> Minna Padi Investama Sekuritas</t>
  </si>
  <si>
    <t xml:space="preserve"> Minna Padi Investama Sekuritas Tbk</t>
  </si>
  <si>
    <t xml:space="preserve"> PT Minna Padi Investama Sekuritas</t>
  </si>
  <si>
    <t xml:space="preserve"> PT Provident Investasi Bersama</t>
  </si>
  <si>
    <t xml:space="preserve"> Provident Investasi Bersama</t>
  </si>
  <si>
    <t xml:space="preserve"> Provident Investasi Bersama Tbk</t>
  </si>
  <si>
    <t xml:space="preserve"> Bima Sakti Pertiwi</t>
  </si>
  <si>
    <t xml:space="preserve"> Bima Sakti Pertiwi Tbk</t>
  </si>
  <si>
    <t xml:space="preserve"> PT Bima Sakti Pertiwi</t>
  </si>
  <si>
    <t xml:space="preserve"> PT Pantai Indah Kapuk Dua</t>
  </si>
  <si>
    <t xml:space="preserve"> Pantai Indah Kapuk Dua</t>
  </si>
  <si>
    <t xml:space="preserve"> Pantai Indah Kapuk Dua Tbk</t>
  </si>
  <si>
    <t xml:space="preserve"> PT Panorama Sentrawisata</t>
  </si>
  <si>
    <t xml:space="preserve"> Panorama Sentrawisata</t>
  </si>
  <si>
    <t xml:space="preserve"> Panorama Sentrawisata Tbk</t>
  </si>
  <si>
    <t xml:space="preserve"> PT Panin Sekuritas</t>
  </si>
  <si>
    <t xml:space="preserve"> Panin Sekuritas</t>
  </si>
  <si>
    <t xml:space="preserve"> Panin Sekuritas Tbk</t>
  </si>
  <si>
    <t xml:space="preserve"> Cipta Perdana Lancar</t>
  </si>
  <si>
    <t xml:space="preserve"> Cipta Perdana Lancar Tbk</t>
  </si>
  <si>
    <t xml:space="preserve"> PT Cipta Perdana Lancar</t>
  </si>
  <si>
    <t xml:space="preserve"> PT Panca Budi Idaman</t>
  </si>
  <si>
    <t xml:space="preserve"> Panca Budi Idaman</t>
  </si>
  <si>
    <t xml:space="preserve"> Panca Budi Idaman Tbk</t>
  </si>
  <si>
    <t xml:space="preserve"> PT Pan Brothers</t>
  </si>
  <si>
    <t xml:space="preserve"> Pan Brothers</t>
  </si>
  <si>
    <t xml:space="preserve"> Pan Brothers Tbk</t>
  </si>
  <si>
    <t xml:space="preserve"> PT Paramita Bangun Sarana</t>
  </si>
  <si>
    <t xml:space="preserve"> Paramita Bangun Sarana</t>
  </si>
  <si>
    <t xml:space="preserve"> Paramita Bangun Sarana Tbk</t>
  </si>
  <si>
    <t xml:space="preserve"> PT Prima Cakrawala Abadi</t>
  </si>
  <si>
    <t xml:space="preserve"> Prima Cakrawala Abadi</t>
  </si>
  <si>
    <t xml:space="preserve"> Prima Cakrawala Abadi Tbk</t>
  </si>
  <si>
    <t xml:space="preserve"> Destinasi Tirta Nusantara</t>
  </si>
  <si>
    <t xml:space="preserve"> Destinasi Tirta Nusantara Tbk</t>
  </si>
  <si>
    <t xml:space="preserve"> PT Destinasi Tirta Nusantara</t>
  </si>
  <si>
    <t xml:space="preserve"> PT Primadaya Plastisindo</t>
  </si>
  <si>
    <t xml:space="preserve"> Primadaya Plastisindo</t>
  </si>
  <si>
    <t xml:space="preserve"> Primadaya Plastisindo Tbk</t>
  </si>
  <si>
    <t xml:space="preserve"> PT Panca Global Kapital</t>
  </si>
  <si>
    <t xml:space="preserve"> Panca Global Kapital</t>
  </si>
  <si>
    <t xml:space="preserve"> Panca Global Kapital Tbk</t>
  </si>
  <si>
    <t xml:space="preserve"> PT Phapros Tbk</t>
  </si>
  <si>
    <t xml:space="preserve"> PT Penta Valent</t>
  </si>
  <si>
    <t xml:space="preserve"> Penta Valent</t>
  </si>
  <si>
    <t xml:space="preserve"> Penta Valent Tbk</t>
  </si>
  <si>
    <t xml:space="preserve"> PGN</t>
  </si>
  <si>
    <t xml:space="preserve"> PT Perusahaan Gas Negara</t>
  </si>
  <si>
    <t xml:space="preserve"> Perusahaan Gas Negara</t>
  </si>
  <si>
    <t xml:space="preserve"> Perusahaan Gas Negara Tbk</t>
  </si>
  <si>
    <t xml:space="preserve"> PT Pertamina Geothermal Energy</t>
  </si>
  <si>
    <t xml:space="preserve"> Pertamina Geothermal Energy</t>
  </si>
  <si>
    <t xml:space="preserve"> Pertamina Geothermal Energy Tbk</t>
  </si>
  <si>
    <t xml:space="preserve"> Bahtera Bumi Raya</t>
  </si>
  <si>
    <t xml:space="preserve"> Bahtera Bumi Raya Tbk</t>
  </si>
  <si>
    <t xml:space="preserve"> PT Bahtera Bumi Raya</t>
  </si>
  <si>
    <t xml:space="preserve"> PT Pembangunan Graha Lestari Indah</t>
  </si>
  <si>
    <t xml:space="preserve"> Pembangunan Graha Lestari Indah</t>
  </si>
  <si>
    <t xml:space="preserve"> Pembangunan Graha Lestari Indah Tbk</t>
  </si>
  <si>
    <t xml:space="preserve"> PT Pradiksi Gunatama</t>
  </si>
  <si>
    <t xml:space="preserve"> Pradiksi Gunatama</t>
  </si>
  <si>
    <t xml:space="preserve"> Pradiksi Gunatama Tbk</t>
  </si>
  <si>
    <t xml:space="preserve"> PT Pelangi Indah Canindo</t>
  </si>
  <si>
    <t xml:space="preserve"> Pelangi Indah Canindo</t>
  </si>
  <si>
    <t xml:space="preserve"> Pelangi Indah Canindo Tbk</t>
  </si>
  <si>
    <t xml:space="preserve"> Multi Makmur Lemindo</t>
  </si>
  <si>
    <t xml:space="preserve"> Multi Makmur Lemindo Tbk</t>
  </si>
  <si>
    <t xml:space="preserve"> PT Multi Makmur Lemindo</t>
  </si>
  <si>
    <t xml:space="preserve"> PT Pembangunan Jaya Ancol</t>
  </si>
  <si>
    <t xml:space="preserve"> Pembangunan Jaya Ancol</t>
  </si>
  <si>
    <t xml:space="preserve"> Pembangunan Jaya Ancol Tbk</t>
  </si>
  <si>
    <t xml:space="preserve"> PT Pelayaran Jaya Hidup Baru</t>
  </si>
  <si>
    <t xml:space="preserve"> Pelayaran Jaya Hidup Baru</t>
  </si>
  <si>
    <t xml:space="preserve"> Pelayaran Jaya Hidup Baru Tbk</t>
  </si>
  <si>
    <t xml:space="preserve"> PT Paragon Karya Perkasa</t>
  </si>
  <si>
    <t xml:space="preserve"> Paragon Karya Perkasa</t>
  </si>
  <si>
    <t xml:space="preserve"> Paragon Karya Perkasa Tbk</t>
  </si>
  <si>
    <t xml:space="preserve"> PT Planet Properindo Jaya</t>
  </si>
  <si>
    <t xml:space="preserve"> Planet Properindo Jaya</t>
  </si>
  <si>
    <t xml:space="preserve"> Planet Properindo Jaya Tbk</t>
  </si>
  <si>
    <t xml:space="preserve"> PT Polaris Investama</t>
  </si>
  <si>
    <t xml:space="preserve"> Polaris Investama</t>
  </si>
  <si>
    <t xml:space="preserve"> Polaris Investama Tbk</t>
  </si>
  <si>
    <t xml:space="preserve"> PT Plaza Indonesia Realty</t>
  </si>
  <si>
    <t xml:space="preserve"> Plaza Indonesia Realty</t>
  </si>
  <si>
    <t xml:space="preserve"> Plaza Indonesia Realty Tbk</t>
  </si>
  <si>
    <t xml:space="preserve"> PT Putra Mandiri Jembar</t>
  </si>
  <si>
    <t xml:space="preserve"> Putra Mandiri Jembar</t>
  </si>
  <si>
    <t xml:space="preserve"> Putra Mandiri Jembar Tbk</t>
  </si>
  <si>
    <t xml:space="preserve"> PT Panca Mitra Multiperdana</t>
  </si>
  <si>
    <t xml:space="preserve"> Panca Mitra Multiperdana</t>
  </si>
  <si>
    <t xml:space="preserve"> Panca Mitra Multiperdana Tbk</t>
  </si>
  <si>
    <t xml:space="preserve"> PT Prima Multi Usaha Indonesia</t>
  </si>
  <si>
    <t xml:space="preserve"> Prima Multi Usaha Indonesia</t>
  </si>
  <si>
    <t xml:space="preserve"> Prima Multi Usaha Indonesia Tbk</t>
  </si>
  <si>
    <t xml:space="preserve"> Bank Pan Indonesia</t>
  </si>
  <si>
    <t xml:space="preserve"> Bank Pan Indonesia Tbk</t>
  </si>
  <si>
    <t xml:space="preserve"> PT Bank Pan Indonesia</t>
  </si>
  <si>
    <t xml:space="preserve"> Bank Panin Dubai Syariah</t>
  </si>
  <si>
    <t xml:space="preserve"> Bank Panin Dubai Syariah Tbk</t>
  </si>
  <si>
    <t xml:space="preserve"> PT Bank Panin Dubai Syariah</t>
  </si>
  <si>
    <t xml:space="preserve"> PT Pinago Utama</t>
  </si>
  <si>
    <t xml:space="preserve"> Pinago Utama</t>
  </si>
  <si>
    <t xml:space="preserve"> Pinago Utama Tbk</t>
  </si>
  <si>
    <t xml:space="preserve"> PT Paninvest Tbk</t>
  </si>
  <si>
    <t xml:space="preserve"> PT Panin Financial</t>
  </si>
  <si>
    <t xml:space="preserve"> Panin Financial</t>
  </si>
  <si>
    <t xml:space="preserve"> Panin Financial Tbk</t>
  </si>
  <si>
    <t xml:space="preserve"> PT Pudjiadi &amp; Sons</t>
  </si>
  <si>
    <t xml:space="preserve"> Pudjiadi &amp; Sons</t>
  </si>
  <si>
    <t xml:space="preserve"> Pudjiadi &amp; Sons Tbk</t>
  </si>
  <si>
    <t xml:space="preserve"> PT Pool Advista Finance</t>
  </si>
  <si>
    <t xml:space="preserve"> Pool Advista Finance</t>
  </si>
  <si>
    <t xml:space="preserve"> Pool Advista Finance Tbk</t>
  </si>
  <si>
    <t xml:space="preserve"> PT Pollux Hotels Group</t>
  </si>
  <si>
    <t xml:space="preserve"> Pollux Hotels Group</t>
  </si>
  <si>
    <t xml:space="preserve"> Pollux Hotels Group Tbk</t>
  </si>
  <si>
    <t xml:space="preserve"> PT Pollux Properties Indonesia</t>
  </si>
  <si>
    <t xml:space="preserve"> Pollux Properties Indonesia</t>
  </si>
  <si>
    <t xml:space="preserve"> Pollux Properties Indonesia Tbk</t>
  </si>
  <si>
    <t xml:space="preserve"> Golden Flower</t>
  </si>
  <si>
    <t xml:space="preserve"> Golden Flower Tbk</t>
  </si>
  <si>
    <t xml:space="preserve"> PT Golden Flower</t>
  </si>
  <si>
    <t xml:space="preserve"> Asia Pacific Fibers</t>
  </si>
  <si>
    <t xml:space="preserve"> Asia Pacific Fibers Tbk</t>
  </si>
  <si>
    <t xml:space="preserve"> PT Asia Pacific Fibers</t>
  </si>
  <si>
    <t xml:space="preserve"> PT Pool Advista Indonesia</t>
  </si>
  <si>
    <t xml:space="preserve"> Pool Advista Indonesia</t>
  </si>
  <si>
    <t xml:space="preserve"> Pool Advista Indonesia Tbk</t>
  </si>
  <si>
    <t xml:space="preserve"> Nusantara Pelabuhan Handal</t>
  </si>
  <si>
    <t xml:space="preserve"> Nusantara Pelabuhan Handal Tbk</t>
  </si>
  <si>
    <t xml:space="preserve"> PT Nusantara Pelabuhan Handal</t>
  </si>
  <si>
    <t xml:space="preserve"> Bliss Properti Indonesia</t>
  </si>
  <si>
    <t xml:space="preserve"> Bliss Properti Indonesia Tbk</t>
  </si>
  <si>
    <t xml:space="preserve"> PT Bliss Properti Indonesia</t>
  </si>
  <si>
    <t xml:space="preserve"> Cikarang Listrindo</t>
  </si>
  <si>
    <t xml:space="preserve"> Cikarang Listrindo Tbk</t>
  </si>
  <si>
    <t xml:space="preserve"> PT Cikarang Listrindo</t>
  </si>
  <si>
    <t xml:space="preserve"> PT Prima Globalindo Logistik</t>
  </si>
  <si>
    <t xml:space="preserve"> Prima Globalindo Logistik</t>
  </si>
  <si>
    <t xml:space="preserve"> Prima Globalindo Logistik Tbk</t>
  </si>
  <si>
    <t xml:space="preserve"> PP Presisi</t>
  </si>
  <si>
    <t xml:space="preserve"> PP Presisi Tbk</t>
  </si>
  <si>
    <t xml:space="preserve"> PT PP Presisi</t>
  </si>
  <si>
    <t xml:space="preserve"> PT Paperocks Indonesia</t>
  </si>
  <si>
    <t xml:space="preserve"> Paperocks Indonesia</t>
  </si>
  <si>
    <t xml:space="preserve"> Paperocks Indonesia Tbk</t>
  </si>
  <si>
    <t xml:space="preserve"> PP Properti</t>
  </si>
  <si>
    <t xml:space="preserve"> PP Properti Tbk</t>
  </si>
  <si>
    <t xml:space="preserve"> PT PP Properti</t>
  </si>
  <si>
    <t xml:space="preserve"> Famon Awal Bros Sedaya</t>
  </si>
  <si>
    <t xml:space="preserve"> Famon Awal Bros Sedaya Tbk</t>
  </si>
  <si>
    <t xml:space="preserve"> PT Famon Awal Bros Sedaya</t>
  </si>
  <si>
    <t xml:space="preserve"> PT Prodia Widyahusada</t>
  </si>
  <si>
    <t xml:space="preserve"> Prodia Widyahusada</t>
  </si>
  <si>
    <t xml:space="preserve"> Prodia Widyahusada Tbk</t>
  </si>
  <si>
    <t xml:space="preserve"> PT Royal Prima</t>
  </si>
  <si>
    <t xml:space="preserve"> Royal Prima</t>
  </si>
  <si>
    <t xml:space="preserve"> Royal Prima Tbk</t>
  </si>
  <si>
    <t xml:space="preserve"> J Resources Asia Pasifik</t>
  </si>
  <si>
    <t xml:space="preserve"> J Resources Asia Pasifik Tbk</t>
  </si>
  <si>
    <t xml:space="preserve"> PT J Resources Asia Pasifik</t>
  </si>
  <si>
    <t xml:space="preserve"> PT Pancaran Samudera Transport</t>
  </si>
  <si>
    <t xml:space="preserve"> Pancaran Samudera Transport</t>
  </si>
  <si>
    <t xml:space="preserve"> Pancaran Samudera Transport Tbk</t>
  </si>
  <si>
    <t xml:space="preserve"> PT Prasidha Aneka Niaga</t>
  </si>
  <si>
    <t xml:space="preserve"> Prasidha Aneka Niaga</t>
  </si>
  <si>
    <t xml:space="preserve"> Prasidha Aneka Niaga Tbk</t>
  </si>
  <si>
    <t xml:space="preserve"> PT Palma Serasih</t>
  </si>
  <si>
    <t xml:space="preserve"> Palma Serasih</t>
  </si>
  <si>
    <t xml:space="preserve"> Palma Serasih Tbk</t>
  </si>
  <si>
    <t xml:space="preserve"> PT Red Planet Indonesia</t>
  </si>
  <si>
    <t xml:space="preserve"> Red Planet Indonesia</t>
  </si>
  <si>
    <t xml:space="preserve"> Red Planet Indonesia Tbk</t>
  </si>
  <si>
    <t xml:space="preserve"> IMC Pelita Logistik</t>
  </si>
  <si>
    <t xml:space="preserve"> IMC Pelita Logistik Tbk</t>
  </si>
  <si>
    <t xml:space="preserve"> PT IMC Pelita Logistik</t>
  </si>
  <si>
    <t xml:space="preserve"> Bukit Asam (Persero)</t>
  </si>
  <si>
    <t xml:space="preserve"> Bukit Asam (Persero) Tbk</t>
  </si>
  <si>
    <t xml:space="preserve"> PT Bukit Asam (Persero)</t>
  </si>
  <si>
    <t xml:space="preserve"> Djasa Ubersakti</t>
  </si>
  <si>
    <t xml:space="preserve"> Djasa Ubersakti Tbk</t>
  </si>
  <si>
    <t xml:space="preserve"> PT Djasa Ubersakti</t>
  </si>
  <si>
    <t xml:space="preserve"> Indo Straits</t>
  </si>
  <si>
    <t xml:space="preserve"> Indo Straits Tbk</t>
  </si>
  <si>
    <t xml:space="preserve"> PT Indo Straits</t>
  </si>
  <si>
    <t xml:space="preserve"> Mitra Pack</t>
  </si>
  <si>
    <t xml:space="preserve"> Mitra Pack Tbk</t>
  </si>
  <si>
    <t xml:space="preserve"> PT Mitra Pack</t>
  </si>
  <si>
    <t xml:space="preserve"> Master Print</t>
  </si>
  <si>
    <t xml:space="preserve"> Master Print Tbk</t>
  </si>
  <si>
    <t xml:space="preserve"> PT Master Print</t>
  </si>
  <si>
    <t xml:space="preserve"> PP (Persero)</t>
  </si>
  <si>
    <t xml:space="preserve"> PP (Persero) Tbk</t>
  </si>
  <si>
    <t xml:space="preserve"> PT PP (Persero)</t>
  </si>
  <si>
    <t xml:space="preserve"> PT Pulau Subur</t>
  </si>
  <si>
    <t xml:space="preserve"> Pulau Subur</t>
  </si>
  <si>
    <t xml:space="preserve"> Pulau Subur Tbk</t>
  </si>
  <si>
    <t xml:space="preserve"> PT Pratama Widya</t>
  </si>
  <si>
    <t xml:space="preserve"> Pratama Widya</t>
  </si>
  <si>
    <t xml:space="preserve"> Pratama Widya Tbk</t>
  </si>
  <si>
    <t xml:space="preserve"> PT Petrosea Tbk</t>
  </si>
  <si>
    <t xml:space="preserve"> PT Sat Nusapersada</t>
  </si>
  <si>
    <t xml:space="preserve"> Sat Nusapersada</t>
  </si>
  <si>
    <t xml:space="preserve"> Sat Nusapersada Tbk</t>
  </si>
  <si>
    <t xml:space="preserve"> PT Pioneerindo Gourmet International</t>
  </si>
  <si>
    <t xml:space="preserve"> Pioneerindo Gourmet International</t>
  </si>
  <si>
    <t xml:space="preserve"> Pioneerindo Gourmet International Tbk</t>
  </si>
  <si>
    <t xml:space="preserve"> PT Pudjiadi Prestige</t>
  </si>
  <si>
    <t xml:space="preserve"> Pudjiadi Prestige</t>
  </si>
  <si>
    <t xml:space="preserve"> Pudjiadi Prestige Tbk</t>
  </si>
  <si>
    <t xml:space="preserve"> PT Putra Rajawali Kencana</t>
  </si>
  <si>
    <t xml:space="preserve"> Putra Rajawali Kencana</t>
  </si>
  <si>
    <t xml:space="preserve"> Putra Rajawali Kencana Tbk</t>
  </si>
  <si>
    <t xml:space="preserve"> PT Trinitan Metals and Minerals</t>
  </si>
  <si>
    <t xml:space="preserve"> Trinitan Metals and Minerals</t>
  </si>
  <si>
    <t xml:space="preserve"> Trinitan Metals and Minerals Tbk</t>
  </si>
  <si>
    <t xml:space="preserve"> PT Puri Global Sukses</t>
  </si>
  <si>
    <t xml:space="preserve"> Puri Global Sukses</t>
  </si>
  <si>
    <t xml:space="preserve"> Puri Global Sukses Tbk</t>
  </si>
  <si>
    <t xml:space="preserve"> PT Pakuwon Jati</t>
  </si>
  <si>
    <t xml:space="preserve"> Pakuwon Jati</t>
  </si>
  <si>
    <t xml:space="preserve"> Pakuwon Jati Tbk</t>
  </si>
  <si>
    <t xml:space="preserve"> PT Pyridam Farma</t>
  </si>
  <si>
    <t xml:space="preserve"> Pyridam Farma</t>
  </si>
  <si>
    <t xml:space="preserve"> Pyridam Farma Tbk</t>
  </si>
  <si>
    <t xml:space="preserve"> PT Sarimelati Kencana</t>
  </si>
  <si>
    <t xml:space="preserve"> Sarimelati Kencana</t>
  </si>
  <si>
    <t xml:space="preserve"> Sarimelati Kencana Tbk</t>
  </si>
  <si>
    <t xml:space="preserve"> PT Tripar Multivision Plus</t>
  </si>
  <si>
    <t xml:space="preserve"> Tripar Multivision Plus</t>
  </si>
  <si>
    <t xml:space="preserve"> Tripar Multivision Plus Tbk</t>
  </si>
  <si>
    <t xml:space="preserve"> PT Sari Kreasi Boga</t>
  </si>
  <si>
    <t xml:space="preserve"> Sari Kreasi Boga</t>
  </si>
  <si>
    <t xml:space="preserve"> Sari Kreasi Boga Tbk</t>
  </si>
  <si>
    <t xml:space="preserve"> PT Rukun Raharja</t>
  </si>
  <si>
    <t xml:space="preserve"> Rukun Raharja</t>
  </si>
  <si>
    <t xml:space="preserve"> Rukun Raharja Tbk</t>
  </si>
  <si>
    <t xml:space="preserve"> PT Ramayana Lestari Sentosa</t>
  </si>
  <si>
    <t xml:space="preserve"> Ramayana Lestari Sentosa</t>
  </si>
  <si>
    <t xml:space="preserve"> Ramayana Lestari Sentosa Tbk</t>
  </si>
  <si>
    <t xml:space="preserve"> PT Supra Boga Lestari</t>
  </si>
  <si>
    <t xml:space="preserve"> Supra Boga Lestari</t>
  </si>
  <si>
    <t xml:space="preserve"> Supra Boga Lestari Tbk</t>
  </si>
  <si>
    <t xml:space="preserve"> PT Raharja Energi Cepu</t>
  </si>
  <si>
    <t xml:space="preserve"> Raharja Energi Cepu</t>
  </si>
  <si>
    <t xml:space="preserve"> Raharja Energi Cepu Tbk</t>
  </si>
  <si>
    <t xml:space="preserve"> PT Ristia Bintang Mahkotasejati</t>
  </si>
  <si>
    <t xml:space="preserve"> Ristia Bintang Mahkotasejati</t>
  </si>
  <si>
    <t xml:space="preserve"> Ristia Bintang Mahkotasejati Tbk</t>
  </si>
  <si>
    <t xml:space="preserve"> PT Utama Radar Cahaya</t>
  </si>
  <si>
    <t xml:space="preserve"> Utama Radar Cahaya</t>
  </si>
  <si>
    <t xml:space="preserve"> Utama Radar Cahaya Tbk</t>
  </si>
  <si>
    <t xml:space="preserve"> PT Roda Vivatex</t>
  </si>
  <si>
    <t xml:space="preserve"> Roda Vivatex</t>
  </si>
  <si>
    <t xml:space="preserve"> Roda Vivatex Tbk</t>
  </si>
  <si>
    <t xml:space="preserve"> PT Repower Asia Indonesia</t>
  </si>
  <si>
    <t xml:space="preserve"> Repower Asia Indonesia</t>
  </si>
  <si>
    <t xml:space="preserve"> Repower Asia Indonesia Tbk</t>
  </si>
  <si>
    <t xml:space="preserve"> Graha Mitra Asia</t>
  </si>
  <si>
    <t xml:space="preserve"> Graha Mitra Asia Tbk</t>
  </si>
  <si>
    <t xml:space="preserve"> PT Graha Mitra Asia</t>
  </si>
  <si>
    <t xml:space="preserve"> PT Reliance Sekuritas Indonesia</t>
  </si>
  <si>
    <t xml:space="preserve"> Reliance Sekuritas Indonesia</t>
  </si>
  <si>
    <t xml:space="preserve"> Reliance Sekuritas Indonesia Tbk</t>
  </si>
  <si>
    <t xml:space="preserve"> Kian Santang Muliatama</t>
  </si>
  <si>
    <t xml:space="preserve"> Kian Santang Muliatama Tbk</t>
  </si>
  <si>
    <t xml:space="preserve"> PT Kian Santang Muliatama</t>
  </si>
  <si>
    <t xml:space="preserve"> PT Ricky Putra Globalindo</t>
  </si>
  <si>
    <t xml:space="preserve"> Ricky Putra Globalindo</t>
  </si>
  <si>
    <t xml:space="preserve"> Ricky Putra Globalindo Tbk</t>
  </si>
  <si>
    <t xml:space="preserve"> PT Rig Tenders Indonesia</t>
  </si>
  <si>
    <t xml:space="preserve"> Rig Tenders Indonesia</t>
  </si>
  <si>
    <t xml:space="preserve"> Rig Tenders Indonesia Tbk</t>
  </si>
  <si>
    <t xml:space="preserve"> PT Rimo International Lestari</t>
  </si>
  <si>
    <t xml:space="preserve"> Rimo International Lestari</t>
  </si>
  <si>
    <t xml:space="preserve"> Rimo International Lestari Tbk</t>
  </si>
  <si>
    <t xml:space="preserve"> Jaya Sukses Makmur Sentosa</t>
  </si>
  <si>
    <t xml:space="preserve"> Jaya Sukses Makmur Sentosa Tbk</t>
  </si>
  <si>
    <t xml:space="preserve"> PT Jaya Sukses Makmur Sentosa</t>
  </si>
  <si>
    <t xml:space="preserve"> Abadi Lestari Indonesia</t>
  </si>
  <si>
    <t xml:space="preserve"> Abadi Lestari Indonesia Tbk</t>
  </si>
  <si>
    <t xml:space="preserve"> PT Abadi Lestari Indonesia</t>
  </si>
  <si>
    <t xml:space="preserve"> PT RMK Energy</t>
  </si>
  <si>
    <t xml:space="preserve"> RMK Energy</t>
  </si>
  <si>
    <t xml:space="preserve"> RMK Energy Tbk</t>
  </si>
  <si>
    <t xml:space="preserve"> PT Royaltama Mulia Kontraktorindo</t>
  </si>
  <si>
    <t xml:space="preserve"> Royaltama Mulia Kontraktorindo</t>
  </si>
  <si>
    <t xml:space="preserve"> Royaltama Mulia Kontraktorindo Tbk</t>
  </si>
  <si>
    <t xml:space="preserve"> PT Rockfields Properti Indonesia</t>
  </si>
  <si>
    <t xml:space="preserve"> Rockfields Properti Indonesia</t>
  </si>
  <si>
    <t xml:space="preserve"> Rockfields Properti Indonesia Tbk</t>
  </si>
  <si>
    <t xml:space="preserve"> PT Pikko Land Development</t>
  </si>
  <si>
    <t xml:space="preserve"> Pikko Land Development</t>
  </si>
  <si>
    <t xml:space="preserve"> Pikko Land Development Tbk</t>
  </si>
  <si>
    <t xml:space="preserve"> Aracord Nusantara Group</t>
  </si>
  <si>
    <t xml:space="preserve"> Aracord Nusantara Group Tbk</t>
  </si>
  <si>
    <t xml:space="preserve"> PT Aracord Nusantara Group</t>
  </si>
  <si>
    <t xml:space="preserve"> Nippon Indosari Corpindo</t>
  </si>
  <si>
    <t xml:space="preserve"> Nippon Indosari Corpindo Tbk</t>
  </si>
  <si>
    <t xml:space="preserve"> PT Nippon Indosari Corpindo</t>
  </si>
  <si>
    <t xml:space="preserve"> Charlie Hospital Semarang</t>
  </si>
  <si>
    <t xml:space="preserve"> Charlie Hospital Semarang Tbk</t>
  </si>
  <si>
    <t xml:space="preserve"> PT Charlie Hospital Semarang</t>
  </si>
  <si>
    <t xml:space="preserve"> Kedoya Adyaraya</t>
  </si>
  <si>
    <t xml:space="preserve"> Kedoya Adyaraya Tbk</t>
  </si>
  <si>
    <t xml:space="preserve"> PT Kedoya Adyaraya</t>
  </si>
  <si>
    <t xml:space="preserve"> PT Radiant Utama Interinsco</t>
  </si>
  <si>
    <t xml:space="preserve"> Radiant Utama Interinsco</t>
  </si>
  <si>
    <t xml:space="preserve"> Radiant Utama Interinsco Tbk</t>
  </si>
  <si>
    <t xml:space="preserve"> Global Sukses Solusi</t>
  </si>
  <si>
    <t xml:space="preserve"> Global Sukses Solusi Tbk</t>
  </si>
  <si>
    <t xml:space="preserve"> PT Global Sukses Solusi</t>
  </si>
  <si>
    <t xml:space="preserve"> PT Steady Safe</t>
  </si>
  <si>
    <t xml:space="preserve"> Steady Safe</t>
  </si>
  <si>
    <t xml:space="preserve"> Steady Safe Tbk</t>
  </si>
  <si>
    <t xml:space="preserve"> PT Saausaha Gemilangindah</t>
  </si>
  <si>
    <t xml:space="preserve"> SAAUSAHA GEMILANGINDAH</t>
  </si>
  <si>
    <t xml:space="preserve"> Saausaha Gemilangindah</t>
  </si>
  <si>
    <t xml:space="preserve"> Saausaha Gemilangindah Tbk</t>
  </si>
  <si>
    <t xml:space="preserve"> SaausahaGemilangindah</t>
  </si>
  <si>
    <t xml:space="preserve"> saausaha gemilangindah</t>
  </si>
  <si>
    <t xml:space="preserve"> PT Sarana Meditama Metropolitan</t>
  </si>
  <si>
    <t xml:space="preserve"> Sarana Meditama Metropolitan</t>
  </si>
  <si>
    <t xml:space="preserve"> Sarana Meditama Metropolitan Tbk</t>
  </si>
  <si>
    <t xml:space="preserve"> PT Saraswanti Anugerah Makmur</t>
  </si>
  <si>
    <t xml:space="preserve"> Saraswanti Anugerah Makmur</t>
  </si>
  <si>
    <t xml:space="preserve"> Saraswanti Anugerah Makmur Tbk</t>
  </si>
  <si>
    <t xml:space="preserve"> PT Satria Antaran Prima</t>
  </si>
  <si>
    <t xml:space="preserve"> Satria Antaran Prima</t>
  </si>
  <si>
    <t xml:space="preserve"> Satria Antaran Prima Tbk</t>
  </si>
  <si>
    <t xml:space="preserve"> Kota Satu Properti</t>
  </si>
  <si>
    <t xml:space="preserve"> Kota Satu Properti Tbk</t>
  </si>
  <si>
    <t xml:space="preserve"> PT Kota Satu Properti</t>
  </si>
  <si>
    <t xml:space="preserve"> PT Sejahtera Bintang Abadi Textile</t>
  </si>
  <si>
    <t xml:space="preserve"> Sejahtera Bintang Abadi Textile</t>
  </si>
  <si>
    <t xml:space="preserve"> Sejahtera Bintang Abadi Textile Tbk</t>
  </si>
  <si>
    <t xml:space="preserve"> PT Surya Biru Murni Acetylene</t>
  </si>
  <si>
    <t xml:space="preserve"> Surya Biru Murni Acetylene</t>
  </si>
  <si>
    <t xml:space="preserve"> Surya Biru Murni Acetylene Tbk</t>
  </si>
  <si>
    <t xml:space="preserve"> PT SUCACO Tbk</t>
  </si>
  <si>
    <t xml:space="preserve"> PT Surya Citra Media</t>
  </si>
  <si>
    <t xml:space="preserve"> Surya Citra Media</t>
  </si>
  <si>
    <t xml:space="preserve"> Surya Citra Media Tbk</t>
  </si>
  <si>
    <t xml:space="preserve"> PT Selaras Citra Nusantara Perkasa</t>
  </si>
  <si>
    <t xml:space="preserve"> Selaras Citra Nusantara Perkasa</t>
  </si>
  <si>
    <t xml:space="preserve"> Selaras Citra Nusantara Perkasa Tbk</t>
  </si>
  <si>
    <t xml:space="preserve"> Organon Pharma Indonesia</t>
  </si>
  <si>
    <t xml:space="preserve"> Organon Pharma Indonesia Tbk</t>
  </si>
  <si>
    <t xml:space="preserve"> PT Organon Pharma Indonesia</t>
  </si>
  <si>
    <t xml:space="preserve"> PT Sidomulyo Selaras</t>
  </si>
  <si>
    <t xml:space="preserve"> Sidomulyo Selaras</t>
  </si>
  <si>
    <t xml:space="preserve"> Sidomulyo Selaras Tbk</t>
  </si>
  <si>
    <t xml:space="preserve"> Millennium Pharmacon International</t>
  </si>
  <si>
    <t xml:space="preserve"> Millennium Pharmacon International Tbk</t>
  </si>
  <si>
    <t xml:space="preserve"> PT Millennium Pharmacon International</t>
  </si>
  <si>
    <t xml:space="preserve"> Bank Woori Saudara Indonesia 1906</t>
  </si>
  <si>
    <t xml:space="preserve"> Bank Woori Saudara Indonesia 1906 Tbk</t>
  </si>
  <si>
    <t xml:space="preserve"> PT Bank Woori Saudara Indonesia 1906</t>
  </si>
  <si>
    <t xml:space="preserve"> PT Semacom Integrated</t>
  </si>
  <si>
    <t xml:space="preserve"> Semacom Integrated</t>
  </si>
  <si>
    <t xml:space="preserve"> Semacom Integrated Tbk</t>
  </si>
  <si>
    <t xml:space="preserve"> PT Surya Fajar Capital</t>
  </si>
  <si>
    <t xml:space="preserve"> Surya Fajar Capital</t>
  </si>
  <si>
    <t xml:space="preserve"> Surya Fajar Capital Tbk</t>
  </si>
  <si>
    <t xml:space="preserve"> PT Sumber Global Energy</t>
  </si>
  <si>
    <t xml:space="preserve"> Sumber Global Energy</t>
  </si>
  <si>
    <t xml:space="preserve"> Sumber Global Energy Tbk</t>
  </si>
  <si>
    <t xml:space="preserve"> PT Prime Agri Resources</t>
  </si>
  <si>
    <t xml:space="preserve"> Prime Agri Resources</t>
  </si>
  <si>
    <t xml:space="preserve"> Prime Agri Resources Tbk</t>
  </si>
  <si>
    <t xml:space="preserve"> Hotel Sahid Jaya International</t>
  </si>
  <si>
    <t xml:space="preserve"> Hotel Sahid Jaya International Tbk</t>
  </si>
  <si>
    <t xml:space="preserve"> PT Hotel Sahid Jaya International</t>
  </si>
  <si>
    <t xml:space="preserve"> PT Sillo Maritime Perdana</t>
  </si>
  <si>
    <t xml:space="preserve"> Sillo Maritime Perdana</t>
  </si>
  <si>
    <t xml:space="preserve"> Sillo Maritime Perdana Tbk</t>
  </si>
  <si>
    <t xml:space="preserve"> PT Sigma Energy Compressindo</t>
  </si>
  <si>
    <t xml:space="preserve"> Sigma Energy Compressindo</t>
  </si>
  <si>
    <t xml:space="preserve"> Sigma Energy Compressindo Tbk</t>
  </si>
  <si>
    <t xml:space="preserve"> Industri Jamu dan Farmasi Sido Muncul</t>
  </si>
  <si>
    <t xml:space="preserve"> Industri Jamu dan Farmasi Sido Muncul Tbk</t>
  </si>
  <si>
    <t xml:space="preserve"> PT Industri Jamu dan Farmasi Sido Muncul</t>
  </si>
  <si>
    <t xml:space="preserve"> PT Siloam International Hospitals</t>
  </si>
  <si>
    <t xml:space="preserve"> Siloam International Hospitals</t>
  </si>
  <si>
    <t xml:space="preserve"> Siloam International Hospitals Tbk</t>
  </si>
  <si>
    <t xml:space="preserve"> PT Siwani Makmur</t>
  </si>
  <si>
    <t xml:space="preserve"> Siwani Makmur</t>
  </si>
  <si>
    <t xml:space="preserve"> Siwani Makmur Tbk</t>
  </si>
  <si>
    <t xml:space="preserve"> PT Salim Ivomas Pratama</t>
  </si>
  <si>
    <t xml:space="preserve"> Salim Ivomas Pratama</t>
  </si>
  <si>
    <t xml:space="preserve"> Salim Ivomas Pratama Tbk</t>
  </si>
  <si>
    <t xml:space="preserve"> PT Singaraja Putra</t>
  </si>
  <si>
    <t xml:space="preserve"> Singaraja Putra</t>
  </si>
  <si>
    <t xml:space="preserve"> Singaraja Putra Tbk</t>
  </si>
  <si>
    <t xml:space="preserve"> PT Sreeya Sewu Indonesia</t>
  </si>
  <si>
    <t xml:space="preserve"> Sreeya Sewu Indonesia</t>
  </si>
  <si>
    <t xml:space="preserve"> Sreeya Sewu Indonesia Tbk</t>
  </si>
  <si>
    <t xml:space="preserve"> PT Sekar Bumi</t>
  </si>
  <si>
    <t xml:space="preserve"> Sekar Bumi</t>
  </si>
  <si>
    <t xml:space="preserve"> Sekar Bumi Tbk</t>
  </si>
  <si>
    <t xml:space="preserve"> PT Sekar Laut</t>
  </si>
  <si>
    <t xml:space="preserve"> Sekar Laut</t>
  </si>
  <si>
    <t xml:space="preserve"> Sekar Laut Tbk</t>
  </si>
  <si>
    <t xml:space="preserve"> PT Superkrane Mitra Utama</t>
  </si>
  <si>
    <t xml:space="preserve"> Superkrane Mitra Utama</t>
  </si>
  <si>
    <t xml:space="preserve"> Superkrane Mitra Utama Tbk</t>
  </si>
  <si>
    <t xml:space="preserve"> Northcliff Citranusa Indonesia</t>
  </si>
  <si>
    <t xml:space="preserve"> Northcliff Citranusa Indonesia Tbk</t>
  </si>
  <si>
    <t xml:space="preserve"> PT Northcliff Citranusa Indonesia</t>
  </si>
  <si>
    <t xml:space="preserve"> Gaya Abadi Sempurna</t>
  </si>
  <si>
    <t xml:space="preserve"> Gaya Abadi Sempurna Tbk</t>
  </si>
  <si>
    <t xml:space="preserve"> PT Gaya Abadi Sempurna</t>
  </si>
  <si>
    <t xml:space="preserve"> PT Sinar Mas Agro Resources and Technology</t>
  </si>
  <si>
    <t xml:space="preserve"> Sinar Mas Agro Resources and Technology</t>
  </si>
  <si>
    <t xml:space="preserve"> Sinar Mas Agro Resources and Technology Tbk</t>
  </si>
  <si>
    <t xml:space="preserve"> PT Semen Baturaja (Persero)</t>
  </si>
  <si>
    <t xml:space="preserve"> Semen Baturaja (Persero)</t>
  </si>
  <si>
    <t xml:space="preserve"> Semen Baturaja (Persero) Tbk</t>
  </si>
  <si>
    <t xml:space="preserve"> PT Solusi Bangun Indonesia</t>
  </si>
  <si>
    <t xml:space="preserve"> Solusi Bangun Indonesia</t>
  </si>
  <si>
    <t xml:space="preserve"> Solusi Bangun Indonesia Tbk</t>
  </si>
  <si>
    <t xml:space="preserve"> PT Suryamas Dutamakmur</t>
  </si>
  <si>
    <t xml:space="preserve"> Suryamas Dutamakmur</t>
  </si>
  <si>
    <t xml:space="preserve"> Suryamas Dutamakmur Tbk</t>
  </si>
  <si>
    <t xml:space="preserve"> PT Samudera Indonesia</t>
  </si>
  <si>
    <t xml:space="preserve"> Samudera Indonesia</t>
  </si>
  <si>
    <t xml:space="preserve"> Samudera Indonesia Tbk</t>
  </si>
  <si>
    <t xml:space="preserve"> PT Sumber Mineral Global Abadi</t>
  </si>
  <si>
    <t xml:space="preserve"> Sumber Mineral Global Abadi</t>
  </si>
  <si>
    <t xml:space="preserve"> Sumber Mineral Global Abadi Tbk</t>
  </si>
  <si>
    <t xml:space="preserve"> PT Semen Indonesia (Persero)</t>
  </si>
  <si>
    <t xml:space="preserve"> Semen Indonesia (Persero)</t>
  </si>
  <si>
    <t xml:space="preserve"> Semen Indonesia (Persero) Tbk</t>
  </si>
  <si>
    <t xml:space="preserve"> PT Sarana Mitra Luas</t>
  </si>
  <si>
    <t xml:space="preserve"> Sarana Mitra Luas</t>
  </si>
  <si>
    <t xml:space="preserve"> Sarana Mitra Luas Tbk</t>
  </si>
  <si>
    <t xml:space="preserve"> PT Satyamitra Kemas Lestari</t>
  </si>
  <si>
    <t xml:space="preserve"> Satyamitra Kemas Lestari</t>
  </si>
  <si>
    <t xml:space="preserve"> Satyamitra Kemas Lestari Tbk</t>
  </si>
  <si>
    <t xml:space="preserve"> PT Sumber Mas Konstruksi</t>
  </si>
  <si>
    <t xml:space="preserve"> Sumber Mas Konstruksi</t>
  </si>
  <si>
    <t xml:space="preserve"> Sumber Mas Konstruksi Tbk</t>
  </si>
  <si>
    <t xml:space="preserve"> PT Sinergi Multi Lestarindo</t>
  </si>
  <si>
    <t xml:space="preserve"> Sinergi Multi Lestarindo</t>
  </si>
  <si>
    <t xml:space="preserve"> Sinergi Multi Lestarindo Tbk</t>
  </si>
  <si>
    <t xml:space="preserve"> PT Sinarmas Multiartha</t>
  </si>
  <si>
    <t xml:space="preserve"> Sinarmas Multiartha</t>
  </si>
  <si>
    <t xml:space="preserve"> Sinarmas Multiartha Tbk</t>
  </si>
  <si>
    <t xml:space="preserve"> Golden Eagle Energy</t>
  </si>
  <si>
    <t xml:space="preserve"> Golden Eagle Energy Tbk</t>
  </si>
  <si>
    <t xml:space="preserve"> PT Golden Eagle Energy</t>
  </si>
  <si>
    <t xml:space="preserve"> PT Summarecon Agung</t>
  </si>
  <si>
    <t xml:space="preserve"> Summarecon Agung</t>
  </si>
  <si>
    <t xml:space="preserve"> Summarecon Agung Tbk</t>
  </si>
  <si>
    <t xml:space="preserve"> PT SMR Utama</t>
  </si>
  <si>
    <t xml:space="preserve"> SMR Utama</t>
  </si>
  <si>
    <t xml:space="preserve"> SMR Utama Tbk</t>
  </si>
  <si>
    <t xml:space="preserve"> PT Selamat Sempurna</t>
  </si>
  <si>
    <t xml:space="preserve"> Selamat Sempurna</t>
  </si>
  <si>
    <t xml:space="preserve"> Selamat Sempurna Tbk</t>
  </si>
  <si>
    <t xml:space="preserve"> PT Sunter Lakeside Hotel</t>
  </si>
  <si>
    <t xml:space="preserve"> Sunter Lakeside Hotel</t>
  </si>
  <si>
    <t xml:space="preserve"> Sunter Lakeside Hotel Tbk</t>
  </si>
  <si>
    <t xml:space="preserve"> PT Soechi Lines</t>
  </si>
  <si>
    <t xml:space="preserve"> Soechi Lines</t>
  </si>
  <si>
    <t xml:space="preserve"> Soechi Lines Tbk</t>
  </si>
  <si>
    <t xml:space="preserve"> PT Solusi Environment Asia</t>
  </si>
  <si>
    <t xml:space="preserve"> Solusi Environment Asia</t>
  </si>
  <si>
    <t xml:space="preserve"> Solusi Environment Asia Tbk</t>
  </si>
  <si>
    <t xml:space="preserve"> PT Soho Global Health</t>
  </si>
  <si>
    <t xml:space="preserve"> Soho Global Health</t>
  </si>
  <si>
    <t xml:space="preserve"> Soho Global Health Tbk</t>
  </si>
  <si>
    <t xml:space="preserve"> PT Xolare RCR Energy</t>
  </si>
  <si>
    <t xml:space="preserve"> Xolare RCR Energy</t>
  </si>
  <si>
    <t xml:space="preserve"> Xolare RCR Energy Tbk</t>
  </si>
  <si>
    <t xml:space="preserve"> PT Sona Topas Tourism Industry</t>
  </si>
  <si>
    <t xml:space="preserve"> Sona Topas Tourism Industry</t>
  </si>
  <si>
    <t xml:space="preserve"> Sona Topas Tourism Industry Tbk</t>
  </si>
  <si>
    <t xml:space="preserve"> PT Shield On Service</t>
  </si>
  <si>
    <t xml:space="preserve"> Shield On Service</t>
  </si>
  <si>
    <t xml:space="preserve"> Shield On Service Tbk</t>
  </si>
  <si>
    <t xml:space="preserve"> PT Satria Mega Kencana</t>
  </si>
  <si>
    <t xml:space="preserve"> Satria Mega Kencana</t>
  </si>
  <si>
    <t xml:space="preserve"> Satria Mega Kencana Tbk</t>
  </si>
  <si>
    <t xml:space="preserve"> Mitra Tirta Buwana</t>
  </si>
  <si>
    <t xml:space="preserve"> Mitra Tirta Buwana Tbk</t>
  </si>
  <si>
    <t xml:space="preserve"> PT Mitra Tirta Buwana</t>
  </si>
  <si>
    <t xml:space="preserve"> PT Suparma Tbk</t>
  </si>
  <si>
    <t xml:space="preserve"> PT Soraya Berjaya Indonesia</t>
  </si>
  <si>
    <t xml:space="preserve"> Soraya Berjaya Indonesia</t>
  </si>
  <si>
    <t xml:space="preserve"> Soraya Berjaya Indonesia Tbk</t>
  </si>
  <si>
    <t xml:space="preserve"> PT Surya Pertiwi</t>
  </si>
  <si>
    <t xml:space="preserve"> Surya Pertiwi</t>
  </si>
  <si>
    <t xml:space="preserve"> Surya Pertiwi Tbk</t>
  </si>
  <si>
    <t xml:space="preserve"> PT Wilton Makmur Indonesia</t>
  </si>
  <si>
    <t xml:space="preserve"> Wilton Makmur Indonesia</t>
  </si>
  <si>
    <t xml:space="preserve"> Wilton Makmur Indonesia Tbk</t>
  </si>
  <si>
    <t xml:space="preserve"> PT Sejahteraraya Anugrahjaya</t>
  </si>
  <si>
    <t xml:space="preserve"> Sejahteraraya Anugrahjaya</t>
  </si>
  <si>
    <t xml:space="preserve"> Sejahteraraya Anugrahjaya Tbk</t>
  </si>
  <si>
    <t xml:space="preserve"> PT Sri Rejeki Isman</t>
  </si>
  <si>
    <t xml:space="preserve"> Sri Rejeki Isman</t>
  </si>
  <si>
    <t xml:space="preserve"> Sri Rejeki Isman Tbk</t>
  </si>
  <si>
    <t xml:space="preserve"> Indo Acidatama</t>
  </si>
  <si>
    <t xml:space="preserve"> Indo Acidatama Tbk</t>
  </si>
  <si>
    <t xml:space="preserve"> PT Indo Acidatama</t>
  </si>
  <si>
    <t xml:space="preserve"> PT Saratoga Investama Sedaya</t>
  </si>
  <si>
    <t xml:space="preserve"> Saratoga Investama Sedaya</t>
  </si>
  <si>
    <t xml:space="preserve"> Saratoga Investama Sedaya Tbk</t>
  </si>
  <si>
    <t xml:space="preserve"> PT Surya Semesta Internusa</t>
  </si>
  <si>
    <t xml:space="preserve"> Surya Semesta Internusa</t>
  </si>
  <si>
    <t xml:space="preserve"> Surya Semesta Internusa Tbk</t>
  </si>
  <si>
    <t xml:space="preserve"> PT Sawit Sumbermas Sarana</t>
  </si>
  <si>
    <t xml:space="preserve"> Sawit Sumbermas Sarana</t>
  </si>
  <si>
    <t xml:space="preserve"> Sawit Sumbermas Sarana Tbk</t>
  </si>
  <si>
    <t xml:space="preserve"> PT Sunson Textile Manufacture</t>
  </si>
  <si>
    <t xml:space="preserve"> Sunson Textile Manufacture</t>
  </si>
  <si>
    <t xml:space="preserve"> Sunson Textile Manufacture Tbk</t>
  </si>
  <si>
    <t xml:space="preserve"> PT Sumber Tani Agung Resources</t>
  </si>
  <si>
    <t xml:space="preserve"> Sumber Tani Agung Resources</t>
  </si>
  <si>
    <t xml:space="preserve"> Sumber Tani Agung Resources Tbk</t>
  </si>
  <si>
    <t xml:space="preserve"> Buana Artha Anugerah</t>
  </si>
  <si>
    <t xml:space="preserve"> Buana Artha Anugerah Tbk</t>
  </si>
  <si>
    <t xml:space="preserve"> PT Buana Artha Anugerah</t>
  </si>
  <si>
    <t xml:space="preserve"> Lovina Beach Brewery</t>
  </si>
  <si>
    <t xml:space="preserve"> Lovina Beach Brewery Tbk</t>
  </si>
  <si>
    <t xml:space="preserve"> PT Lovina Beach Brewery</t>
  </si>
  <si>
    <t xml:space="preserve"> PT Siantar Top</t>
  </si>
  <si>
    <t xml:space="preserve"> Siantar Top</t>
  </si>
  <si>
    <t xml:space="preserve"> Siantar Top Tbk</t>
  </si>
  <si>
    <t xml:space="preserve"> PT Sugih Energy</t>
  </si>
  <si>
    <t xml:space="preserve"> Sugih Energy</t>
  </si>
  <si>
    <t xml:space="preserve"> Sugih Energy Tbk</t>
  </si>
  <si>
    <t xml:space="preserve"> PT SLJ Global</t>
  </si>
  <si>
    <t xml:space="preserve"> SLJ Global</t>
  </si>
  <si>
    <t xml:space="preserve"> SLJ Global Tbk</t>
  </si>
  <si>
    <t xml:space="preserve"> PT Sunindo Pratama</t>
  </si>
  <si>
    <t xml:space="preserve"> Sunindo Pratama</t>
  </si>
  <si>
    <t xml:space="preserve"> Sunindo Pratama Tbk</t>
  </si>
  <si>
    <t xml:space="preserve"> PT Super Bank Indonesia</t>
  </si>
  <si>
    <t xml:space="preserve"> Super Bank Indonesia</t>
  </si>
  <si>
    <t xml:space="preserve"> Super Bank Indonesia Tbk</t>
  </si>
  <si>
    <t xml:space="preserve"> PT Solusi Tunas Pratama</t>
  </si>
  <si>
    <t xml:space="preserve"> Solusi Tunas Pratama</t>
  </si>
  <si>
    <t xml:space="preserve"> Solusi Tunas Pratama Tbk</t>
  </si>
  <si>
    <t xml:space="preserve"> PT Super Energy</t>
  </si>
  <si>
    <t xml:space="preserve"> Super Energy</t>
  </si>
  <si>
    <t xml:space="preserve"> Super Energy Tbk</t>
  </si>
  <si>
    <t xml:space="preserve"> Maja Agung Latexindo</t>
  </si>
  <si>
    <t xml:space="preserve"> Maja Agung Latexindo Tbk</t>
  </si>
  <si>
    <t xml:space="preserve"> PT Maja Agung Latexindo</t>
  </si>
  <si>
    <t xml:space="preserve"> PT Sriwahana Adityakarta</t>
  </si>
  <si>
    <t xml:space="preserve"> Sriwahana Adityakarta</t>
  </si>
  <si>
    <t xml:space="preserve"> Sriwahana Adityakarta Tbk</t>
  </si>
  <si>
    <t xml:space="preserve"> PT Saraswanti Indoland Development</t>
  </si>
  <si>
    <t xml:space="preserve"> Saraswanti Indoland Development</t>
  </si>
  <si>
    <t xml:space="preserve"> Saraswanti Indoland Development Tbk</t>
  </si>
  <si>
    <t xml:space="preserve"> PT Tunas Alfin</t>
  </si>
  <si>
    <t xml:space="preserve"> Tunas Alfin</t>
  </si>
  <si>
    <t xml:space="preserve"> Tunas Alfin Tbk</t>
  </si>
  <si>
    <t xml:space="preserve"> Lancartama Sejati</t>
  </si>
  <si>
    <t xml:space="preserve"> Lancartama Sejati Tbk</t>
  </si>
  <si>
    <t xml:space="preserve"> PT Lancartama Sejati</t>
  </si>
  <si>
    <t xml:space="preserve"> PT Pelayaran Tamarin Samudra</t>
  </si>
  <si>
    <t xml:space="preserve"> Pelayaran Tamarin Samudra</t>
  </si>
  <si>
    <t xml:space="preserve"> Pelayaran Tamarin Samudra Tbk</t>
  </si>
  <si>
    <t xml:space="preserve"> PT Triputra Agro Persada</t>
  </si>
  <si>
    <t xml:space="preserve"> Triputra Agro Persada</t>
  </si>
  <si>
    <t xml:space="preserve"> Triputra Agro Persada Tbk</t>
  </si>
  <si>
    <t xml:space="preserve"> Agung Semesta Sejahtera</t>
  </si>
  <si>
    <t xml:space="preserve"> Agung Semesta Sejahtera Tbk</t>
  </si>
  <si>
    <t xml:space="preserve"> PT Agung Semesta Sejahtera</t>
  </si>
  <si>
    <t xml:space="preserve"> Express Transindo Utama</t>
  </si>
  <si>
    <t xml:space="preserve"> Express Transindo Utama Tbk</t>
  </si>
  <si>
    <t xml:space="preserve"> PT Express Transindo Utama</t>
  </si>
  <si>
    <t xml:space="preserve"> Jaya Swarasa Agung</t>
  </si>
  <si>
    <t xml:space="preserve"> Jaya Swarasa Agung Tbk</t>
  </si>
  <si>
    <t xml:space="preserve"> PT Jaya Swarasa Agung</t>
  </si>
  <si>
    <t xml:space="preserve"> PT Tower Bersama Infrastructure</t>
  </si>
  <si>
    <t xml:space="preserve"> Tower Bersama Infrastructure</t>
  </si>
  <si>
    <t xml:space="preserve"> Tower Bersama Infrastructure Tbk</t>
  </si>
  <si>
    <t xml:space="preserve"> PT Tunas Baru Lampung</t>
  </si>
  <si>
    <t xml:space="preserve"> Tunas Baru Lampung</t>
  </si>
  <si>
    <t xml:space="preserve"> Tunas Baru Lampung Tbk</t>
  </si>
  <si>
    <t xml:space="preserve"> PT Tembaga Mulia Semanan</t>
  </si>
  <si>
    <t xml:space="preserve"> Tembaga Mulia Semanan</t>
  </si>
  <si>
    <t xml:space="preserve"> Tembaga Mulia Semanan Tbk</t>
  </si>
  <si>
    <t xml:space="preserve"> Mandom Indonesia</t>
  </si>
  <si>
    <t xml:space="preserve"> Mandom Indonesia Tbk</t>
  </si>
  <si>
    <t xml:space="preserve"> PT Mandom Indonesia</t>
  </si>
  <si>
    <t xml:space="preserve"> PT Transcoal Pacific</t>
  </si>
  <si>
    <t xml:space="preserve"> Transcoal Pacific</t>
  </si>
  <si>
    <t xml:space="preserve"> Transcoal Pacific Tbk</t>
  </si>
  <si>
    <t xml:space="preserve"> PT Tianrong Chemicals Industry</t>
  </si>
  <si>
    <t xml:space="preserve"> Tianrong Chemicals Industry</t>
  </si>
  <si>
    <t xml:space="preserve"> Tianrong Chemicals Industry Tbk</t>
  </si>
  <si>
    <t xml:space="preserve"> Dana Brata Luhur</t>
  </si>
  <si>
    <t xml:space="preserve"> Dana Brata Luhur Tbk</t>
  </si>
  <si>
    <t xml:space="preserve"> PT Dana Brata Luhur</t>
  </si>
  <si>
    <t xml:space="preserve"> Indosterling Technomedia</t>
  </si>
  <si>
    <t xml:space="preserve"> Indosterling Technomedia Tbk</t>
  </si>
  <si>
    <t xml:space="preserve"> PT Indosterling Technomedia</t>
  </si>
  <si>
    <t xml:space="preserve"> Omni Inovasi Indonesia</t>
  </si>
  <si>
    <t xml:space="preserve"> Omni Inovasi Indonesia Tbk</t>
  </si>
  <si>
    <t xml:space="preserve"> PT Omni Inovasi Indonesia</t>
  </si>
  <si>
    <t xml:space="preserve"> PT Telefast Indonesia</t>
  </si>
  <si>
    <t xml:space="preserve"> Telefast Indonesia</t>
  </si>
  <si>
    <t xml:space="preserve"> Telefast Indonesia Tbk</t>
  </si>
  <si>
    <t xml:space="preserve"> PT Tifico Fiber Indonesia</t>
  </si>
  <si>
    <t xml:space="preserve"> Tifico Fiber Indonesia</t>
  </si>
  <si>
    <t xml:space="preserve"> Tifico Fiber Indonesia Tbk</t>
  </si>
  <si>
    <t xml:space="preserve"> PT Tigaraksa Satria</t>
  </si>
  <si>
    <t xml:space="preserve"> Tigaraksa Satria</t>
  </si>
  <si>
    <t xml:space="preserve"> Tigaraksa Satria Tbk</t>
  </si>
  <si>
    <t xml:space="preserve"> PT Terregra Asia Energy</t>
  </si>
  <si>
    <t xml:space="preserve"> Terregra Asia Energy</t>
  </si>
  <si>
    <t xml:space="preserve"> Terregra Asia Energy Tbk</t>
  </si>
  <si>
    <t xml:space="preserve"> PT Platinum Wahab Nusantara</t>
  </si>
  <si>
    <t xml:space="preserve"> Platinum Wahab Nusantara</t>
  </si>
  <si>
    <t xml:space="preserve"> Platinum Wahab Nusantara Tbk</t>
  </si>
  <si>
    <t xml:space="preserve"> KDB Tifa Finance</t>
  </si>
  <si>
    <t xml:space="preserve"> KDB Tifa Finance Tbk</t>
  </si>
  <si>
    <t xml:space="preserve"> PT KDB Tifa Finance</t>
  </si>
  <si>
    <t xml:space="preserve"> PT Timah Tbk</t>
  </si>
  <si>
    <t xml:space="preserve"> PT Tira Austenite</t>
  </si>
  <si>
    <t xml:space="preserve"> Tira Austenite</t>
  </si>
  <si>
    <t xml:space="preserve"> Tira Austenite Tbk</t>
  </si>
  <si>
    <t xml:space="preserve"> PT Tirta Mahakam Resources</t>
  </si>
  <si>
    <t xml:space="preserve"> Tirta Mahakam Resources</t>
  </si>
  <si>
    <t xml:space="preserve"> Tirta Mahakam Resources Tbk</t>
  </si>
  <si>
    <t xml:space="preserve"> PT Pabrik Kertas Tjiwi Kimia</t>
  </si>
  <si>
    <t xml:space="preserve"> Pabrik Kertas Tjiwi Kimia</t>
  </si>
  <si>
    <t xml:space="preserve"> Pabrik Kertas Tjiwi Kimia Tbk</t>
  </si>
  <si>
    <t xml:space="preserve"> PT Teladan Prima Agro</t>
  </si>
  <si>
    <t xml:space="preserve"> Teladan Prima Agro</t>
  </si>
  <si>
    <t xml:space="preserve"> Teladan Prima Agro Tbk</t>
  </si>
  <si>
    <t xml:space="preserve"> PT Telkom Indonesia (Persero)</t>
  </si>
  <si>
    <t xml:space="preserve"> Telkom Indonesia (Persero)</t>
  </si>
  <si>
    <t xml:space="preserve"> Telkom Indonesia (Persero) Tbk</t>
  </si>
  <si>
    <t xml:space="preserve"> PT Temas Tbk</t>
  </si>
  <si>
    <t xml:space="preserve"> PT Tempo Intimedia</t>
  </si>
  <si>
    <t xml:space="preserve"> Tempo Intimedia</t>
  </si>
  <si>
    <t xml:space="preserve"> Tempo Intimedia Tbk</t>
  </si>
  <si>
    <t xml:space="preserve"> PT Trimuda Nuansa Citra</t>
  </si>
  <si>
    <t xml:space="preserve"> Trimuda Nuansa Citra</t>
  </si>
  <si>
    <t xml:space="preserve"> Trimuda Nuansa Citra Tbk</t>
  </si>
  <si>
    <t xml:space="preserve"> PT TBS Energi Utama</t>
  </si>
  <si>
    <t xml:space="preserve"> TBS Energi Utama</t>
  </si>
  <si>
    <t xml:space="preserve"> TBS Energi Utama Tbk</t>
  </si>
  <si>
    <t xml:space="preserve"> PT Rohartindo Nusantara Luas</t>
  </si>
  <si>
    <t xml:space="preserve"> Rohartindo Nusantara Luas</t>
  </si>
  <si>
    <t xml:space="preserve"> Rohartindo Nusantara Luas Tbk</t>
  </si>
  <si>
    <t xml:space="preserve"> PT Totalindo Eka Persada</t>
  </si>
  <si>
    <t xml:space="preserve"> Totalindo Eka Persada</t>
  </si>
  <si>
    <t xml:space="preserve"> Totalindo Eka Persada Tbk</t>
  </si>
  <si>
    <t xml:space="preserve"> PT Topindo Solusi Komunika</t>
  </si>
  <si>
    <t xml:space="preserve"> Topindo Solusi Komunika</t>
  </si>
  <si>
    <t xml:space="preserve"> Topindo Solusi Komunika Tbk</t>
  </si>
  <si>
    <t xml:space="preserve"> PT Total Bangun Persada</t>
  </si>
  <si>
    <t xml:space="preserve"> Total Bangun Persada</t>
  </si>
  <si>
    <t xml:space="preserve"> Total Bangun Persada Tbk</t>
  </si>
  <si>
    <t xml:space="preserve"> PT Surya Toto Indonesia</t>
  </si>
  <si>
    <t xml:space="preserve"> Surya Toto Indonesia</t>
  </si>
  <si>
    <t xml:space="preserve"> Surya Toto Indonesia Tbk</t>
  </si>
  <si>
    <t xml:space="preserve"> PT Sarana Menara Nusantara</t>
  </si>
  <si>
    <t xml:space="preserve"> Sarana Menara Nusantara</t>
  </si>
  <si>
    <t xml:space="preserve"> Sarana Menara Nusantara Tbk</t>
  </si>
  <si>
    <t xml:space="preserve"> PT Sunindo Adipersada</t>
  </si>
  <si>
    <t xml:space="preserve"> Sunindo Adipersada</t>
  </si>
  <si>
    <t xml:space="preserve"> Sunindo Adipersada Tbk</t>
  </si>
  <si>
    <t xml:space="preserve"> Chandra Asri Pacific</t>
  </si>
  <si>
    <t xml:space="preserve"> Chandra Asri Pacific Tbk</t>
  </si>
  <si>
    <t xml:space="preserve"> PT Chandra Asri Pacific</t>
  </si>
  <si>
    <t xml:space="preserve"> PT Trans Power Marine</t>
  </si>
  <si>
    <t xml:space="preserve"> Trans Power Marine</t>
  </si>
  <si>
    <t xml:space="preserve"> Trans Power Marine Tbk</t>
  </si>
  <si>
    <t xml:space="preserve"> PT Trada Alam Minera</t>
  </si>
  <si>
    <t xml:space="preserve"> Trada Alam Minera</t>
  </si>
  <si>
    <t xml:space="preserve"> Trada Alam Minera Tbk</t>
  </si>
  <si>
    <t xml:space="preserve"> Cerestar Indonesia</t>
  </si>
  <si>
    <t xml:space="preserve"> Cerestar Indonesia Tbk</t>
  </si>
  <si>
    <t xml:space="preserve"> PT Cerestar Indonesia</t>
  </si>
  <si>
    <t xml:space="preserve"> PT Triwira Insanlestari</t>
  </si>
  <si>
    <t xml:space="preserve"> Triwira Insanlestari</t>
  </si>
  <si>
    <t xml:space="preserve"> Triwira Insanlestari Tbk</t>
  </si>
  <si>
    <t xml:space="preserve"> PT Trimegah Sekuritas Indonesia</t>
  </si>
  <si>
    <t xml:space="preserve"> Trimegah Sekuritas Indonesia</t>
  </si>
  <si>
    <t xml:space="preserve"> Trimegah Sekuritas Indonesia Tbk</t>
  </si>
  <si>
    <t xml:space="preserve"> PT Perintis Triniti Properti</t>
  </si>
  <si>
    <t xml:space="preserve"> Perintis Triniti Properti</t>
  </si>
  <si>
    <t xml:space="preserve"> Perintis Triniti Properti Tbk</t>
  </si>
  <si>
    <t xml:space="preserve"> PT Trikomsel Oke</t>
  </si>
  <si>
    <t xml:space="preserve"> Trikomsel Oke</t>
  </si>
  <si>
    <t xml:space="preserve"> Trikomsel Oke Tbk</t>
  </si>
  <si>
    <t xml:space="preserve"> PT Trisula International</t>
  </si>
  <si>
    <t xml:space="preserve"> Trisula International</t>
  </si>
  <si>
    <t xml:space="preserve"> Trisula International Tbk</t>
  </si>
  <si>
    <t xml:space="preserve"> PT Transkon Jaya</t>
  </si>
  <si>
    <t xml:space="preserve"> Transkon Jaya</t>
  </si>
  <si>
    <t xml:space="preserve"> Transkon Jaya Tbk</t>
  </si>
  <si>
    <t xml:space="preserve"> PT Teknologi Karya Digital Nusa</t>
  </si>
  <si>
    <t xml:space="preserve"> Teknologi Karya Digital Nusa</t>
  </si>
  <si>
    <t xml:space="preserve"> Teknologi Karya Digital Nusa Tbk</t>
  </si>
  <si>
    <t xml:space="preserve"> PT Trias Sentosa</t>
  </si>
  <si>
    <t xml:space="preserve"> Trias Sentosa</t>
  </si>
  <si>
    <t xml:space="preserve"> Trias Sentosa Tbk</t>
  </si>
  <si>
    <t xml:space="preserve"> PT Triniti Dinamik</t>
  </si>
  <si>
    <t xml:space="preserve"> Triniti Dinamik</t>
  </si>
  <si>
    <t xml:space="preserve"> Triniti Dinamik Tbk</t>
  </si>
  <si>
    <t xml:space="preserve"> Guna Timur Raya</t>
  </si>
  <si>
    <t xml:space="preserve"> Guna Timur Raya Tbk</t>
  </si>
  <si>
    <t xml:space="preserve"> PT Guna Timur Raya</t>
  </si>
  <si>
    <t xml:space="preserve"> PT Trust Finance Indonesia</t>
  </si>
  <si>
    <t xml:space="preserve"> Trust Finance Indonesia</t>
  </si>
  <si>
    <t xml:space="preserve"> Trust Finance Indonesia Tbk</t>
  </si>
  <si>
    <t xml:space="preserve"> PT Tempo Scan Pacific</t>
  </si>
  <si>
    <t xml:space="preserve"> Tempo Scan Pacific</t>
  </si>
  <si>
    <t xml:space="preserve"> Tempo Scan Pacific Tbk</t>
  </si>
  <si>
    <t>ATPI</t>
  </si>
  <si>
    <t xml:space="preserve"> Asuransi Tugu Pratama Indonesia</t>
  </si>
  <si>
    <t xml:space="preserve"> Asuransi Tugu Pratama Indonesia Tbk</t>
  </si>
  <si>
    <t xml:space="preserve"> PT Asuransi Tugu Pratama Indonesia</t>
  </si>
  <si>
    <t xml:space="preserve"> TUGU</t>
  </si>
  <si>
    <t xml:space="preserve"> King Tire Indonesia</t>
  </si>
  <si>
    <t xml:space="preserve"> King Tire Indonesia Tbk</t>
  </si>
  <si>
    <t xml:space="preserve"> PT King Tire Indonesia</t>
  </si>
  <si>
    <t xml:space="preserve"> PT Pakuan Tbk</t>
  </si>
  <si>
    <t xml:space="preserve"> PT Uni-Charm Indonesia</t>
  </si>
  <si>
    <t xml:space="preserve"> Uni-Charm Indonesia</t>
  </si>
  <si>
    <t xml:space="preserve"> Uni-Charm Indonesia Tbk</t>
  </si>
  <si>
    <t xml:space="preserve"> Agro Bahari Nusantara</t>
  </si>
  <si>
    <t xml:space="preserve"> Agro Bahari Nusantara Tbk</t>
  </si>
  <si>
    <t xml:space="preserve"> PT Agro Bahari Nusantara</t>
  </si>
  <si>
    <t xml:space="preserve"> Damai Sejahtera Abadi</t>
  </si>
  <si>
    <t xml:space="preserve"> Damai Sejahtera Abadi Tbk</t>
  </si>
  <si>
    <t xml:space="preserve"> PT Damai Sejahtera Abadi</t>
  </si>
  <si>
    <t xml:space="preserve"> PT Ultrajaya Milk Industry &amp; Trading Company</t>
  </si>
  <si>
    <t xml:space="preserve"> Ultrajaya Milk Industry &amp; Trading Company</t>
  </si>
  <si>
    <t xml:space="preserve"> Ultrajaya Milk Industry &amp; Trading Company Tbk</t>
  </si>
  <si>
    <t xml:space="preserve"> PT Unggul Indah Cahaya</t>
  </si>
  <si>
    <t xml:space="preserve"> Unggul Indah Cahaya</t>
  </si>
  <si>
    <t xml:space="preserve"> Unggul Indah Cahaya Tbk</t>
  </si>
  <si>
    <t xml:space="preserve"> PT Ulima Nitra</t>
  </si>
  <si>
    <t xml:space="preserve"> Ulima Nitra</t>
  </si>
  <si>
    <t xml:space="preserve"> Ulima Nitra Tbk</t>
  </si>
  <si>
    <t xml:space="preserve"> Nusantara Inti Corpora</t>
  </si>
  <si>
    <t xml:space="preserve"> Nusantara Inti Corpora Tbk</t>
  </si>
  <si>
    <t xml:space="preserve"> PT Nusantara Inti Corpora</t>
  </si>
  <si>
    <t xml:space="preserve"> Bakrie Sumatera Plantations</t>
  </si>
  <si>
    <t xml:space="preserve"> Bakrie Sumatera Plantations Tbk</t>
  </si>
  <si>
    <t xml:space="preserve"> PT Bakrie Sumatera Plantations</t>
  </si>
  <si>
    <t xml:space="preserve"> PT Terang Dunia Internusa</t>
  </si>
  <si>
    <t xml:space="preserve"> Terang Dunia Internusa</t>
  </si>
  <si>
    <t xml:space="preserve"> Terang Dunia Internusa Tbk</t>
  </si>
  <si>
    <t xml:space="preserve"> UT</t>
  </si>
  <si>
    <t xml:space="preserve"> PT United Tractors</t>
  </si>
  <si>
    <t xml:space="preserve"> United Tractors</t>
  </si>
  <si>
    <t xml:space="preserve"> United Tractors Tbk</t>
  </si>
  <si>
    <t xml:space="preserve"> Unilever</t>
  </si>
  <si>
    <t xml:space="preserve"> PT Unilever Indonesia</t>
  </si>
  <si>
    <t xml:space="preserve"> Unilever Indonesia</t>
  </si>
  <si>
    <t xml:space="preserve"> Unilever Indonesia Tbk</t>
  </si>
  <si>
    <t xml:space="preserve"> PT Urban Jakarta Propertindo</t>
  </si>
  <si>
    <t xml:space="preserve"> Urban Jakarta Propertindo</t>
  </si>
  <si>
    <t xml:space="preserve"> Urban Jakarta Propertindo Tbk</t>
  </si>
  <si>
    <t xml:space="preserve"> PT Trimegah Karya Pratama</t>
  </si>
  <si>
    <t xml:space="preserve"> Trimegah Karya Pratama</t>
  </si>
  <si>
    <t xml:space="preserve"> Trimegah Karya Pratama Tbk</t>
  </si>
  <si>
    <t xml:space="preserve"> PT Vastland Indonesia</t>
  </si>
  <si>
    <t xml:space="preserve"> Vastland Indonesia</t>
  </si>
  <si>
    <t xml:space="preserve"> Vastland Indonesia Tbk</t>
  </si>
  <si>
    <t xml:space="preserve"> PT Verona Indah Pictures</t>
  </si>
  <si>
    <t xml:space="preserve"> Verona Indah Pictures</t>
  </si>
  <si>
    <t xml:space="preserve"> Verona Indah Pictures Tbk</t>
  </si>
  <si>
    <t xml:space="preserve"> PT Victoria Care Indonesia</t>
  </si>
  <si>
    <t xml:space="preserve"> Victoria Care Indonesia</t>
  </si>
  <si>
    <t xml:space="preserve"> Victoria Care Indonesia Tbk</t>
  </si>
  <si>
    <t xml:space="preserve"> PT Victoria Investama</t>
  </si>
  <si>
    <t xml:space="preserve"> Victoria Investama</t>
  </si>
  <si>
    <t xml:space="preserve"> Victoria Investama Tbk</t>
  </si>
  <si>
    <t xml:space="preserve"> PT Victoria Insurance</t>
  </si>
  <si>
    <t xml:space="preserve"> Victoria Insurance</t>
  </si>
  <si>
    <t xml:space="preserve"> Victoria Insurance Tbk</t>
  </si>
  <si>
    <t xml:space="preserve"> PT Satu Visi Putra</t>
  </si>
  <si>
    <t xml:space="preserve"> Satu Visi Putra</t>
  </si>
  <si>
    <t xml:space="preserve"> Satu Visi Putra Tbk</t>
  </si>
  <si>
    <t xml:space="preserve"> PT Visi Media Asia</t>
  </si>
  <si>
    <t xml:space="preserve"> Visi Media Asia</t>
  </si>
  <si>
    <t xml:space="preserve"> Visi Media Asia Tbk</t>
  </si>
  <si>
    <t xml:space="preserve"> PT VKTR Teknologi Mobilitas</t>
  </si>
  <si>
    <t xml:space="preserve"> VKTR Teknologi Mobilitas</t>
  </si>
  <si>
    <t xml:space="preserve"> VKTR Teknologi Mobilitas Tbk</t>
  </si>
  <si>
    <t xml:space="preserve"> PT Voksel Electric</t>
  </si>
  <si>
    <t xml:space="preserve"> Voksel Electric</t>
  </si>
  <si>
    <t xml:space="preserve"> Voksel Electric Tbk</t>
  </si>
  <si>
    <t xml:space="preserve"> Mizuho Leasing Indonesia</t>
  </si>
  <si>
    <t xml:space="preserve"> Mizuho Leasing Indonesia Tbk</t>
  </si>
  <si>
    <t xml:space="preserve"> PT Mizuho Leasing Indonesia</t>
  </si>
  <si>
    <t xml:space="preserve"> PT Venteny Fortuna International</t>
  </si>
  <si>
    <t xml:space="preserve"> Venteny Fortuna International</t>
  </si>
  <si>
    <t xml:space="preserve"> Venteny Fortuna International Tbk</t>
  </si>
  <si>
    <t xml:space="preserve"> PT Wahana Pronatural</t>
  </si>
  <si>
    <t xml:space="preserve"> Wahana Pronatural</t>
  </si>
  <si>
    <t xml:space="preserve"> Wahana Pronatural Tbk</t>
  </si>
  <si>
    <t xml:space="preserve"> PT Wijaya Karya Bangunan Gedung</t>
  </si>
  <si>
    <t xml:space="preserve"> Wijaya Karya Bangunan Gedung</t>
  </si>
  <si>
    <t xml:space="preserve"> Wijaya Karya Bangunan Gedung Tbk</t>
  </si>
  <si>
    <t xml:space="preserve"> PT WEHA Transportasi Indonesia</t>
  </si>
  <si>
    <t xml:space="preserve"> WEHA Transportasi Indonesia</t>
  </si>
  <si>
    <t xml:space="preserve"> WEHA Transportasi Indonesia Tbk</t>
  </si>
  <si>
    <t xml:space="preserve"> PT Wira Global Solusi</t>
  </si>
  <si>
    <t xml:space="preserve"> Wira Global Solusi</t>
  </si>
  <si>
    <t xml:space="preserve"> Wira Global Solusi Tbk</t>
  </si>
  <si>
    <t xml:space="preserve"> PT Wicaksana Overseas International</t>
  </si>
  <si>
    <t xml:space="preserve"> Wicaksana Overseas International</t>
  </si>
  <si>
    <t xml:space="preserve"> Wicaksana Overseas International Tbk</t>
  </si>
  <si>
    <t xml:space="preserve"> PT Widiant Jaya Krenindo</t>
  </si>
  <si>
    <t xml:space="preserve"> Widiant Jaya Krenindo</t>
  </si>
  <si>
    <t xml:space="preserve"> Widiant Jaya Krenindo Tbk</t>
  </si>
  <si>
    <t xml:space="preserve"> PT Solusi Sinergi Digital</t>
  </si>
  <si>
    <t xml:space="preserve"> Solusi Sinergi Digital</t>
  </si>
  <si>
    <t xml:space="preserve"> Solusi Sinergi Digital Tbk</t>
  </si>
  <si>
    <t xml:space="preserve"> PT Wismilak Inti Makmur</t>
  </si>
  <si>
    <t xml:space="preserve"> Wismilak Inti Makmur</t>
  </si>
  <si>
    <t xml:space="preserve"> Wismilak Inti Makmur Tbk</t>
  </si>
  <si>
    <t xml:space="preserve"> PT Wijaya Karya (Persero)</t>
  </si>
  <si>
    <t xml:space="preserve"> Wijaya Karya (Persero)</t>
  </si>
  <si>
    <t xml:space="preserve"> Wijaya Karya (Persero) Tbk</t>
  </si>
  <si>
    <t xml:space="preserve"> Hatten Bali</t>
  </si>
  <si>
    <t xml:space="preserve"> Hatten Bali Tbk</t>
  </si>
  <si>
    <t xml:space="preserve"> PT Hatten Bali</t>
  </si>
  <si>
    <t xml:space="preserve"> PT Winner Nusantara Jaya</t>
  </si>
  <si>
    <t xml:space="preserve"> Winner Nusantara Jaya</t>
  </si>
  <si>
    <t xml:space="preserve"> Winner Nusantara Jaya Tbk</t>
  </si>
  <si>
    <t xml:space="preserve"> PT Wintermar Offshore Marine</t>
  </si>
  <si>
    <t xml:space="preserve"> Wintermar Offshore Marine</t>
  </si>
  <si>
    <t xml:space="preserve"> Wintermar Offshore Marine Tbk</t>
  </si>
  <si>
    <t xml:space="preserve"> PT WIR ASIA Tbk</t>
  </si>
  <si>
    <t xml:space="preserve"> PT Widodo Makmur Perkasa</t>
  </si>
  <si>
    <t xml:space="preserve"> Widodo Makmur Perkasa</t>
  </si>
  <si>
    <t xml:space="preserve"> Widodo Makmur Perkasa Tbk</t>
  </si>
  <si>
    <t xml:space="preserve"> PT Widodo Makmur Unggas</t>
  </si>
  <si>
    <t xml:space="preserve"> Widodo Makmur Unggas</t>
  </si>
  <si>
    <t xml:space="preserve"> Widodo Makmur Unggas Tbk</t>
  </si>
  <si>
    <t xml:space="preserve"> PT Wahana Ottomitra Multiartha</t>
  </si>
  <si>
    <t xml:space="preserve"> Wahana Ottomitra Multiartha</t>
  </si>
  <si>
    <t xml:space="preserve"> Wahana Ottomitra Multiartha Tbk</t>
  </si>
  <si>
    <t xml:space="preserve"> Integra Indocabinet</t>
  </si>
  <si>
    <t xml:space="preserve"> Integra Indocabinet Tbk</t>
  </si>
  <si>
    <t xml:space="preserve"> PT Integra Indocabinet</t>
  </si>
  <si>
    <t xml:space="preserve"> Ginting Jaya Energi</t>
  </si>
  <si>
    <t xml:space="preserve"> Ginting Jaya Energi Tbk</t>
  </si>
  <si>
    <t xml:space="preserve"> PT Ginting Jaya Energi</t>
  </si>
  <si>
    <t xml:space="preserve"> PT Waskita Beton Precast</t>
  </si>
  <si>
    <t xml:space="preserve"> Waskita Beton Precast</t>
  </si>
  <si>
    <t xml:space="preserve"> Waskita Beton Precast Tbk</t>
  </si>
  <si>
    <t xml:space="preserve"> PT Waskita Karya (Persero)</t>
  </si>
  <si>
    <t xml:space="preserve"> Waskita Karya (Persero)</t>
  </si>
  <si>
    <t xml:space="preserve"> Waskita Karya (Persero) Tbk</t>
  </si>
  <si>
    <t xml:space="preserve"> PT Wijaya Karya Beton</t>
  </si>
  <si>
    <t xml:space="preserve"> Wijaya Karya Beton</t>
  </si>
  <si>
    <t xml:space="preserve"> Wijaya Karya Beton Tbk</t>
  </si>
  <si>
    <t xml:space="preserve"> PT Yelooo Integra Datanet</t>
  </si>
  <si>
    <t xml:space="preserve"> Yelooo Integra Datanet</t>
  </si>
  <si>
    <t xml:space="preserve"> Yelooo Integra Datanet Tbk</t>
  </si>
  <si>
    <t xml:space="preserve"> Asuransi Digital Bersama</t>
  </si>
  <si>
    <t xml:space="preserve"> Asuransi Digital Bersama Tbk</t>
  </si>
  <si>
    <t xml:space="preserve"> PT Asuransi Digital Bersama</t>
  </si>
  <si>
    <t xml:space="preserve"> PT Yanaprima Hastapersada</t>
  </si>
  <si>
    <t xml:space="preserve"> Yanaprima Hastapersada</t>
  </si>
  <si>
    <t xml:space="preserve"> Yanaprima Hastapersada Tbk</t>
  </si>
  <si>
    <t xml:space="preserve"> PT Yulie Sekuritas Indonesia</t>
  </si>
  <si>
    <t xml:space="preserve"> Yulie Sekuritas Indonesia</t>
  </si>
  <si>
    <t xml:space="preserve"> Yulie Sekuritas Indonesia Tbk</t>
  </si>
  <si>
    <t xml:space="preserve"> PT Yupi Indo Jelly Gum</t>
  </si>
  <si>
    <t xml:space="preserve"> Yupi Indo Jelly Gum</t>
  </si>
  <si>
    <t xml:space="preserve"> Yupi Indo Jelly Gum Tbk</t>
  </si>
  <si>
    <t xml:space="preserve"> Bersama Zatta Jaya</t>
  </si>
  <si>
    <t xml:space="preserve"> Bersama Zatta Jaya Tbk</t>
  </si>
  <si>
    <t xml:space="preserve"> PT Bersama Zatta Jaya</t>
  </si>
  <si>
    <t xml:space="preserve"> Dosni Roha Indonesia</t>
  </si>
  <si>
    <t xml:space="preserve"> Dosni Roha Indonesia Tbk</t>
  </si>
  <si>
    <t xml:space="preserve"> PT Dosni Roha Indonesia</t>
  </si>
  <si>
    <t xml:space="preserve"> Kapuas Prima Coal</t>
  </si>
  <si>
    <t xml:space="preserve"> Kapuas Prima Coal Tbk</t>
  </si>
  <si>
    <t xml:space="preserve"> PT Kapuas Prima Coal</t>
  </si>
  <si>
    <t xml:space="preserve"> Mega Perintis</t>
  </si>
  <si>
    <t xml:space="preserve"> Mega Perintis Tbk</t>
  </si>
  <si>
    <t xml:space="preserve"> PT Mega Perintis</t>
  </si>
  <si>
    <t xml:space="preserve"> PT Zyrexindo Mandiri Buana</t>
  </si>
  <si>
    <t xml:space="preserve"> Zyrexindo Mandiri Buana</t>
  </si>
  <si>
    <t xml:space="preserve"> Zyrexindo Mandiri Buana Tbk</t>
  </si>
  <si>
    <t>Column1</t>
  </si>
  <si>
    <t>Column2</t>
  </si>
  <si>
    <t>Column3</t>
  </si>
  <si>
    <t>Column4</t>
  </si>
  <si>
    <t>INSERT INTO stock_alias (stock, alias) VALUES (</t>
  </si>
  <si>
    <t>ADES, Makarizo, Akasha Wira International, Akasha Wira International Tbk, PT Akasha Wira International</t>
  </si>
  <si>
    <t>LOWERCASE</t>
  </si>
  <si>
    <t>UPPERCASE</t>
  </si>
  <si>
    <t>WITHOUT SPACE</t>
  </si>
  <si>
    <t>AADI, AAI, ADARO ANDALAN INDONESIA, Adaro Andalan Indonesia, Adaro Andalan Indonesia Tbk, Adaro Andalan Indonesia Tbk., AdaroAndalanIndonesia, PT Adaro Andalan Indonesia, adaro andalan indonesia</t>
  </si>
  <si>
    <t>AALI, AAL, ASTRA AGRO LESTARI, Astra Agro Lestari, Astra Agro Lestari Tbk, Astra Agro Lestari Tbk., AstraAgroLestari, PT Astra Agro Lestari, astra agro lestari</t>
  </si>
  <si>
    <t>ABBA, MAHAKA MEDIA, Mahaka Media, Mahaka Media Tbk, Mahaka Media Tbk., MahakaMedia, PT Mahaka Media, mahaka media</t>
  </si>
  <si>
    <t>ABDA, ASURANSI BINA DANA ARTA, Asuransi Bina Dana Arta, Asuransi Bina Dana Arta Tbk, Asuransi Bina Dana Arta Tbk., AsuransiBinaDanaArta, PT Asuransi Bina Dana Arta, asuransi bina dana arta</t>
  </si>
  <si>
    <t>ABMM, ABM, ABM INVESTAMA, ABM Investama, ABM Investama Tbk, ABM Investama Tbk., ABMInvestama, PT ABM Investama, abm investama</t>
  </si>
  <si>
    <t>ACES, AHI, AZKO, ASPIRASI HIDUP INDONESIA, Aspirasi Hidup Indonesia, Aspirasi Hidup Indonesia Tbk, Aspirasi Hidup Indonesia Tbk., AspirasiHidupIndonesia, PT Aspirasi Hidup Indonesia, aspirasi hidup indonesia</t>
  </si>
  <si>
    <t>ACRO, PT Samcro Hyosung Adilestari, SAMCRO HYOSUNG ADILESTARI, Samcro Hyosung Adilestari, Samcro Hyosung Adilestari Tbk, Samcro Hyosung Adilestari Tbk., SamcroHyosungAdilestari, samcro hyosung adilestari</t>
  </si>
  <si>
    <t>ACST, ACSET INDONUSA, Acset, Acset Indonusa, Acset Indonusa Tbk, Acset Indonusa Tbk., AcsetIndonusa, PT Acset Indonusa, acset indonusa</t>
  </si>
  <si>
    <t>ADCP, ADHI COMMUTER PROPERTI, Adhi Commuter Properti, Adhi Commuter Properti Tbk, Adhi Commuter Properti Tbk., AdhiCommuterProperti, PT Adhi Commuter Properti, adhi commuter properti</t>
  </si>
  <si>
    <t>ADES, Makarizo, AKASHA WIRA INTERNATIONAL, Akasha Wira International, Akasha Wira International Tbk, Akasha Wira International Tbk., AkashaWiraInternational, PT Akasha Wira International, akasha wira international</t>
  </si>
  <si>
    <t>ADHI, ADHI KARYA (PERSERO), Adhi Karya (Persero), Adhi Karya (Persero) Tbk, Adhi Karya (Persero) Tbk., AdhiKarya(Persero), PT Adhi Karya (Persero), adhi karya (persero)</t>
  </si>
  <si>
    <t>ADMF, ADIRA DINAMIKA MULTI FINANCE, Adira, Adira Dinamika Multi Finance, Adira Dinamika Multi Finance Tbk, Adira Dinamika Multi Finance Tbk., AdiraDinamikaMultiFinance, PT Adira Dinamika Multi Finance, adira dinamika multi finance</t>
  </si>
  <si>
    <t>ADMG, Polychem, POLYCHEM INDONESIA, PT Polychem Indonesia, Polychem Indonesia, Polychem Indonesia Tbk, Polychem Indonesia Tbk., PolychemIndonesia, polychem indonesia</t>
  </si>
  <si>
    <t>ADMR, ALAMTRI MINERALS INDONESIA, Alamtri Minerals Indonesia, Alamtri Minerals Indonesia Tbk, Alamtri Minerals Indonesia Tbk., AlamtriMineralsIndonesia, PT Alamtri Minerals Indonesia, alamtri minerals indonesia</t>
  </si>
  <si>
    <t>ADRO, ALAMTRI RESOURCES INDONESIA, Alamtri Resources Indonesia, Alamtri Resources Indonesia Tbk, Alamtri Resources Indonesia Tbk., AlamtriResourcesIndonesia, PT Alamtri Resources Indonesia, alamtri resources indonesia</t>
  </si>
  <si>
    <t>AEGS, ANUGERAH SPAREPARTS SEJAHTERA, Anugerah Spareparts Sejahtera, Anugerah Spareparts Sejahtera Tbk, Anugerah Spareparts Sejahtera Tbk., AnugerahSparepartsSejahtera, PT Anugerah Spareparts Sejahtera, anugerah spareparts sejahtera</t>
  </si>
  <si>
    <t>AGAR, ASIA SEJAHTERA MINA, Asia Sejahtera Mina, Asia Sejahtera Mina Tbk, Asia Sejahtera Mina Tbk., AsiaSejahteraMina, PT Asia Sejahtera Mina, asia sejahtera mina</t>
  </si>
  <si>
    <t>AGII, PT Samator Indo Gas, SAMATOR INDO GAS, Samator Indo Gas, Samator Indo Gas Tbk, Samator Indo Gas Tbk., SamatorIndoGas, samator indo gas</t>
  </si>
  <si>
    <t>AGRO, BANK RAYA INDONESIA, Bank Raya Indonesia, Bank Raya Indonesia Tbk, Bank Raya Indonesia Tbk., BankRayaIndonesia, PT Bank Raya Indonesia, bank raya indonesia</t>
  </si>
  <si>
    <t>AGRS, BANK IBK INDONESIA, Bank IBK Indonesia, Bank IBK Indonesia Tbk, Bank IBK Indonesia Tbk., BankIBKIndonesia, PT Bank IBK Indonesia, bank ibk indonesia</t>
  </si>
  <si>
    <t>AHAP, ASURANSI HARTA AMAN PRATAMA, Asuransi Harta Aman Pratama, Asuransi Harta Aman Pratama Tbk, Asuransi Harta Aman Pratama Tbk., AsuransiHartaAmanPratama, PT Asuransi Harta Aman Pratama, asuransi harta aman pratama</t>
  </si>
  <si>
    <t>AIMS, ARTHA MAHIYA INVESTAMA, Artha Mahiya Investama, Artha Mahiya Investama Tbk, Artha Mahiya Investama Tbk., ArthaMahiyaInvestama, PT Artha Mahiya Investama, artha mahiya investama</t>
  </si>
  <si>
    <t>AISA, FKS FOOD SEJAHTERA, FKS Food Sejahtera, FKS Food Sejahtera Tbk, FKS Food Sejahtera Tbk., FKSFoodSejahtera, PT FKS Food Sejahtera, fks food sejahtera</t>
  </si>
  <si>
    <t>AKKU, ANUGERAH KAGUM KARYA UTAMA, Anugerah Kagum Karya Utama, Anugerah Kagum Karya Utama Tbk, Anugerah Kagum Karya Utama Tbk., AnugerahKagumKaryaUtama, PT Anugerah Kagum Karya Utama, anugerah kagum karya utama</t>
  </si>
  <si>
    <t>AKPI, ARGHA KARYA PRIMA INDUSTRY, Argha Karya Prima Industry, Argha Karya Prima Industry Tbk, Argha Karya Prima Industry Tbk., ArghaKaryaPrimaIndustry, PT Argha Karya Prima Industry, argha karya prima industry</t>
  </si>
  <si>
    <t>AKRA, AKR, AKR CORPORINDO, AKR Corporindo, AKR Corporindo Tbk, AKR Corporindo Tbk., AKRCorporindo, PT AKR Corporindo, akr corporindo</t>
  </si>
  <si>
    <t>AKSI, MINERAL SUMBERDAYA MANDIRI, Mineral Sumberdaya Mandiri, Mineral Sumberdaya Mandiri Tbk, Mineral Sumberdaya Mandiri Tbk., MineralSumberdayaMandiri, PT Mineral Sumberdaya Mandiri, mineral sumberdaya mandiri</t>
  </si>
  <si>
    <t>ALDO, ALKINDO NARATAMA, Alkindo Naratama, Alkindo Naratama Tbk, Alkindo Naratama Tbk., AlkindoNaratama, PT Alkindo Naratama, alkindo naratama</t>
  </si>
  <si>
    <t>ALII, ANCARA LOGISTICS INDONESIA, Ancara Logistics Indonesia, Ancara Logistics Indonesia Tbk, Ancara Logistics Indonesia Tbk., AncaraLogisticsIndonesia, PT Ancara Logistics Indonesia, ancara logistics indonesia</t>
  </si>
  <si>
    <t>ALKA, ALAKASA INDUSTRINDO, Alakasa Industrindo, Alakasa Industrindo Tbk, Alakasa Industrindo Tbk., AlakasaIndustrindo, PT Alakasa Industrindo, alakasa industrindo</t>
  </si>
  <si>
    <t>ALMI, ALUMINDO LIGHT METAL INDUSTRY, Alumindo Light Metal Industry, Alumindo Light Metal Industry Tbk, Alumindo Light Metal Industry Tbk., AlumindoLightMetalIndustry, PT Alumindo Light Metal Industry, alumindo light metal industry</t>
  </si>
  <si>
    <t>ALTO, PT Tri Banyan Tirta, TRI BANYAN TIRTA, Tri Banyan Tirta, Tri Banyan Tirta Tbk, Tri Banyan Tirta Tbk., TriBanyanTirta, tri banyan tirta</t>
  </si>
  <si>
    <t>AMAG, ASURANSI MULTI ARTHA GUNA, Asuransi Multi Artha Guna, Asuransi Multi Artha Guna Tbk, Asuransi Multi Artha Guna Tbk., AsuransiMultiArthaGuna, PT Asuransi Multi Artha Guna, asuransi multi artha guna</t>
  </si>
  <si>
    <t>AMAN, MAKMUR BERKAH AMANDA, Makmur Berkah Amanda, Makmur Berkah Amanda Tbk, Makmur Berkah Amanda Tbk., MakmurBerkahAmanda, PT Makmur Berkah Amanda, makmur berkah amanda</t>
  </si>
  <si>
    <t>AMAR, BANK AMAR INDONESIA, Bank Amar Indonesia, Bank Amar Indonesia Tbk, Bank Amar Indonesia Tbk., BankAmarIndonesia, PT Bank Amar Indonesia, bank amar indonesia</t>
  </si>
  <si>
    <t>AMFG, ASAHIMAS FLAT GLASS, Asahimas Flat Glass, Asahimas Flat Glass Tbk, Asahimas Flat Glass Tbk., AsahimasFlatGlass, PT Asahimas Flat Glass, asahimas flat glass</t>
  </si>
  <si>
    <t>AMIN, ATELIERS MECANIQUES D INDONESIE, Ateliers Mecaniques D Indonesie, Ateliers Mecaniques D Indonesie Tbk, Ateliers Mecaniques D Indonesie Tbk., AteliersMecaniquesDIndonesie, PT Ateliers Mecaniques D Indonesie, ateliers mecaniques d indonesie</t>
  </si>
  <si>
    <t>AMMN, AMMAN MINERAL INTERNASIONAL, Amman Mineral Internasional, Amman Mineral Internasional Tbk, Amman Mineral Internasional Tbk., AmmanMineralInternasional, PT Amman Mineral Internasional, amman mineral internasional</t>
  </si>
  <si>
    <t>AMMS, AGUNG MENJANGAN MAS, Agung Menjangan Mas, Agung Menjangan Mas Tbk, Agung Menjangan Mas Tbk., AgungMenjanganMas, PT Agung Menjangan Mas, agung menjangan mas</t>
  </si>
  <si>
    <t>AMOR, ASHMORE ASSET MANAGEMENT INDONESIA, Ashmore Asset Management Indonesia, Ashmore Asset Management Indonesia Tbk, Ashmore Asset Management Indonesia Tbk., AshmoreAssetManagementIndonesia, PT Ashmore Asset Management Indonesia, ashmore asset management indonesia</t>
  </si>
  <si>
    <t>AMRT, PT Sumber Alfaria Trijaya, SUMBER ALFARIA TRIJAYA, Sumber Alfaria Trijaya, Sumber Alfaria Trijaya Tbk, Sumber Alfaria Trijaya Tbk., SumberAlfariaTrijaya, sumber alfaria trijaya</t>
  </si>
  <si>
    <t>ANDI, ANDIRA AGRO, Andira Agro, Andira Agro Tbk, Andira Agro Tbk., AndiraAgro, PT Andira Agro, andira agro</t>
  </si>
  <si>
    <t>ANJT, ANJ, AUSTINDO NUSANTARA JAYA, Austindo Nusantara Jaya, Austindo Nusantara Jaya Tbk, Austindo Nusantara Jaya Tbk., AustindoNusantaraJaya, PT Austindo Nusantara Jaya, austindo nusantara jaya</t>
  </si>
  <si>
    <t>ANTM, ANTAM, ANEKA TAMBANG, Aneka Tambang, Aneka Tambang Tbk, Aneka Tambang Tbk., AnekaTambang, PT Aneka Tambang, aneka tambang</t>
  </si>
  <si>
    <t>APEX, APEXINDO PRATAMA DUTA, Apexindo Pratama Duta, Apexindo Pratama Duta Tbk, Apexindo Pratama Duta Tbk., ApexindoPratamaDuta, PT Apexindo Pratama Duta, apexindo pratama duta</t>
  </si>
  <si>
    <t>APIC, PACIFIC STRATEGIC FINANCIAL, PT Pacific Strategic Financial, Pacific Strategic Financial, Pacific Strategic Financial Tbk, Pacific Strategic Financial Tbk., PacificStrategicFinancial, pacific strategic financial</t>
  </si>
  <si>
    <t>APII, ARITA PRIMA INDONESIA, Arita Prima Indonesia, Arita Prima Indonesia Tbk, Arita Prima Indonesia Tbk., AritaPrimaIndonesia, PT Arita Prima Indonesia, arita prima indonesia</t>
  </si>
  <si>
    <t>APLI, ASIAPLAST INDUSTRIES, Asiaplast Industries, Asiaplast Industries Tbk, Asiaplast Industries Tbk., AsiaplastIndustries, PT Asiaplast Industries, asiaplast industries</t>
  </si>
  <si>
    <t>APLN, APL, AGUNG PODOMORO LAND, Agung Podomoro Land, Agung Podomoro Land Tbk, Agung Podomoro Land Tbk., AgungPodomoroLand, PT Agung Podomoro Land, agung podomoro land</t>
  </si>
  <si>
    <t>ARCI, ARCHI INDONESIA, Archi Indonesia, Archi Indonesia Tbk, Archi Indonesia Tbk., ArchiIndonesia, PT Archi Indonesia, archi indonesia</t>
  </si>
  <si>
    <t>AREA, DUNIA VIRTUAL ONLINE, Dunia Virtual Online, Dunia Virtual Online Tbk, Dunia Virtual Online Tbk., DuniaVirtualOnline, PT Dunia Virtual Online, dunia virtual online</t>
  </si>
  <si>
    <t>ARGO, ARGO PANTES, Argo Pantes, Argo Pantes Tbk, Argo Pantes Tbk., ArgoPantes, PT Argo Pantes, argo pantes</t>
  </si>
  <si>
    <t>ARII, ATLAS RESOURCES, Atlas Resources, Atlas Resources Tbk, Atlas Resources Tbk., AtlasResources, PT Atlas Resources, atlas resources</t>
  </si>
  <si>
    <t>ARKA, ARKHA JAYANTI PERSADA, Arkha Jayanti Persada, Arkha Jayanti Persada Tbk, Arkha Jayanti Persada Tbk., ArkhaJayantiPersada, PT Arkha Jayanti Persada, arkha jayanti persada</t>
  </si>
  <si>
    <t>ARKO, ARKORA HYDRO, Arkora Hydro, Arkora Hydro Tbk, Arkora Hydro Tbk., ArkoraHydro, PT Arkora Hydro, arkora hydro</t>
  </si>
  <si>
    <t>ARMY, ARMIDIAN KARYATAMA, Armidian Karyatama, Armidian Karyatama Tbk, Armidian Karyatama Tbk., ArmidianKaryatama, PT Armidian Karyatama, armidian karyatama</t>
  </si>
  <si>
    <t>ARNA, ARWANA CITRAMULIA, Arwana Citramulia, Arwana Citramulia Tbk, Arwana Citramulia Tbk., ArwanaCitramulia, PT Arwana Citramulia, arwana citramulia</t>
  </si>
  <si>
    <t>ARTA, ARTHAVEST, Arthavest, Arthavest Tbk, Arthavest Tbk., PT Arthavest, arthavest</t>
  </si>
  <si>
    <t>ARTI, PT Ratu Prabu Energi, RATU PRABU ENERGI, Ratu Prabu Energi, Ratu Prabu Energi Tbk, Ratu Prabu Energi Tbk., RatuPrabuEnergi, ratu prabu energi</t>
  </si>
  <si>
    <t>ARTO, BANK JAGO, Bank Jago, Bank Jago Tbk, Bank Jago Tbk., BankJago, Jago, PT Bank Jago, bank jago</t>
  </si>
  <si>
    <t>ASBI, ASURANSI BINTANG, Asuransi Bintang, Asuransi Bintang Tbk, Asuransi Bintang Tbk., AsuransiBintang, PT Asuransi Bintang, asuransi bintang</t>
  </si>
  <si>
    <t>ASDM, ASURANSI DAYIN MITRA, Asuransi Dayin Mitra, Asuransi Dayin Mitra Tbk, Asuransi Dayin Mitra Tbk., AsuransiDayinMitra, PT Asuransi Dayin Mitra, asuransi dayin mitra</t>
  </si>
  <si>
    <t>ASGR, ASTRA GRAPHIA, Astra Graphia, Astra Graphia Tbk, Astra Graphia Tbk., AstraGraphia, PT Astra Graphia, astra graphia</t>
  </si>
  <si>
    <t>ASHA, CILACAP SAMUDERA FISHING INDUSTRY, Cilacap Samudera Fishing Industry, Cilacap Samudera Fishing Industry Tbk, Cilacap Samudera Fishing Industry Tbk., CilacapSamuderaFishingIndustry, PT Cilacap Samudera Fishing Industry, cilacap samudera fishing industry</t>
  </si>
  <si>
    <t>ASII, ASTRA INTERNATIONAL, Astra International, Astra International Tbk, Astra International Tbk., AstraInternational, PT Astra International, astra international</t>
  </si>
  <si>
    <t>ASJT, ASURANSI JASA TANIA, Asuransi Jasa Tania, Asuransi Jasa Tania Tbk, Asuransi Jasa Tania Tbk., AsuransiJasaTania, PT Asuransi Jasa Tania, asuransi jasa tania</t>
  </si>
  <si>
    <t>ASLC, Caroline, AUTOPEDIA SUKSES LESTARI, Autopedia Sukses Lestari, Autopedia Sukses Lestari Tbk, Autopedia Sukses Lestari Tbk., AutopediaSuksesLestari, PT Autopedia Sukses Lestari, autopedia sukses lestari</t>
  </si>
  <si>
    <t>ASLI, ASRI KARYA LESTARI, Asri Karya Lestari, Asri Karya Lestari Tbk, Asri Karya Lestari Tbk., AsriKaryaLestari, PT Asri Karya Lestari, asri karya lestari</t>
  </si>
  <si>
    <t>ASMI, ASURANSI MAXIMUS GRAHA PERSADA, Asuransi Maximus Graha Persada, Asuransi Maximus Graha Persada Tbk, Asuransi Maximus Graha Persada Tbk., AsuransiMaximusGrahaPersada, PT Asuransi Maximus Graha Persada, asuransi maximus graha persada</t>
  </si>
  <si>
    <t>ASPI, ANDALAN SAKTI PRIMAINDO, Andalan Sakti Primaindo, Andalan Sakti Primaindo Tbk, Andalan Sakti Primaindo Tbk., AndalanSaktiPrimaindo, PT Andalan Sakti Primaindo, andalan sakti primaindo</t>
  </si>
  <si>
    <t>ASPR, ASIA PRAMULIA, Asia Pramulia, Asia Pramulia Tbk, Asia Pramulia Tbk., AsiaPramulia, PT Asia Pramulia, asia pramulia</t>
  </si>
  <si>
    <t>ASRI, ALAM SUTERA REALTY, Alam Sutera Realty, Alam Sutera Realty Tbk, Alam Sutera Realty Tbk., AlamSuteraRealty, PT Alam Sutera Realty, alam sutera realty</t>
  </si>
  <si>
    <t>ASRM, ASURANSI RAMAYANA, Asuransi Ramayana, Asuransi Ramayana Tbk, Asuransi Ramayana Tbk., AsuransiRamayana, PT Asuransi Ramayana, asuransi ramayana</t>
  </si>
  <si>
    <t>ASSA, ADI SARANA ARMADA, Adi Sarana Armada, Adi Sarana Armada Tbk, Adi Sarana Armada Tbk., AdiSaranaArmada, PT Adi Sarana Armada, adi sarana armada</t>
  </si>
  <si>
    <t>ATAP, PT Trimitra Prawara Goldland, TRIMITRA PRAWARA GOLDLAND, Trimitra Prawara Goldland, Trimitra Prawara Goldland Tbk, Trimitra Prawara Goldland Tbk., TrimitraPrawaraGoldland, trimitra prawara goldland</t>
  </si>
  <si>
    <t>ATIC, ANABATIC TECHNOLOGIES, Anabatic Technologies, Anabatic Technologies Tbk, Anabatic Technologies Tbk., AnabaticTechnologies, PT Anabatic Technologies, anabatic technologies</t>
  </si>
  <si>
    <t>ATLA, ATLANTIS SUBSEA INDONESIA, Atlantis Subsea Indonesia, Atlantis Subsea Indonesia Tbk, Atlantis Subsea Indonesia Tbk., AtlantisSubseaIndonesia, PT Atlantis Subsea Indonesia, atlantis subsea indonesia</t>
  </si>
  <si>
    <t>AUTO, ASTRA OTOPARTS, Astra Otoparts, Astra Otoparts Tbk, Astra Otoparts Tbk., AstraOtoparts, PT Astra Otoparts, astra otoparts</t>
  </si>
  <si>
    <t>AVIA, AVIA AVIAN, Avia Avian, Avia Avian Tbk, Avia Avian Tbk., AviaAvian, PT Avia Avian, avia avian</t>
  </si>
  <si>
    <t>AWAN, ERA DIGITAL MEDIA, Era Digital Media, Era Digital Media Tbk, Era Digital Media Tbk., EraDigitalMedia, PT Era Digital Media, era digital media</t>
  </si>
  <si>
    <t>AXIO, PT Tera Data Indonusa, TDI, TERA DATA INDONUSA, Tera Data Indonusa, Tera Data Indonusa Tbk, Tera Data Indonusa Tbk., TeraDataIndonusa, tera data indonusa</t>
  </si>
  <si>
    <t>AYAM, JANU PUTRA SEJAHTERA, Janu Putra Sejahtera, Janu Putra Sejahtera Tbk, Janu Putra Sejahtera Tbk., JanuPutraSejahtera, PT Janu Putra Sejahtera, janu putra sejahtera</t>
  </si>
  <si>
    <t>AYLS, AGRO YASA LESTARI, Agro Yasa Lestari, Agro Yasa Lestari Tbk, Agro Yasa Lestari Tbk., AgroYasaLestari, PT Agro Yasa Lestari, agro yasa lestari</t>
  </si>
  <si>
    <t>BABP, BANK MNC INTERNASIONAL, BMI, Bank Internasional, Bank MNC Internasional, Bank MNC Internasional Tbk, Bank MNC Internasional Tbk., BankMNCInternasional, Internasional, PT Bank MNC Internasional, bank mnc internasional</t>
  </si>
  <si>
    <t>BABY, MULTITREND INDO, Multitrend Indo, Multitrend Indo Tbk, Multitrend Indo Tbk., MultitrendIndo, PT Multitrend Indo, multitrend indo</t>
  </si>
  <si>
    <t>BACA, BANK CAPITAL INDONESIA, Bank Capital Indonesia, Bank Capital Indonesia Tbk, Bank Capital Indonesia Tbk., BankCapitalIndonesia, PT Bank Capital Indonesia, bank capital indonesia</t>
  </si>
  <si>
    <t>BAIK, BERSAMA MENCAPAI PUNCAK, Bersama Mencapai Puncak, Bersama Mencapai Puncak Tbk, Bersama Mencapai Puncak Tbk., BersamaMencapaiPuncak, PT Bersama Mencapai Puncak, bersama mencapai puncak</t>
  </si>
  <si>
    <t>BAJA, PT Saranacentral Bajatama, SARANACENTRAL BAJATAMA, Saranacentral Bajatama, Saranacentral Bajatama Tbk, Saranacentral Bajatama Tbk., SaranacentralBajatama, saranacentral bajatama</t>
  </si>
  <si>
    <t>BALI, BALI TOWERINDO SENTRA, Bali Towerindo Sentra, Bali Towerindo Sentra Tbk, Bali Towerindo Sentra Tbk., BaliTowerindoSentra, PT Bali Towerindo Sentra, bali towerindo sentra</t>
  </si>
  <si>
    <t>BANK, BANK ALADIN SYARIAH, Bank Aladin Syariah, Bank Aladin Syariah Tbk, Bank Aladin Syariah Tbk., Bank Syariah, BankAladinSyariah, PT Bank Aladin Syariah, Syariah, bank aladin syariah</t>
  </si>
  <si>
    <t>BAPA, BEKASI ASRI PEMULA, Bekasi Asri Pemula, Bekasi Asri Pemula Tbk, Bekasi Asri Pemula Tbk., BekasiAsriPemula, PT Bekasi Asri Pemula, bekasi asri pemula</t>
  </si>
  <si>
    <t>BAPI, BHAKTI AGUNG PROPERTINDO, Bhakti Agung Propertindo, Bhakti Agung Propertindo Tbk, Bhakti Agung Propertindo Tbk., BhaktiAgungPropertindo, PT Bhakti Agung Propertindo, bhakti agung propertindo</t>
  </si>
  <si>
    <t>BATA, PT Sepatu Bata, SEPATU BATA, Sepatu Bata, Sepatu Bata Tbk, Sepatu Bata Tbk., SepatuBata, sepatu bata</t>
  </si>
  <si>
    <t>BATR, BENTENG API TECHNIC, Benteng Api Technic, Benteng Api Technic Tbk, Benteng Api Technic Tbk., BentengApiTechnic, PT Benteng Api Technic, benteng api technic</t>
  </si>
  <si>
    <t>BAUT, MITRA ANGKASA SEJAHTERA, Mitra Angkasa Sejahtera, Mitra Angkasa Sejahtera Tbk, Mitra Angkasa Sejahtera Tbk., MitraAngkasaSejahtera, PT Mitra Angkasa Sejahtera, mitra angkasa sejahtera</t>
  </si>
  <si>
    <t>BAYU, BAYU BUANA, Bayu Buana, Bayu Buana Tbk, Bayu Buana Tbk., BayuBuana, PT Bayu Buana, bayu buana</t>
  </si>
  <si>
    <t>BBHI, ALLO BANK INDONESIA, Allo Bank Indonesia, Allo Bank Indonesia Tbk, Allo Bank Indonesia Tbk., AlloBankIndonesia, PT Allo Bank Indonesia, allo bank indonesia</t>
  </si>
  <si>
    <t>BBKP, BANK KB INDONESIA, Bank KB Indonesia, Bank KB Indonesia Tbk, Bank KB Indonesia Tbk., BankKBIndonesia, PT Bank KB Indonesia, bank kb indonesia</t>
  </si>
  <si>
    <t>BBLD, BUANA FINANCE, Buana Finance, Buana Finance Tbk, Buana Finance Tbk., BuanaFinance, PT Buana Finance, buana finance</t>
  </si>
  <si>
    <t>BBMD, BANK MESTIKA DHARMA, Bank Dharma, Bank Mestika Dharma, Bank Mestika Dharma Tbk, Bank Mestika Dharma Tbk., BankMestikaDharma, Dharma, PT Bank Mestika Dharma, bank mestika dharma</t>
  </si>
  <si>
    <t>BBNI, BNI, BANK NEGARA INDONESIA (PERSERO), Bank Negara Indonesia (Persero), Bank Negara Indonesia (Persero) Tbk, Bank Negara Indonesia (Persero) Tbk., BankNegaraIndonesia(Persero), PT Bank Negara Indonesia (Persero), bank negara indonesia (persero)</t>
  </si>
  <si>
    <t>BBRI, BRI, BANK RAKYAT INDONESIA (PERSERO), Bank Rakyat Indonesia (Persero), Bank Rakyat Indonesia (Persero) Tbk, Bank Rakyat Indonesia (Persero) Tbk., BankRakyatIndonesia(Persero), PT Bank Rakyat Indonesia (Persero), bank rakyat indonesia (persero)</t>
  </si>
  <si>
    <t>BBRM, PELAYARAN NASIONAL BINA BUANA RAYA, PNBBR, PT Pelayaran Nasional Bina Buana Raya, Pelayaran Nasional Bina Buana Raya, Pelayaran Nasional Bina Buana Raya Tbk, Pelayaran Nasional Bina Buana Raya Tbk., PelayaranNasionalBinaBuanaRaya, pelayaran nasional bina buana raya</t>
  </si>
  <si>
    <t>BBSI, KROM BANK INDONESIA, Krom Bank Indonesia, Krom Bank Indonesia Tbk, Krom Bank Indonesia Tbk., KromBankIndonesia, PT Krom Bank Indonesia, krom bank indonesia</t>
  </si>
  <si>
    <t>BBSS, BUMI BENOWO SUKSES SEJAHTERA, Bumi Benowo Sukses Sejahtera, Bumi Benowo Sukses Sejahtera Tbk, Bumi Benowo Sukses Sejahtera Tbk., BumiBenowoSuksesSejahtera, PT Bumi Benowo Sukses Sejahtera, bumi benowo sukses sejahtera</t>
  </si>
  <si>
    <t>BBTN, BTN, BANK TABUNGAN NEGARA (PERSERO), Bank Tabungan Negara (Persero), Bank Tabungan Negara (Persero) Tbk, Bank Tabungan Negara (Persero) Tbk., BankTabunganNegara(Persero), PT Bank Tabungan Negara (Persero), bank tabungan negara (persero)</t>
  </si>
  <si>
    <t>BBYB, BNC, BANK NEO COMMERCE, Bank Commerce, Bank Neo Commerce, Bank Neo Commerce Tbk, Bank Neo Commerce Tbk., BankNeoCommerce, Commerce, PT Bank Neo Commerce, bank neo commerce</t>
  </si>
  <si>
    <t>BCAP, MNC KAPITAL INDONESIA, MNC Kapital Indonesia, MNC Kapital Indonesia Tbk, MNC Kapital Indonesia Tbk., MNCKapitalIndonesia, PT MNC Kapital Indonesia, mnc kapital indonesia</t>
  </si>
  <si>
    <t>BCIC, BANK JTRUST INDONESIA, Bank JTrust Indonesia, Bank JTrust Indonesia Tbk, Bank JTrust Indonesia Tbk., BankJTrustIndonesia, PT Bank JTrust Indonesia, bank jtrust indonesia</t>
  </si>
  <si>
    <t>BCIP, BUMI CITRA PERMAI, Bumi Citra Permai, Bumi Citra Permai Tbk, Bumi Citra Permai Tbk., BumiCitraPermai, PT Bumi Citra Permai, bumi citra permai</t>
  </si>
  <si>
    <t>BDKR, BERDIKARI PONDASI PERKASA, Berdikari Pondasi Perkasa, Berdikari Pondasi Perkasa Tbk, Berdikari Pondasi Perkasa Tbk., BerdikariPondasiPerkasa, PT Berdikari Pondasi Perkasa, berdikari pondasi perkasa</t>
  </si>
  <si>
    <t>BDMN, BANK DANAMON INDONESIA, Bank Danamon Indonesia, Bank Danamon Indonesia Tbk, Bank Danamon Indonesia Tbk., BankDanamonIndonesia, PT Bank Danamon Indonesia, bank danamon indonesia</t>
  </si>
  <si>
    <t>BEBS, BERKAH BETON SADAYA, Berkah Beton Sadaya, Berkah Beton Sadaya Tbk, Berkah Beton Sadaya Tbk., BerkahBetonSadaya, PT Berkah Beton Sadaya, berkah beton sadaya</t>
  </si>
  <si>
    <t>BEEF, ESTIKA TATA TIARA, Estika Tata Tiara, Estika Tata Tiara Tbk, Estika Tata Tiara Tbk., EstikaTataTiara, PT Estika Tata Tiara, estika tata tiara</t>
  </si>
  <si>
    <t>BEER, JOBUBU JARUM MINAHASA, Jobubu Jarum Minahasa, Jobubu Jarum Minahasa Tbk, Jobubu Jarum Minahasa Tbk., JobubuJarumMinahasa, PT Jobubu Jarum Minahasa, jobubu jarum minahasa</t>
  </si>
  <si>
    <t>BEKS, BANK PEMBANGUNAN DAERAH BANTEN, Bank Banten, Bank Pembangunan Daerah Banten, Bank Pembangunan Daerah Banten Tbk, Bank Pembangunan Daerah Banten Tbk., BankPembangunanDaerahBanten, Banten, PT Bank Pembangunan Daerah Banten, bank pembangunan daerah banten</t>
  </si>
  <si>
    <t>BELI, GDN, GLOBAL DIGITAL NIAGA, Global Digital Niaga, Global Digital Niaga Tbk, Global Digital Niaga Tbk., GlobalDigitalNiaga, PT Global Digital Niaga, global digital niaga</t>
  </si>
  <si>
    <t>BELL, PT Trisula Textile Industries, TRISULA TEXTILE INDUSTRIES, Trisula Textile Industries, Trisula Textile Industries Tbk, Trisula Textile Industries Tbk., TrisulaTextileIndustries, trisula textile industries</t>
  </si>
  <si>
    <t>BESS, BATULICIN NUSANTARA MARITIM, Batulicin Nusantara Maritim, Batulicin Nusantara Maritim Tbk, Batulicin Nusantara Maritim Tbk., BatulicinNusantaraMaritim, PT Batulicin Nusantara Maritim, batulicin nusantara maritim</t>
  </si>
  <si>
    <t>BEKASI FAJAR INDUSTRIAL ESTATE, BEST, BFIE, Bekasi Fajar Industrial Estate, Bekasi Fajar Industrial Estate Tbk, Bekasi Fajar Industrial Estate Tbk., BekasiFajarIndustrialEstate, PT Bekasi Fajar Industrial Estate, bekasi fajar industrial estate</t>
  </si>
  <si>
    <t>BFIN, BFI, BFI FINANCE INDONESIA, BFI Finance Indonesia, BFI Finance Indonesia Tbk, BFI Finance Indonesia Tbk., BFIFinanceIndonesia, PT BFI Finance Indonesia, bfi finance indonesia</t>
  </si>
  <si>
    <t>BGTG, BANK GANESHA, Bank Ganesha, Bank Ganesha Tbk, Bank Ganesha Tbk., BankGanesha, Ganesha, PT Bank Ganesha, bank ganesha</t>
  </si>
  <si>
    <t>BHAT, BHAKTI MULTI ARTHA, Bhakti Multi Artha, Bhakti Multi Artha Tbk, Bhakti Multi Artha Tbk., BhaktiMultiArtha, PT Bhakti Multi Artha, bhakti multi artha</t>
  </si>
  <si>
    <t>BHIT, MNC ASIA HOLDING, MNC Asia Holding, MNC Asia Holding Tbk, MNC Asia Holding Tbk., MNCAsiaHolding, PT MNC Asia Holding, mnc asia holding</t>
  </si>
  <si>
    <t>BIKA, BINAKARYA JAYA ABADI, Binakarya Jaya Abadi, Binakarya Jaya Abadi Tbk, Binakarya Jaya Abadi Tbk., BinakaryaJayaAbadi, PT Binakarya Jaya Abadi, binakarya jaya abadi</t>
  </si>
  <si>
    <t>BIKE, PT Sepeda Bersama Indonesia, SBI, SEPEDA BERSAMA INDONESIA, Sepeda Bersama Indonesia, Sepeda Bersama Indonesia Tbk, Sepeda Bersama Indonesia Tbk., SepedaBersamaIndonesia, sepeda bersama indonesia</t>
  </si>
  <si>
    <t>BIMA, PRIMARINDO ASIA INFRASTRUCTURE, PT Primarindo Asia Infrastructure, Primarindo Asia Infrastructure, Primarindo Asia Infrastructure Tbk, Primarindo Asia Infrastructure Tbk., PrimarindoAsiaInfrastructure, primarindo asia infrastructure</t>
  </si>
  <si>
    <t>BINA, BANK INA PERDANA, Bank Ina Perdana, Bank Ina Perdana Tbk, Bank Ina Perdana Tbk., Bank Perdana, BankInaPerdana, PT Bank Ina Perdana, Perdana, bank ina perdana</t>
  </si>
  <si>
    <t>BINO, PERMA PLASINDO, PP, PT Perma Plasindo, Perma Plasindo, Perma Plasindo Tbk, Perma Plasindo Tbk., PermaPlasindo, perma plasindo</t>
  </si>
  <si>
    <t>BIPI, ASTRINDO NUSANTARA INFRASTRUKTUR, Astrindo Nusantara Infrastruktur, Astrindo Nusantara Infrastruktur Tbk, Astrindo Nusantara Infrastruktur Tbk., AstrindoNusantaraInfrastruktur, PT Astrindo Nusantara Infrastruktur, astrindo nusantara infrastruktur</t>
  </si>
  <si>
    <t>BIPP, BHUWANATALA INDAH PERMAI, Bhuwanatala Indah Permai, Bhuwanatala Indah Permai Tbk, Bhuwanatala Indah Permai Tbk., BhuwanatalaIndahPermai, PT Bhuwanatala Indah Permai, bhuwanatala indah permai</t>
  </si>
  <si>
    <t>BIRD, BLUE BIRD, Blue Bird, Blue Bird Tbk, Blue Bird Tbk., BlueBird, PT Blue Bird, blue bird</t>
  </si>
  <si>
    <t>BISI, BISI INTERNATIONAL, BISI International, BISI International Tbk, BISI International Tbk., BISIInternational, PT BISI International, bisi international</t>
  </si>
  <si>
    <t>BJBR, BJB, BANK PEMBANGUNAN DAERAH JAWA BARAT DAN BANTEN, Bank BJB, Bank Jabar, Bank Pembangunan Daerah Jawa Barat dan Banten, Bank Pembangunan Daerah Jawa Barat dan Banten Tbk, Bank Pembangunan Daerah Jawa Barat dan Banten Tbk., BankPembangunanDaerahJawaBaratdanBanten, PT Bank Pembangunan Daerah Jawa Barat dan Banten, bank pembangunan daerah jawa barat dan banten</t>
  </si>
  <si>
    <t>BJTM, BANK PEMBANGUNAN DAERAH JAWA TIMUR, Bank Jatim, Bank Pembangunan Daerah Jawa Timur, Bank Pembangunan Daerah Jawa Timur Tbk, Bank Pembangunan Daerah Jawa Timur Tbk., BankPembangunanDaerahJawaTimur, PT Bank Pembangunan Daerah Jawa Timur, bank pembangunan daerah jawa timur</t>
  </si>
  <si>
    <t>BKDP, BUKIT DARMO PROPERTY, Bukit Darmo Property, Bukit Darmo Property Tbk, Bukit Darmo Property Tbk., BukitDarmoProperty, PT Bukit Darmo Property, bukit darmo property</t>
  </si>
  <si>
    <t>BKSL, PT Sentul City, SENTUL CITY, Sentul City, Sentul City Tbk, Sentul City Tbk., SentulCity, sentul city</t>
  </si>
  <si>
    <t>BKSW, BANK QNB INDONESIA, Bank QNB Indonesia, Bank QNB Indonesia Tbk, Bank QNB Indonesia Tbk., BankQNBIndonesia, PT Bank QNB Indonesia, bank qnb indonesia</t>
  </si>
  <si>
    <t>BLES, PT Superior Prima Sukses, SUPERIOR PRIMA SUKSES, Superior Prima Sukses, Superior Prima Sukses Tbk, Superior Prima Sukses Tbk., SuperiorPrimaSukses, superior prima sukses</t>
  </si>
  <si>
    <t>BLOG, PT Trimitra Trans Persada, TRIMITRA TRANS PERSADA, Trimitra Trans Persada, Trimitra Trans Persada Tbk, Trimitra Trans Persada Tbk., TrimitraTransPersada, trimitra trans persada</t>
  </si>
  <si>
    <t>BLTA, BERLIAN LAJU TANKER, Berlian Laju Tanker, Berlian Laju Tanker Tbk, Berlian Laju Tanker Tbk., BerlianLajuTanker, PT Berlian Laju Tanker, berlian laju tanker</t>
  </si>
  <si>
    <t>BLTZ, GRAHA LAYAR PRIMA, Graha Layar Prima, Graha Layar Prima Tbk, Graha Layar Prima Tbk., GrahaLayarPrima, PT Graha Layar Prima, graha layar prima</t>
  </si>
  <si>
    <t>BLUE, BERKAH PRIMA PERKASA, Berkah Prima Perkasa, Berkah Prima Perkasa Tbk, Berkah Prima Perkasa Tbk., BerkahPrimaPerkasa, PT Berkah Prima Perkasa, berkah prima perkasa</t>
  </si>
  <si>
    <t>BMAS, BANK MASPION INDONESIA, Bank Maspion Indonesia, Bank Maspion Indonesia Tbk, Bank Maspion Indonesia Tbk., BankMaspionIndonesia, PT Bank Maspion Indonesia, bank maspion indonesia</t>
  </si>
  <si>
    <t>BMBL, LAVENDER BINA CENDIKIA, Lavender Bina Cendikia, Lavender Bina Cendikia Tbk, Lavender Bina Cendikia Tbk., LavenderBinaCendikia, PT Lavender Bina Cendikia, lavender bina cendikia</t>
  </si>
  <si>
    <t>BMHS, BUNDAMEDIK, Bundamedik, Bundamedik Tbk, Bundamedik Tbk., PT Bundamedik, bundamedik</t>
  </si>
  <si>
    <t>BMRI, BANK MANDIRI (PERSERO), Bank Mandiri (Persero), Bank Mandiri (Persero) Tbk, Bank Mandiri (Persero) Tbk., BankMandiri(Persero), PT Bank Mandiri (Persero), bank mandiri (persero)</t>
  </si>
  <si>
    <t>BMSR, BINTANG MITRA SEMESTARAYA, Bintang Mitra Semestaraya, Bintang Mitra Semestaraya Tbk, Bintang Mitra Semestaraya Tbk., BintangMitraSemestaraya, PT Bintang Mitra Semestaraya, bintang mitra semestaraya</t>
  </si>
  <si>
    <t>BMTR, GLOBAL MEDIACOM, Global Mediacom, Global Mediacom Tbk, Global Mediacom Tbk., GlobalMediacom, PT Global Mediacom, global mediacom</t>
  </si>
  <si>
    <t>BNBA, BANK BUMI ARTA, Bank Bumi Arta, Bank Bumi Arta Tbk, Bank Bumi Arta Tbk., BankBumiArta, PT Bank Bumi Arta, bank bumi arta</t>
  </si>
  <si>
    <t>BNBR, BAKRIE &amp; BROTHERS, Bakrie &amp; Brothers, Bakrie &amp; Brothers Tbk, Bakrie &amp; Brothers Tbk., Bakrie&amp;Brothers, PT Bakrie &amp; Brothers, bakrie &amp; brothers</t>
  </si>
  <si>
    <t>BNGA, BANK CIMB NIAGA, Bank CIMB Niaga, Bank CIMB Niaga Tbk, Bank CIMB Niaga Tbk., Bank Niaga, BankCIMBNiaga, Bank Niaga, PT Bank CIMB Niaga, bank cimb niaga</t>
  </si>
  <si>
    <t>BNII, MAYBANK, BANK MAYBANK INDONESIA, Bank Maybank Indonesia, Bank Maybank Indonesia Tbk, Bank Maybank Indonesia Tbk., BankMaybankIndonesia, PT Bank Maybank Indonesia, bank maybank indonesia</t>
  </si>
  <si>
    <t>BNLI, BANK PERMATA, Bank Permata, Bank Permata Tbk, Bank Permata Tbk., BankPermata, PT Bank Permata, Permata, bank permata</t>
  </si>
  <si>
    <t>BOAT, NEWPORT MARINE SERVICES, Newport Marine Services, Newport Marine Services Tbk, Newport Marine Services Tbk., NewportMarineServices, PT Newport Marine Services, newport marine services</t>
  </si>
  <si>
    <t>BOBA, FORMOSA INGREDIENT FACTORY, Formosa Ingredient Factory, Formosa Ingredient Factory Tbk, Formosa Ingredient Factory Tbk., FormosaIngredientFactory, PT Formosa Ingredient Factory, formosa ingredient factory</t>
  </si>
  <si>
    <t>BOGA, APOLLO GLOBAL INTERACTIVE, Apollo Global Interactive, Apollo Global Interactive Tbk, Apollo Global Interactive Tbk., ApolloGlobalInteractive, PT Apollo Global Interactive, apollo global interactive</t>
  </si>
  <si>
    <t>BOLA, BALI BINTANG SEJAHTERA, Bali Bintang Sejahtera, Bali Bintang Sejahtera Tbk, Bali Bintang Sejahtera Tbk., BaliBintangSejahtera, PT Bali Bintang Sejahtera, bali bintang sejahtera</t>
  </si>
  <si>
    <t>BOLT, GARUDA METALINDO, Garuda Metalindo, Garuda Metalindo Tbk, Garuda Metalindo Tbk., GarudaMetalindo, PT Garuda Metalindo, garuda metalindo</t>
  </si>
  <si>
    <t>BOSS, BORNEO OLAH SARANA SUKSES, Borneo Olah Sarana Sukses, Borneo Olah Sarana Sukses Tbk, Borneo Olah Sarana Sukses Tbk., BorneoOlahSaranaSukses, PT Borneo Olah Sarana Sukses, borneo olah sarana sukses</t>
  </si>
  <si>
    <t>BPFI, PT Woori Finance Indonesia, WOORI FINANCE INDONESIA, Woori Finance Indonesia, Woori Finance Indonesia Tbk, Woori Finance Indonesia Tbk., WooriFinanceIndonesia, woori finance indonesia</t>
  </si>
  <si>
    <t>BPII, BATAVIA PROSPERINDO INTERNASIONAL, Batavia Prosperindo Internasional, Batavia Prosperindo Internasional Tbk, Batavia Prosperindo Internasional Tbk., BataviaProsperindoInternasional, PT Batavia Prosperindo Internasional, batavia prosperindo internasional</t>
  </si>
  <si>
    <t>BPTR, BATAVIA PROSPERINDO TRANS, Batavia Prosperindo Trans, Batavia Prosperindo Trans Tbk, Batavia Prosperindo Trans Tbk., BataviaProsperindoTrans, PT Batavia Prosperindo Trans, batavia prosperindo trans</t>
  </si>
  <si>
    <t>BRAM, INDO KORDSA, Indo Kordsa, Indo Kordsa Tbk, Indo Kordsa Tbk., IndoKordsa, PT Indo Kordsa, indo kordsa</t>
  </si>
  <si>
    <t>BREN, BARITO RENEWABLES ENERGY, Barito Renewables Energy, Barito Renewables Energy Tbk, Barito Renewables Energy Tbk., BaritoRenewablesEnergy, PT Barito Renewables Energy, barito renewables energy</t>
  </si>
  <si>
    <t>BRIS, BSI, BANK SYARIAH INDONESIA, Bank Syariah Indonesia, Bank Syariah Indonesia Tbk, Bank Syariah Indonesia Tbk., BankSyariahIndonesia, PT Bank Syariah Indonesia, bank syariah indonesia</t>
  </si>
  <si>
    <t>BRMS, BUMI RESOURCES MINERALS, Bumi Resources Minerals, Bumi Resources Minerals Tbk, Bumi Resources Minerals Tbk., BumiResourcesMinerals, PT Bumi Resources Minerals, bumi resources minerals</t>
  </si>
  <si>
    <t>BRNA, BERLINA, Berlina, Berlina Tbk, Berlina Tbk., PT Berlina, berlina</t>
  </si>
  <si>
    <t>BRPT, BARITO PACIFIC, Barito Pacific, Barito Pacific Tbk, Barito Pacific Tbk., BaritoPacific, PT Barito Pacific, barito pacific</t>
  </si>
  <si>
    <t>BRRC, PT Raja Roti Cemerlang, RAJA ROTI CEMERLANG, Raja Roti Cemerlang, Raja Roti Cemerlang Tbk, Raja Roti Cemerlang Tbk., RajaRotiCemerlang, raja roti cemerlang</t>
  </si>
  <si>
    <t>BSBK, PT Wulandari Bangun Laksana, WULANDARI BANGUN LAKSANA, Wulandari Bangun Laksana, Wulandari Bangun Laksana Tbk, Wulandari Bangun Laksana Tbk., WulandariBangunLaksana, wulandari bangun laksana</t>
  </si>
  <si>
    <t>BSDE, BSD, BUMI SERPONG DAMAI, Bumi Serpong Damai, Bumi Serpong Damai Tbk, Bumi Serpong Damai Tbk., BumiSerpongDamai, PT Bumi Serpong Damai, bumi serpong damai</t>
  </si>
  <si>
    <t>BSIM, BANK SINARMAS, Bank Sinarmas, Bank Sinarmas Tbk, Bank Sinarmas Tbk., BankSinarmas, PT Bank Sinarmas, Sinarmas, bank sinarmas</t>
  </si>
  <si>
    <t>BSML, BINTANG SAMUDERA MANDIRI LINES, Bintang Samudera Mandiri Lines, Bintang Samudera Mandiri Lines Tbk, Bintang Samudera Mandiri Lines Tbk., BintangSamuderaMandiriLines, PT Bintang Samudera Mandiri Lines, bintang samudera mandiri lines</t>
  </si>
  <si>
    <t>BSSR, BARAMULTI SUKSESSARANA, Baramulti Suksessarana, Baramulti Suksessarana Tbk, Baramulti Suksessarana Tbk., BaramultiSuksessarana, PT Baramulti Suksessarana, baramulti suksessarana</t>
  </si>
  <si>
    <t>BSWD, BANK OF INDIA INDONESIA, Bank Of India Indonesia, Bank Of India Indonesia Tbk, Bank Of India Indonesia Tbk., BankOfIndiaIndonesia, PT Bank Of India Indonesia, bank of india indonesia</t>
  </si>
  <si>
    <t>BTEK, BUMI TEKNOKULTURA UNGGUL, Bumi Teknokultura Unggul, Bumi Teknokultura Unggul Tbk, Bumi Teknokultura Unggul Tbk., BumiTeknokulturaUnggul, PT Bumi Teknokultura Unggul, bumi teknokultura unggul</t>
  </si>
  <si>
    <t>BTEL, BAKRIE TELECOM, Bakrie Telecom, Bakrie Telecom Tbk, Bakrie Telecom Tbk., BakrieTelecom, PT Bakrie Telecom, bakrie telecom</t>
  </si>
  <si>
    <t>BTON, BETONJAYA MANUNGGAL, Betonjaya Manunggal, Betonjaya Manunggal Tbk, Betonjaya Manunggal Tbk., BetonjayaManunggal, PT Betonjaya Manunggal, betonjaya manunggal</t>
  </si>
  <si>
    <t>BTPN, BANK SMBC INDONESIA, Bank SMBC Indonesia, Bank SMBC Indonesia Tbk, Bank SMBC Indonesia Tbk., BankSMBCIndonesia, PT Bank SMBC Indonesia, bank smbc indonesia</t>
  </si>
  <si>
    <t>BTPS, BANK BTPN SYARIAH, Bank BTPN Syariah, Bank BTPN Syariah Tbk, Bank BTPN Syariah Tbk., Bank Syariah, BankBTPNSyariah, PT Bank BTPN Syariah, Syariah, bank btpn syariah</t>
  </si>
  <si>
    <t>BUAH, PT Segar Kumala Indonesia, SEGAR KUMALA INDONESIA, Segar Kumala Indonesia, Segar Kumala Indonesia Tbk, Segar Kumala Indonesia Tbk., SegarKumalaIndonesia, segar kumala indonesia</t>
  </si>
  <si>
    <t>BUDI, BUDI STARCH &amp; SWEETENER, Budi Starch &amp; Sweetener, Budi Starch &amp; Sweetener Tbk, Budi Starch &amp; Sweetener Tbk., BudiStarch&amp;Sweetener, PT Budi Starch &amp; Sweetener, budi starch &amp; sweetener</t>
  </si>
  <si>
    <t>BUKA, Bukalapak, BUKALAPAK.COM, Bukalapak.com, Bukalapak.com Tbk, Bukalapak.com Tbk., PT Bukalapak.com, bukalapak.com</t>
  </si>
  <si>
    <t>BUKK, BUKAKA TEKNIK UTAMA, Bukaka Teknik Utama, Bukaka Teknik Utama Tbk, Bukaka Teknik Utama Tbk., BukakaTeknikUtama, PT Bukaka Teknik Utama, bukaka teknik utama</t>
  </si>
  <si>
    <t>BULL, BUANA LINTAS LAUTAN, Buana Lintas Lautan, Buana Lintas Lautan Tbk, Buana Lintas Lautan Tbk., BuanaLintasLautan, PT Buana Lintas Lautan, buana lintas lautan</t>
  </si>
  <si>
    <t>BUMI, BUMI RESOURCES, Bumi Resources, Bumi Resources Tbk, Bumi Resources Tbk., BumiResources, PT Bumi Resources, bumi resources</t>
  </si>
  <si>
    <t>BUVA, BUKIT ULUWATU VILLA, Bukit Uluwatu Villa, Bukit Uluwatu Villa Tbk, Bukit Uluwatu Villa Tbk., BukitUluwatuVilla, PT Bukit Uluwatu Villa, bukit uluwatu villa</t>
  </si>
  <si>
    <t>BVIC, BANK VICTORIA INTERNATIONAL, Bank International, Bank Victoria International, Bank Victoria International Tbk, Bank Victoria International Tbk., BankVictoriaInternational, International, PT Bank Victoria International, bank victoria international</t>
  </si>
  <si>
    <t>BWPT, EAGLE HIGH PLANTATIONS, Eagle High Plantations, Eagle High Plantations Tbk, Eagle High Plantations Tbk., EagleHighPlantations, PT Eagle High Plantations, eagle high plantations</t>
  </si>
  <si>
    <t>BYAN, BAYAN RESOURCES, Bayan Resources, Bayan Resources Tbk, Bayan Resources Tbk., BayanResources, PT Bayan Resources, bayan resources</t>
  </si>
  <si>
    <t>CAKK, CAHAYAPUTRA ASA KERAMIK, Cahayaputra Asa Keramik, Cahayaputra Asa Keramik Tbk, Cahayaputra Asa Keramik Tbk., CahayaputraAsaKeramik, PT Cahayaputra Asa Keramik, cahayaputra asa keramik</t>
  </si>
  <si>
    <t>CAMP, CAMPINA ICE CREAM INDUSTRY, Campina Ice Cream Industry, Campina Ice Cream Industry Tbk, Campina Ice Cream Industry Tbk., CampinaIceCreamIndustry, PT Campina Ice Cream Industry, campina ice cream industry</t>
  </si>
  <si>
    <t>CANI, CAPITOL NUSANTARA INDONESIA, Capitol Nusantara Indonesia, Capitol Nusantara Indonesia Tbk, Capitol Nusantara Indonesia Tbk., CapitolNusantaraIndonesia, PT Capitol Nusantara Indonesia, capitol nusantara indonesia</t>
  </si>
  <si>
    <t>CARE, METRO HEALTHCARE INDONESIA, Metro Healthcare Indonesia, Metro Healthcare Indonesia Tbk, Metro Healthcare Indonesia Tbk., MetroHealthcareIndonesia, PT Metro Healthcare Indonesia, metro healthcare indonesia</t>
  </si>
  <si>
    <t>CARS, INDUSTRI DAN PERDAGANGAN BINTRACO DHARMA, Industri dan Perdagangan Bintraco Dharma, Industri dan Perdagangan Bintraco Dharma Tbk, Industri dan Perdagangan Bintraco Dharma Tbk., IndustridanPerdaganganBintracoDharma, PT Industri dan Perdagangan Bintraco Dharma, industri dan perdagangan bintraco dharma</t>
  </si>
  <si>
    <t>CASA, CAPITAL FINANCIAL INDONESIA, Capital Financial Indonesia, Capital Financial Indonesia Tbk, Capital Financial Indonesia Tbk., CapitalFinancialIndonesia, PT Capital Financial Indonesia, capital financial indonesia</t>
  </si>
  <si>
    <t>CASH, CASHLEZ WORLDWIDE INDONESIA, Cashlez Worldwide Indonesia, Cashlez Worldwide Indonesia Tbk, Cashlez Worldwide Indonesia Tbk., CashlezWorldwideIndonesia, PT Cashlez Worldwide Indonesia, cashlez worldwide indonesia</t>
  </si>
  <si>
    <t>CASS, CAHAYA AERO SERVICES, Cahaya Aero Services, Cahaya Aero Services Tbk, Cahaya Aero Services Tbk., CahayaAeroServices, PT Cahaya Aero Services, cahaya aero services</t>
  </si>
  <si>
    <t>CBDK, BANGUN KOSAMBI SUKSES, Bangun Kosambi Sukses, Bangun Kosambi Sukses Tbk, Bangun Kosambi Sukses Tbk., BangunKosambiSukses, PT Bangun Kosambi Sukses, bangun kosambi sukses</t>
  </si>
  <si>
    <t>CBMF, CAHAYA BINTANG MEDAN, Cahaya Bintang Medan, Cahaya Bintang Medan Tbk, Cahaya Bintang Medan Tbk., CahayaBintangMedan, PT Cahaya Bintang Medan, cahaya bintang medan</t>
  </si>
  <si>
    <t>CBPE, CITRA BUANA PRASIDA, Citra Buana Prasida, Citra Buana Prasida Tbk, Citra Buana Prasida Tbk., CitraBuanaPrasida, PT Citra Buana Prasida, citra buana prasida</t>
  </si>
  <si>
    <t>CBRE, CAKRA BUANA RESOURCES ENERGI, Cakra Buana Resources Energi, Cakra Buana Resources Energi Tbk, Cakra Buana Resources Energi Tbk., CakraBuanaResourcesEnergi, PT Cakra Buana Resources Energi, cakra buana resources energi</t>
  </si>
  <si>
    <t>CBUT, CITRA BORNEO UTAMA, Citra Borneo Utama, Citra Borneo Utama Tbk, Citra Borneo Utama Tbk., CitraBorneoUtama, PT Citra Borneo Utama, citra borneo utama</t>
  </si>
  <si>
    <t>CCSI, COMMUNICATION CABLE SYSTEMS INDONESIA, Communication Cable Systems Indonesia, Communication Cable Systems Indonesia Tbk, Communication Cable Systems Indonesia Tbk., CommunicationCableSystemsIndonesia, PT Communication Cable Systems Indonesia, communication cable systems indonesia</t>
  </si>
  <si>
    <t>CDIA, CHANDRA DAYA INVESTASI, Chandra Daya Investasi, Chandra Daya Investasi Tbk, Chandra Daya Investasi Tbk., ChandraDayaInvestasi, PT Chandra Daya Investasi, chandra daya investasi</t>
  </si>
  <si>
    <t>CEKA, PT Wilmar Cahaya Indonesia, WILMAR CAHAYA INDONESIA, Wilmar Cahaya Indonesia, Wilmar Cahaya Indonesia Tbk, Wilmar Cahaya Indonesia Tbk., WilmarCahayaIndonesia, wilmar cahaya indonesia</t>
  </si>
  <si>
    <t>CENT, CENTRATAMA TELEKOMUNIKASI INDONESIA, Centratama Telekomunikasi Indonesia, Centratama Telekomunikasi Indonesia Tbk, Centratama Telekomunikasi Indonesia Tbk., CentratamaTelekomunikasiIndonesia, PT Centratama Telekomunikasi Indonesia, centratama telekomunikasi indonesia</t>
  </si>
  <si>
    <t>CFIN, CLIPAN FINANCE INDONESIA, Clipan Finance Indonesia, Clipan Finance Indonesia Tbk, Clipan Finance Indonesia Tbk., ClipanFinanceIndonesia, PT Clipan Finance Indonesia, clipan finance indonesia</t>
  </si>
  <si>
    <t>CGAS, CITRA NUSANTARA GEMILANG, Citra Nusantara Gemilang, Citra Nusantara Gemilang Tbk, Citra Nusantara Gemilang Tbk., CitraNusantaraGemilang, PT Citra Nusantara Gemilang, citra nusantara gemilang</t>
  </si>
  <si>
    <t>CHEK, DIASTIKA BIOTEKINDO, Diastika Biotekindo, Diastika Biotekindo Tbk, Diastika Biotekindo Tbk., DiastikaBiotekindo, PT Diastika Biotekindo, diastika biotekindo</t>
  </si>
  <si>
    <t>CHEM, CHEMSTAR INDONESIA, Chemstar Indonesia, Chemstar Indonesia Tbk, Chemstar Indonesia Tbk., ChemstarIndonesia, PT Chemstar Indonesia, chemstar indonesia</t>
  </si>
  <si>
    <t>CHIP, PELITA TEKNOLOGI GLOBAL, PT Pelita Teknologi Global, Pelita Teknologi Global, Pelita Teknologi Global Tbk, Pelita Teknologi Global Tbk., PelitaTeknologiGlobal, pelita teknologi global</t>
  </si>
  <si>
    <t>CINT, CHITOSE INTERNASIONAL, Chitose Internasional, Chitose Internasional Tbk, Chitose Internasional Tbk., ChitoseInternasional, PT Chitose Internasional, chitose internasional</t>
  </si>
  <si>
    <t>CITA, CITA MINERAL INVESTINDO, Cita Mineral Investindo, Cita Mineral Investindo Tbk, Cita Mineral Investindo Tbk., CitaMineralInvestindo, PT Cita Mineral Investindo, cita mineral investindo</t>
  </si>
  <si>
    <t>CITY, NATURA CITY DEVELOPMENTS, Natura City Developments, Natura City Developments Tbk, Natura City Developments Tbk., NaturaCityDevelopments, PT Natura City Developments, natura city developments</t>
  </si>
  <si>
    <t>CLAY, CITRA PUTRA REALTY, Citra Putra Realty, Citra Putra Realty Tbk, Citra Putra Realty Tbk., CitraPutraRealty, PT Citra Putra Realty, citra putra realty</t>
  </si>
  <si>
    <t>CLEO, PT Sariguna Primatirta, SARIGUNA PRIMATIRTA, Sariguna Primatirta, Sariguna Primatirta Tbk, Sariguna Primatirta Tbk., SarigunaPrimatirta, sariguna primatirta</t>
  </si>
  <si>
    <t>CLPI, COLORPAK INDONESIA, Colorpak Indonesia, Colorpak Indonesia Tbk, Colorpak Indonesia Tbk., ColorpakIndonesia, PT Colorpak Indonesia, colorpak indonesia</t>
  </si>
  <si>
    <t>CMNP, CITRA MARGA NUSAPHALA PERSADA, Citra Marga Nusaphala Persada, Citra Marga Nusaphala Persada Tbk, Citra Marga Nusaphala Persada Tbk., CitraMargaNusaphalaPersada, PT Citra Marga Nusaphala Persada, citra marga nusaphala persada</t>
  </si>
  <si>
    <t>CMNT, CEMINDO GEMILANG, Cemindo Gemilang, Cemindo Gemilang Tbk, Cemindo Gemilang Tbk., CemindoGemilang, PT Cemindo Gemilang, cemindo gemilang</t>
  </si>
  <si>
    <t>CMPP, AIRASIA INDONESIA, AirAsia Indonesia, AirAsia Indonesia Tbk, AirAsia Indonesia Tbk., AirAsiaIndonesia, PT AirAsia Indonesia, airasia indonesia</t>
  </si>
  <si>
    <t>CMRY, CISARUA MOUNTAIN DAIRY, Cisarua Mountain Dairy, Cisarua Mountain Dairy Tbk, Cisarua Mountain Dairy Tbk., CisaruaMountainDairy, PT Cisarua Mountain Dairy, cisarua mountain dairy</t>
  </si>
  <si>
    <t>CNKO, EXPLOITASI ENERGI INDONESIA, Exploitasi Energi Indonesia, Exploitasi Energi Indonesia Tbk, Exploitasi Energi Indonesia Tbk., ExploitasiEnergiIndonesia, PT Exploitasi Energi Indonesia, exploitasi energi indonesia</t>
  </si>
  <si>
    <t>CNMA, NUSANTARA SEJAHTERA RAYA, Nusantara Sejahtera Raya, Nusantara Sejahtera Raya Tbk, Nusantara Sejahtera Raya Tbk., NusantaraSejahteraRaya, PT Nusantara Sejahtera Raya, nusantara sejahtera raya</t>
  </si>
  <si>
    <t>CNTX, CENTURY TEXTILE INDUSTRY, Century Textile Industry, Century Textile Industry Tbk, Century Textile Industry Tbk., CenturyTextileIndustry, PT Century Textile Industry, century textile industry</t>
  </si>
  <si>
    <t>COAL, BLACK DIAMOND RESOURCES, Black Diamond Resources, Black Diamond Resources Tbk, Black Diamond Resources Tbk., BlackDiamondResources, PT Black Diamond Resources, black diamond resources</t>
  </si>
  <si>
    <t>COCO, PT Wahana Interfood Nusantara, WAHANA INTERFOOD NUSANTARA, Wahana Interfood Nusantara, Wahana Interfood Nusantara Tbk, Wahana Interfood Nusantara Tbk., WahanaInterfoodNusantara, wahana interfood nusantara</t>
  </si>
  <si>
    <t>COIN, INDOKRIO KOIN SEMESTA, Indokrio Koin Semesta, Indokrio Koin Semesta Tbk, IndokrioKoinSemesta, Indokripto Koin Semesta Tbk., PT Indokrio Koin Semesta, indokrio koin semesta</t>
  </si>
  <si>
    <t>COWL, COWELL DEVELOPMENT, Cowell Development, Cowell Development Tbk, Cowell Development Tbk., CowellDevelopment, PT Cowell Development, cowell development</t>
  </si>
  <si>
    <t>CPIN, CHAROEN POKPHAND INDONESIA, Charoen Pokphand Indonesia, Charoen Pokphand Indonesia Tbk, Charoen Pokphand Indonesia Tbk., CharoenPokphandIndonesia, PT Charoen Pokphand Indonesia, charoen pokphand indonesia</t>
  </si>
  <si>
    <t>CPRI, CAPRI NUSA SATU PROPERTI, Capri Nusa Satu Properti, Capri Nusa Satu Properti Tbk, Capri Nusa Satu Properti Tbk., CapriNusaSatuProperti, PT Capri Nusa Satu Properti, capri nusa satu properti</t>
  </si>
  <si>
    <t>CPRO, CENTRAL PROTEINA PRIMA, Central Proteina Prima, Central Proteina Prima Tbk, Central Proteina Prima Tbk., CentralProteinaPrima, PT Central Proteina Prima, central proteina prima</t>
  </si>
  <si>
    <t>CRAB, PT Toba Surimi Industries, TOBA SURIMI INDUSTRIES, Toba Surimi Industries, Toba Surimi Industries Tbk, Toba Surimi Industries Tbk., TobaSurimiIndustries, toba surimi industries</t>
  </si>
  <si>
    <t>CRSN, CARSURIN, Carsurin, Carsurin Tbk, Carsurin Tbk., PT Carsurin, carsurin</t>
  </si>
  <si>
    <t>CSAP, CATUR SENTOSA ADIPRANA, Catur Sentosa Adiprana, Catur Sentosa Adiprana Tbk, Catur Sentosa Adiprana Tbk., CaturSentosaAdiprana, PT Catur Sentosa Adiprana, catur sentosa adiprana</t>
  </si>
  <si>
    <t>CSIS, CAHAYASAKTI INVESTINDO SUKSES, Cahayasakti Investindo Sukses, Cahayasakti Investindo Sukses Tbk, Cahayasakti Investindo Sukses Tbk., CahayasaktiInvestindoSukses, PT Cahayasakti Investindo Sukses, cahayasakti investindo sukses</t>
  </si>
  <si>
    <t>CSMI, CIA SELERA MURNI, Cia Selera Murni, Cia Selera Murni Tbk, CiaSeleraMurni, Cipta Selera Murni Tbk., PT Cia Selera Murni, cia selera murni</t>
  </si>
  <si>
    <t>CSRA, CISADANE SAWIT RAYA, Cisadane Sawit Raya, Cisadane Sawit Raya Tbk, Cisadane Sawit Raya Tbk., CisadaneSawitRaya, PT Cisadane Sawit Raya, cisadane sawit raya</t>
  </si>
  <si>
    <t>CTBN, CITRA TUBINDO, Citra Tubindo, Citra Tubindo Tbk, Citra Tubindo Tbk., CitraTubindo, PT Citra Tubindo, citra tubindo</t>
  </si>
  <si>
    <t>CTRA, CIPUTRA DEVELOPMENT, Ciputra Development, Ciputra Development Tbk, Ciputra Development Tbk., CiputraDevelopment, PT Ciputra Development, ciputra development</t>
  </si>
  <si>
    <t>CTTH, CITATAH, Citatah, Citatah Tbk, Citatah Tbk., PT Citatah, citatah</t>
  </si>
  <si>
    <t>CUAN, PETRINDO JAYA KREASI, PT Petrindo Jaya Kreasi, Petrindo Jaya Kreasi, Petrindo Jaya Kreasi Tbk, Petrindo Jaya Kreasi Tbk., PetrindoJayaKreasi, petrindo jaya kreasi</t>
  </si>
  <si>
    <t>CYBR, ITSEC ASIA, ITSEC Asia, ITSEC Asia Tbk, ITSEC Asia Tbk., ITSECAsia, PT ITSEC Asia, itsec asia</t>
  </si>
  <si>
    <t>DAAZ, DAAZ BARA LESTARI, Daaz Bara Lestari, Daaz Bara Lestari Tbk, Daaz Bara Lestari Tbk., DaazBaraLestari, PT Daaz Bara Lestari, daaz bara lestari</t>
  </si>
  <si>
    <t>DADA, DIAMOND CITRA PROPERTINDO, Diamond Citra Propertindo, Diamond Citra Propertindo Tbk, Diamond Citra Propertindo Tbk., DiamondCitraPropertindo, PT Diamond Citra Propertindo, diamond citra propertindo</t>
  </si>
  <si>
    <t>DART, DUTA ANGGADA REALTY, Duta Anggada Realty, Duta Anggada Realty Tbk, Duta Anggada Realty Tbk., DutaAnggadaRealty, PT Duta Anggada Realty, duta anggada realty</t>
  </si>
  <si>
    <t>DATA, PT Remala Abadi, REMALA ABADI, Remala Abadi, Remala Abadi Tbk, Remala Abadi Tbk., RemalaAbadi, remala abadi</t>
  </si>
  <si>
    <t>DAYA, DUTA INTIDAYA, Duta Intidaya, Duta Intidaya Tbk, Duta Intidaya Tbk., DutaIntidaya, PT Duta Intidaya, duta intidaya</t>
  </si>
  <si>
    <t>DCII, DCI, DCI INDONESIA, DCI Indonesia, DCI Indonesia Tbk, DCI Indonesia Tbk., DCIIndonesia, PT DCI Indonesia, dci indonesia</t>
  </si>
  <si>
    <t>DEAL, DEWATA FREIGHTINTERNATIONAL, Dewata Freightinternational, Dewata Freightinternational Tbk, Dewata Freightinternational Tbk., DewataFreightinternational, PT Dewata Freightinternational, dewata freightinternational</t>
  </si>
  <si>
    <t>DEFI, DANASUPRA ERAPACIFIC, Danasupra Erapacific, Danasupra Erapacific Tbk, Danasupra Erapacific Tbk., DanasupraErapacific, PT Danasupra Erapacific, danasupra erapacific</t>
  </si>
  <si>
    <t>DEPO, CATURKARDA DEPO BANGUNAN, Caturkarda Depo Bangunan, Caturkarda Depo Bangunan Tbk, Caturkarda Depo Bangunan Tbk., CaturkardaDepoBangunan, PT Caturkarda Depo Bangunan, caturkarda depo bangunan</t>
  </si>
  <si>
    <t>DEWA, DARMA HENWA, Darma Henwa, Darma Henwa Tbk, Darma Henwa Tbk., DarmaHenwa, PT Darma Henwa, darma henwa</t>
  </si>
  <si>
    <t>DEWI, DEWI SHRI FARMINDO, Dewi Shri Farmindo, Dewi Shri Farmindo Tbk, Dewi Shri Farmindo Tbk., DewiShriFarmindo, PT Dewi Shri Farmindo, dewi shri farmindo</t>
  </si>
  <si>
    <t>DFAM, DAFAM PROPERTY INDONESIA, Dafam Property Indonesia, Dafam Property Indonesia Tbk, Dafam Property Indonesia Tbk., DafamPropertyIndonesia, PT Dafam Property Indonesia, dafam property indonesia</t>
  </si>
  <si>
    <t>DGIK, NUSA KONSTRUKSI ENJINIRING, Nusa Konstruksi Enjiniring, Nusa Konstruksi Enjiniring Tbk, Nusa Konstruksi Enjiniring Tbk., NusaKonstruksiEnjiniring, PT Nusa Konstruksi Enjiniring, nusa konstruksi enjiniring</t>
  </si>
  <si>
    <t>DGNS, Diagnos, DIAGNOS LABORATORIUM UTAMA, Diagnos Laboratorium Utama, Diagnos Laboratorium Utama Tbk, Diagnos Laboratorium Utama Tbk., DiagnosLaboratoriumUtama, PT Diagnos Laboratorium Utama, diagnos laboratorium utama</t>
  </si>
  <si>
    <t>DGWG, DELTA GIRI WACANA, Delta Giri Wacana, Delta Giri Wacana Tbk, Delta Giri Wacana Tbk., DeltaGiriWacana, PT Delta Giri Wacana, delta giri wacana</t>
  </si>
  <si>
    <t>DIGI, ARKADIA DIGITAL MEDIA, Arkadia Digital Media, Arkadia Digital Media Tbk, Arkadia Digital Media Tbk., ArkadiaDigitalMedia, PT Arkadia Digital Media, arkadia digital media</t>
  </si>
  <si>
    <t>DILD, INTILAND DEVELOPMENT, Intiland Development, Intiland Development Tbk, Intiland Development Tbk., IntilandDevelopment, PT Intiland Development, intiland development</t>
  </si>
  <si>
    <t>DIVA, DISTRIBUSI VOUCHER NUSANTARA, Distribusi Voucher Nusantara, Distribusi Voucher Nusantara Tbk, Distribusi Voucher Nusantara Tbk., DistribusiVoucherNusantara, PT Distribusi Voucher Nusantara, distribusi voucher nusantara</t>
  </si>
  <si>
    <t>DKFT, CENTRAL OMEGA RESOURCES, Central Omega Resources, Central Omega Resources Tbk, Central Omega Resources Tbk., CentralOmegaResources, PT Central Omega Resources, central omega resources</t>
  </si>
  <si>
    <t>DKHH, CIA SARANA MEDIKA, Cia Sarana Medika, Cia Sarana Medika Tbk, CiaSaranaMedika, Cipta Sarana Medika Tbk., PT Cia Sarana Medika, cia sarana medika</t>
  </si>
  <si>
    <t>DLTA, DELTA DJAKARTA, Delta Djakarta, Delta Djakarta Tbk, Delta Djakarta Tbk., DeltaDjakarta, PT Delta Djakarta, delta djakarta</t>
  </si>
  <si>
    <t>DMAS, PT Puradelta Lestari, PURADELTA LESTARI, Puradelta Lestari, Puradelta Lestari Tbk, Puradelta Lestari Tbk., PuradeltaLestari, puradelta lestari</t>
  </si>
  <si>
    <t>DMMX, DIGITAL MEDIATAMA MAXIMA, Digital Mediatama Maxima, Digital Mediatama Maxima Tbk, Digital Mediatama Maxima Tbk., DigitalMediatamaMaxima, PT Digital Mediatama Maxima, digital mediatama maxima</t>
  </si>
  <si>
    <t>DMND, DIAMOND FOOD INDONESIA, Diamond Food Indonesia, Diamond Food Indonesia Tbk, Diamond Food Indonesia Tbk., DiamondFoodIndonesia, PT Diamond Food Indonesia, diamond food indonesia</t>
  </si>
  <si>
    <t>DNAR, BANK OKE INDONESIA, Bank Oke Indonesia, Bank Oke Indonesia Tbk, Bank Oke Indonesia Tbk., BankOkeIndonesia, PT Bank Oke Indonesia, bank oke indonesia</t>
  </si>
  <si>
    <t>DNET, INDORITEL MAKMUR INTERNASIONAL, Indoritel Makmur Internasional, Indoritel Makmur Internasional Tbk, Indoritel Makmur Internasional Tbk., IndoritelMakmurInternasional, PT Indoritel Makmur Internasional, indoritel makmur internasional</t>
  </si>
  <si>
    <t>DOID, BUMA INTERNASIONAL GRUP, BUMA Internasional Grup, BUMA Internasional Grup Tbk, BUMA Internasional Grup Tbk., BUMAInternasionalGrup, PT BUMA Internasional Grup, buma internasional grup</t>
  </si>
  <si>
    <t>DOOH, ERA MEDIA SEJAHTERA, Era Media Sejahtera, Era Media Sejahtera Tbk, Era Media Sejahtera Tbk., EraMediaSejahtera, PT Era Media Sejahtera, era media sejahtera</t>
  </si>
  <si>
    <t>DOSS, GLOBAL SUKSES DIGITAL, Global Sukses Digital, Global Sukses Digital Tbk, Global Sukses Digital Tbk., GlobalSuksesDigital, PT Global Sukses Digital, global sukses digital</t>
  </si>
  <si>
    <t>DPNS, DUTA PERTIWI NUSANTARA, Duta Pertiwi Nusantara, Duta Pertiwi Nusantara Tbk, Duta Pertiwi Nusantara Tbk., DutaPertiwiNusantara, PT Duta Pertiwi Nusantara, duta pertiwi nusantara</t>
  </si>
  <si>
    <t>DPUM, DUA PUTRA UTAMA MAKMUR, Dua Putra Utama Makmur, Dua Putra Utama Makmur Tbk, Dua Putra Utama Makmur Tbk., DuaPutraUtamaMakmur, PT Dua Putra Utama Makmur, dua putra utama makmur</t>
  </si>
  <si>
    <t>DRMA, DHARMA POLIMETAL, Dharma Polimetal, Dharma Polimetal Tbk, Dharma Polimetal Tbk., DharmaPolimetal, PT Dharma Polimetal, dharma polimetal</t>
  </si>
  <si>
    <t>DSFI, DHARMA SAMUDERA FISHING INDUSTRIES, Dharma Samudera Fishing Industries, Dharma Samudera Fishing Industries Tbk, Dharma Samudera Fishing Industries Tbk., DharmaSamuderaFishingIndustries, PT Dharma Samudera Fishing Industries, dharma samudera fishing industries</t>
  </si>
  <si>
    <t>DSNG, DHARMA SATYA NUSANTARA, Dharma Satya Nusantara, Dharma Satya Nusantara Tbk, Dharma Satya Nusantara Tbk., DharmaSatyaNusantara, PT Dharma Satya Nusantara, dharma satya nusantara</t>
  </si>
  <si>
    <t>DSSA, DIAN SWASTATIKA SENTOSA, Dian Swastatika Sentosa, Dian Swastatika Sentosa Tbk, Dian Swastatika Sentosa Tbk., DianSwastatikaSentosa, PT Dian Swastatika Sentosa, dian swastatika sentosa</t>
  </si>
  <si>
    <t>DUCK, JAYA BERSAMA INDO, Jaya Bersama Indo, Jaya Bersama Indo Tbk, Jaya Bersama Indo Tbk., JayaBersamaIndo, PT Jaya Bersama Indo, jaya bersama indo</t>
  </si>
  <si>
    <t>DUTI, DUTA PERTIWI, Duta Pertiwi, Duta Pertiwi Tbk, Duta Pertiwi Tbk., DutaPertiwi, PT Duta Pertiwi, duta pertiwi</t>
  </si>
  <si>
    <t>DVLA, DARYA-VARIA LABORATORIA, Darya-Varia Laboratoria, Darya-Varia Laboratoria Tbk, Darya-Varia Laboratoria Tbk., Darya-VariaLaboratoria, PT Darya-Varia Laboratoria, darya-varia laboratoria</t>
  </si>
  <si>
    <t>DWGL, DWI GUNA LAKSANA, Dwi Guna Laksana, Dwi Guna Laksana Tbk, Dwi Guna Laksana Tbk., DwiGunaLaksana, PT Dwi Guna Laksana, dwi guna laksana</t>
  </si>
  <si>
    <t>DYAN, DYANDRA MEDIA INTERNATIONAL, Dyandra Media International, Dyandra Media International Tbk, Dyandra Media International Tbk., DyandraMediaInternational, PT Dyandra Media International, dyandra media international</t>
  </si>
  <si>
    <t>EAST, EASTPARC HOTEL, Eastparc Hotel, Eastparc Hotel Tbk, Eastparc Hotel Tbk., EastparcHotel, PT Eastparc Hotel, eastparc hotel</t>
  </si>
  <si>
    <t>ECII, ELECTRONIC CITY INDONESIA, Electronic City Indonesia, Electronic City Indonesia Tbk, Electronic City Indonesia Tbk., ElectronicCityIndonesia, PT Electronic City Indonesia, electronic city indonesia</t>
  </si>
  <si>
    <t>EDGE, INDOINTERNET, Indointernet, Indointernet Tbk, Indointernet Tbk., PT Indointernet, indointernet</t>
  </si>
  <si>
    <t>EKAD, EKADHARMA INTERNATIONAL, Ekadharma International, Ekadharma International Tbk, Ekadharma International Tbk., EkadharmaInternational, PT Ekadharma International, ekadharma international</t>
  </si>
  <si>
    <t>ELIT, DATA SINERGITAMA JAYA, Data Sinergitama Jaya, Data Sinergitama Jaya Tbk, Data Sinergitama Jaya Tbk., DataSinergitamaJaya, PT Data Sinergitama Jaya, data sinergitama jaya</t>
  </si>
  <si>
    <t>ELPI, PELAYARAN NASIONAL EKALYA PURNAMASARI, PT Pelayaran Nasional Ekalya Purnamasari, Pelayaran Nasional Ekalya Purnamasari, Pelayaran Nasional Ekalya Purnamasari Tbk, Pelayaran Nasional Ekalya Purnamasari Tbk., PelayaranNasionalEkalyaPurnamasari, pelayaran nasional ekalya purnamasari</t>
  </si>
  <si>
    <t>ELSA, ELNUSA, Elnusa, Elnusa Tbk, Elnusa Tbk., PT Elnusa, elnusa</t>
  </si>
  <si>
    <t>ELTY, BAKRIELAND DEVELOPMENT, Bakrieland Development, Bakrieland Development Tbk, Bakrieland Development Tbk., BakrielandDevelopment, PT Bakrieland Development, bakrieland development</t>
  </si>
  <si>
    <t>EMAS, MERDEKA GOLD RESOURCES, Merdeka Gold Resources, Merdeka Gold Resources Tbk, Merdeka Gold Resources Tbk., MerdekaGoldResources, PT Merdeka Gold Resources, merdeka gold resources</t>
  </si>
  <si>
    <t>EMDE, MEGAPOLITAN DEVELOPMENTS, Megapolitan Developments, Megapolitan Developments Tbk, Megapolitan Developments Tbk., MegapolitanDevelopments, PT Megapolitan Developments, megapolitan developments</t>
  </si>
  <si>
    <t>EMTK, ELANG MAHKOTA TEKNOLOGI, Elang Mahkota Teknologi, Elang Mahkota Teknologi Tbk, Elang Mahkota Teknologi Tbk., ElangMahkotaTeknologi, PT Elang Mahkota Teknologi, elang mahkota teknologi</t>
  </si>
  <si>
    <t>ENAK, CHAMP RESTO INDONESIA, Champ Resto Indonesia, Champ Resto Indonesia Tbk, Champ Resto Indonesia Tbk., ChampRestoIndonesia, PT Champ Resto Indonesia, champ resto indonesia</t>
  </si>
  <si>
    <t>ENRG, EMP, ENERGI MEGA PERSADA, Energi Mega Persada, Energi Mega Persada Tbk, Energi Mega Persada Tbk., EnergiMegaPersada, PT Energi Mega Persada, energi mega persada</t>
  </si>
  <si>
    <t>ENVY, ENVY TECHNOLOGIES INDONESIA, Envy Technologies Indonesia, Envy Technologies Indonesia Tbk, Envy Technologies Indonesia Tbk., EnvyTechnologiesIndonesia, PT Envy Technologies Indonesia, envy technologies indonesia</t>
  </si>
  <si>
    <t>ENZO, MORENZO ABADI PERKASA, Morenzo Abadi Perkasa, Morenzo Abadi Perkasa Tbk, Morenzo Abadi Perkasa Tbk., MorenzoAbadiPerkasa, PT Morenzo Abadi Perkasa, morenzo abadi perkasa</t>
  </si>
  <si>
    <t>EPAC, MEGALESTARI EPACK SENTOSARAYA, Megalestari Epack Sentosaraya, Megalestari Epack Sentosaraya Tbk, Megalestari Epack Sentosaraya Tbk., MegalestariEpackSentosaraya, PT Megalestari Epack Sentosaraya, megalestari epack sentosaraya</t>
  </si>
  <si>
    <t>EPMT, ENSEVAL PUTERA MEGATRADING, Enseval Putera Megatrading, Enseval Putera Megatrading Tbk, Enseval Putera Megatrading Tbk., EnsevalPuteraMegatrading, PT Enseval Putera Megatrading, enseval putera megatrading</t>
  </si>
  <si>
    <t>ERAA, ERAJAYA SWASEMBADA, Erajaya Swasembada, Erajaya Swasembada Tbk, Erajaya Swasembada Tbk., ErajayaSwasembada, PT Erajaya Swasembada, erajaya swasembada</t>
  </si>
  <si>
    <t>ERAL, PT Sinar Eka Selaras, SES, SINAR EKA SELARAS, Sinar Eka Selaras, Sinar Eka Selaras Tbk, Sinar Eka Selaras Tbk., SinarEkaSelaras, sinar eka selaras</t>
  </si>
  <si>
    <t>ERTX, ERATEX DJAJA, Eratex Djaja, Eratex Djaja Tbk, Eratex Djaja Tbk., EratexDjaja, PT Eratex Djaja, eratex djaja</t>
  </si>
  <si>
    <t>ESIP, PT Sinergi Inti Plastindo, SINERGI INTI PLASTINDO, Sinergi Inti Plastindo, Sinergi Inti Plastindo Tbk, Sinergi Inti Plastindo Tbk., SinergiIntiPlastindo, sinergi inti plastindo</t>
  </si>
  <si>
    <t>ESSA, ESSA INDUSTRIES INDONESIA, ESSA Industries Indonesia, ESSA Industries Indonesia Tbk, ESSA Industries Indonesia Tbk., ESSAIndustriesIndonesia, PT ESSA Industries Indonesia, essa industries indonesia</t>
  </si>
  <si>
    <t>ESTA, ESTA MULTI USAHA, Esta Multi Usaha, Esta Multi Usaha Tbk, Esta Multi Usaha Tbk., EstaMultiUsaha, PT Esta Multi Usaha, esta multi usaha</t>
  </si>
  <si>
    <t>ESTI, EVER SHINE TEX, Ever Shine Tex, Ever Shine Tex Tbk, Ever Shine Tex Tbk., EverShineTex, PT Ever Shine Tex, ever shine tex</t>
  </si>
  <si>
    <t>ETWA, ETERINDO WAHANATAMA, Eterindo Wahanatama, Eterindo Wahanatama Tbk, Eterindo Wahanatama Tbk., EterindoWahanatama, PT Eterindo Wahanatama, eterindo wahanatama</t>
  </si>
  <si>
    <t>EURO, ESTEE GOLD FEET, Estee Gold Feet, Estee Gold Feet Tbk, Estee Gold Feet Tbk., EsteeGoldFeet, PT Estee Gold Feet, estee gold feet</t>
  </si>
  <si>
    <t>EXCL, PT XLSMART Telecom Sejahtera, XLSMART TELECOM SEJAHTERA, XLSMART Telecom Sejahtera, XLSMART Telecom Sejahtera Tbk, XLSMART Telecom Sejahtera Tbk., XLSMARTTelecomSejahtera, XTS, xlsmart telecom sejahtera</t>
  </si>
  <si>
    <t>FAPA, FAP AGRI, FAP Agri, FAP Agri Tbk, FAP Agri Tbk., FAPAgri, PT FAP Agri, fap agri</t>
  </si>
  <si>
    <t>FAST, FAST FOOD INDONESIA, Fast Food Indonesia, Fast Food Indonesia Tbk, Fast Food Indonesia Tbk., FastFoodIndonesia, PT Fast Food Indonesia, fast food indonesia</t>
  </si>
  <si>
    <t>FASW, FAJAR SURYA WISESA, Fajar Surya Wisesa, Fajar Surya Wisesa Tbk, Fajar Surya Wisesa Tbk., FajarSuryaWisesa, PT Fajar Surya Wisesa, fajar surya wisesa</t>
  </si>
  <si>
    <t>FILM, MD ENTERTAINMENT, MD Entertainment, MD Entertainment Tbk, MD Entertainment Tbk., MDEntertainment, PT MD Entertainment, md entertainment</t>
  </si>
  <si>
    <t>FIMP, FIMPERKASA UTAMA, Fimperkasa Utama, Fimperkasa Utama Tbk, Fimperkasa Utama Tbk., FimperkasaUtama, PT Fimperkasa Utama, fimperkasa utama</t>
  </si>
  <si>
    <t>FIRE, ALFA ENERGI INVESTAMA, Alfa Energi Investama, Alfa Energi Investama Tbk, Alfa Energi Investama Tbk., AlfaEnergiInvestama, PT Alfa Energi Investama, alfa energi investama</t>
  </si>
  <si>
    <t>FISH, FKS MULTI AGRO, FKS Multi Agro, FKS Multi Agro Tbk, FKS Multi Agro Tbk., FKSMultiAgro, PT FKS Multi Agro, fks multi agro</t>
  </si>
  <si>
    <t>FITT, HOTEL FITRA INTERNATIONAL, Hotel Fitra International, Hotel Fitra International Tbk, Hotel Fitra International Tbk., HotelFitraInternational, PT Hotel Fitra International, hotel fitra international</t>
  </si>
  <si>
    <t>FLMC, FALMACO NONWOVEN INDUSTRI, Falmaco Nonwoven Industri, Falmaco Nonwoven Industri Tbk, Falmaco Nonwoven Industri Tbk., FalmacoNonwovenIndustri, PT Falmaco Nonwoven Industri, falmaco nonwoven industri</t>
  </si>
  <si>
    <t>FMII, FORTUNE MATE INDONESIA, Fortune Mate Indonesia, Fortune Mate Indonesia Tbk, Fortune Mate Indonesia Tbk., FortuneMateIndonesia, PT Fortune Mate Indonesia, fortune mate indonesia</t>
  </si>
  <si>
    <t>FOLK, MULTI GARAM UTAMA, Multi Garam Utama, Multi Garam Utama Tbk, Multi Garam Utama Tbk., MultiGaramUtama, PT Multi Garam Utama, multi garam utama</t>
  </si>
  <si>
    <t>FOOD, PT Sentra Food Indonesia, SENTRA FOOD INDONESIA, Sentra Food Indonesia, Sentra Food Indonesia Tbk, Sentra Food Indonesia Tbk., SentraFoodIndonesia, sentra food indonesia</t>
  </si>
  <si>
    <t>FORE, FORE KOPI INDONESIA, Fore Kopi Indonesia, Fore Kopi Indonesia Tbk, Fore Kopi Indonesia Tbk., ForeKopiIndonesia, PT Fore Kopi Indonesia, fore kopi indonesia</t>
  </si>
  <si>
    <t>FORU, FORTUNE INDONESIA, Fortune Indonesia, Fortune Indonesia Tbk, Fortune Indonesia Tbk., FortuneIndonesia, PT Fortune Indonesia, fortune indonesia</t>
  </si>
  <si>
    <t>FPNI, LOTTE CHEMICAL TITAN, Lotte Chemical Titan, Lotte Chemical Titan Tbk, Lotte Chemical Titan Tbk., LotteChemicalTitan, PT Lotte Chemical Titan, lotte chemical titan</t>
  </si>
  <si>
    <t>FREN, PT Smartfren Telecom, SMARTFREN TELECOM, Smartfren Telecom, Smartfren Telecom Tbk, Smartfren Telecom Tbk., SmartfrenTelecom, smartfren telecom</t>
  </si>
  <si>
    <t>FUJI, FUJI FINANCE INDONESIA, Fuji Finance Indonesia, Fuji Finance Indonesia Tbk, Fuji Finance Indonesia Tbk., FujiFinanceIndonesia, PT Fuji Finance Indonesia, fuji finance indonesia</t>
  </si>
  <si>
    <t>FUTR, FUTURA ENERGI GLOBAL, Futura Energi Global, Futura Energi Global Tbk, Futura Energi Global Tbk., FuturaEnergiGlobal, PT Futura Energi Global, futura energi global</t>
  </si>
  <si>
    <t>FWCT, PT Wijaya Cahaya Timber, WCT, WIJAYA CAHAYA TIMBER, Wijaya Cahaya Timber, Wijaya Cahaya Timber Tbk, Wijaya Cahaya Timber Tbk., WijayaCahayaTimber, wijaya cahaya timber</t>
  </si>
  <si>
    <t>GAMA, AKSARA GLOBAL DEVELOPMENT, Aksara Global Development, Aksara Global Development Tbk, Aksara Global Development Tbk., AksaraGlobalDevelopment, PT Aksara Global Development, aksara global development</t>
  </si>
  <si>
    <t>GDST, GUNAWAN DIANJAYA STEEL, Gunawan Dianjaya Steel, Gunawan Dianjaya Steel Tbk, Gunawan Dianjaya Steel Tbk., GunawanDianjayaSteel, PT Gunawan Dianjaya Steel, gunawan dianjaya steel</t>
  </si>
  <si>
    <t>GDYR, GI, GOODYEAR INDONESIA, Goodyear Indonesia, Goodyear Indonesia Tbk, Goodyear Indonesia Tbk., GoodyearIndonesia, PT Goodyear Indonesia, goodyear indonesia</t>
  </si>
  <si>
    <t>GEMA, GEMA GRAHASARANA, Gema Grahasarana, Gema Grahasarana Tbk, Gema Grahasarana Tbk., GemaGrahasarana, PT Gema Grahasarana, gema grahasarana</t>
  </si>
  <si>
    <t>GEMS, GOLDEN ENERGY MINES, Golden Energy Mines, Golden Energy Mines Tbk, Golden Energy Mines Tbk., GoldenEnergyMines, PT Golden Energy Mines, golden energy mines</t>
  </si>
  <si>
    <t>GGRM, GUDANG GARAM, Gudang Garam, Gudang Garam Tbk, Gudang Garam Tbk., GudangGaram, PT Gudang Garam, gudang garam</t>
  </si>
  <si>
    <t>GGRP, GUNUNG RAJA PAKSI, Gunung Raja Paksi, Gunung Raja Paksi Tbk, Gunung Raja Paksi Tbk., GunungRajaPaksi, PT Gunung Raja Paksi, gunung raja paksi</t>
  </si>
  <si>
    <t>GHON, GIHON TELEKOMUNIKASI INDONESIA, GTI, Gihon Telekomunikasi Indonesia, Gihon Telekomunikasi Indonesia Tbk, Gihon Telekomunikasi Indonesia Tbk., GihonTelekomunikasiIndonesia, PT Gihon Telekomunikasi Indonesia, gihon telekomunikasi indonesia</t>
  </si>
  <si>
    <t>GIAA, GARUDA INDONESIA (PERSERO), Garuda Indonesia (Persero), Garuda Indonesia (Persero) Tbk, Garuda Indonesia (Persero) Tbk., GarudaIndonesia(Persero), PT Garuda Indonesia (Persero), garuda indonesia (persero)</t>
  </si>
  <si>
    <t>GJTL, GAJAH TUNGGAL, Gajah Tunggal, Gajah Tunggal Tbk, Gajah Tunggal Tbk., GajahTunggal, PT Gajah Tunggal, gajah tunggal</t>
  </si>
  <si>
    <t>GLOB, GLOBE KITA TERANG, Globe Kita Terang, Globe Kita Terang Tbk, Globe Kita Terang Tbk., GlobeKitaTerang, PT Globe Kita Terang, globe kita terang</t>
  </si>
  <si>
    <t>GLVA, GALVA TECHNOLOGIES, Galva Technologies, Galva Technologies Tbk, Galva Technologies Tbk., GalvaTechnologies, PT Galva Technologies, galva technologies</t>
  </si>
  <si>
    <t>GMFI, GARUDA MAINTENANCE FACILITY AERO ASIA, Garuda Maintenance Facility Aero Asia, Garuda Maintenance Facility Aero Asia Tbk, Garuda Maintenance Facility Aero Asia Tbk., GarudaMaintenanceFacilityAeroAsia, PT Garuda Maintenance Facility Aero Asia, garuda maintenance facility aero asia</t>
  </si>
  <si>
    <t>GMTD, GOWA MAKASSAR TOURISM DEVELOPMENT, Gowa Makassar Tourism Development, Gowa Makassar Tourism Development Tbk, Gowa Makassar Tourism Development Tbk., GowaMakassarTourismDevelopment, PT Gowa Makassar Tourism Development, gowa makassar tourism development</t>
  </si>
  <si>
    <t>GOLD, PT Visi Telekomunikasi Infrastruktur, VISI TELEKOMUNIKASI INFRASTRUKTUR, Visi Telekomunikasi Infrastruktur, Visi Telekomunikasi Infrastruktur Tbk, Visi Telekomunikasi Infrastruktur Tbk., VisiTelekomunikasiInfrastruktur, visi telekomunikasi infrastruktur</t>
  </si>
  <si>
    <t>GOLF, INTRA GOLFLINK RESORTS, Intra Golflink Resorts, Intra Golflink Resorts Tbk, Intra Golflink Resorts Tbk., IntraGolflinkResorts, PT Intra Golflink Resorts, intra golflink resorts</t>
  </si>
  <si>
    <t>GOLL, GOLDEN PLANTATION, Golden Plantation, Golden Plantation Tbk, Golden Plantation Tbk., GoldenPlantation, PT Golden Plantation, golden plantation</t>
  </si>
  <si>
    <t>GOOD, GARUDAFOOD PUTRA PUTRI JAYA, Garudafood Putra Putri Jaya, Garudafood Putra Putri Jaya Tbk, Garudafood Putra Putri Jaya Tbk., GarudafoodPutraPutriJaya, PT Garudafood Putra Putri Jaya, garudafood putra putri jaya</t>
  </si>
  <si>
    <t>GOTO, GOTO GOJEK TOKOPEDIA, GoTo Gojek Tokopedia, GoTo Gojek Tokopedia Tbk, GoTo Gojek Tokopedia Tbk., GoToGojekTokopedia, PT GoTo Gojek Tokopedia, goto gojek tokopedia</t>
  </si>
  <si>
    <t>GPRA, PERDANA GAPURAPRIMA, PT Perdana Gapuraprima, Perdana Gapuraprima, Perdana Gapuraprima Tbk, Perdana Gapuraprima Tbk., PerdanaGapuraprima, perdana gapuraprima</t>
  </si>
  <si>
    <t>GPSO, GEOPRIMA SOLUSI, Geoprima Solusi, Geoprima Solusi Tbk, Geoprima Solusi Tbk., GeoprimaSolusi, PT Geoprima Solusi, geoprima solusi</t>
  </si>
  <si>
    <t>GRIA, INGRIA PRATAMA CAPITALINDO, Ingria Pratama Capitalindo, Ingria Pratama Capitalindo Tbk, Ingria Pratama Capitalindo Tbk., IngriaPratamaCapitalindo, PT Ingria Pratama Capitalindo, ingria pratama capitalindo</t>
  </si>
  <si>
    <t>GRPH, GRIHA PUTRA PERSADA, Griha Putra Persada, Griha Putra Persada Tbk, GrihaPutraPersada, Griptha Putra Persada Tbk., PT Griha Putra Persada, griha putra persada</t>
  </si>
  <si>
    <t>GRPM, GRAHA PRIMA MENTARI, Graha Prima Mentari, Graha Prima Mentari Tbk, Graha Prima Mentari Tbk., GrahaPrimaMentari, PT Graha Prima Mentari, graha prima mentari</t>
  </si>
  <si>
    <t>GSMF, EQUITY DEVELOPMENT INVESTMENT, Equity Development Investment, Equity Development Investment Tbk, Equity Development Investment Tbk., EquityDevelopmentInvestment, PT Equity Development Investment, equity development investment</t>
  </si>
  <si>
    <t>GTBO, GARDA TUJUH BUANA, Garda Tujuh Buana, Garda Tujuh Buana Tbk, Garda Tujuh Buana Tbk., GardaTujuhBuana, PT Garda Tujuh Buana, garda tujuh buana</t>
  </si>
  <si>
    <t>GTRA, GRAHAPRIMA SUKSESMANDIRI, Grahaprima Suksesmandiri, Grahaprima Suksesmandiri Tbk, Grahaprima Suksesmandiri Tbk., GrahaprimaSuksesmandiri, PT Grahaprima Suksesmandiri, grahaprima suksesmandiri</t>
  </si>
  <si>
    <t>GTSI, GTS INTERNASIONAL, GTS Internasional, GTS Internasional Tbk, GTS Internasional Tbk., GTSInternasional, PT GTS Internasional, gts internasional</t>
  </si>
  <si>
    <t>GULA, AMAN AGRINDO, Aman Agrindo, Aman Agrindo Tbk, Aman Agrindo Tbk., AmanAgrindo, PT Aman Agrindo, aman agrindo</t>
  </si>
  <si>
    <t>GUNA, GUNANUSA ERAMANDIRI, Gunanusa Eramandiri, Gunanusa Eramandiri Tbk, Gunanusa Eramandiri Tbk., GunanusaEramandiri, PT Gunanusa Eramandiri, gunanusa eramandiri</t>
  </si>
  <si>
    <t>GWSA, GREENWOOD SEJAHTERA, Greenwood Sejahtera, Greenwood Sejahtera Tbk, Greenwood Sejahtera Tbk., GreenwoodSejahtera, PT Greenwood Sejahtera, greenwood sejahtera</t>
  </si>
  <si>
    <t>GZCO, GOZCO PLANTATIONS, Gozco Plantations, Gozco Plantations Tbk, Gozco Plantations Tbk., GozcoPlantations, PT Gozco Plantations, gozco plantations</t>
  </si>
  <si>
    <t>HADE, HIMALAYA ENERGI PERKASA, Himalaya Energi Perkasa, Himalaya Energi Perkasa Tbk, Himalaya Energi Perkasa Tbk., HimalayaEnergiPerkasa, PT Himalaya Energi Perkasa, himalaya energi perkasa</t>
  </si>
  <si>
    <t>HAIS, HASNUR INTERNASIONAL SHIPPING, Hasnur Internasional Shipping, Hasnur Internasional Shipping Tbk, Hasnur Internasional Shipping Tbk., HasnurInternasionalShipping, PT Hasnur Internasional Shipping, hasnur internasional shipping</t>
  </si>
  <si>
    <t>HAJJ, ARSY BUANA TRAVELINDO, Arsy Buana Travelindo, Arsy Buana Travelindo Tbk, Arsy Buana Travelindo Tbk., ArsyBuanaTravelindo, PT Arsy Buana Travelindo, arsy buana travelindo</t>
  </si>
  <si>
    <t>HALO, HALONI JANE, Haloni Jane, Haloni Jane Tbk, Haloni Jane Tbk., HaloniJane, PT Haloni Jane, haloni jane</t>
  </si>
  <si>
    <t>HATM, HABCO TRANS MARITIMA, Habco Trans Maritima, Habco Trans Maritima Tbk, Habco Trans Maritima Tbk., HabcoTransMaritima, PT Habco Trans Maritima, habco trans maritima</t>
  </si>
  <si>
    <t>HBAT, MINAHASA MEMBANGUN HEBAT, Minahasa Membangun Hebat, Minahasa Membangun Hebat Tbk, Minahasa Membangun Hebat Tbk., MinahasaMembangunHebat, PT Minahasa Membangun Hebat, minahasa membangun hebat</t>
  </si>
  <si>
    <t>HDFA, PT Radana Bhaskara Finance, RADANA BHASKARA FINANCE, Radana Bhaskara Finance, Radana Bhaskara Finance Tbk, Radana Bhaskara Finance Tbk., RadanaBhaskaraFinance, radana bhaskara finance</t>
  </si>
  <si>
    <t>HDIT, HENSEL DAVEST INDONESIA, Hensel Davest Indonesia, Hensel Davest Indonesia Tbk, Hensel Davest Indonesia Tbk., HenselDavestIndonesia, PT Hensel Davest Indonesia, hensel davest indonesia</t>
  </si>
  <si>
    <t>HEAL, MEDIKALOKA HERMINA, Medikaloka Hermina, Medikaloka Hermina Tbk, Medikaloka Hermina Tbk., MedikalokaHermina, PT Medikaloka Hermina, medikaloka hermina</t>
  </si>
  <si>
    <t>HELI, JAYA TRISHINDO, Jaya Trishindo, Jaya Trishindo Tbk, Jaya Trishindo Tbk., JayaTrishindo, PT Jaya Trishindo, jaya trishindo</t>
  </si>
  <si>
    <t>HERO, DFI RETAIL NUSANTARA, DFI Retail Nusantara, DFI Retail Nusantara Tbk, DFI Retail Nusantara Tbk., DFIRetailNusantara, PT DFI Retail Nusantara, dfi retail nusantara</t>
  </si>
  <si>
    <t>HEXA, HEXINDO ADIPERKASA, Hexindo Adiperkasa, Hexindo Adiperkasa Tbk, Hexindo Adiperkasa Tbk., HexindoAdiperkasa, PT Hexindo Adiperkasa, hexindo adiperkasa</t>
  </si>
  <si>
    <t>HGII, HERO GLOBAL INVESTMENT, Hero Global Investment, Hero Global Investment Tbk, Hero Global Investment Tbk., HeroGlobalInvestment, PT Hero Global Investment, hero global investment</t>
  </si>
  <si>
    <t>HILL, HILLCON, Hillcon, Hillcon Tbk, Hillcon Tbk., PT Hillcon, hillcon</t>
  </si>
  <si>
    <t>HITS, HUMPUSS INTERMODA TRANSPORTASI, Humpuss Intermoda Transportasi, Humpuss Intermoda Transportasi Tbk, Humpuss Intermoda Transportasi Tbk., HumpussIntermodaTransportasi, PT Humpuss Intermoda Transportasi, humpuss intermoda transportasi</t>
  </si>
  <si>
    <t>HKMU, HK METALS UTAMA, HK Metals Utama, HK Metals Utama Tbk, HK Metals Utama Tbk., HKMetalsUtama, PT HK Metals Utama, hk metals utama</t>
  </si>
  <si>
    <t>HMSP, H.M. SAMPOERNA, H.M. Sampoerna, H.M. Sampoerna Tbk, H.M. Sampoerna Tbk., H.M.Sampoerna, PT H.M. Sampoerna, h.m. sampoerna</t>
  </si>
  <si>
    <t>HOKI, BUYUNG POETRA SEMBADA, Buyung Poetra Sembada, Buyung Poetra Sembada Tbk, Buyung Poetra Sembada Tbk., BuyungPoetraSembada, PT Buyung Poetra Sembada, buyung poetra sembada</t>
  </si>
  <si>
    <t>HOME, HOTEL MANDARINE REGENCY, Hotel Mandarine Regency, Hotel Mandarine Regency Tbk, Hotel Mandarine Regency Tbk., HotelMandarineRegency, PT Hotel Mandarine Regency, hotel mandarine regency</t>
  </si>
  <si>
    <t>HOMI, GRAND HOUSE MULIA, Grand House Mulia, Grand House Mulia Tbk, Grand House Mulia Tbk., GrandHouseMulia, PT Grand House Mulia, grand house mulia</t>
  </si>
  <si>
    <t>HOPE, HARAPAN DUTA PERTIWI, Harapan Duta Pertiwi, Harapan Duta Pertiwi Tbk, Harapan Duta Pertiwi Tbk., HarapanDutaPertiwi, PT Harapan Duta Pertiwi, harapan duta pertiwi</t>
  </si>
  <si>
    <t>HOTL, PT Saraswati Griya Lestari, SARASWATI GRIYA LESTARI, Saraswati Griya Lestari, Saraswati Griya Lestari Tbk, Saraswati Griya Lestari Tbk., SaraswatiGriyaLestari, saraswati griya lestari</t>
  </si>
  <si>
    <t>HRME, MENTENG HERITAGE REALTY, MHR, Menteng Heritage Realty, Menteng Heritage Realty Tbk, Menteng Heritage Realty Tbk., MentengHeritageRealty, PT Menteng Heritage Realty, menteng heritage realty</t>
  </si>
  <si>
    <t>HRTA, HARTADINATA ABADI, Hartadinata Abadi, Hartadinata Abadi Tbk, Hartadinata Abadi Tbk., HartadinataAbadi, PT Hartadinata Abadi, hartadinata abadi</t>
  </si>
  <si>
    <t>HRUM, HARUM ENERGY, Harum Energy, Harum Energy Tbk, Harum Energy Tbk., HarumEnergy, PT Harum Energy, harum energy</t>
  </si>
  <si>
    <t>HUMI, HUMPUSS MARITIM INTERNASIONAL, Humpuss Maritim Internasional, Humpuss Maritim Internasional Tbk, Humpuss Maritim Internasional Tbk., HumpussMaritimInternasional, PT Humpuss Maritim Internasional, humpuss maritim internasional</t>
  </si>
  <si>
    <t>HYGN, ECOCARE INDO PASIFIK, Ecocare Indo Pasifik, Ecocare Indo Pasifik Tbk, Ecocare Indo Pasifik Tbk., EcocareIndoPasifik, PT Ecocare Indo Pasifik, ecocare indo pasifik</t>
  </si>
  <si>
    <t>IATA, MNC ENERGY INVESTMENTS, MNC Energy Investments, MNC Energy Investments Tbk, MNC Energy Investments Tbk., MNCEnergyInvestments, PT MNC Energy Investments, mnc energy investments</t>
  </si>
  <si>
    <t>IBFN, INTAN BARU PRANA, Intan Baru Prana, Intan Baru Prana Tbk, Intan Baru Prana Tbk., IntanBaruPrana, PT Intan Baru Prana, intan baru prana</t>
  </si>
  <si>
    <t>IBOS, INDO BOGA SUKSES, Indo Boga Sukses, Indo Boga Sukses Tbk, Indo Boga Sukses Tbk., IndoBogaSukses, PT Indo Boga Sukses, indo boga sukses</t>
  </si>
  <si>
    <t>IBST, INTI BANGUN SEJAHTERA, Inti Bangun Sejahtera, Inti Bangun Sejahtera Tbk, Inti Bangun Sejahtera Tbk., IntiBangunSejahtera, PT Inti Bangun Sejahtera, inti bangun sejahtera</t>
  </si>
  <si>
    <t>ICBP, INDOFOOD CBP SUKSES MAKMUR, Indofood CBP Sukses Makmur, Indofood CBP Sukses Makmur Tbk, Indofood CBP Sukses Makmur Tbk., IndofoodCBPSuksesMakmur, PT Indofood CBP Sukses Makmur, indofood cbp sukses makmur</t>
  </si>
  <si>
    <t>ICON, ISLAND CONCES INDONESIA, Island Concepts Indonesia Tbk., Island Conces Indonesia, Island Conces Indonesia Tbk, IslandConcesIndonesia, PT Island Conces Indonesia, island conces indonesia</t>
  </si>
  <si>
    <t>IDEA, IDEA INDONESIA AKADEMI, Idea Indonesia Akademi, Idea Indonesia Akademi Tbk, Idea Indonesia Akademi Tbk., IdeaIndonesiaAkademi, PT Idea Indonesia Akademi, idea indonesia akademi</t>
  </si>
  <si>
    <t>IDPR, INDONESIA PONDASI RAYA, Indonesia Pondasi Raya, Indonesia Pondasi Raya Tbk, Indonesia Pondasi Raya Tbk., IndonesiaPondasiRaya, PT Indonesia Pondasi Raya, indonesia pondasi raya</t>
  </si>
  <si>
    <t>IFII, INDONESIA FIBREBOARD INDUSTRY, Indonesia Fibreboard Industry, Indonesia Fibreboard Industry Tbk, Indonesia Fibreboard Industry Tbk., IndonesiaFibreboardIndustry, PT Indonesia Fibreboard Industry, indonesia fibreboard industry</t>
  </si>
  <si>
    <t>IFSH, IFISHDECO, Ifishdeco, Ifishdeco Tbk, Ifishdeco Tbk., PT Ifishdeco, ifishdeco</t>
  </si>
  <si>
    <t>IGAR, CHAMPION PACIFIC INDONESIA, Champion Pacific Indonesia, Champion Pacific Indonesia Tbk, Champion Pacific Indonesia Tbk., ChampionPacificIndonesia, PT Champion Pacific Indonesia, champion pacific indonesia</t>
  </si>
  <si>
    <t>IIKP, INTI AGRI RESOURCES, Inti Agri Resources, Inti Agri Resources Tbk, Inti Agri Resources Tbk., IntiAgriResources, PT Inti Agri Resources, inti agri resources</t>
  </si>
  <si>
    <t>IKAI, INTIKERAMIK ALAMASRI INDUSTRI, Intikeramik Alamasri Industri, Intikeramik Alamasri Industri Tbk, Intikeramik Alamasri Industri Tbk., IntikeramikAlamasriIndustri, PT Intikeramik Alamasri Industri, intikeramik alamasri industri</t>
  </si>
  <si>
    <t>IKAN, ERA MANDIRI CEMERLANG, Era Mandiri Cemerlang, Era Mandiri Cemerlang Tbk, Era Mandiri Cemerlang Tbk., EraMandiriCemerlang, PT Era Mandiri Cemerlang, era mandiri cemerlang</t>
  </si>
  <si>
    <t>IKBI, PT Sumi Indo Kabel, SUMI INDO KABEL, Sumi Indo Kabel, Sumi Indo Kabel Tbk, Sumi Indo Kabel Tbk., SumiIndoKabel, sumi indo kabel</t>
  </si>
  <si>
    <t>IKPM, IKAPHARMINDO PUTRAMAS, Ikapharmindo Putramas, Ikapharmindo Putramas Tbk, Ikapharmindo Putramas Tbk., IkapharmindoPutramas, PT Ikapharmindo Putramas, ikapharmindo putramas</t>
  </si>
  <si>
    <t>IMAS, INDOMOBIL SUKSES INTERNASIONAL, Indomobil Sukses Internasional, Indomobil Sukses Internasional Tbk, Indomobil Sukses Internasional Tbk., IndomobilSuksesInternasional, PT Indomobil Sukses Internasional, indomobil sukses internasional</t>
  </si>
  <si>
    <t>IMJS, INDOMOBIL MULTI JASA, Indomobil Multi Jasa, Indomobil Multi Jasa Tbk, Indomobil Multi Jasa Tbk., IndomobilMultiJasa, PT Indomobil Multi Jasa, indomobil multi jasa</t>
  </si>
  <si>
    <t>IMPC, IMPACK PRATAMA INDUSTRI, Impack Pratama Industri, Impack Pratama Industri Tbk, Impack Pratama Industri Tbk., ImpackPratamaIndustri, PT Impack Pratama Industri, impack pratama industri</t>
  </si>
  <si>
    <t>INAF, INDOFARMA, Indofarma, Indofarma Tbk, Indofarma Tbk., PT Indofarma, indofarma</t>
  </si>
  <si>
    <t>INAI, INDAL ALUMINIUM INDUSTRY, Indal Aluminium Industry, Indal Aluminium Industry Tbk, Indal Aluminium Industry Tbk., IndalAluminiumIndustry, PT Indal Aluminium Industry, indal aluminium industry</t>
  </si>
  <si>
    <t>INCF, INDO KOMODITI KORPORA, Indo Komoditi Korpora, Indo Komoditi Korpora Tbk, Indo Komoditi Korpora Tbk., IndoKomoditiKorpora, PT Indo Komoditi Korpora, indo komoditi korpora</t>
  </si>
  <si>
    <t>INCI, INTANWIJAYA INTERNASIONAL, Intanwijaya Internasional, Intanwijaya Internasional Tbk, Intanwijaya Internasional Tbk., IntanwijayaInternasional, PT Intanwijaya Internasional, intanwijaya internasional</t>
  </si>
  <si>
    <t>INCO, PT Vale Indonesia, VALE INDONESIA, Vale Indonesia, Vale Indonesia Tbk, Vale Indonesia Tbk., ValeIndonesia, vale indonesia</t>
  </si>
  <si>
    <t>INDF, INDOFOOD SUKSES MAKMUR, Indofood Sukses Makmur, Indofood Sukses Makmur Tbk, Indofood Sukses Makmur Tbk., IndofoodSuksesMakmur, PT Indofood Sukses Makmur, indofood sukses makmur</t>
  </si>
  <si>
    <t>INDO, PT Royalindo Investa Wijaya, ROYALINDO INVESTA WIJAYA, Royalindo Investa Wijaya, Royalindo Investa Wijaya Tbk, Royalindo Investa Wijaya Tbk., RoyalindoInvestaWijaya, royalindo investa wijaya</t>
  </si>
  <si>
    <t>INDR, INDORAMA SYNTHETICS, Indorama Synthetics, Indorama Synthetics Tbk, Indorama Synthetics Tbk., IndoramaSynthetics, PT Indorama Synthetics, indorama synthetics</t>
  </si>
  <si>
    <t>INDS, INDOSPRING, Indospring, Indospring Tbk, Indospring Tbk., PT Indospring, indospring</t>
  </si>
  <si>
    <t>INDX, PT Tanah Laut, TANAH LAUT, Tanah Laut, Tanah Laut Tbk, Tanah Laut Tbk., TanahLaut, tanah laut</t>
  </si>
  <si>
    <t>INDY, INDIKA ENERGY, Indika Energy, Indika Energy Tbk, Indika Energy Tbk., IndikaEnergy, PT Indika Energy, indika energy</t>
  </si>
  <si>
    <t>INET, PT Sinergi Inti Andalan Prima, SINERGI INTI ANDALAN PRIMA, Sinergi Inti Andalan Prima, Sinergi Inti Andalan Prima Tbk, Sinergi Inti Andalan Prima Tbk., SinergiIntiAndalanPrima, sinergi inti andalan prima</t>
  </si>
  <si>
    <t>INKP, INDAH KIAT PULP &amp; PAPER, Indah Kiat Pulp &amp; Paper, Indah Kiat Pulp &amp; Paper Tbk, Indah Kiat Pulp &amp; Paper Tbk., IndahKiatPulp&amp;Paper, PT Indah Kiat Pulp &amp; Paper, indah kiat pulp &amp; paper</t>
  </si>
  <si>
    <t>INOV, INOCYCLE TECHNOLOGY GROUP, Inocycle Technology Group, Inocycle Technology Group Tbk, Inocycle Technology Group Tbk., InocycleTechnologyGroup, PT Inocycle Technology Group, inocycle technology group</t>
  </si>
  <si>
    <t>INPC, BANK ARTHA GRAHA INTERNASIONAL, Bank Artha Graha, Bank Artha Graha Internasional, Bank Artha Graha Internasional Tbk, Bank Artha Graha Internasional Tbk., Bank Internasional, BankArthaGrahaInternasional, Internasional, PT Bank Artha Graha Internasional, bank artha graha internasional</t>
  </si>
  <si>
    <t>INPP, INDONESIAN PARADISE PROPERTY, Indonesian Paradise Property, Indonesian Paradise Property Tbk, Indonesian Paradise Property Tbk., IndonesianParadiseProperty, PT Indonesian Paradise Property, indonesian paradise property</t>
  </si>
  <si>
    <t>INPS, INDAH PRAKASA SENTOSA, Indah Prakasa Sentosa, Indah Prakasa Sentosa Tbk, Indah Prakasa Sentosa Tbk., IndahPrakasaSentosa, PT Indah Prakasa Sentosa, indah prakasa sentosa</t>
  </si>
  <si>
    <t>INRU, PT Toba Pulp Lestari, TOBA PULP LESTARI, Toba Pulp Lestari, Toba Pulp Lestari Tbk, Toba Pulp Lestari Tbk., TobaPulpLestari, toba pulp lestari</t>
  </si>
  <si>
    <t>INTA, INTRACO PENTA, Intraco Penta, Intraco Penta Tbk, Intraco Penta Tbk., IntracoPenta, PT Intraco Penta, intraco penta</t>
  </si>
  <si>
    <t>INTD, INTER DELTA, Inter Delta, Inter Delta Tbk, Inter Delta Tbk., InterDelta, PT Inter Delta, inter delta</t>
  </si>
  <si>
    <t>INTP, INDOCEMENT TUNGGAL PRAKARSA, Indocement Tunggal Prakarsa, Indocement Tunggal Prakarsa Tbk, Indocement Tunggal Prakarsa Tbk., IndocementTunggalPrakarsa, PT Indocement Tunggal Prakarsa, indocement tunggal prakarsa</t>
  </si>
  <si>
    <t>IOTF, PT Sumber Sinergi Makmur, SUMBER SINERGI MAKMUR, Sumber Sinergi Makmur, Sumber Sinergi Makmur Tbk, Sumber Sinergi Makmur Tbk., SumberSinergiMakmur, sumber sinergi makmur</t>
  </si>
  <si>
    <t>IPAC, ERA GRAHAREALTY, Era Graharealty, Era Graharealty Tbk, Era Graharealty Tbk., EraGraharealty, PT Era Graharealty, era graharealty</t>
  </si>
  <si>
    <t>IPCC, INDONESIA KENDARAAN TERMINAL, Indonesia Kendaraan Terminal, Indonesia Kendaraan Terminal Tbk, Indonesia Kendaraan Terminal Tbk., IndonesiaKendaraanTerminal, PT Indonesia Kendaraan Terminal, indonesia kendaraan terminal</t>
  </si>
  <si>
    <t>IPCM, JASA ARMADA INDONESIA, Jasa Armada Indonesia, Jasa Armada Indonesia Tbk, Jasa Armada Indonesia Tbk., JasaArmadaIndonesia, PT Jasa Armada Indonesia, jasa armada indonesia</t>
  </si>
  <si>
    <t>IPOL, INDOPOLY SWAKARSA INDUSTRY, Indopoly Swakarsa Industry, Indopoly Swakarsa Industry Tbk, Indopoly Swakarsa Industry Tbk., IndopolySwakarsaIndustry, PT Indopoly Swakarsa Industry, indopoly swakarsa industry</t>
  </si>
  <si>
    <t>IPPE, INDO PURECO PRATAMA, Indo Pureco Pratama, Indo Pureco Pratama Tbk, Indo Pureco Pratama Tbk., IndoPurecoPratama, PT Indo Pureco Pratama, indo pureco pratama</t>
  </si>
  <si>
    <t>IPTV, MNC VISION NETWORKS, MNC Vision Networks, MNC Vision Networks Tbk, MNC Vision Networks Tbk., MNCVisionNetworks, PT MNC Vision Networks, mnc vision networks</t>
  </si>
  <si>
    <t>IRRA, ITAMA RANORAYA, Itama Ranoraya, Itama Ranoraya Tbk, Itama Ranoraya Tbk., ItamaRanoraya, PT Itama Ranoraya, itama ranoraya</t>
  </si>
  <si>
    <t>IRSX, FOLAGO GLOBAL NUSANTARA, Folago Global Nusantara, Folago Global Nusantara Tbk, Folago Global Nusantara Tbk., FolagoGlobalNusantara, PT Folago Global Nusantara, folago global nusantara</t>
  </si>
  <si>
    <t>ISAP, ISRA PRESISI INDONESIA, Isra Presisi Indonesia, Isra Presisi Indonesia Tbk, Isra Presisi Indonesia Tbk., IsraPresisiIndonesia, PT Isra Presisi Indonesia, isra presisi indonesia</t>
  </si>
  <si>
    <t>ISAT, INDOSAT, Indosat, Indosat Tbk, Indosat Tbk., PT Indosat, indosat</t>
  </si>
  <si>
    <t>ISEA, INDO AMERICAN SEAFOODS, Indo American Seafoods, Indo American Seafoods Tbk, Indo American Seafoods Tbk., IndoAmericanSeafoods, PT Indo American Seafoods, indo american seafoods</t>
  </si>
  <si>
    <t>ISSP, PT Steel Pipe Industry of Indonesia, STEEL PIPE INDUSTRY OF INDONESIA, Steel Pipe Industry of Indonesia, Steel Pipe Industry of Indonesia Tbk, Steel Pipe Industry of Indonesia Tbk., SteelPipeIndustryofIndonesia, steel pipe industry of indonesia</t>
  </si>
  <si>
    <t>ITIC, INDONESIAN TOBACCO, Indonesian Tobacco, Indonesian Tobacco Tbk, Indonesian Tobacco Tbk., IndonesianTobacco, PT Indonesian Tobacco, indonesian tobacco</t>
  </si>
  <si>
    <t>ITMA, PT Sumber Energi Andalan, SUMBER ENERGI ANDALAN, Sumber Energi Andalan, Sumber Energi Andalan Tbk, Sumber Energi Andalan Tbk., SumberEnergiAndalan, sumber energi andalan</t>
  </si>
  <si>
    <t>ITMG, INDO TAMBANGRAYA MEGAH, Indo Tambangraya Megah, Indo Tambangraya Megah Tbk, Indo Tambangraya Megah Tbk., IndoTambangrayaMegah, PT Indo Tambangraya Megah, indo tambangraya megah</t>
  </si>
  <si>
    <t>JARR, JHONLIN AGRO RAYA, Jhonlin, Jhonlin Agro Raya, Jhonlin Agro Raya Tbk, Jhonlin Agro Raya Tbk., JhonlinAgroRaya, PT Jhonlin Agro Raya, jhonlin agro raya</t>
  </si>
  <si>
    <t>JAST, JASNITA TELEKOMINDO, Jasnita Telekomindo, Jasnita Telekomindo Tbk, Jasnita Telekomindo Tbk., JasnitaTelekomindo, PT Jasnita Telekomindo, jasnita telekomindo</t>
  </si>
  <si>
    <t>JATI, INFORMASI TEKNOLOGI INDONESIA, Informasi Teknologi Indonesia, Informasi Teknologi Indonesia Tbk, Informasi Teknologi Indonesia Tbk., InformasiTeknologiIndonesia, PT Informasi Teknologi Indonesia, informasi teknologi indonesia</t>
  </si>
  <si>
    <t>JAWA, JAYA AGRA WATTIE, Jaya Agra Wattie, Jaya Agra Wattie Tbk, Jaya Agra Wattie Tbk., JayaAgraWattie, PT Jaya Agra Wattie, jaya agra wattie</t>
  </si>
  <si>
    <t>JAYA, ARMADA BERJAYA TRANS, Armada Berjaya Trans, Armada Berjaya Trans Tbk, Armada Berjaya Trans Tbk., ArmadaBerjayaTrans, PT Armada Berjaya Trans, armada berjaya trans</t>
  </si>
  <si>
    <t>JECC, JEMBO CABLE COMPANY, Jembo Cable Company, Jembo Cable Company Tbk, Jembo Cable Company Tbk., JemboCableCompany, PT Jembo Cable Company, jembo cable company</t>
  </si>
  <si>
    <t>JGLE, GRAHA ANDRASENTRA PROPERTINDO, Graha Andrasentra Propertindo, Graha Andrasentra Propertindo Tbk, Graha Andrasentra Propertindo Tbk., GrahaAndrasentraPropertindo, PT Graha Andrasentra Propertindo, graha andrasentra propertindo</t>
  </si>
  <si>
    <t>JIHD, JAKARTA INTERNATIONAL HOTELS &amp; DEVELOPMENT, Jakarta International Hotels &amp; Development, Jakarta International Hotels &amp; Development Tbk, Jakarta International Hotels &amp; Development Tbk., JakartaInternationalHotels&amp;Development, PT Jakarta International Hotels &amp; Development, jakarta international hotels &amp; development</t>
  </si>
  <si>
    <t>JKON, JAYA KONSTRUKSI MANGGALA PRATAMA, Jaya Konstruksi Manggala Pratama, Jaya Konstruksi Manggala Pratama Tbk, Jaya Konstruksi Manggala Pratama Tbk., JayaKonstruksiManggalaPratama, PT Jaya Konstruksi Manggala Pratama, jaya konstruksi manggala pratama</t>
  </si>
  <si>
    <t>JMAS, ASURANSI JIWA SYARIAH JASA MITRA ABADI, Asuransi Jiwa Syariah Jasa Mitra Abadi, Asuransi Jiwa Syariah Jasa Mitra Abadi Tbk, Asuransi Jiwa Syariah Jasa Mitra Abadi Tbk., AsuransiJiwaSyariahJasaMitraAbadi, PT Asuransi Jiwa Syariah Jasa Mitra Abadi, asuransi jiwa syariah jasa mitra abadi</t>
  </si>
  <si>
    <t>JPFA, JAPFA COMFEED INDONESIA, Japfa, Japfa Comfeed Indonesia, Japfa Comfeed Indonesia Tbk, Japfa Comfeed Indonesia Tbk., JapfaComfeedIndonesia, PT Japfa Comfeed Indonesia, japfa comfeed indonesia</t>
  </si>
  <si>
    <t>JRPT, JAYA REAL PROPERTY, Jaya Real Property, Jaya Real Property Tbk, Jaya Real Property Tbk., JayaRealProperty, PT Jaya Real Property, jaya real property</t>
  </si>
  <si>
    <t>JSKY, PT Sky Energy Indonesia, SKY ENERGY INDONESIA, Sky Energy Indonesia, Sky Energy Indonesia Tbk, Sky Energy Indonesia Tbk., SkyEnergyIndonesia, sky energy indonesia</t>
  </si>
  <si>
    <t>JSMR, JASA MARGA (PERSERO), Jasa Marga (Persero), Jasa Marga (Persero) Tbk, Jasa Marga (Persero) Tbk., JasaMarga(Persero), PT Jasa Marga (Persero), jasa marga (persero)</t>
  </si>
  <si>
    <t>JSPT, JAKARTA SETIABUDI INTERNASIONAL, Jakarta Setiabudi Internasional, Jakarta Setiabudi Internasional Tbk, Jakarta Setiabudi Internasional Tbk., JakartaSetiabudiInternasional, PT Jakarta Setiabudi Internasional, jakarta setiabudi internasional</t>
  </si>
  <si>
    <t>JTPE, JASUINDO TIGA PERKASA, Jasuindo Tiga Perkasa, Jasuindo Tiga Perkasa Tbk, Jasuindo Tiga Perkasa Tbk., JasuindoTigaPerkasa, PT Jasuindo Tiga Perkasa, jasuindo tiga perkasa</t>
  </si>
  <si>
    <t>KAEF, KIMIA FARMA, Kimia Farma, Kimia Farma Tbk, Kimia Farma Tbk., KimiaFarma, PT Kimia Farma, kimia farma</t>
  </si>
  <si>
    <t>KAQI, JANTRA GRUPO INDONESIA, Jantra Grupo Indonesia, Jantra Grupo Indonesia Tbk, Jantra Grupo Indonesia Tbk., JantraGrupoIndonesia, PT Jantra Grupo Indonesia, jantra grupo indonesia</t>
  </si>
  <si>
    <t>KARW, MERATUS JASA PRIMA, Meratus Jasa Prima, Meratus Jasa Prima Tbk, Meratus Jasa Prima Tbk., MeratusJasaPrima, PT Meratus Jasa Prima, meratus jasa prima</t>
  </si>
  <si>
    <t>KAYU, DARMI BERSAUDARA, Darmi Bersaudara, Darmi Bersaudara Tbk, Darmi Bersaudara Tbk., DarmiBersaudara, PT Darmi Bersaudara, darmi bersaudara</t>
  </si>
  <si>
    <t>KBAG, KARYA BERSAMA ANUGERAH, Karya Bersama Anugerah, Karya Bersama Anugerah Tbk, Karya Bersama Anugerah Tbk., KaryaBersamaAnugerah, PT Karya Bersama Anugerah, karya bersama anugerah</t>
  </si>
  <si>
    <t>KBLI, KMI WIRE &amp; CABLE, KMI Wire &amp; Cable, KMI Wire &amp; Cable Tbk, KMI Wire &amp; Cable Tbk., KMIWire&amp;Cable, PT KMI Wire &amp; Cable, kmi wire &amp; cable</t>
  </si>
  <si>
    <t>KBLM, KABELINDO MURNI, Kabelindo Murni, Kabelindo Murni Tbk, Kabelindo Murni Tbk., KabelindoMurni, PT Kabelindo Murni, kabelindo murni</t>
  </si>
  <si>
    <t>KBLV, FIRST MEDIA, First Media, First Media Tbk, First Media Tbk., FirstMedia, PT First Media, first media</t>
  </si>
  <si>
    <t>KBRI, KERTAS BASUKI RACHMAT INDONESIA, Kertas Basuki Rachmat Indonesia, Kertas Basuki Rachmat Indonesia Tbk, Kertas Basuki Rachmat Indonesia Tbk., KertasBasukiRachmatIndonesia, PT Kertas Basuki Rachmat Indonesia, kertas basuki rachmat indonesia</t>
  </si>
  <si>
    <t>KDSI, KEDAWUNG SETIA INDUSTRIAL, Kedawung Setia Industrial, Kedawung Setia Industrial Tbk, Kedawung Setia Industrial Tbk., KedawungSetiaIndustrial, PT Kedawung Setia Industrial, kedawung setia industrial</t>
  </si>
  <si>
    <t>KDTN, PT Puri Sentul Permai, PURI SENTUL PERMAI, Puri Sentul Permai, Puri Sentul Permai Tbk, Puri Sentul Permai Tbk., PuriSentulPermai, puri sentul permai</t>
  </si>
  <si>
    <t>KEEN, KENCANA ENERGI LESTARI, Kencana Energi Lestari, Kencana Energi Lestari Tbk, Kencana Energi Lestari Tbk., KencanaEnergiLestari, PT Kencana Energi Lestari, kencana energi lestari</t>
  </si>
  <si>
    <t>KEJU, MULIA BOGA RAYA, Mulia Boga Raya, Mulia Boga Raya Tbk, Mulia Boga Raya Tbk., MuliaBogaRaya, PT Mulia Boga Raya, mulia boga raya</t>
  </si>
  <si>
    <t>KETR, KETROSDEN TRIASMITRA, Ketrosden Triasmitra, Ketrosden Triasmitra Tbk, Ketrosden Triasmitra Tbk., KetrosdenTriasmitra, PT Ketrosden Triasmitra, ketrosden triasmitra</t>
  </si>
  <si>
    <t>KIAS, KERAMIKA INDONESIA ASSOSIASI, Keramika Indonesia Assosiasi, Keramika Indonesia Assosiasi Tbk, Keramika Indonesia Assosiasi Tbk., KeramikaIndonesiaAssosiasi, PT Keramika Indonesia Assosiasi, keramika indonesia assosiasi</t>
  </si>
  <si>
    <t>KICI, KEDAUNG INDAH CAN, Kedaung Indah Can, Kedaung Indah Can Tbk, Kedaung Indah Can Tbk., KedaungIndahCan, PT Kedaung Indah Can, kedaung indah can</t>
  </si>
  <si>
    <t>KIJA, KAWASAN INDUSTRI JABABEKA, Kawasan Industri Jababeka, Kawasan Industri Jababeka Tbk, Kawasan Industri Jababeka Tbk., KawasanIndustriJababeka, PT Kawasan Industri Jababeka, kawasan industri jababeka</t>
  </si>
  <si>
    <t>KING, HOFFMEN CLEANINDO, Hoffmen Cleanindo, Hoffmen Cleanindo Tbk, Hoffmen Cleanindo Tbk., HoffmenCleanindo, PT Hoffmen Cleanindo, hoffmen cleanindo</t>
  </si>
  <si>
    <t>KINO, KINO INDONESIA, Kino Indonesia, Kino Indonesia Tbk, Kino Indonesia Tbk., KinoIndonesia, PT Kino Indonesia, kino indonesia</t>
  </si>
  <si>
    <t>KIOS, KIOSON KOMERSIAL INDONESIA, Kioson Komersial Indonesia, Kioson Komersial Indonesia Tbk, Kioson Komersial Indonesia Tbk., KiosonKomersialIndonesia, PT Kioson Komersial Indonesia, kioson komersial indonesia</t>
  </si>
  <si>
    <t>KJEN, KRIDA JARINGAN NUSANTARA, Krida Jaringan Nusantara, Krida Jaringan Nusantara Tbk, Krida Jaringan Nusantara Tbk., KridaJaringanNusantara, PT Krida Jaringan Nusantara, krida jaringan nusantara</t>
  </si>
  <si>
    <t>KKES, KUSUMA KEMINDO SENTOSA, Kusuma Kemindo Sentosa, Kusuma Kemindo Sentosa Tbk, Kusuma Kemindo Sentosa Tbk., KusumaKemindoSentosa, PT Kusuma Kemindo Sentosa, kusuma kemindo sentosa</t>
  </si>
  <si>
    <t>KKGI, PT Resource Alam Indonesia, RESOURCE ALAM INDONESIA, Resource Alam Indonesia, Resource Alam Indonesia Tbk, Resource Alam Indonesia Tbk., ResourceAlamIndonesia, resource alam indonesia</t>
  </si>
  <si>
    <t>KLAS, PELAYARAN KURNIA LAUTAN SEMESTA, PT Pelayaran Kurnia Lautan Semesta, Pelayaran Kurnia Lautan Semesta, Pelayaran Kurnia Lautan Semesta Tbk, Pelayaran Kurnia Lautan Semesta Tbk., PelayaranKurniaLautanSemesta, pelayaran kurnia lautan semesta</t>
  </si>
  <si>
    <t>KLBF, KALBE FARMA, Kalbe Farma, Kalbe Farma Tbk, Kalbe Farma Tbk., KalbeFarma, PT Kalbe Farma, kalbe farma</t>
  </si>
  <si>
    <t>KLIN, KLINKO KARYA IMAJI, Klinko Karya Imaji, Klinko Karya Imaji Tbk, Klinko Karya Imaji Tbk., KlinkoKaryaImaji, PT Klinko Karya Imaji, klinko karya imaji</t>
  </si>
  <si>
    <t>KMDS, KURNIAMITRA DUTA SENTOSA, Kurniamitra Duta Sentosa, Kurniamitra Duta Sentosa Tbk, Kurniamitra Duta Sentosa Tbk., KurniamitraDutaSentosa, PT Kurniamitra Duta Sentosa, kurniamitra duta sentosa</t>
  </si>
  <si>
    <t>KMTR, KIRANA MEGATARA, Kirana Megatara, Kirana Megatara Tbk, Kirana Megatara Tbk., KiranaMegatara, PT Kirana Megatara, kirana megatara</t>
  </si>
  <si>
    <t>KOBX, KOBEXINDO TRACTORS, Kobexindo Tractors, Kobexindo Tractors Tbk, Kobexindo Tractors Tbk., KobexindoTractors, PT Kobexindo Tractors, kobexindo tractors</t>
  </si>
  <si>
    <t>KOCI, KOKOH EXA NUSANTARA, Kokoh Exa Nusantara, Kokoh Exa Nusantara Tbk, Kokoh Exa Nusantara Tbk., KokohExaNusantara, PT Kokoh Exa Nusantara, kokoh exa nusantara</t>
  </si>
  <si>
    <t>KOIN, KOKOH INTI AREBAMA, Kokoh Inti Arebama, Kokoh Inti Arebama Tbk, Kokoh Inti Arebama Tbk., KokohIntiArebama, PT Kokoh Inti Arebama, kokoh inti arebama</t>
  </si>
  <si>
    <t>KOKA, KOKA INDONESIA, Koka Indonesia, Koka Indonesia Tbk, Koka Indonesia Tbk., KokaIndonesia, PT Koka Indonesia, koka indonesia</t>
  </si>
  <si>
    <t>KONI, PERDANA BANGUN PUSAKA, PT Perdana Bangun Pusaka, Perdana Bangun Pusaka, Perdana Bangun Pusaka Tbk, Perdana Bangun Pusaka Tbk., PerdanaBangunPusaka, perdana bangun pusaka</t>
  </si>
  <si>
    <t>KOPI, MITRA ENERGI PERSADA, Mitra Energi Persada, Mitra Energi Persada Tbk, Mitra Energi Persada Tbk., MitraEnergiPersada, PT Mitra Energi Persada, mitra energi persada</t>
  </si>
  <si>
    <t>KOTA, DMS PROPERTINDO, DMS Propertindo, DMS Propertindo Tbk, DMS Propertindo Tbk., DMSPropertindo, PT DMS Propertindo, dms propertindo</t>
  </si>
  <si>
    <t>KPIG, MNC TOURISM INDONESIA, MNC Tourism Indonesia, MNC Tourism Indonesia Tbk, MNC Tourism Indonesia Tbk., MNCTourismIndonesia, PT MNC Tourism Indonesia, mnc tourism indonesia</t>
  </si>
  <si>
    <t>KRAS, KRAKATAU STEEL (PERSERO), Krakatau Steel (Persero), Krakatau Steel (Persero) Tbk, Krakatau Steel (Persero) Tbk., KrakatauSteel(Persero), PT Krakatau Steel (Persero), krakatau steel (persero)</t>
  </si>
  <si>
    <t>KREN, PT Quantum Clovera Investama, QUANTUM CLOVERA INVESTAMA, Quantum Clovera Investama, Quantum Clovera Investama Tbk, Quantum Clovera Investama Tbk., QuantumCloveraInvestama, quantum clovera investama</t>
  </si>
  <si>
    <t>KRYA, BANGUN KARYA PERKASA JAYA, Bangun Karya Perkasa Jaya, Bangun Karya Perkasa Jaya Tbk, Bangun Karya Perkasa Jaya Tbk., BangunKaryaPerkasaJaya, PT Bangun Karya Perkasa Jaya, bangun karya perkasa jaya</t>
  </si>
  <si>
    <t>KSIX, KENTANIX SUPRA INTERNATIONAL, Kentanix Supra International, Kentanix Supra International Tbk, Kentanix Supra International Tbk., KentanixSupraInternational, PT Kentanix Supra International, kentanix supra international</t>
  </si>
  <si>
    <t>KUAS, ACE OLDFIELDS, Ace Oldfields, Ace Oldfields Tbk, Ace Oldfields Tbk., AceOldfields, PT Ace Oldfields, ace oldfields</t>
  </si>
  <si>
    <t>LABA, GREEN POWER GROUP, Green Power Group, Green Power Group Tbk, Green Power Group Tbk., GreenPowerGroup, PT Green Power Group, green power group</t>
  </si>
  <si>
    <t>LABS, PT UBC Medical Indonesia, UBC MEDICAL INDONESIA, UBC Medical Indonesia, UBC Medical Indonesia Tbk, UBC Medical Indonesia Tbk., UBCMedicalIndonesia, ubc medical indonesia</t>
  </si>
  <si>
    <t>LAJU, JASA BERDIKARI LOGISTICS, Jasa Berdikari Logistics, Jasa Berdikari Logistics Tbk, Jasa Berdikari Logistics Tbk., JasaBerdikariLogistics, PT Jasa Berdikari Logistics, jasa berdikari logistics</t>
  </si>
  <si>
    <t>LAND, PT Trimitra Propertindo, TRIMITRA PROPERTINDO, Trimitra Propertindo, Trimitra Propertindo Tbk, Trimitra Propertindo Tbk., TrimitraPropertindo, trimitra propertindo</t>
  </si>
  <si>
    <t>LAPD, LEYAND INTERNATIONAL, Leyand International, Leyand International Tbk, Leyand International Tbk., LeyandInternational, PT Leyand International, leyand international</t>
  </si>
  <si>
    <t>LCGP, EUREKA PRIMA JAKARTA, Eureka Prima Jakarta, Eureka Prima Jakarta Tbk, Eureka Prima Jakarta Tbk., EurekaPrimaJakarta, PT Eureka Prima Jakarta, eureka prima jakarta</t>
  </si>
  <si>
    <t>LCKM, LCK GLOBAL KEDATON, LCK Global Kedaton, LCK Global Kedaton Tbk, LCK Global Kedaton Tbk., LCKGlobalKedaton, PT LCK Global Kedaton, lck global kedaton</t>
  </si>
  <si>
    <t>LEAD, LOGINDO SAMUDRAMAKMUR, Logindo Samudramakmur, Logindo Samudramakmur Tbk, Logindo Samudramakmur Tbk., LogindoSamudramakmur, PT Logindo Samudramakmur, logindo samudramakmur</t>
  </si>
  <si>
    <t>LFLO, IMAGO MULIA PERSADA, Imago Mulia Persada, Imago Mulia Persada Tbk, Imago Mulia Persada Tbk., ImagoMuliaPersada, PT Imago Mulia Persada, imago mulia persada</t>
  </si>
  <si>
    <t>LIFE, ASURANSI JIWA SINARMAS MSIG, Asuransi Jiwa Sinarmas MSIG, Asuransi Jiwa Sinarmas MSIG Tbk, Asuransi Jiwa Sinarmas MSIG Tbk., AsuransiJiwaSinarmasMSIG, PT Asuransi Jiwa Sinarmas MSIG, asuransi jiwa sinarmas msig</t>
  </si>
  <si>
    <t>LINK, LINK NET, Link Net, Link Net Tbk, Link Net Tbk., LinkNet, PT Link Net, link net</t>
  </si>
  <si>
    <t>LION, LION METAL WORKS, Lion Metal Works, Lion Metal Works Tbk, Lion Metal Works Tbk., LionMetalWorks, PT Lion Metal Works, lion metal works</t>
  </si>
  <si>
    <t>LIVE, HOMECO VICTORIA MAKMUR, Homeco Victoria Makmur, Homeco Victoria Makmur Tbk, Homeco Victoria Makmur Tbk., HomecoVictoriaMakmur, PT Homeco Victoria Makmur, homeco victoria makmur</t>
  </si>
  <si>
    <t>LMAS, LIMAS INDONESIA MAKMUR, Limas Indonesia Makmur, Limas Indonesia Makmur Tbk, Limas Indonesia Makmur Tbk., LimasIndonesiaMakmur, PT Limas Indonesia Makmur, limas indonesia makmur</t>
  </si>
  <si>
    <t>LMAX, LUPROMAX PELUMAS INDONESIA, Lupromax Pelumas Indonesia, Lupromax Pelumas Indonesia Tbk, Lupromax Pelumas Indonesia Tbk., LupromaxPelumasIndonesia, PT Lupromax Pelumas Indonesia, lupromax pelumas indonesia</t>
  </si>
  <si>
    <t>LMPI, LANGGENG MAKMUR INDUSTRI, Langgeng Makmur Industri, Langgeng Makmur Industri Tbk, Langgeng Makmur Industri Tbk., LanggengMakmurIndustri, PT Langgeng Makmur Industri, langgeng makmur industri</t>
  </si>
  <si>
    <t>LMSH, LIONMESH PRIMA, Lionmesh Prima, Lionmesh Prima Tbk, Lionmesh Prima Tbk., LionmeshPrima, PT Lionmesh Prima, lionmesh prima</t>
  </si>
  <si>
    <t>LOPI, LOGISTICSPLUS INTERNATIONAL, Logisticsplus International, Logisticsplus International Tbk, Logisticsplus International Tbk., LogisticsplusInternational, PT Logisticsplus International, logisticsplus international</t>
  </si>
  <si>
    <t>LPCK, LIPPO CIKARANG, Lippo Cikarang, Lippo Cikarang Tbk, Lippo Cikarang Tbk., LippoCikarang, PT Lippo Cikarang, lippo cikarang</t>
  </si>
  <si>
    <t>LPGI, LIPPO GENERAL INSURANCE, Lippo General Insurance, Lippo General Insurance Tbk, Lippo General Insurance Tbk., LippoGeneralInsurance, PT Lippo General Insurance, lippo general insurance</t>
  </si>
  <si>
    <t>LPIN, MULTI PRIMA SEJAHTERA, Multi Prima Sejahtera, Multi Prima Sejahtera Tbk, Multi Prima Sejahtera Tbk., MultiPrimaSejahtera, PT Multi Prima Sejahtera, multi prima sejahtera</t>
  </si>
  <si>
    <t>LPKR, LIPPO KARAWACI, Lippo Karawaci, Lippo Karawaci Tbk, Lippo Karawaci Tbk., LippoKarawaci, PT Lippo Karawaci, lippo karawaci</t>
  </si>
  <si>
    <t>LPLI, PT Star Pacific, STAR PACIFIC, Star Pacific, Star Pacific Tbk, Star Pacific Tbk., StarPacific, star pacific</t>
  </si>
  <si>
    <t>LPPF, MATAHARI DEPARTMENT STORE, Matahari Department Store, Matahari Department Store Tbk, Matahari Department Store Tbk., MatahariDepartmentStore, PT Matahari Department Store, matahari department store</t>
  </si>
  <si>
    <t>LPPS, LENOX PASIFIK INVESTAMA, Lenox Pasifik Investama, Lenox Pasifik Investama Tbk, Lenox Pasifik Investama Tbk., LenoxPasifikInvestama, PT Lenox Pasifik Investama, lenox pasifik investama</t>
  </si>
  <si>
    <t>LRNA, EKA SARI LORENA TRANSPORT, Eka Sari Lorena Transport, Eka Sari Lorena Transport Tbk, Eka Sari Lorena Transport Tbk., EkaSariLorenaTransport, PT Eka Sari Lorena Transport, eka sari lorena transport</t>
  </si>
  <si>
    <t>LSIP, PP LONDON SUMATRA INDONESIA, PP London Sumatra Indonesia, PP London Sumatra Indonesia Tbk, PP London Sumatra Indonesia Tbk., PPLondonSumatraIndonesia, PT PP London Sumatra Indonesia, pp london sumatra indonesia</t>
  </si>
  <si>
    <t>LTLS, LAUTAN LUAS, Lautan Luas, Lautan Luas Tbk, Lautan Luas Tbk., LautanLuas, PT Lautan Luas, lautan luas</t>
  </si>
  <si>
    <t>LUCK, PT Sentral Mitra Informatika, SENTRAL MITRA INFORMATIKA, Sentral Mitra Informatika, Sentral Mitra Informatika Tbk, Sentral Mitra Informatika Tbk., SentralMitraInformatika, sentral mitra informatika</t>
  </si>
  <si>
    <t>LUCY, LIMA DUA LIMA TIGA, Lima Dua Lima Tiga, Lima Dua Lima Tiga Tbk, Lima Dua Lima Tiga Tbk., LimaDuaLimaTiga, PT Lima Dua Lima Tiga, lima dua lima tiga</t>
  </si>
  <si>
    <t>MABA, MARGA ABHINAYA ABADI, Marga Abhinaya Abadi, Marga Abhinaya Abadi Tbk, Marga Abhinaya Abadi Tbk., MargaAbhinayaAbadi, PT Marga Abhinaya Abadi, marga abhinaya abadi</t>
  </si>
  <si>
    <t>MAGP, MULTI AGRO GEMILANG PLANTATION, Multi Agro Gemilang Plantation, Multi Agro Gemilang Plantation Tbk, Multi Agro Gemilang Plantation Tbk., MultiAgroGemilangPlantation, PT Multi Agro Gemilang Plantation, multi agro gemilang plantation</t>
  </si>
  <si>
    <t>MAHA, MANDIRI HERINDO ADIPERKASA, Mandiri Herindo Adiperkasa, Mandiri Herindo Adiperkasa Tbk, Mandiri Herindo Adiperkasa Tbk., MandiriHerindoAdiperkasa, PT Mandiri Herindo Adiperkasa, mandiri herindo adiperkasa</t>
  </si>
  <si>
    <t>MAIN, MALINDO FEEDMILL, Malindo Feedmill, Malindo Feedmill Tbk, Malindo Feedmill Tbk., MalindoFeedmill, PT Malindo Feedmill, malindo feedmill</t>
  </si>
  <si>
    <t>MANG, MANGGUNG POLAHRAYA, Manggung Polahraya, Manggung Polahraya Tbk, Manggung Polahraya Tbk., ManggungPolahraya, PT Manggung Polahraya, manggung polahraya</t>
  </si>
  <si>
    <t>MAPA, MAP AKTIF ADIPERKASA, Map Aktif Adiperkasa, Map Aktif Adiperkasa Tbk, Map Aktif Adiperkasa Tbk., MapAktifAdiperkasa, PT Map Aktif Adiperkasa, map aktif adiperkasa</t>
  </si>
  <si>
    <t>MAPB, MAP BOGA ADIPERKASA, MAP Boga Adiperkasa, MAP Boga Adiperkasa Tbk, MAP Boga Adiperkasa Tbk., MAPBogaAdiperkasa, PT MAP Boga Adiperkasa, map boga adiperkasa</t>
  </si>
  <si>
    <t>MAPI, MITRA ADIPERKASA, Mitra Adiperkasa, Mitra Adiperkasa Tbk, Mitra Adiperkasa Tbk., MitraAdiperkasa, PT Mitra Adiperkasa, mitra adiperkasa</t>
  </si>
  <si>
    <t>MARI, MAHAKA RADIO INTEGRA, Mahaka Radio Integra, Mahaka Radio Integra Tbk, Mahaka Radio Integra Tbk., MahakaRadioIntegra, PT Mahaka Radio Integra, mahaka radio integra</t>
  </si>
  <si>
    <t>MARK, MARK DYNAMICS INDONESIA, Mark Dynamics Indonesia, Mark Dynamics Indonesia Tbk, Mark Dynamics Indonesia Tbk., MarkDynamicsIndonesia, PT Mark Dynamics Indonesia, mark dynamics indonesia</t>
  </si>
  <si>
    <t>MASB, BANK MULTIARTA SENTOSA, Bank Multiarta Sentosa, Bank Multiarta Sentosa Tbk, Bank Multiarta Sentosa Tbk., Bank Sentosa, BankMultiartaSentosa, PT Bank Multiarta Sentosa, Sentosa, bank multiarta sentosa</t>
  </si>
  <si>
    <t>MAXI, MAXINDO KARYA ANUGERAH, Maxindo Karya Anugerah, Maxindo Karya Anugerah Tbk, Maxindo Karya Anugerah Tbk., MaxindoKaryaAnugerah, PT Maxindo Karya Anugerah, maxindo karya anugerah</t>
  </si>
  <si>
    <t>MAYA, BANK MAYAPADA INTERNASIONAL, Bank Internasional, Bank Mayapada Internasional, Bank Mayapada Internasional Tbk, Bank Mayapada Internasional Tbk., BankMayapadaInternasional, Internasional, PT Bank Mayapada Internasional, bank mayapada internasional</t>
  </si>
  <si>
    <t>MBAP, MITRABARA ADIPERDANA, Mitrabara Adiperdana, Mitrabara Adiperdana Tbk, Mitrabara Adiperdana Tbk., MitrabaraAdiperdana, PT Mitrabara Adiperdana, mitrabara adiperdana</t>
  </si>
  <si>
    <t>MBMA, MERDEKA BATTERY MATERIALS, Merdeka Battery Materials, Merdeka Battery Materials Tbk, Merdeka Battery Materials Tbk., MerdekaBatteryMaterials, PT Merdeka Battery Materials, merdeka battery materials</t>
  </si>
  <si>
    <t>MBSS, MITRABAHTERA SEGARA SEJATI, Mitrabahtera Segara Sejati, Mitrabahtera Segara Sejati Tbk, Mitrabahtera Segara Sejati Tbk., MitrabahteraSegaraSejati, PT Mitrabahtera Segara Sejati, mitrabahtera segara sejati</t>
  </si>
  <si>
    <t>MBTO, MARTINA BERTO, Martina Berto, Martina Berto Tbk, Martina Berto Tbk., MartinaBerto, PT Martina Berto, martina berto</t>
  </si>
  <si>
    <t>MCAS, M CASH INTEGRASI, M Cash Integrasi, M Cash Integrasi Tbk, M Cash Integrasi Tbk., MCashIntegrasi, PT M Cash Integrasi, m cash integrasi</t>
  </si>
  <si>
    <t>MCOL, PRIMA ANDALAN MANDIRI, PT Prima Andalan Mandiri, Prima Andalan Mandiri, Prima Andalan Mandiri Tbk, Prima Andalan Mandiri Tbk., PrimaAndalanMandiri, prima andalan mandiri</t>
  </si>
  <si>
    <t>MCOR, BANK CHINA CONSTRUCTION BANK INDONESIA, Bank China Construction Bank Indonesia, Bank China Construction Bank Indonesia Tbk, Bank China Construction Bank Indonesia Tbk., BankChinaConstructionBankIndonesia, PT Bank China Construction Bank Indonesia, bank china construction bank indonesia</t>
  </si>
  <si>
    <t>MDIA, INTERMEDIA CAPITAL, Intermedia Capital, Intermedia Capital Tbk, Intermedia Capital Tbk., IntermediaCapital, PT Intermedia Capital, intermedia capital</t>
  </si>
  <si>
    <t>MDIY, DAYA INTIGUNA YASA, Daya Intiguna Yasa, Daya Intiguna Yasa Tbk, Daya Intiguna Yasa Tbk., DayaIntigunaYasa, PT Daya Intiguna Yasa, daya intiguna yasa</t>
  </si>
  <si>
    <t>MDKA, MERDEKA COPPER GOLD, Merdeka Copper Gold, Merdeka Copper Gold Tbk, Merdeka Copper Gold Tbk., MerdekaCopperGold, PT Merdeka Copper Gold, merdeka copper gold</t>
  </si>
  <si>
    <t>MDKI, EMDEKI UTAMA, Emdeki Utama, Emdeki Utama Tbk, Emdeki Utama Tbk., EmdekiUtama, PT Emdeki Utama, emdeki utama</t>
  </si>
  <si>
    <t>MDLA, MEDELA POTENTIA, Medela Potentia, Medela Potentia Tbk, Medela Potentia Tbk., MedelaPotentia, PT Medela Potentia, medela potentia</t>
  </si>
  <si>
    <t>MDLN, MODERNLAND REALTY, Modernland Realty, Modernland Realty Tbk, Modernland Realty Tbk., ModernlandRealty, PT Modernland Realty, modernland realty</t>
  </si>
  <si>
    <t>MDRN, MI, MODERN INTERNASIONAL, Modern Internasional, Modern Internasional Tbk, Modern Internasional Tbk., ModernInternasional, PT Modern Internasional, modern internasional</t>
  </si>
  <si>
    <t>MEDC, MEDCO ENERGI INTERNASIONAL, Medco Energi Internasional, Medco Energi Internasional Tbk, Medco Energi Internasional Tbk., MedcoEnergiInternasional, PT Medco Energi Internasional, medco energi internasional</t>
  </si>
  <si>
    <t>MEDS, HETZER MEDICAL INDONESIA, Hetzer Medical Indonesia, Hetzer Medical Indonesia Tbk, Hetzer Medical Indonesia Tbk., HetzerMedicalIndonesia, PT Hetzer Medical Indonesia, hetzer medical indonesia</t>
  </si>
  <si>
    <t>MEGA, BANK MEGA, Bank Mega, Bank Mega Tbk, Bank Mega Tbk., BankMega, Mega, PT Bank Mega, bank mega</t>
  </si>
  <si>
    <t>MEJA, HARTA DJAYA KARYA, Harta Djaya Karya, Harta Djaya Karya Tbk, Harta Djaya Karya Tbk., HartaDjayaKarya, PT Harta Djaya Karya, harta djaya karya</t>
  </si>
  <si>
    <t>MENN, MENN TEKNOLOGI INDONESIA, Menn Teknologi Indonesia, Menn Teknologi Indonesia Tbk, Menn Teknologi Indonesia Tbk., MennTeknologiIndonesia, PT Menn Teknologi Indonesia, menn teknologi indonesia</t>
  </si>
  <si>
    <t>MERI, MERRY RIANA EDUKASI, Merry Riana Edukasi, Merry Riana Edukasi Tbk, Merry Riana Edukasi Tbk., MerryRianaEdukasi, PT Merry Riana Edukasi, merry riana edukasi</t>
  </si>
  <si>
    <t>MERK, Merck, Merck Tbk, Merck Tbk., PT Merck, merck</t>
  </si>
  <si>
    <t>META, NUSANTARA INFRASTRUCTURE, Nusantara Infrastructure, Nusantara Infrastructure Tbk, Nusantara Infrastructure Tbk., NusantaraInfrastructure, PT Nusantara Infrastructure, nusantara infrastructure</t>
  </si>
  <si>
    <t>MFMI, MULTIFILING MITRA INDONESIA, Multifiling Mitra Indonesia, Multifiling Mitra Indonesia Tbk, Multifiling Mitra Indonesia Tbk., MultifilingMitraIndonesia, PT Multifiling Mitra Indonesia, multifiling mitra indonesia</t>
  </si>
  <si>
    <t>MGLV, PANCA ANUGRAH WISESA, PT Panca Anugrah Wisesa, Panca Anugrah Wisesa, Panca Anugrah Wisesa Tbk, Panca Anugrah Wisesa Tbk., PancaAnugrahWisesa, panca anugrah wisesa</t>
  </si>
  <si>
    <t>MGNA, MAGNA INVESTAMA MANDIRI, Magna Investama Mandiri, Magna Investama Mandiri Tbk, Magna Investama Mandiri Tbk., MagnaInvestamaMandiri, PT Magna Investama Mandiri, magna investama mandiri</t>
  </si>
  <si>
    <t>MGRO, MAHKOTA GROUP, Mahkota Group, Mahkota Group Tbk, Mahkota Group Tbk., MahkotaGroup, PT Mahkota Group, mahkota group</t>
  </si>
  <si>
    <t>MHKI, MULTI HANNA KREASINDO, Multi Hanna Kreasindo, Multi Hanna Kreasindo Tbk, Multi Hanna Kreasindo Tbk., MultiHannaKreasindo, PT Multi Hanna Kreasindo, multi hanna kreasindo</t>
  </si>
  <si>
    <t>MICE, MULTI INDOCITRA, Multi Indocitra, Multi Indocitra Tbk, Multi Indocitra Tbk., MultiIndocitra, PT Multi Indocitra, multi indocitra</t>
  </si>
  <si>
    <t>MIDI, MIDI UTAMA INDONESIA, Midi Utama Indonesia, Midi Utama Indonesia Tbk, Midi Utama Indonesia Tbk., MidiUtamaIndonesia, PT Midi Utama Indonesia, midi utama indonesia</t>
  </si>
  <si>
    <t>MIKA, MITRA KELUARGA KARYASEHAT, Mitra Keluarga Karyasehat, Mitra Keluarga Karyasehat Tbk, Mitra Keluarga Karyasehat Tbk., MitraKeluargaKaryasehat, PT Mitra Keluarga Karyasehat, mitra keluarga karyasehat</t>
  </si>
  <si>
    <t>MINA, PT Sanurhasta Mitra, SANURHASTA MITRA, Sanurhasta Mitra, Sanurhasta Mitra Tbk, Sanurhasta Mitra Tbk., SanurhastaMitra, sanurhasta mitra</t>
  </si>
  <si>
    <t>MINE, PT Sinar Terang Mandiri, SINAR TERANG MANDIRI, Sinar Terang Mandiri, Sinar Terang Mandiri Tbk, Sinar Terang Mandiri Tbk., SinarTerangMandiri, sinar terang mandiri</t>
  </si>
  <si>
    <t>MIRA, MITRA INTERNATIONAL RESOURCES, Mitra International Resources, Mitra International Resources Tbk, Mitra International Resources Tbk., MitraInternationalResources, PT Mitra International Resources, mitra international resources</t>
  </si>
  <si>
    <t>MITI, MITRA INVESTINDO, Mitra Investindo, Mitra Investindo Tbk, Mitra Investindo Tbk., MitraInvestindo, PT Mitra Investindo, mitra investindo</t>
  </si>
  <si>
    <t>MKAP, MULTIKARYA ASIA PASIFIK RAYA, Multikarya Asia Pasifik Raya, Multikarya Asia Pasifik Raya Tbk, Multikarya Asia Pasifik Raya Tbk., MultikaryaAsiaPasifikRaya, PT Multikarya Asia Pasifik Raya, multikarya asia pasifik raya</t>
  </si>
  <si>
    <t>MKNT, MITRA KOMUNIKASI NUSANTARA, Mitra Komunikasi Nusantara, Mitra Komunikasi Nusantara Tbk, Mitra Komunikasi Nusantara Tbk., MitraKomunikasiNusantara, PT Mitra Komunikasi Nusantara, mitra komunikasi nusantara</t>
  </si>
  <si>
    <t>MKPI, METROPOLITAN KENTJANA, Metropolitan Kentjana, Metropolitan Kentjana Tbk, Metropolitan Kentjana Tbk., MetropolitanKentjana, PT Metropolitan Kentjana, metropolitan kentjana</t>
  </si>
  <si>
    <t>MKTR, MENTHOBI KARYATAMA RAYA, Menthobi Karyatama Raya, Menthobi Karyatama Raya Tbk, Menthobi Karyatama Raya Tbk., MenthobiKaryatamaRaya, PT Menthobi Karyatama Raya, menthobi karyatama raya</t>
  </si>
  <si>
    <t>MLBI, MULTI BINTANG INDONESIA, Multi Bintang Indonesia, Multi Bintang Indonesia Tbk, Multi Bintang Indonesia Tbk., MultiBintangIndonesia, PT Multi Bintang Indonesia, multi bintang indonesia</t>
  </si>
  <si>
    <t>MLIA, MULIA INDUSTRINDO, Mulia Industrindo, Mulia Industrindo Tbk, Mulia Industrindo Tbk., MuliaIndustrindo, PT Mulia Industrindo, mulia industrindo</t>
  </si>
  <si>
    <t>MLPL, MULTIPOLAR, Multipolar, Multipolar Tbk, Multipolar Tbk., PT Multipolar, multipolar</t>
  </si>
  <si>
    <t>MLPT, MULTIPOLAR TECHNOLOGY, Multipolar Technology, Multipolar Technology Tbk, Multipolar Technology Tbk., MultipolarTechnology, PT Multipolar Technology, multipolar technology</t>
  </si>
  <si>
    <t>MMIX, MULTI MEDIKA INTERNASIONAL, Multi Medika Internasional, Multi Medika Internasional Tbk, Multi Medika Internasional Tbk., MultiMedikaInternasional, PT Multi Medika Internasional, multi medika internasional</t>
  </si>
  <si>
    <t>MMLP, MEGA MANUNGGAL PROPERTY, Mega Manunggal Property, Mega Manunggal Property Tbk, Mega Manunggal Property Tbk., MegaManunggalProperty, PT Mega Manunggal Property, mega manunggal property</t>
  </si>
  <si>
    <t>MNCN, MEDIA NUSANTARA CITRA, Media Nusantara Citra, Media Nusantara Citra Tbk, Media Nusantara Citra Tbk., MediaNusantaraCitra, PT Media Nusantara Citra, media nusantara citra</t>
  </si>
  <si>
    <t>MOLI, MADUSARI MURNI INDAH, Madusari Murni Indah, Madusari Murni Indah Tbk, Madusari Murni Indah Tbk., MadusariMurniIndah, PT Madusari Murni Indah, madusari murni indah</t>
  </si>
  <si>
    <t>MORA, MORA TELEMATIKA INDONESIA, Mora Telematika Indonesia, Mora Telematika Indonesia Tbk, Mora Telematika Indonesia Tbk., MoraTelematikaIndonesia, PT Mora Telematika Indonesia, mora telematika indonesia</t>
  </si>
  <si>
    <t>MPIX, MITRA PEDAGANG INDONESIA, Mitra Pedagang Indonesia, Mitra Pedagang Indonesia Tbk, Mitra Pedagang Indonesia Tbk., MitraPedagangIndonesia, PT Mitra Pedagang Indonesia, mitra pedagang indonesia</t>
  </si>
  <si>
    <t>MPMX, MPM, MITRA PINASTHIKA MUSTIKA, Mitra Pinasthika Mustika, Mitra Pinasthika Mustika Tbk, Mitra Pinasthika Mustika Tbk., MitraPinasthikaMustika, PT Mitra Pinasthika Mustika, mitra pinasthika mustika</t>
  </si>
  <si>
    <t>MPOW, MEGAPOWER MAKMUR, Megapower Makmur, Megapower Makmur Tbk, Megapower Makmur Tbk., MegapowerMakmur, PT Megapower Makmur, megapower makmur</t>
  </si>
  <si>
    <t>MPPA, MATAHARI PUTRA PRIMA, Matahari Putra Prima, Matahari Putra Prima Tbk, Matahari Putra Prima Tbk., MatahariPutraPrima, PT Matahari Putra Prima, matahari putra prima</t>
  </si>
  <si>
    <t>MPRO, MAHA PROPERTI INDONESIA, Maha Properti Indonesia, Maha Properti Indonesia Tbk, Maha Properti Indonesia Tbk., MahaPropertiIndonesia, PT Maha Properti Indonesia, maha properti indonesia</t>
  </si>
  <si>
    <t>MPXL, MPX LOGISTICS INTERNATIONAL, MPX Logistics International, MPX Logistics International Tbk, MPX Logistics International Tbk., MPXLogisticsInternational, PT MPX Logistics International, mpx logistics international</t>
  </si>
  <si>
    <t>MRAT, MUSTIKA RATU, Mustika Ratu, Mustika Ratu Tbk, Mustika Ratu Tbk., MustikaRatu, PT Mustika Ratu, mustika ratu</t>
  </si>
  <si>
    <t>MREI, MASKAPAI REASURANSI INDONESIA, Maskapai Reasuransi Indonesia, Maskapai Reasuransi Indonesia Tbk, Maskapai Reasuransi Indonesia Tbk., MaskapaiReasuransiIndonesia, PT Maskapai Reasuransi Indonesia, maskapai reasuransi indonesia</t>
  </si>
  <si>
    <t>MSIE, MULTISARANA INTAN EDUKA, Multisarana Intan Eduka, Multisarana Intan Eduka Tbk, Multisarana Intan Eduka Tbk., MultisaranaIntanEduka, PT Multisarana Intan Eduka, multisarana intan eduka</t>
  </si>
  <si>
    <t>MSIN, MNC DIGITAL ENTERTAINMENT, MNC Digital Entertainment, MNC Digital Entertainment Tbk, MNC Digital Entertainment Tbk., MNCDigitalEntertainment, PT MNC Digital Entertainment, mnc digital entertainment</t>
  </si>
  <si>
    <t>MSJA, MULTI SPUNINDO JAYA, Multi Spunindo Jaya, Multi Spunindo Jaya Tbk, Multi Spunindo Jaya Tbk., MultiSpunindoJaya, PT Multi Spunindo Jaya, multi spunindo jaya</t>
  </si>
  <si>
    <t>MSKY, MNC SKY VISION, MNC Sky Vision, MNC Sky Vision Tbk, MNC Sky Vision Tbk., MNCSkyVision, PT MNC Sky Vision, mnc sky vision</t>
  </si>
  <si>
    <t>MSTI, MASTERSYSTEM INFOTAMA, Mastersystem Infotama, Mastersystem Infotama Tbk, Mastersystem Infotama Tbk., MastersystemInfotama, PT Mastersystem Infotama, mastersystem infotama</t>
  </si>
  <si>
    <t>MTDL, METRODATA ELECTRONICS, Metrodata Electronics, Metrodata Electronics Tbk, Metrodata Electronics Tbk., MetrodataElectronics, PT Metrodata Electronics, metrodata electronics</t>
  </si>
  <si>
    <t>MTEL, DAYAMITRA TELEKOMUNIKASI, Dayamitra Telekomunikasi, Dayamitra Telekomunikasi Tbk, Dayamitra Telekomunikasi Tbk., DayamitraTelekomunikasi, PT Dayamitra Telekomunikasi, dayamitra telekomunikasi</t>
  </si>
  <si>
    <t>MTFN, CAPITALINC INVESTMENT, Capitalinc Investment, Capitalinc Investment Tbk, Capitalinc Investment Tbk., CapitalincInvestment, PT Capitalinc Investment, capitalinc investment</t>
  </si>
  <si>
    <t>MTLA, METROPOLITAN LAND, Metropolitan Land, Metropolitan Land Tbk, Metropolitan Land Tbk., MetropolitanLand, PT Metropolitan Land, metropolitan land</t>
  </si>
  <si>
    <t>MTMH, MURNI SADAR, Murni Sadar, Murni Sadar Tbk, Murni Sadar Tbk., MurniSadar, PT Murni Sadar, murni sadar</t>
  </si>
  <si>
    <t>MTPS, META EPSI, Meta Epsi, Meta Epsi Tbk, Meta Epsi Tbk., MetaEpsi, PT Meta Epsi, meta epsi</t>
  </si>
  <si>
    <t>MTRA, MITRA PEMUDA, Mitra Pemuda, Mitra Pemuda Tbk, Mitra Pemuda Tbk., MitraPemuda, PT Mitra Pemuda, mitra pemuda</t>
  </si>
  <si>
    <t>MTSM, METRO REALTY, Metro Realty, Metro Realty Tbk, Metro Realty Tbk., MetroRealty, PT Metro Realty, metro realty</t>
  </si>
  <si>
    <t>MTWI, MALACCA TRUST WUWUNGAN INSURANCE, Malacca Trust Wuwungan Insurance, Malacca Trust Wuwungan Insurance Tbk, Malacca Trust Wuwungan Insurance Tbk., MalaccaTrustWuwunganInsurance, PT Malacca Trust Wuwungan Insurance, malacca trust wuwungan insurance</t>
  </si>
  <si>
    <t>MUTU, MUTUAGUNG LESTARI, Mutuagung Lestari, Mutuagung Lestari Tbk, Mutuagung Lestari Tbk., MutuagungLestari, PT Mutuagung Lestari, mutuagung lestari</t>
  </si>
  <si>
    <t>MYOH, PT Samindo Resources, SAMINDO RESOURCES, Samindo Resources, Samindo Resources Tbk, Samindo Resources Tbk., SamindoResources, samindo resources</t>
  </si>
  <si>
    <t>MYOR, MAYORA INDAH, Mayora Indah, Mayora Indah Tbk, Mayora Indah Tbk., MayoraIndah, PT Mayora Indah, mayora indah</t>
  </si>
  <si>
    <t>MYTX, ASIA PACIFIC INVESTAMA, Asia Pacific Investama, Asia Pacific Investama Tbk, Asia Pacific Investama Tbk., AsiaPacificInvestama, PT Asia Pacific Investama, asia pacific investama</t>
  </si>
  <si>
    <t>NAIK, ADIWARNA ANUGERAH ABADI, Adiwarna Anugerah Abadi, Adiwarna Anugerah Abadi Tbk, Adiwarna Anugerah Abadi Tbk., AdiwarnaAnugerahAbadi, PT Adiwarna Anugerah Abadi, adiwarna anugerah abadi</t>
  </si>
  <si>
    <t>NANO, NANOTECH INDONESIA GLOBAL, Nanotech Indonesia Global, Nanotech Indonesia Global Tbk, Nanotech Indonesia Global Tbk., NanotechIndonesiaGlobal, PT Nanotech Indonesia Global, nanotech indonesia global</t>
  </si>
  <si>
    <t>NASA, ANDALAN PERKASA ABADI, Andalan Perkasa Abadi, Andalan Perkasa Abadi Tbk, Andalan Perkasa Abadi Tbk., AndalanPerkasaAbadi, PT Andalan Perkasa Abadi, andalan perkasa abadi</t>
  </si>
  <si>
    <t>NASI, PT Wahana Inti Makmur, WAHANA INTI MAKMUR, Wahana Inti Makmur, Wahana Inti Makmur Tbk, Wahana Inti Makmur Tbk., WahanaIntiMakmur, wahana inti makmur</t>
  </si>
  <si>
    <t>NATO, OLYMPUS STRATEGIC INDONESIA, Olympus Strategic Indonesia, Olympus Strategic Indonesia Tbk, Olympus Strategic Indonesia Tbk., OlympusStrategicIndonesia, PT Olympus Strategic Indonesia, olympus strategic indonesia</t>
  </si>
  <si>
    <t>NAYZ, HASSANA BOGA SEJAHTERA, Hassana Boga Sejahtera, Hassana Boga Sejahtera Tbk, Hassana Boga Sejahtera Tbk., HassanaBogaSejahtera, PT Hassana Boga Sejahtera, hassana boga sejahtera</t>
  </si>
  <si>
    <t>NCKL, PT Trimegah Bangun Persada, TRIMEGAH BANGUN PERSADA, Trimegah Bangun Persada, Trimegah Bangun Persada Tbk, Trimegah Bangun Persada Tbk., TrimegahBangunPersada, trimegah bangun persada</t>
  </si>
  <si>
    <t>NELY, PELAYARAN NELLY DWI PUTRI, PT Pelayaran Nelly Dwi Putri, Pelayaran Nelly Dwi Putri, Pelayaran Nelly Dwi Putri Tbk, Pelayaran Nelly Dwi Putri Tbk., PelayaranNellyDwiPutri, pelayaran nelly dwi putri</t>
  </si>
  <si>
    <t>NEST, ESTA INDONESIA, Esta Indonesia, Esta Indonesia Tbk, Esta Indonesia Tbk., EstaIndonesia, PT Esta Indonesia, esta indonesia</t>
  </si>
  <si>
    <t>NETV, MDTV MEDIA TECHNOLOGIES, MDTV Media Technologies, MDTV Media Technologies Tbk, MDTV Media Technologies Tbk., MDTVMediaTechnologies, PT MDTV Media Technologies, mdtv media technologies</t>
  </si>
  <si>
    <t>NFCX, NFC INDONESIA, NFC Indonesia, NFC Indonesia Tbk, NFC Indonesia Tbk., NFCIndonesia, PT NFC Indonesia, nfc indonesia</t>
  </si>
  <si>
    <t>NICE, ADHI KARTIKO PRATAMA, Adhi Kartiko Pratama, Adhi Kartiko Pratama Tbk, Adhi Kartiko Pratama Tbk., AdhiKartikoPratama, PT Adhi Kartiko Pratama, adhi kartiko pratama</t>
  </si>
  <si>
    <t>NICK, CHARNIC CAPITAL, Charnic Capital, Charnic Capital Tbk, Charnic Capital Tbk., CharnicCapital, PT Charnic Capital, charnic capital</t>
  </si>
  <si>
    <t>NICL, PAM MINERAL, PAM Mineral, PAM Mineral Tbk, PAM Mineral Tbk., PAMMineral, PT PAM Mineral, pam mineral</t>
  </si>
  <si>
    <t>NIKL, PELAT TIMAH NUSANTARA, PT Pelat Timah Nusantara, Pelat Timah Nusantara, Pelat Timah Nusantara Tbk, Pelat Timah Nusantara Tbk., PelatTimahNusantara, pelat timah nusantara</t>
  </si>
  <si>
    <t>NINE, PT Techno9 Indonesia, TECHNO9 INDONESIA, Techno9 Indonesia, Techno9 Indonesia Tbk, Techno9 Indonesia Tbk., Techno9Indonesia, techno9 indonesia</t>
  </si>
  <si>
    <t>NIRO, CITY RETAIL DEVELOPMENTS, City Retail Developments, City Retail Developments Tbk, City Retail Developments Tbk., CityRetailDevelopments, PT City Retail Developments, city retail developments</t>
  </si>
  <si>
    <t>NISP, BANK OCBC NISP, Bank NISP, Bank OCBC NISP, Bank OCBC NISP Tbk, Bank OCBC NISP Tbk., BankOCBCNISP, PT Bank OCBC NISP, bank ocbc nisp</t>
  </si>
  <si>
    <t>NOBU, BANK NATIONALNOBU, Bank Nationalnobu, Bank Nationalnobu Tbk, Bank Nationalnobu Tbk., BankNationalnobu, Nationalnobu, PT Bank Nationalnobu, bank nationalnobu</t>
  </si>
  <si>
    <t>NPGF, NUSA PALAPA GEMILANG, Nusa Palapa Gemilang, Nusa Palapa Gemilang Tbk, Nusa Palapa Gemilang Tbk., NusaPalapaGemilang, PT Nusa Palapa Gemilang, nusa palapa gemilang</t>
  </si>
  <si>
    <t>NRCA, NUSA RAYA CIA, Nusa Raya Cia, Nusa Raya Cia Tbk, Nusa Raya Cipta Tbk., NusaRayaCia, PT Nusa Raya Cia, nusa raya cia</t>
  </si>
  <si>
    <t>NSSS, NUSANTARA SAWIT SEJAHTERA, Nusantara Sawit Sejahtera, Nusantara Sawit Sejahtera Tbk, Nusantara Sawit Sejahtera Tbk., NusantaraSawitSejahtera, PT Nusantara Sawit Sejahtera, nusantara sawit sejahtera</t>
  </si>
  <si>
    <t>NTBK, NUSATAMA BERKAH, Nusatama Berkah, Nusatama Berkah Tbk, Nusatama Berkah Tbk., NusatamaBerkah, PT Nusatama Berkah, nusatama berkah</t>
  </si>
  <si>
    <t>NUSA, PT Sinergi Megah Internusa, SINERGI MEGAH INTERNUSA, Sinergi Megah Internusa, Sinergi Megah Internusa Tbk, Sinergi Megah Internusa Tbk., SinergiMegahInternusa, sinergi megah internusa</t>
  </si>
  <si>
    <t>NZIA, NUSANTARA ALMAZIA, Nusantara Almazia, Nusantara Almazia Tbk, Nusantara Almazia Tbk., NusantaraAlmazia, PT Nusantara Almazia, nusantara almazia</t>
  </si>
  <si>
    <t>OASA, MAHARAKSA BIRU ENERGI, Maharaksa Biru Energi, Maharaksa Biru Energi Tbk, Maharaksa Biru Energi Tbk., MaharaksaBiruEnergi, PT Maharaksa Biru Energi, maharaksa biru energi</t>
  </si>
  <si>
    <t>OBAT, BRIGIT BIOFARMAKA TEKNOLOGI, Brigit Biofarmaka Teknologi, Brigit Biofarmaka Teknologi Tbk, Brigit Biofarmaka Teknologi Tbk., BrigitBiofarmakaTeknologi, PT Brigit Biofarmaka Teknologi, brigit biofarmaka teknologi</t>
  </si>
  <si>
    <t>OBMD, OBM DRILCHEM, OBM Drilchem, OBM Drilchem Tbk, OBM Drilchem Tbk., OBMDrilchem, PT OBM Drilchem, obm drilchem</t>
  </si>
  <si>
    <t>OCAP, ONIX CAPITAL, Onix Capital, Onix Capital Tbk, Onix Capital Tbk., OnixCapital, PT Onix Capital, onix capital</t>
  </si>
  <si>
    <t>OILS, INDO OIL PERKASA, Indo Oil Perkasa, Indo Oil Perkasa Tbk, Indo Oil Perkasa Tbk., IndoOilPerkasa, PT Indo Oil Perkasa, indo oil perkasa</t>
  </si>
  <si>
    <t>OKAS, ANCORA INDONESIA RESOURCES, Ancora Indonesia Resources, Ancora Indonesia Resources Tbk, Ancora Indonesia Resources Tbk., AncoraIndonesiaResources, PT Ancora Indonesia Resources, ancora indonesia resources</t>
  </si>
  <si>
    <t>OLIV, OSCAR MITRA SUKSES SEJAHTERA, Oscar Mitra Sukses Sejahtera, Oscar Mitra Sukses Sejahtera Tbk, Oscar Mitra Sukses Sejahtera Tbk., OscarMitraSuksesSejahtera, PT Oscar Mitra Sukses Sejahtera, oscar mitra sukses sejahtera</t>
  </si>
  <si>
    <t>OMED, JAYAMAS MEDICA INDUSTRI, Jayamas Medica Industri, Jayamas Medica Industri Tbk, Jayamas Medica Industri Tbk., JayamasMedicaIndustri, PT Jayamas Medica Industri, jayamas medica industri</t>
  </si>
  <si>
    <t>OMRE, INDONESIA PRIMA PROPERTY, Indonesia Prima Property, Indonesia Prima Property Tbk, Indonesia Prima Property Tbk., IndonesiaPrimaProperty, PT Indonesia Prima Property, indonesia prima property</t>
  </si>
  <si>
    <t>OPMS, OIMA PRIMA METAL SINERGI, Oima Prima Metal Sinergi, Oima Prima Metal Sinergi Tbk, OimaPrimaMetalSinergi, Optima Prima Metal Sinergi Tbk., PT Oima Prima Metal Sinergi, oima prima metal sinergi</t>
  </si>
  <si>
    <t>PACK, ABADI NUSANTARA HIJAU INVESTAMA, Abadi Nusantara Hijau Investama, Abadi Nusantara Hijau Investama Tbk, Abadi Nusantara Hijau Investama Tbk., AbadiNusantaraHijauInvestama, PT Abadi Nusantara Hijau Investama, abadi nusantara hijau investama</t>
  </si>
  <si>
    <t>PADA, PERSONEL ALIH DAYA, PT Personel Alih Daya, Personel Alih Daya, Personel Alih Daya Tbk, Personel Alih Daya Tbk., PersonelAlihDaya, personel alih daya</t>
  </si>
  <si>
    <t>PADI, MINNA PADI INVESTAMA SEKURITAS, Minna Padi Investama Sekuritas, Minna Padi Investama Sekuritas Tbk, Minna Padi Investama Sekuritas Tbk., MinnaPadiInvestamaSekuritas, PT Minna Padi Investama Sekuritas, minna padi investama sekuritas</t>
  </si>
  <si>
    <t>PALM, PROVIDENT INVESTASI BERSAMA, PT Provident Investasi Bersama, Provident Investasi Bersama, Provident Investasi Bersama Tbk, Provident Investasi Bersama Tbk., ProvidentInvestasiBersama, provident investasi bersama</t>
  </si>
  <si>
    <t>PAMG, BIMA SAKTI PERTIWI, Bima Sakti Pertiwi, Bima Sakti Pertiwi Tbk, Bima Sakti Pertiwi Tbk., BimaSaktiPertiwi, PT Bima Sakti Pertiwi, bima sakti pertiwi</t>
  </si>
  <si>
    <t>PANI, PANTAI INDAH KAPUK DUA, PT Pantai Indah Kapuk Dua, Pantai Indah Kapuk Dua, Pantai Indah Kapuk Dua Tbk, Pantai Indah Kapuk Dua Tbk., PantaiIndahKapukDua, pantai indah kapuk dua</t>
  </si>
  <si>
    <t>PANR, PANORAMA SENTRAWISATA, PT Panorama Sentrawisata, Panorama Sentrawisata, Panorama Sentrawisata Tbk, Panorama Sentrawisata Tbk., PanoramaSentrawisata, panorama sentrawisata</t>
  </si>
  <si>
    <t>PANS, PANIN SEKURITAS, PT Panin Sekuritas, Panin Sekuritas, Panin Sekuritas Tbk, Panin Sekuritas Tbk., PaninSekuritas, panin sekuritas</t>
  </si>
  <si>
    <t>PART, CIPTA PERDANA LANCAR, Cipta Perdana Lancar, Cipta Perdana Lancar Tbk, CiptaPerdanaLancar, Cipta Perdana Lancar Tbk., PT Cipta Perdana Lancar, cipta perdana lancar</t>
  </si>
  <si>
    <t>PBID, PANCA BUDI IDAMAN, PT Panca Budi Idaman, Panca Budi Idaman, Panca Budi Idaman Tbk, Panca Budi Idaman Tbk., PancaBudiIdaman, panca budi idaman</t>
  </si>
  <si>
    <t>PBRX, PAN BROTHERS, PT Pan Brothers, Pan Brothers, Pan Brothers Tbk, Pan Brothers Tbk., PanBrothers, pan brothers</t>
  </si>
  <si>
    <t>PBSA, PARAMITA BANGUN SARANA, PT Paramita Bangun Sarana, Paramita Bangun Sarana, Paramita Bangun Sarana Tbk, Paramita Bangun Sarana Tbk., ParamitaBangunSarana, paramita bangun sarana</t>
  </si>
  <si>
    <t>PCAR, PRIMA CAKRAWALA ABADI, PT Prima Cakrawala Abadi, Prima Cakrawala Abadi, Prima Cakrawala Abadi Tbk, Prima Cakrawala Abadi Tbk., PrimaCakrawalaAbadi, prima cakrawala abadi</t>
  </si>
  <si>
    <t>PDES, DESTINASI TIRTA NUSANTARA, Destinasi Tirta Nusantara, Destinasi Tirta Nusantara Tbk, Destinasi Tirta Nusantara Tbk., DestinasiTirtaNusantara, PT Destinasi Tirta Nusantara, destinasi tirta nusantara</t>
  </si>
  <si>
    <t>PDPP, PRIMADAYA PLASTISINDO, PT Primadaya Plastisindo, Primadaya Plastisindo, Primadaya Plastisindo Tbk, Primadaya Plastisindo Tbk., PrimadayaPlastisindo, primadaya plastisindo</t>
  </si>
  <si>
    <t>PEGE, PANCA GLOBAL KAPITAL, PT Panca Global Kapital, Panca Global Kapital, Panca Global Kapital Tbk, Panca Global Kapital Tbk., PancaGlobalKapital, panca global kapital</t>
  </si>
  <si>
    <t>PEHA, PHAPROS, PT Phapros, Phapros, Phapros Tbk, Phapros Tbk., phapros</t>
  </si>
  <si>
    <t>PEVE, PENTA VALENT, PT Penta Valent, Penta Valent, Penta Valent Tbk, Penta Valent Tbk., PentaValent, penta valent</t>
  </si>
  <si>
    <t>PGAS, PGN, PERUSAHAAN GAS NEGARA, PT Perusahaan Gas Negara, Perusahaan Gas Negara, Perusahaan Gas Negara Tbk, Perusahaan Gas Negara Tbk., PerusahaanGasNegara, perusahaan gas negara</t>
  </si>
  <si>
    <t>PGEO, PERTAMINA GEOTHERMAL ENERGY, PT Pertamina Geothermal Energy, Pertamina Geothermal Energy, Pertamina Geothermal Energy Tbk, Pertamina Geothermal Energy Tbk., PertaminaGeothermalEnergy, pertamina geothermal energy</t>
  </si>
  <si>
    <t>PGJO, BAHTERA BUMI RAYA, Bahtera Bumi Raya, Bahtera Bumi Raya Tbk, Bahtera Bumi Raya Tbk., BahteraBumiRaya, PT Bahtera Bumi Raya, bahtera bumi raya</t>
  </si>
  <si>
    <t>PGLI, PEMBANGUNAN GRAHA LESTARI INDAH, PT Pembangunan Graha Lestari Indah, Pembangunan Graha Lestari Indah, Pembangunan Graha Lestari Indah Tbk, Pembangunan Graha Lestari Indah Tbk., PembangunanGrahaLestariIndah, pembangunan graha lestari indah</t>
  </si>
  <si>
    <t>PGUN, PRADIKSI GUNATAMA, PT Pradiksi Gunatama, Pradiksi Gunatama, Pradiksi Gunatama Tbk, Pradiksi Gunatama Tbk., PradiksiGunatama, pradiksi gunatama</t>
  </si>
  <si>
    <t>PICO, PELANGI INDAH CANINDO, PT Pelangi Indah Canindo, Pelangi Indah Canindo, Pelangi Indah Canindo Tbk, Pelangi Indah Canindo Tbk., PelangiIndahCanindo, pelangi indah canindo</t>
  </si>
  <si>
    <t>PIPA, MULTI MAKMUR LEMINDO, Multi Makmur Lemindo, Multi Makmur Lemindo Tbk, Multi Makmur Lemindo Tbk., MultiMakmurLemindo, PT Multi Makmur Lemindo, multi makmur lemindo</t>
  </si>
  <si>
    <t>PJAA, PEMBANGUNAN JAYA ANCOL, PT Pembangunan Jaya Ancol, Pembangunan Jaya Ancol, Pembangunan Jaya Ancol Tbk, Pembangunan Jaya Ancol Tbk., PembangunanJayaAncol, pembangunan jaya ancol</t>
  </si>
  <si>
    <t>PJHB, PELAYARAN JAYA HIDUP BARU, PT Pelayaran Jaya Hidup Baru, Pelayaran Jaya Hidup Baru, Pelayaran Jaya Hidup Baru Tbk, Pelayaran Jaya Hidup Baru Tbk., PelayaranJayaHidupBaru, pelayaran jaya hidup baru</t>
  </si>
  <si>
    <t>PKPK, PARAGON KARYA PERKASA, PT Paragon Karya Perkasa, Paragon Karya Perkasa, Paragon Karya Perkasa Tbk, Paragon Karya Perkasa Tbk., ParagonKaryaPerkasa, paragon karya perkasa</t>
  </si>
  <si>
    <t>PLAN, PLANET PROPERINDO JAYA, PT Planet Properindo Jaya, Planet Properindo Jaya, Planet Properindo Jaya Tbk, Planet Properindo Jaya Tbk., PlanetProperindoJaya, planet properindo jaya</t>
  </si>
  <si>
    <t>PLAS, POLARIS INVESTAMA, PT Polaris Investama, Polaris Investama, Polaris Investama Tbk, Polaris Investama Tbk., PolarisInvestama, polaris investama</t>
  </si>
  <si>
    <t>PLAZA INDONESIA REALTY, PLIN, PT Plaza Indonesia Realty, Plaza Indonesia Realty, Plaza Indonesia Realty Tbk, Plaza Indonesia Realty Tbk., PlazaIndonesiaRealty, plaza indonesia realty</t>
  </si>
  <si>
    <t>PMJS, PT Putra Mandiri Jembar, PUTRA MANDIRI JEMBAR, Putra Mandiri Jembar, Putra Mandiri Jembar Tbk, Putra Mandiri Jembar Tbk., PutraMandiriJembar, putra mandiri jembar</t>
  </si>
  <si>
    <t>PMMP, PANCA MITRA MULTIPERDANA, PT Panca Mitra Multiperdana, Panca Mitra Multiperdana, Panca Mitra Multiperdana Tbk, Panca Mitra Multiperdana Tbk., PancaMitraMultiperdana, panca mitra multiperdana</t>
  </si>
  <si>
    <t>PMUI, PRIMA MULTI USAHA INDONESIA, PT Prima Multi Usaha Indonesia, Prima Multi Usaha Indonesia, Prima Multi Usaha Indonesia Tbk, Prima Multi Usaha Indonesia Tbk., PrimaMultiUsahaIndonesia, prima multi usaha indonesia</t>
  </si>
  <si>
    <t>PNBN, BANK PAN INDONESIA, Bank Pan Indonesia, Bank Pan Indonesia Tbk, Bank Pan Indonesia Tbk., BankPanIndonesia, PT Bank Pan Indonesia, bank pan indonesia</t>
  </si>
  <si>
    <t>PNBS, BANK PANIN DUBAI SYARIAH, Bank Panin Dubai Syariah, Bank Panin Dubai Syariah Tbk, Bank Panin Dubai Syariah Tbk., Bank Syariah, BankPaninDubaiSyariah, PT Bank Panin Dubai Syariah, Syariah, bank panin dubai syariah</t>
  </si>
  <si>
    <t>PNGO, PINAGO UTAMA, PT Pinago Utama, Pinago Utama, Pinago Utama Tbk, Pinago Utama Tbk., PinagoUtama, pinago utama</t>
  </si>
  <si>
    <t>PNIN, PANINVEST, PT Paninvest, Paninvest, Paninvest Tbk, Paninvest Tbk., paninvest</t>
  </si>
  <si>
    <t>PNLF, PANIN FINANCIAL, PT Panin Financial, Panin Financial, Panin Financial Tbk, Panin Financial Tbk., PaninFinancial, panin financial</t>
  </si>
  <si>
    <t>PNSE, PT Pudjiadi &amp; Sons, PUDJIADI &amp; SONS, Pudjiadi &amp; Sons, Pudjiadi &amp; Sons Tbk, Pudjiadi &amp; Sons Tbk., Pudjiadi&amp;Sons, pudjiadi &amp; sons</t>
  </si>
  <si>
    <t>POLA, POOL ADVISTA FINANCE, PT Pool Advista Finance, Pool Advista Finance, Pool Advista Finance Tbk, Pool Advista Finance Tbk., PoolAdvistaFinance, pool advista finance</t>
  </si>
  <si>
    <t>POLI, POLLUX HOTELS GROUP, PT Pollux Hotels Group, Pollux Hotels Group, Pollux Hotels Group Tbk, Pollux Hotels Group Tbk., PolluxHotelsGroup, pollux hotels group</t>
  </si>
  <si>
    <t>POLL, POLLUX PROPERTIES INDONESIA, PT Pollux Properties Indonesia, Pollux Properties Indonesia, Pollux Properties Indonesia Tbk, Pollux Properties Indonesia Tbk., PolluxPropertiesIndonesia, pollux properties indonesia</t>
  </si>
  <si>
    <t>POLU, GOLDEN FLOWER, Golden Flower, Golden Flower Tbk, Golden Flower Tbk., GoldenFlower, PT Golden Flower, golden flower</t>
  </si>
  <si>
    <t>POLY, ASIA PACIFIC FIBERS, Asia Pacific Fibers, Asia Pacific Fibers Tbk, Asia Pacific Fibers Tbk., AsiaPacificFibers, PT Asia Pacific Fibers, asia pacific fibers</t>
  </si>
  <si>
    <t>POOL, POOL ADVISTA INDONESIA, PT Pool Advista Indonesia, Pool Advista Indonesia, Pool Advista Indonesia Tbk, Pool Advista Indonesia Tbk., PoolAdvistaIndonesia, pool advista indonesia</t>
  </si>
  <si>
    <t>PORT, NUSANTARA PELABUHAN HANDAL, Nusantara Pelabuhan Handal, Nusantara Pelabuhan Handal Tbk, Nusantara Pelabuhan Handal Tbk., NusantaraPelabuhanHandal, PT Nusantara Pelabuhan Handal, nusantara pelabuhan handal</t>
  </si>
  <si>
    <t>POSA, BLISS PROPERTI INDONESIA, Bliss Properti Indonesia, Bliss Properti Indonesia Tbk, Bliss Properti Indonesia Tbk., BlissPropertiIndonesia, PT Bliss Properti Indonesia, bliss properti indonesia</t>
  </si>
  <si>
    <t>POWR, CIKARANG LISTRINDO, Cikarang Listrindo, Cikarang Listrindo Tbk, Cikarang Listrindo Tbk., CikarangListrindo, PT Cikarang Listrindo, cikarang listrindo</t>
  </si>
  <si>
    <t>PPGL, PRIMA GLOBALINDO LOGISTIK, PT Prima Globalindo Logistik, Prima Globalindo Logistik, Prima Globalindo Logistik Tbk, Prima Globalindo Logistik Tbk., PrimaGlobalindoLogistik, prima globalindo logistik</t>
  </si>
  <si>
    <t>PPRE, PP PRESISI, PP Presisi, PP Presisi Tbk, PP Presisi Tbk., PPPresisi, PT PP Presisi, pp presisi</t>
  </si>
  <si>
    <t>PPRI, PAPEROCKS INDONESIA, PT Paperocks Indonesia, Paperocks Indonesia, Paperocks Indonesia Tbk, Paperocks Indonesia Tbk., PaperocksIndonesia, paperocks indonesia</t>
  </si>
  <si>
    <t>PPRO, PP PROPERTI, PP Properti, PP Properti Tbk, PP Properti Tbk., PPProperti, PT PP Properti, pp properti</t>
  </si>
  <si>
    <t>PRAY, FAMON AWAL BROS SEDAYA, Famon Awal Bros Sedaya, Famon Awal Bros Sedaya Tbk, Famon Awal Bros Sedaya Tbk., FamonAwalBrosSedaya, PT Famon Awal Bros Sedaya, famon awal bros sedaya</t>
  </si>
  <si>
    <t>PRDA, PRODIA WIDYAHUSADA, PT Prodia Widyahusada, Prodia Widyahusada, Prodia Widyahusada Tbk, Prodia Widyahusada Tbk., ProdiaWidyahusada, prodia widyahusada</t>
  </si>
  <si>
    <t>PRIM, PT Royal Prima, ROYAL PRIMA, Royal Prima, Royal Prima Tbk, Royal Prima Tbk., RoyalPrima, royal prima</t>
  </si>
  <si>
    <t>PSAB, J RESOURCES ASIA PASIFIK, J Resources Asia Pasifik, J Resources Asia Pasifik Tbk, J Resources Asia Pasifik Tbk., JResourcesAsiaPasifik, PT J Resources Asia Pasifik, j resources asia pasifik</t>
  </si>
  <si>
    <t>PSAT, PANCARAN SAMUDERA TRANSPORT, PT Pancaran Samudera Transport, Pancaran Samudera Transport, Pancaran Samudera Transport Tbk, Pancaran Samudera Transport Tbk., PancaranSamuderaTransport, pancaran samudera transport</t>
  </si>
  <si>
    <t>PSDN, PRASIDHA ANEKA NIAGA, PT Prasidha Aneka Niaga, Prasidha Aneka Niaga, Prasidha Aneka Niaga Tbk, Prasidha Aneka Niaga Tbk., PrasidhaAnekaNiaga, prasidha aneka niaga</t>
  </si>
  <si>
    <t>PSGO, PALMA SERASIH, PT Palma Serasih, Palma Serasih, Palma Serasih Tbk, Palma Serasih Tbk., PalmaSerasih, palma serasih</t>
  </si>
  <si>
    <t>PSKT, PT Red Planet Indonesia, RED PLANET INDONESIA, Red Planet Indonesia, Red Planet Indonesia Tbk, Red Planet Indonesia Tbk., RedPlanetIndonesia, red planet indonesia</t>
  </si>
  <si>
    <t>PSSI, IMC PELITA LOGISTIK, IMC Pelita Logistik, IMC Pelita Logistik Tbk, IMC Pelita Logistik Tbk., IMCPelitaLogistik, PT IMC Pelita Logistik, imc pelita logistik</t>
  </si>
  <si>
    <t>PTBA, BUKIT ASAM (PERSERO), Bukit Asam (Persero), Bukit Asam (Persero) Tbk, Bukit Asam (Persero) Tbk., BukitAsam(Persero), PT Bukit Asam (Persero), bukit asam (persero)</t>
  </si>
  <si>
    <t>PTDU, DJASA UBERSAKTI, Djasa Ubersakti, Djasa Ubersakti Tbk, Djasa Ubersakti Tbk., DjasaUbersakti, PT Djasa Ubersakti, djasa ubersakti</t>
  </si>
  <si>
    <t>PTIS, INDO STRAITS, Indo Straits, Indo Straits Tbk, Indo Straits Tbk., IndoStraits, PT Indo Straits, indo straits</t>
  </si>
  <si>
    <t>PTMP, MITRA PACK, Mitra Pack, Mitra Pack Tbk, Mitra Pack Tbk., MitraPack, PT Mitra Pack, mitra pack</t>
  </si>
  <si>
    <t>PTMR, MASTER PRINT, Master Print, Master Print Tbk, Master Print Tbk., MasterPrint, PT Master Print, master print</t>
  </si>
  <si>
    <t>PTPP, PP (PERSERO), PP (Persero), PP (Persero) Tbk, PP (Persero) Tbk., PP(Persero), PT PP (Persero), pp (persero)</t>
  </si>
  <si>
    <t>PTPS, PT Pulau Subur, PULAU SUBUR, Pulau Subur, Pulau Subur Tbk, Pulau Subur Tbk., PulauSubur, pulau subur</t>
  </si>
  <si>
    <t>PTPW, PRATAMA WIDYA, PT Pratama Widya, Pratama Widya, Pratama Widya Tbk, Pratama Widya Tbk., PratamaWidya, pratama widya</t>
  </si>
  <si>
    <t>PTRO, PETROSEA, PT Petrosea, Petrosea, Petrosea Tbk, Petrosea Tbk., petrosea</t>
  </si>
  <si>
    <t>PTSN, PT Sat Nusapersada, SAT NUSAPERSADA, Sat Nusapersada, Sat Nusapersada Tbk, Sat Nusapersada Tbk., SatNusapersada, sat nusapersada</t>
  </si>
  <si>
    <t>PTSP, PIONEERINDO GOURMET INTERNATIONAL, PT Pioneerindo Gourmet International, Pioneerindo Gourmet International, Pioneerindo Gourmet International Tbk, Pioneerindo Gourmet International Tbk., PioneerindoGourmetInternational, pioneerindo gourmet international</t>
  </si>
  <si>
    <t>PUDP, PT Pudjiadi Prestige, PUDJIADI PRESTIGE, Pudjiadi Prestige, Pudjiadi Prestige Tbk, Pudjiadi Prestige Tbk., PudjiadiPrestige, pudjiadi prestige</t>
  </si>
  <si>
    <t>PURA, PT Putra Rajawali Kencana, PUTRA RAJAWALI KENCANA, Putra Rajawali Kencana, Putra Rajawali Kencana Tbk, Putra Rajawali Kencana Tbk., PutraRajawaliKencana, putra rajawali kencana</t>
  </si>
  <si>
    <t>PURE, PT Trinitan Metals and Minerals, TRINITAN METALS AND MINERALS, Trinitan Metals and Minerals, Trinitan Metals and Minerals Tbk, Trinitan Metals and Minerals Tbk., TrinitanMetalsandMinerals, trinitan metals and minerals</t>
  </si>
  <si>
    <t>PURI, PT Puri Global Sukses, PURI GLOBAL SUKSES, Puri Global Sukses, Puri Global Sukses Tbk, Puri Global Sukses Tbk., PuriGlobalSukses, puri global sukses</t>
  </si>
  <si>
    <t>PWON, PAKUWON JATI, PT Pakuwon Jati, Pakuwon Jati, Pakuwon Jati Tbk, Pakuwon Jati Tbk., PakuwonJati, pakuwon jati</t>
  </si>
  <si>
    <t>PYFA, PT Pyridam Farma, PYRIDAM FARMA, Pyridam Farma, Pyridam Farma Tbk, Pyridam Farma Tbk., PyridamFarma, pyridam farma</t>
  </si>
  <si>
    <t>PZZA, PT Sarimelati Kencana, SARIMELATI KENCANA, Sarimelati Kencana, Sarimelati Kencana Tbk, Sarimelati Kencana Tbk., SarimelatiKencana, sarimelati kencana</t>
  </si>
  <si>
    <t>RAAM, PT Tripar Multivision Plus, TRIPAR MULTIVISION PLUS, Tripar Multivision Plus, Tripar Multivision Plus Tbk, Tripar Multivision Plus Tbk., TriparMultivisionPlus, tripar multivision plus</t>
  </si>
  <si>
    <t>RAFI, PT Sari Kreasi Boga, SARI KREASI BOGA, Sari Kreasi Boga, Sari Kreasi Boga Tbk, Sari Kreasi Boga Tbk., SariKreasiBoga, sari kreasi boga</t>
  </si>
  <si>
    <t>RAJA, PT Rukun Raharja, RUKUN RAHARJA, Rukun Raharja, Rukun Raharja Tbk, Rukun Raharja Tbk., RukunRaharja, rukun raharja</t>
  </si>
  <si>
    <t>RALS, PT Ramayana Lestari Sentosa, RAMAYANA LESTARI SENTOSA, Ramayana Lestari Sentosa, Ramayana Lestari Sentosa Tbk, Ramayana Lestari Sentosa Tbk., RamayanaLestariSentosa, ramayana lestari sentosa</t>
  </si>
  <si>
    <t>RANC, PT Supra Boga Lestari, SUPRA BOGA LESTARI, Supra Boga Lestari, Supra Boga Lestari Tbk, Supra Boga Lestari Tbk., SupraBogaLestari, supra boga lestari</t>
  </si>
  <si>
    <t>RATU, PT Raharja Energi Cepu, RAHARJA ENERGI CEPU, Raharja Energi Cepu, Raharja Energi Cepu Tbk, Raharja Energi Cepu Tbk., RaharjaEnergiCepu, raharja energi cepu</t>
  </si>
  <si>
    <t>RBMS, PT Ristia Bintang Mahkotasejati, RISTIA BINTANG MAHKOTASEJATI, Ristia Bintang Mahkotasejati, Ristia Bintang Mahkotasejati Tbk, Ristia Bintang Mahkotasejati Tbk., RistiaBintangMahkotasejati, ristia bintang mahkotasejati</t>
  </si>
  <si>
    <t>RCCC, PT Utama Radar Cahaya, UTAMA RADAR CAHAYA, Utama Radar Cahaya, Utama Radar Cahaya Tbk, Utama Radar Cahaya Tbk., UtamaRadarCahaya, utama radar cahaya</t>
  </si>
  <si>
    <t>RDTX, PT Roda Vivatex, RODA VIVATEX, Roda Vivatex, Roda Vivatex Tbk, Roda Vivatex Tbk., RodaVivatex, roda vivatex</t>
  </si>
  <si>
    <t>REAL, PT Repower Asia Indonesia, REPOWER ASIA INDONESIA, Repower Asia Indonesia, Repower Asia Indonesia Tbk, Repower Asia Indonesia Tbk., RepowerAsiaIndonesia, repower asia indonesia</t>
  </si>
  <si>
    <t>RELF, GRAHA MITRA ASIA, Graha Mitra Asia, Graha Mitra Asia Tbk, Graha Mitra Asia Tbk., GrahaMitraAsia, PT Graha Mitra Asia, graha mitra asia</t>
  </si>
  <si>
    <t>RELI, PT Reliance Sekuritas Indonesia, RELIANCE SEKURITAS INDONESIA, Reliance Sekuritas Indonesia, Reliance Sekuritas Indonesia Tbk, Reliance Sekuritas Indonesia Tbk., RelianceSekuritasIndonesia, reliance sekuritas indonesia</t>
  </si>
  <si>
    <t>RGAS, KIAN SANTANG MULIATAMA, Kian Santang Muliatama, Kian Santang Muliatama Tbk, Kian Santang Muliatama Tbk., KianSantangMuliatama, PT Kian Santang Muliatama, kian santang muliatama</t>
  </si>
  <si>
    <t>RICY, PT Ricky Putra Globalindo, RICKY PUTRA GLOBALINDO, Ricky Putra Globalindo, Ricky Putra Globalindo Tbk, Ricky Putra Globalindo Tbk., RickyPutraGlobalindo, ricky putra globalindo</t>
  </si>
  <si>
    <t>RIGS, PT Rig Tenders Indonesia, RIG TENDERS INDONESIA, Rig Tenders Indonesia, Rig Tenders Indonesia Tbk, Rig Tenders Indonesia Tbk., RigTendersIndonesia, rig tenders indonesia</t>
  </si>
  <si>
    <t>RIMO, PT Rimo International Lestari, RIMO INTERNATIONAL LESTARI, Rimo International Lestari, Rimo International Lestari Tbk, Rimo International Lestari Tbk., RimoInternationalLestari, rimo international lestari</t>
  </si>
  <si>
    <t>RISE, JAYA SUKSES MAKMUR SENTOSA, Jaya Sukses Makmur Sentosa, Jaya Sukses Makmur Sentosa Tbk, Jaya Sukses Makmur Sentosa Tbk., JayaSuksesMakmurSentosa, PT Jaya Sukses Makmur Sentosa, jaya sukses makmur sentosa</t>
  </si>
  <si>
    <t>RLCO, ABADI LESTARI INDONESIA, Abadi Lestari Indonesia, Abadi Lestari Indonesia Tbk, Abadi Lestari Indonesia Tbk., AbadiLestariIndonesia, PT Abadi Lestari Indonesia, abadi lestari indonesia</t>
  </si>
  <si>
    <t>RMKE, PT RMK Energy, RMK ENERGY, RMK Energy, RMK Energy Tbk, RMK Energy Tbk., RMKEnergy, rmk energy</t>
  </si>
  <si>
    <t>RMKO, PT Royaltama Mulia Kontraktorindo, ROYALTAMA MULIA KONTRAKTORINDO, Royaltama Mulia Kontraktorindo, Royaltama Mulia Kontraktorindo Tbk, Royaltama Mulia Kontraktorindo Tbk., RoyaltamaMuliaKontraktorindo, royaltama mulia kontraktorindo</t>
  </si>
  <si>
    <t>ROCK, PT Rockfields Properti Indonesia, ROCKFIELDS PROPERTI INDONESIA, Rockfields Properti Indonesia, Rockfields Properti Indonesia Tbk, Rockfields Properti Indonesia Tbk., RockfieldsPropertiIndonesia, rockfields properti indonesia</t>
  </si>
  <si>
    <t>RODA, PIKKO LAND DEVELOPMENT, PT Pikko Land Development, Pikko Land Development, Pikko Land Development Tbk, Pikko Land Development Tbk., PikkoLandDevelopment, pikko land development</t>
  </si>
  <si>
    <t>RONY, ARACORD NUSANTARA GROUP, Aracord Nusantara Group, Aracord Nusantara Group Tbk, Aracord Nusantara Group Tbk., AracordNusantaraGroup, PT Aracord Nusantara Group, aracord nusantara group</t>
  </si>
  <si>
    <t>ROTI, NIPPON INDOSARI CORPINDO, Nippon Indosari Corpindo, Nippon Indosari Corpindo Tbk, Nippon Indosari Corpindo Tbk., NipponIndosariCorpindo, PT Nippon Indosari Corpindo, nippon indosari corpindo</t>
  </si>
  <si>
    <t>RSCH, CHARLIE HOSPITAL SEMARANG, Charlie Hospital Semarang, Charlie Hospital Semarang Tbk, Charlie Hospital Semarang Tbk., CharlieHospitalSemarang, PT Charlie Hospital Semarang, charlie hospital semarang</t>
  </si>
  <si>
    <t>RSGK, KEDOYA ADYARAYA, Kedoya Adyaraya, Kedoya Adyaraya Tbk, Kedoya Adyaraya Tbk., KedoyaAdyaraya, PT Kedoya Adyaraya, kedoya adyaraya</t>
  </si>
  <si>
    <t>RUIS, PT Radiant Utama Interinsco, RADIANT UTAMA INTERINSCO, Radiant Utama Interinsco, Radiant Utama Interinsco Tbk, Radiant Utama Interinsco Tbk., RadiantUtamaInterinsco, radiant utama interinsco</t>
  </si>
  <si>
    <t>RUNS, GLOBAL SUKSES SOLUSI, Global Sukses Solusi, Global Sukses Solusi Tbk, Global Sukses Solusi Tbk., GlobalSuksesSolusi, PT Global Sukses Solusi, global sukses solusi</t>
  </si>
  <si>
    <t>SAFE, PT Steady Safe, STEADY SAFE, Steady Safe, Steady Safe Tbk, Steady Safe Tbk., SteadySafe, steady safe</t>
  </si>
  <si>
    <t>SAGE, PT Saausaha Gemilangindah, SAAUSAHA GEMILANGINDAH, Saausaha Gemilangindah, Saausaha Gemilangindah Tbk, SaausahaGemilangindah, Saptausaha Gemilangindah Tbk., saausaha gemilangindah</t>
  </si>
  <si>
    <t>SAME, PT Sarana Meditama Metropolitan, SARANA MEDITAMA METROPOLITAN, Sarana Meditama Metropolitan, Sarana Meditama Metropolitan Tbk, Sarana Meditama Metropolitan Tbk., SaranaMeditamaMetropolitan, sarana meditama metropolitan</t>
  </si>
  <si>
    <t>SAMF, PT Saraswanti Anugerah Makmur, SARASWANTI ANUGERAH MAKMUR, Saraswanti Anugerah Makmur, Saraswanti Anugerah Makmur Tbk, Saraswanti Anugerah Makmur Tbk., SaraswantiAnugerahMakmur, saraswanti anugerah makmur</t>
  </si>
  <si>
    <t>SAPX, PT Satria Antaran Prima, SATRIA ANTARAN PRIMA, Satria Antaran Prima, Satria Antaran Prima Tbk, Satria Antaran Prima Tbk., SatriaAntaranPrima, satria antaran prima</t>
  </si>
  <si>
    <t>SATU, KOTA SATU PROPERTI, Kota Satu Properti, Kota Satu Properti Tbk, Kota Satu Properti Tbk., KotaSatuProperti, PT Kota Satu Properti, kota satu properti</t>
  </si>
  <si>
    <t>SBAT, PT Sejahtera Bintang Abadi Textile, SEJAHTERA BINTANG ABADI TEXTILE, Sejahtera Bintang Abadi Textile, Sejahtera Bintang Abadi Textile Tbk, Sejahtera Bintang Abadi Textile Tbk., SejahteraBintangAbadiTextile, sejahtera bintang abadi textile</t>
  </si>
  <si>
    <t>SBMA, PT Surya Biru Murni Acetylene, SURYA BIRU MURNI ACETYLENE, Surya Biru Murni Acetylene, Surya Biru Murni Acetylene Tbk, Surya Biru Murni Acetylene Tbk., SuryaBiruMurniAcetylene, surya biru murni acetylene</t>
  </si>
  <si>
    <t>SCCO, PT SUCACO, SUCACO, SUCACO Tbk, SUCACO Tbk., sucaco</t>
  </si>
  <si>
    <t>SCMA, PT Surya Citra Media, SURYA CITRA MEDIA, Surya Citra Media, Surya Citra Media Tbk, Surya Citra Media Tbk., SuryaCitraMedia, surya citra media</t>
  </si>
  <si>
    <t>SCNP, PT Selaras Citra Nusantara Perkasa, SELARAS CITRA NUSANTARA PERKASA, Selaras Citra Nusantara Perkasa, Selaras Citra Nusantara Perkasa Tbk, Selaras Citra Nusantara Perkasa Tbk., SelarasCitraNusantaraPerkasa, selaras citra nusantara perkasa</t>
  </si>
  <si>
    <t>SCPI, ORGANON PHARMA INDONESIA, Organon Pharma Indonesia, Organon Pharma Indonesia Tbk, Organon Pharma Indonesia Tbk., OrganonPharmaIndonesia, PT Organon Pharma Indonesia, organon pharma indonesia</t>
  </si>
  <si>
    <t>SDMU, PT Sidomulyo Selaras, SIDOMULYO SELARAS, Sidomulyo Selaras, Sidomulyo Selaras Tbk, Sidomulyo Selaras Tbk., SidomulyoSelaras, sidomulyo selaras</t>
  </si>
  <si>
    <t>SDPC, MILLENNIUM PHARMACON INTERNATIONAL, Millennium Pharmacon International, Millennium Pharmacon International Tbk, Millennium Pharmacon International Tbk., MillenniumPharmaconInternational, PT Millennium Pharmacon International, millennium pharmacon international</t>
  </si>
  <si>
    <t>SDRA, BANK WOORI SAUDARA INDONESIA 1906, Bank Woori Saudara Indonesia 1906, Bank Woori Saudara Indonesia 1906 Tbk, Bank Woori Saudara Indonesia 1906 Tbk., BankWooriSaudaraIndonesia1906, PT Bank Woori Saudara Indonesia 1906, bank woori saudara indonesia 1906</t>
  </si>
  <si>
    <t>SEMA, PT Semacom Integrated, SEMACOM INTEGRATED, Semacom Integrated, Semacom Integrated Tbk, Semacom Integrated Tbk., SemacomIntegrated, semacom integrated</t>
  </si>
  <si>
    <t>SFAN, PT Surya Fajar Capital, SURYA FAJAR CAPITAL, Surya Fajar Capital, Surya Fajar Capital Tbk, Surya Fajar Capital Tbk., SuryaFajarCapital, surya fajar capital</t>
  </si>
  <si>
    <t>SGER, PT Sumber Global Energy, SUMBER GLOBAL ENERGY, Sumber Global Energy, Sumber Global Energy Tbk, Sumber Global Energy Tbk., SumberGlobalEnergy, sumber global energy</t>
  </si>
  <si>
    <t>SGRO, PRIME AGRI RESOURCES, PT Prime Agri Resources, Prime Agri Resources, Prime Agri Resources Tbk, Prime Agri Resources Tbk., PrimeAgriResources, prime agri resources</t>
  </si>
  <si>
    <t>SHID, HOTEL SAHID JAYA INTERNATIONAL, Hotel Sahid Jaya International, Hotel Sahid Jaya International Tbk, Hotel Sahid Jaya International Tbk., HotelSahidJayaInternational, PT Hotel Sahid Jaya International, hotel sahid jaya international</t>
  </si>
  <si>
    <t>SHIP, PT Sillo Maritime Perdana, SILLO MARITIME PERDANA, Sillo Maritime Perdana, Sillo Maritime Perdana Tbk, Sillo Maritime Perdana Tbk., SilloMaritimePerdana, sillo maritime perdana</t>
  </si>
  <si>
    <t>SICO, PT Sigma Energy Compressindo, SIGMA ENERGY COMPRESSINDO, Sigma Energy Compressindo, Sigma Energy Compressindo Tbk, Sigma Energy Compressindo Tbk., SigmaEnergyCompressindo, sigma energy compressindo</t>
  </si>
  <si>
    <t>SIDO, INDUSTRI JAMU DAN FARMASI SIDO MUNCUL, Industri Jamu dan Farmasi Sido Muncul, Industri Jamu dan Farmasi Sido Muncul Tbk, Industri Jamu dan Farmasi Sido Muncul Tbk., IndustriJamudanFarmasiSidoMuncul, PT Industri Jamu dan Farmasi Sido Muncul, industri jamu dan farmasi sido muncul</t>
  </si>
  <si>
    <t>SILO, PT Siloam International Hospitals, SILOAM INTERNATIONAL HOSPITALS, Siloam International Hospitals, Siloam International Hospitals Tbk, Siloam International Hospitals Tbk., SiloamInternationalHospitals, siloam international hospitals</t>
  </si>
  <si>
    <t>SIMA, PT Siwani Makmur, SIWANI MAKMUR, Siwani Makmur, Siwani Makmur Tbk, Siwani Makmur Tbk., SiwaniMakmur, siwani makmur</t>
  </si>
  <si>
    <t>SIMP, PT Salim Ivomas Pratama, SALIM IVOMAS PRATAMA, Salim Ivomas Pratama, Salim Ivomas Pratama Tbk, Salim Ivomas Pratama Tbk., SalimIvomasPratama, salim ivomas pratama</t>
  </si>
  <si>
    <t>SINI, PT Singaraja Putra, SINGARAJA PUTRA, Singaraja Putra, Singaraja Putra Tbk, Singaraja Putra Tbk., SingarajaPutra, singaraja putra</t>
  </si>
  <si>
    <t>SIPD, PT Sreeya Sewu Indonesia, SREEYA SEWU INDONESIA, Sreeya Sewu Indonesia, Sreeya Sewu Indonesia Tbk, Sreeya Sewu Indonesia Tbk., SreeyaSewuIndonesia, sreeya sewu indonesia</t>
  </si>
  <si>
    <t>SKBM, PT Sekar Bumi, SEKAR BUMI, Sekar Bumi, Sekar Bumi Tbk, Sekar Bumi Tbk., SekarBumi, sekar bumi</t>
  </si>
  <si>
    <t>SKLT, PT Sekar Laut, SEKAR LAUT, Sekar Laut, Sekar Laut Tbk, Sekar Laut Tbk., SekarLaut, sekar laut</t>
  </si>
  <si>
    <t>SKRN, PT Superkrane Mitra Utama, SUPERKRANE MITRA UTAMA, Superkrane Mitra Utama, Superkrane Mitra Utama Tbk, Superkrane Mitra Utama Tbk., SuperkraneMitraUtama, superkrane mitra utama</t>
  </si>
  <si>
    <t>SKYB, NORTHCLIFF CITRANUSA INDONESIA, Northcliff Citranusa Indonesia, Northcliff Citranusa Indonesia Tbk, Northcliff Citranusa Indonesia Tbk., NorthcliffCitranusaIndonesia, PT Northcliff Citranusa Indonesia, northcliff citranusa indonesia</t>
  </si>
  <si>
    <t>SLIS, GAYA ABADI SEMPURNA, Gaya Abadi Sempurna, Gaya Abadi Sempurna Tbk, Gaya Abadi Sempurna Tbk., GayaAbadiSempurna, PT Gaya Abadi Sempurna, gaya abadi sempurna</t>
  </si>
  <si>
    <t>SMAR, PT Sinar Mas Agro Resources and Technology, SINAR MAS AGRO RESOURCES AND TECHNOLOGY, Sinar Mas Agro Resources and Technology, Sinar Mas Agro Resources and Technology Tbk, Sinar Mas Agro Resources and Technology Tbk., SinarMasAgroResourcesandTechnology, sinar mas agro resources and technology</t>
  </si>
  <si>
    <t>SMBR, PT Semen Baturaja (Persero), SEMEN BATURAJA (PERSERO), Semen Baturaja (Persero), Semen Baturaja (Persero) Tbk, Semen Baturaja (Persero) Tbk., SemenBaturaja(Persero), semen baturaja (persero)</t>
  </si>
  <si>
    <t>SMCB, PT Solusi Bangun Indonesia, SOLUSI BANGUN INDONESIA, Solusi Bangun Indonesia, Solusi Bangun Indonesia Tbk, Solusi Bangun Indonesia Tbk., SolusiBangunIndonesia, solusi bangun indonesia</t>
  </si>
  <si>
    <t>SMDM, PT Suryamas Dutamakmur, SURYAMAS DUTAMAKMUR, Suryamas Dutamakmur, Suryamas Dutamakmur Tbk, Suryamas Dutamakmur Tbk., SuryamasDutamakmur, suryamas dutamakmur</t>
  </si>
  <si>
    <t>SMDR, PT Samudera Indonesia, SAMUDERA INDONESIA, Samudera Indonesia, Samudera Indonesia Tbk, Samudera Indonesia Tbk., SamuderaIndonesia, samudera indonesia</t>
  </si>
  <si>
    <t>SMGA, PT Sumber Mineral Global Abadi, SUMBER MINERAL GLOBAL ABADI, Sumber Mineral Global Abadi, Sumber Mineral Global Abadi Tbk, Sumber Mineral Global Abadi Tbk., SumberMineralGlobalAbadi, sumber mineral global abadi</t>
  </si>
  <si>
    <t>SMGR, PT Semen Indonesia (Persero), SEMEN INDONESIA (PERSERO), Semen Indonesia (Persero), Semen Indonesia (Persero) Tbk, Semen Indonesia (Persero) Tbk., SemenIndonesia(Persero), semen indonesia (persero)</t>
  </si>
  <si>
    <t>SMIL, PT Sarana Mitra Luas, SARANA MITRA LUAS, Sarana Mitra Luas, Sarana Mitra Luas Tbk, Sarana Mitra Luas Tbk., SaranaMitraLuas, sarana mitra luas</t>
  </si>
  <si>
    <t>SMKL, PT Satyamitra Kemas Lestari, SATYAMITRA KEMAS LESTARI, Satyamitra Kemas Lestari, Satyamitra Kemas Lestari Tbk, Satyamitra Kemas Lestari Tbk., SatyamitraKemasLestari, satyamitra kemas lestari</t>
  </si>
  <si>
    <t>SMKM, PT Sumber Mas Konstruksi, SUMBER MAS KONSTRUKSI, Sumber Mas Konstruksi, Sumber Mas Konstruksi Tbk, Sumber Mas Konstruksi Tbk., SumberMasKonstruksi, sumber mas konstruksi</t>
  </si>
  <si>
    <t>SMLE, PT Sinergi Multi Lestarindo, SINERGI MULTI LESTARINDO, Sinergi Multi Lestarindo, Sinergi Multi Lestarindo Tbk, Sinergi Multi Lestarindo Tbk., SinergiMultiLestarindo, sinergi multi lestarindo</t>
  </si>
  <si>
    <t>SMMA, PT Sinarmas Multiartha, SINARMAS MULTIARTHA, Sinarmas Multiartha, Sinarmas Multiartha Tbk, Sinarmas Multiartha Tbk., SinarmasMultiartha, sinarmas multiartha</t>
  </si>
  <si>
    <t>SMMT, GOLDEN EAGLE ENERGY, Golden Eagle Energy, Golden Eagle Energy Tbk, Golden Eagle Energy Tbk., GoldenEagleEnergy, PT Golden Eagle Energy, golden eagle energy</t>
  </si>
  <si>
    <t>SMRA, PT Summarecon Agung, SUMMARECON AGUNG, Summarecon Agung, Summarecon Agung Tbk, Summarecon Agung Tbk., SummareconAgung, summarecon agung</t>
  </si>
  <si>
    <t>SMRU, PT SMR Utama, SMR UTAMA, SMR Utama, SMR Utama Tbk, SMR Utama Tbk., SMRUtama, smr utama</t>
  </si>
  <si>
    <t>SMSM, PT Selamat Sempurna, SELAMAT SEMPURNA, Selamat Sempurna, Selamat Sempurna Tbk, Selamat Sempurna Tbk., SelamatSempurna, selamat sempurna</t>
  </si>
  <si>
    <t>SNLK, PT Sunter Lakeside Hotel, SUNTER LAKESIDE HOTEL, Sunter Lakeside Hotel, Sunter Lakeside Hotel Tbk, Sunter Lakeside Hotel Tbk., SunterLakesideHotel, sunter lakeside hotel</t>
  </si>
  <si>
    <t>SOCI, PT Soechi Lines, SOECHI LINES, Soechi Lines, Soechi Lines Tbk, Soechi Lines Tbk., SoechiLines, soechi lines</t>
  </si>
  <si>
    <t>SOFA, PT Solusi Environment Asia, SOLUSI ENVIRONMENT ASIA, Solusi Environment Asia, Solusi Environment Asia Tbk, Solusi Environment Asia Tbk., SolusiEnvironmentAsia, solusi environment asia</t>
  </si>
  <si>
    <t>SOHO, PT Soho Global Health, SOHO GLOBAL HEALTH, Soho Global Health, Soho Global Health Tbk, Soho Global Health Tbk., SohoGlobalHealth, soho global health</t>
  </si>
  <si>
    <t>SOLA, PT Xolare RCR Energy, XOLARE RCR ENERGY, Xolare RCR Energy, Xolare RCR Energy Tbk, Xolare RCR Energy Tbk., XolareRCREnergy, xolare rcr energy</t>
  </si>
  <si>
    <t>SONA, PT Sona Topas Tourism Industry, SONA TOPAS TOURISM INDUSTRY, Sona Topas Tourism Industry, Sona Topas Tourism Industry Tbk, Sona Topas Tourism Industry Tbk., SonaTopasTourismIndustry, sona topas tourism industry</t>
  </si>
  <si>
    <t>SOSS, PT Shield On Service, SHIELD ON SERVICE, Shield On Service, Shield On Service Tbk, Shield On Service Tbk., ShieldOnService, shield on service</t>
  </si>
  <si>
    <t>SOTS, PT Satria Mega Kencana, SATRIA MEGA KENCANA, Satria Mega Kencana, Satria Mega Kencana Tbk, Satria Mega Kencana Tbk., SatriaMegaKencana, satria mega kencana</t>
  </si>
  <si>
    <t>SOUL, MITRA TIRTA BUWANA, Mitra Tirta Buwana, Mitra Tirta Buwana Tbk, Mitra Tirta Buwana Tbk., MitraTirtaBuwana, PT Mitra Tirta Buwana, mitra tirta buwana</t>
  </si>
  <si>
    <t>SPMA, PT Suparma, SUPARMA, Suparma, Suparma Tbk, Suparma Tbk., suparma</t>
  </si>
  <si>
    <t>SPRE, PT Soraya Berjaya Indonesia, SORAYA BERJAYA INDONESIA, Soraya Berjaya Indonesia, Soraya Berjaya Indonesia Tbk, Soraya Berjaya Indonesia Tbk., SorayaBerjayaIndonesia, soraya berjaya indonesia</t>
  </si>
  <si>
    <t>SPTO, PT Surya Pertiwi, SURYA PERTIWI, Surya Pertiwi, Surya Pertiwi Tbk, Surya Pertiwi Tbk., SuryaPertiwi, surya pertiwi</t>
  </si>
  <si>
    <t>SQMI, PT Wilton Makmur Indonesia, WILTON MAKMUR INDONESIA, Wilton Makmur Indonesia, Wilton Makmur Indonesia Tbk, Wilton Makmur Indonesia Tbk., WiltonMakmurIndonesia, wilton makmur indonesia</t>
  </si>
  <si>
    <t>SRAJ, PT Sejahteraraya Anugrahjaya, SEJAHTERARAYA ANUGRAHJAYA, Sejahteraraya Anugrahjaya, Sejahteraraya Anugrahjaya Tbk, Sejahteraraya Anugrahjaya Tbk., SejahterarayaAnugrahjaya, sejahteraraya anugrahjaya</t>
  </si>
  <si>
    <t>SRIL, PT Sri Rejeki Isman, SRI REJEKI ISMAN, Sri Rejeki Isman, Sri Rejeki Isman Tbk, Sri Rejeki Isman Tbk., SriRejekiIsman, sri rejeki isman</t>
  </si>
  <si>
    <t>SRSN, INDO ACIDATAMA, Indo Acidatama, Indo Acidatama Tbk, Indo Acidatama Tbk., IndoAcidatama, PT Indo Acidatama, indo acidatama</t>
  </si>
  <si>
    <t>SRTG, PT Saratoga Investama Sedaya, SARATOGA INVESTAMA SEDAYA, Saratoga Investama Sedaya, Saratoga Investama Sedaya Tbk, Saratoga Investama Sedaya Tbk., SaratogaInvestamaSedaya, saratoga investama sedaya</t>
  </si>
  <si>
    <t>SSIA, PT Surya Semesta Internusa, SURYA SEMESTA INTERNUSA, Surya Semesta Internusa, Surya Semesta Internusa Tbk, Surya Semesta Internusa Tbk., SuryaSemestaInternusa, surya semesta internusa</t>
  </si>
  <si>
    <t>SSMS, PT Sawit Sumbermas Sarana, SAWIT SUMBERMAS SARANA, Sawit Sumbermas Sarana, Sawit Sumbermas Sarana Tbk, Sawit Sumbermas Sarana Tbk., SawitSumbermasSarana, sawit sumbermas sarana</t>
  </si>
  <si>
    <t>SSTM, PT Sunson Textile Manufacture, SUNSON TEXTILE MANUFACTURE, Sunson Textile Manufacture, Sunson Textile Manufacture Tbk, Sunson Textile Manufacture Tbk., SunsonTextileManufacture, sunson textile manufacture</t>
  </si>
  <si>
    <t>STAA, PT Sumber Tani Agung Resources, SUMBER TANI AGUNG RESOURCES, Sumber Tani Agung Resources, Sumber Tani Agung Resources Tbk, Sumber Tani Agung Resources Tbk., SumberTaniAgungResources, sumber tani agung resources</t>
  </si>
  <si>
    <t>STAR, BUANA ARTHA ANUGERAH, Buana Artha Anugerah, Buana Artha Anugerah Tbk, Buana Artha Anugerah Tbk., BuanaArthaAnugerah, PT Buana Artha Anugerah, buana artha anugerah</t>
  </si>
  <si>
    <t>STRK, LOVINA BEACH BREWERY, Lovina Beach Brewery, Lovina Beach Brewery Tbk, Lovina Beach Brewery Tbk., LovinaBeachBrewery, PT Lovina Beach Brewery, lovina beach brewery</t>
  </si>
  <si>
    <t>STTP, PT Siantar Top, SIANTAR TOP, Siantar Top, Siantar Top Tbk, Siantar Top Tbk., SiantarTop, siantar top</t>
  </si>
  <si>
    <t>SUGI, PT Sugih Energy, SUGIH ENERGY, Sugih Energy, Sugih Energy Tbk, Sugih Energy Tbk., SugihEnergy, sugih energy</t>
  </si>
  <si>
    <t>SULI, PT SLJ Global, SLJ GLOBAL, SLJ Global, SLJ Global Tbk, SLJ Global Tbk., SLJGlobal, slj global</t>
  </si>
  <si>
    <t>SUNI, PT Sunindo Pratama, SUNINDO PRATAMA, Sunindo Pratama, Sunindo Pratama Tbk, Sunindo Pratama Tbk., SunindoPratama, sunindo pratama</t>
  </si>
  <si>
    <t>SUPA, PT Super Bank Indonesia, SUPER BANK INDONESIA, Super Bank Indonesia, Super Bank Indonesia Tbk, Super Bank Indonesia Tbk., SuperBankIndonesia, super bank indonesia</t>
  </si>
  <si>
    <t>SUPR, PT Solusi Tunas Pratama, SOLUSI TUNAS PRATAMA, Solusi Tunas Pratama, Solusi Tunas Pratama Tbk, Solusi Tunas Pratama Tbk., SolusiTunasPratama, solusi tunas pratama</t>
  </si>
  <si>
    <t>SURE, PT Super Energy, SUPER ENERGY, Super Energy, Super Energy Tbk, Super Energy Tbk., SuperEnergy, super energy</t>
  </si>
  <si>
    <t>SURI, MAJA AGUNG LATEXINDO, Maja Agung Latexindo, Maja Agung Latexindo Tbk, Maja Agung Latexindo Tbk., MajaAgungLatexindo, PT Maja Agung Latexindo, maja agung latexindo</t>
  </si>
  <si>
    <t>SWAT, PT Sriwahana Adityakarta, SRIWAHANA ADITYAKARTA, Sriwahana Adityakarta, Sriwahana Adityakarta Tbk, Sriwahana Adityakarta Tbk., SriwahanaAdityakarta, sriwahana adityakarta</t>
  </si>
  <si>
    <t>SWID, PT Saraswanti Indoland Development, SARASWANTI INDOLAND DEVELOPMENT, Saraswanti Indoland Development, Saraswanti Indoland Development Tbk, Saraswanti Indoland Development Tbk., SaraswantiIndolandDevelopment, saraswanti indoland development</t>
  </si>
  <si>
    <t>TALF, PT Tunas Alfin, TUNAS ALFIN, Tunas Alfin, Tunas Alfin Tbk, Tunas Alfin Tbk., TunasAlfin, tunas alfin</t>
  </si>
  <si>
    <t>TAMA, LANCARTAMA SEJATI, Lancartama Sejati, Lancartama Sejati Tbk, Lancartama Sejati Tbk., LancartamaSejati, PT Lancartama Sejati, lancartama sejati</t>
  </si>
  <si>
    <t>TAMU, PELAYARAN TAMARIN SAMUDRA, PT Pelayaran Tamarin Samudra, Pelayaran Tamarin Samudra, Pelayaran Tamarin Samudra Tbk, Pelayaran Tamarin Samudra Tbk., PelayaranTamarinSamudra, pelayaran tamarin samudra</t>
  </si>
  <si>
    <t>TAPG, PT Triputra Agro Persada, TRIPUTRA AGRO PERSADA, Triputra Agro Persada, Triputra Agro Persada Tbk, Triputra Agro Persada Tbk., TriputraAgroPersada, triputra agro persada</t>
  </si>
  <si>
    <t>TARA, AGUNG SEMESTA SEJAHTERA, Agung Semesta Sejahtera, Agung Semesta Sejahtera Tbk, Agung Semesta Sejahtera Tbk., AgungSemestaSejahtera, PT Agung Semesta Sejahtera, agung semesta sejahtera</t>
  </si>
  <si>
    <t>TAXI, EXPRESS TRANSINDO UTAMA, Express Transindo Utama, Express Transindo Utama Tbk, Express Transindo Utama Tbk., ExpressTransindoUtama, PT Express Transindo Utama, express transindo utama</t>
  </si>
  <si>
    <t>TAYS, JAYA SWARASA AGUNG, Jaya Swarasa Agung, Jaya Swarasa Agung Tbk, Jaya Swarasa Agung Tbk., JayaSwarasaAgung, PT Jaya Swarasa Agung, jaya swarasa agung</t>
  </si>
  <si>
    <t>TBIG, PT Tower Bersama Infrastructure, TOWER BERSAMA INFRASTRUCTURE, Tower Bersama Infrastructure, Tower Bersama Infrastructure Tbk, Tower Bersama Infrastructure Tbk., TowerBersamaInfrastructure, tower bersama infrastructure</t>
  </si>
  <si>
    <t>TBLA, PT Tunas Baru Lampung, TUNAS BARU LAMPUNG, Tunas Baru Lampung, Tunas Baru Lampung Tbk, Tunas Baru Lampung Tbk., TunasBaruLampung, tunas baru lampung</t>
  </si>
  <si>
    <t>TBMS, PT Tembaga Mulia Semanan, TEMBAGA MULIA SEMANAN, Tembaga Mulia Semanan, Tembaga Mulia Semanan Tbk, Tembaga Mulia Semanan Tbk., TembagaMuliaSemanan, tembaga mulia semanan</t>
  </si>
  <si>
    <t>TCID, MANDOM INDONESIA, Mandom Indonesia, Mandom Indonesia Tbk, Mandom Indonesia Tbk., MandomIndonesia, PT Mandom Indonesia, mandom indonesia</t>
  </si>
  <si>
    <t>TCPI, PT Transcoal Pacific, TRANSCOAL PACIFIC, Transcoal Pacific, Transcoal Pacific Tbk, Transcoal Pacific Tbk., TranscoalPacific, transcoal pacific</t>
  </si>
  <si>
    <t>TDPM, PT Tianrong Chemicals Industry, TIANRONG CHEMICALS INDUSTRY, Tianrong Chemicals Industry, Tianrong Chemicals Industry Tbk, Tianrong Chemicals Industry Tbk., TianrongChemicalsIndustry, tianrong chemicals industry</t>
  </si>
  <si>
    <t>TEBE, DANA BRATA LUHUR, Dana Brata Luhur, Dana Brata Luhur Tbk, Dana Brata Luhur Tbk., DanaBrataLuhur, PT Dana Brata Luhur, dana brata luhur</t>
  </si>
  <si>
    <t>TECH, INDOSTERLING TECHNOMEDIA, Indosterling Technomedia, Indosterling Technomedia Tbk, Indosterling Technomedia Tbk., IndosterlingTechnomedia, PT Indosterling Technomedia, indosterling technomedia</t>
  </si>
  <si>
    <t>TELE, OMNI INOVASI INDONESIA, Omni Inovasi Indonesia, Omni Inovasi Indonesia Tbk, Omni Inovasi Indonesia Tbk., OmniInovasiIndonesia, PT Omni Inovasi Indonesia, omni inovasi indonesia</t>
  </si>
  <si>
    <t>TFAS, PT Telefast Indonesia, TELEFAST INDONESIA, Telefast Indonesia, Telefast Indonesia Tbk, Telefast Indonesia Tbk., TelefastIndonesia, telefast indonesia</t>
  </si>
  <si>
    <t>TFCO, PT Tifico Fiber Indonesia, TIFICO FIBER INDONESIA, Tifico Fiber Indonesia, Tifico Fiber Indonesia Tbk, Tifico Fiber Indonesia Tbk., TificoFiberIndonesia, tifico fiber indonesia</t>
  </si>
  <si>
    <t>TGKA, PT Tigaraksa Satria, TIGARAKSA SATRIA, Tigaraksa Satria, Tigaraksa Satria Tbk, Tigaraksa Satria Tbk., TigaraksaSatria, tigaraksa satria</t>
  </si>
  <si>
    <t>TGRA, PT Terregra Asia Energy, TERREGRA ASIA ENERGY, Terregra Asia Energy, Terregra Asia Energy Tbk, Terregra Asia Energy Tbk., TerregraAsiaEnergy, terregra asia energy</t>
  </si>
  <si>
    <t>TGUK, PLATINUM WAHAB NUSANTARA, PT Platinum Wahab Nusantara, Platinum Wahab Nusantara, Platinum Wahab Nusantara Tbk, Platinum Wahab Nusantara Tbk., PlatinumWahabNusantara, platinum wahab nusantara</t>
  </si>
  <si>
    <t>TIFA, KDB TIFA FINANCE, KDB Tifa Finance, KDB Tifa Finance Tbk, KDB Tifa Finance Tbk., KDBTifaFinance, PT KDB Tifa Finance, kdb tifa finance</t>
  </si>
  <si>
    <t>TINS, PT Timah, TIMAH, Timah, Timah Tbk, Timah Tbk., timah</t>
  </si>
  <si>
    <t>TIRA, PT Tira Austenite, TIRA AUSTENITE, Tira Austenite, Tira Austenite Tbk, Tira Austenite Tbk., TiraAustenite, tira austenite</t>
  </si>
  <si>
    <t>TIRT, PT Tirta Mahakam Resources, TIRTA MAHAKAM RESOURCES, Tirta Mahakam Resources, Tirta Mahakam Resources Tbk, Tirta Mahakam Resources Tbk., TirtaMahakamResources, tirta mahakam resources</t>
  </si>
  <si>
    <t>TKIM, PABRIK KERTAS TJIWI KIMIA, PT Pabrik Kertas Tjiwi Kimia, Pabrik Kertas Tjiwi Kimia, Pabrik Kertas Tjiwi Kimia Tbk, Pabrik Kertas Tjiwi Kimia Tbk., PabrikKertasTjiwiKimia, pabrik kertas tjiwi kimia</t>
  </si>
  <si>
    <t>TLDN, PT Teladan Prima Agro, TELADAN PRIMA AGRO, Teladan Prima Agro, Teladan Prima Agro Tbk, Teladan Prima Agro Tbk., TeladanPrimaAgro, teladan prima agro</t>
  </si>
  <si>
    <t>TLKM, PT Telkom Indonesia (Persero), TELKOM INDONESIA (PERSERO), Telkom Indonesia (Persero), Telkom Indonesia (Persero) Tbk, Telkom Indonesia (Persero) Tbk., TelkomIndonesia(Persero), telkom indonesia (persero)</t>
  </si>
  <si>
    <t>TMAS, PT Temas, TEMAS, Temas, Temas Tbk, Temas Tbk., temas</t>
  </si>
  <si>
    <t>TMPO, PT Tempo Intimedia, TEMPO INTIMEDIA, Tempo Intimedia, Tempo Intimedia Tbk, Tempo Intimedia Tbk., TempoIntimedia, tempo intimedia</t>
  </si>
  <si>
    <t>TNCA, PT Trimuda Nuansa Citra, TRIMUDA NUANSA CITRA, Trimuda Nuansa Citra, Trimuda Nuansa Citra Tbk, Trimuda Nuansa Citra Tbk., TrimudaNuansaCitra, trimuda nuansa citra</t>
  </si>
  <si>
    <t>TOBA, PT TBS Energi Utama, TBS ENERGI UTAMA, TBS Energi Utama, TBS Energi Utama Tbk, TBS Energi Utama Tbk., TBSEnergiUtama, tbs energi utama</t>
  </si>
  <si>
    <t>TOOL, PT Rohartindo Nusantara Luas, ROHARTINDO NUSANTARA LUAS, Rohartindo Nusantara Luas, Rohartindo Nusantara Luas Tbk, Rohartindo Nusantara Luas Tbk., RohartindoNusantaraLuas, rohartindo nusantara luas</t>
  </si>
  <si>
    <t>TOPS, PT Totalindo Eka Persada, TOTALINDO EKA PERSADA, Totalindo Eka Persada, Totalindo Eka Persada Tbk, Totalindo Eka Persada Tbk., TotalindoEkaPersada, totalindo eka persada</t>
  </si>
  <si>
    <t>TOSK, PT Topindo Solusi Komunika, TOPINDO SOLUSI KOMUNIKA, Topindo Solusi Komunika, Topindo Solusi Komunika Tbk, Topindo Solusi Komunika Tbk., TopindoSolusiKomunika, topindo solusi komunika</t>
  </si>
  <si>
    <t>TOTL, PT Total Bangun Persada, TOTAL BANGUN PERSADA, Total Bangun Persada, Total Bangun Persada Tbk, Total Bangun Persada Tbk., TotalBangunPersada, total bangun persada</t>
  </si>
  <si>
    <t>TOTO, PT Surya Toto Indonesia, SURYA TOTO INDONESIA, Surya Toto Indonesia, Surya Toto Indonesia Tbk, Surya Toto Indonesia Tbk., SuryaTotoIndonesia, surya toto indonesia</t>
  </si>
  <si>
    <t>TOWR, PT Sarana Menara Nusantara, SARANA MENARA NUSANTARA, Sarana Menara Nusantara, Sarana Menara Nusantara Tbk, Sarana Menara Nusantara Tbk., SaranaMenaraNusantara, sarana menara nusantara</t>
  </si>
  <si>
    <t>TOYS, PT Sunindo Adipersada, SUNINDO ADIPERSADA, Sunindo Adipersada, Sunindo Adipersada Tbk, Sunindo Adipersada Tbk., SunindoAdipersada, sunindo adipersada</t>
  </si>
  <si>
    <t>TPIA, CHANDRA ASRI PACIFIC, Chandra Asri Pacific, Chandra Asri Pacific Tbk, Chandra Asri Pacific Tbk., ChandraAsriPacific, PT Chandra Asri Pacific, chandra asri pacific</t>
  </si>
  <si>
    <t>TPMA, PT Trans Power Marine, TRANS POWER MARINE, Trans Power Marine, Trans Power Marine Tbk, Trans Power Marine Tbk., TransPowerMarine, trans power marine</t>
  </si>
  <si>
    <t>TRAM, PT Trada Alam Minera, TRADA ALAM MINERA, Trada Alam Minera, Trada Alam Minera Tbk, Trada Alam Minera Tbk., TradaAlamMinera, trada alam minera</t>
  </si>
  <si>
    <t>TRGU, CERESTAR INDONESIA, Cerestar Indonesia, Cerestar Indonesia Tbk, Cerestar Indonesia Tbk., CerestarIndonesia, PT Cerestar Indonesia, cerestar indonesia</t>
  </si>
  <si>
    <t>TRIL, PT Triwira Insanlestari, TRIWIRA INSANLESTARI, Triwira Insanlestari, Triwira Insanlestari Tbk, Triwira Insanlestari Tbk., TriwiraInsanlestari, triwira insanlestari</t>
  </si>
  <si>
    <t>TRIM, PT Trimegah Sekuritas Indonesia, TRIMEGAH SEKURITAS INDONESIA, Trimegah Sekuritas Indonesia, Trimegah Sekuritas Indonesia Tbk, Trimegah Sekuritas Indonesia Tbk., TrimegahSekuritasIndonesia, trimegah sekuritas indonesia</t>
  </si>
  <si>
    <t>TRIN, PERINTIS TRINITI PROPERTI, PT Perintis Triniti Properti, Perintis Triniti Properti, Perintis Triniti Properti Tbk, Perintis Triniti Properti Tbk., PerintisTrinitiProperti, perintis triniti properti</t>
  </si>
  <si>
    <t>TRIO, PT Trikomsel Oke, TRIKOMSEL OKE, Trikomsel Oke, Trikomsel Oke Tbk, Trikomsel Oke Tbk., TrikomselOke, trikomsel oke</t>
  </si>
  <si>
    <t>TRIS, PT Trisula International, TRISULA INTERNATIONAL, Trisula International, Trisula International Tbk, Trisula International Tbk., TrisulaInternational, trisula international</t>
  </si>
  <si>
    <t>TRJA, PT Transkon Jaya, TRANSKON JAYA, Transkon Jaya, Transkon Jaya Tbk, Transkon Jaya Tbk., TranskonJaya, transkon jaya</t>
  </si>
  <si>
    <t>TRON, PT Teknologi Karya Digital Nusa, TEKNOLOGI KARYA DIGITAL NUSA, Teknologi Karya Digital Nusa, Teknologi Karya Digital Nusa Tbk, Teknologi Karya Digital Nusa Tbk., TeknologiKaryaDigitalNusa, teknologi karya digital nusa</t>
  </si>
  <si>
    <t>TRST, PT Trias Sentosa, TRIAS SENTOSA, Trias Sentosa, Trias Sentosa Tbk, Trias Sentosa Tbk., TriasSentosa, trias sentosa</t>
  </si>
  <si>
    <t>TRUE, PT Triniti Dinamik, TRINITI DINAMIK, Triniti Dinamik, Triniti Dinamik Tbk, Triniti Dinamik Tbk., TrinitiDinamik, triniti dinamik</t>
  </si>
  <si>
    <t>TRUK, GUNA TIMUR RAYA, Guna Timur Raya, Guna Timur Raya Tbk, Guna Timur Raya Tbk., GunaTimurRaya, PT Guna Timur Raya, guna timur raya</t>
  </si>
  <si>
    <t>TRUS, PT Trust Finance Indonesia, TRUST FINANCE INDONESIA, Trust Finance Indonesia, Trust Finance Indonesia Tbk, Trust Finance Indonesia Tbk., TrustFinanceIndonesia, trust finance indonesia</t>
  </si>
  <si>
    <t>TSPC, PT Tempo Scan Pacific, TEMPO SCAN PACIFIC, Tempo Scan Pacific, Tempo Scan Pacific Tbk, Tempo Scan Pacific Tbk., TempoScanPacific, tempo scan pacific</t>
  </si>
  <si>
    <t>ATPI, ASURANSI TUGU PRATAMA INDONESIA, Asuransi Tugu Pratama Indonesia, Asuransi Tugu Pratama Indonesia Tbk, Asuransi Tugu Pratama Indonesia Tbk., AsuransiTuguPratamaIndonesia, PT Asuransi Tugu Pratama Indonesia, TUGU, asuransi tugu pratama indonesia</t>
  </si>
  <si>
    <t>TYRE, KING TIRE INDONESIA, King Tire Indonesia, King Tire Indonesia Tbk, King Tire Indonesia Tbk., KingTireIndonesia, PT King Tire Indonesia, king tire indonesia</t>
  </si>
  <si>
    <t>UANG, PAKUAN, PT Pakuan, Pakuan, Pakuan Tbk, Pakuan Tbk., pakuan</t>
  </si>
  <si>
    <t>UCID, PT Uni-Charm Indonesia, UNI-CHARM INDONESIA, Uni-Charm Indonesia, Uni-Charm Indonesia Tbk, Uni-Charm Indonesia Tbk., Uni-CharmIndonesia, uni-charm indonesia</t>
  </si>
  <si>
    <t>UDNG, AGRO BAHARI NUSANTARA, Agro Bahari Nusantara, Agro Bahari Nusantara Tbk, Agro Bahari Nusantara Tbk., AgroBahariNusantara, PT Agro Bahari Nusantara, agro bahari nusantara</t>
  </si>
  <si>
    <t>UFOE, DAMAI SEJAHTERA ABADI, Damai Sejahtera Abadi, Damai Sejahtera Abadi Tbk, Damai Sejahtera Abadi Tbk., DamaiSejahteraAbadi, PT Damai Sejahtera Abadi, damai sejahtera abadi</t>
  </si>
  <si>
    <t>ULTJ, PT Ultrajaya Milk Industry &amp; Trading Company, ULTRAJAYA MILK INDUSTRY &amp; TRADING COMPANY, Ultrajaya Milk Industry &amp; Trading Company, Ultrajaya Milk Industry &amp; Trading Company Tbk, Ultrajaya Milk Industry &amp; Trading Company Tbk., UltrajayaMilkIndustry&amp;TradingCompany, ultrajaya milk industry &amp; trading company</t>
  </si>
  <si>
    <t>UNIC, PT Unggul Indah Cahaya, UNGGUL INDAH CAHAYA, Unggul Indah Cahaya, Unggul Indah Cahaya Tbk, Unggul Indah Cahaya Tbk., UnggulIndahCahaya, unggul indah cahaya</t>
  </si>
  <si>
    <t>UNIQ, PT Ulima Nitra, ULIMA NITRA, Ulima Nitra, Ulima Nitra Tbk, Ulima Nitra Tbk., UlimaNitra, ulima nitra</t>
  </si>
  <si>
    <t>UNIT, NUSANTARA INTI CORPORA, Nusantara Inti Corpora, Nusantara Inti Corpora Tbk, Nusantara Inti Corpora Tbk., NusantaraIntiCorpora, PT Nusantara Inti Corpora, nusantara inti corpora</t>
  </si>
  <si>
    <t>UNSP, BAKRIE SUMATERA PLANTATIONS, Bakrie Sumatera Plantations, Bakrie Sumatera Plantations Tbk, Bakrie Sumatera Plantations Tbk., BakrieSumateraPlantations, PT Bakrie Sumatera Plantations, bakrie sumatera plantations</t>
  </si>
  <si>
    <t>UNTD, PT Terang Dunia Internusa, TERANG DUNIA INTERNUSA, Terang Dunia Internusa, Terang Dunia Internusa Tbk, Terang Dunia Internusa Tbk., TerangDuniaInternusa, terang dunia internusa</t>
  </si>
  <si>
    <t>UNTR, UT, PT United Tractors, UNITED TRACTORS, United Tractors, United Tractors Tbk, United Tractors Tbk., UnitedTractors, united tractors</t>
  </si>
  <si>
    <t>UNVR, Unilever, PT Unilever Indonesia, UNILEVER INDONESIA, Unilever Indonesia, Unilever Indonesia Tbk, Unilever Indonesia Tbk., UnileverIndonesia, unilever indonesia</t>
  </si>
  <si>
    <t>URBN, PT Urban Jakarta Propertindo, URBAN JAKARTA PROPERTINDO, Urban Jakarta Propertindo, Urban Jakarta Propertindo Tbk, Urban Jakarta Propertindo Tbk., UrbanJakartaPropertindo, urban jakarta propertindo</t>
  </si>
  <si>
    <t>UVCR, PT Trimegah Karya Pratama, TRIMEGAH KARYA PRATAMA, Trimegah Karya Pratama, Trimegah Karya Pratama Tbk, Trimegah Karya Pratama Tbk., TrimegahKaryaPratama, trimegah karya pratama</t>
  </si>
  <si>
    <t>VAST, PT Vastland Indonesia, VASTLAND INDONESIA, Vastland Indonesia, Vastland Indonesia Tbk, Vastland Indonesia Tbk., VastlandIndonesia, vastland indonesia</t>
  </si>
  <si>
    <t>VERN, PT Verona Indah Pictures, VERONA INDAH PICTURES, Verona Indah Pictures, Verona Indah Pictures Tbk, Verona Indah Pictures Tbk., VeronaIndahPictures, verona indah pictures</t>
  </si>
  <si>
    <t>VICI, PT Victoria Care Indonesia, VICTORIA CARE INDONESIA, Victoria Care Indonesia, Victoria Care Indonesia Tbk, Victoria Care Indonesia Tbk., VictoriaCareIndonesia, victoria care indonesia</t>
  </si>
  <si>
    <t>VICO, PT Victoria Investama, VICTORIA INVESTAMA, Victoria Investama, Victoria Investama Tbk, Victoria Investama Tbk., VictoriaInvestama, victoria investama</t>
  </si>
  <si>
    <t>VINS, PT Victoria Insurance, VICTORIA INSURANCE, Victoria Insurance, Victoria Insurance Tbk, Victoria Insurance Tbk., VictoriaInsurance, victoria insurance</t>
  </si>
  <si>
    <t>VISI, PT Satu Visi Putra, SATU VISI PUTRA, Satu Visi Putra, Satu Visi Putra Tbk, Satu Visi Putra Tbk., SatuVisiPutra, satu visi putra</t>
  </si>
  <si>
    <t>VIVA, PT Visi Media Asia, VISI MEDIA ASIA, Visi Media Asia, Visi Media Asia Tbk, Visi Media Asia Tbk., VisiMediaAsia, visi media asia</t>
  </si>
  <si>
    <t>VKTR, PT VKTR Teknologi Mobilitas, VKTR TEKNOLOGI MOBILITAS, VKTR Teknologi Mobilitas, VKTR Teknologi Mobilitas Tbk, VKTR Teknologi Mobilitas Tbk., VKTRTeknologiMobilitas, vktr teknologi mobilitas</t>
  </si>
  <si>
    <t>VOKS, PT Voksel Electric, VOKSEL ELECTRIC, Voksel Electric, Voksel Electric Tbk, Voksel Electric Tbk., VokselElectric, voksel electric</t>
  </si>
  <si>
    <t>VRNA, MIZUHO LEASING INDONESIA, Mizuho Leasing Indonesia, Mizuho Leasing Indonesia Tbk, Mizuho Leasing Indonesia Tbk., MizuhoLeasingIndonesia, PT Mizuho Leasing Indonesia, mizuho leasing indonesia</t>
  </si>
  <si>
    <t>VTNY, PT Venteny Fortuna International, VENTENY FORTUNA INTERNATIONAL, Venteny Fortuna International, Venteny Fortuna International Tbk, Venteny Fortuna International Tbk., VentenyFortunaInternational, venteny fortuna international</t>
  </si>
  <si>
    <t>WAPO, PT Wahana Pronatural, WAHANA PRONATURAL, Wahana Pronatural, Wahana Pronatural Tbk, Wahana Pronatural Tbk., WahanaPronatural, wahana pronatural</t>
  </si>
  <si>
    <t>WEGE, PT Wijaya Karya Bangunan Gedung, WIJAYA KARYA BANGUNAN GEDUNG, Wijaya Karya Bangunan Gedung, Wijaya Karya Bangunan Gedung Tbk, Wijaya Karya Bangunan Gedung Tbk., WijayaKaryaBangunanGedung, wijaya karya bangunan gedung</t>
  </si>
  <si>
    <t>WEHA, PT WEHA Transportasi Indonesia, WEHA TRANSPORTASI INDONESIA, WEHA Transportasi Indonesia, WEHA Transportasi Indonesia Tbk, WEHA Transportasi Indonesia Tbk., WEHATransportasiIndonesia, weha transportasi indonesia</t>
  </si>
  <si>
    <t>WGSH, PT Wira Global Solusi, WIRA GLOBAL SOLUSI, Wira Global Solusi, Wira Global Solusi Tbk, Wira Global Solusi Tbk., WiraGlobalSolusi, wira global solusi</t>
  </si>
  <si>
    <t>WICO, PT Wicaksana Overseas International, WICAKSANA OVERSEAS INTERNATIONAL, Wicaksana Overseas International, Wicaksana Overseas International Tbk, Wicaksana Overseas International Tbk., WicaksanaOverseasInternational, wicaksana overseas international</t>
  </si>
  <si>
    <t>WIDI, PT Widiant Jaya Krenindo, WIDIANT JAYA KRENINDO, Widiant Jaya Krenindo, Widiant Jaya Krenindo Tbk, Widiant Jaya Krenindo Tbk., WidiantJayaKrenindo, widiant jaya krenindo</t>
  </si>
  <si>
    <t>WIFI, PT Solusi Sinergi Digital, SOLUSI SINERGI DIGITAL, Solusi Sinergi Digital, Solusi Sinergi Digital Tbk, Solusi Sinergi Digital Tbk., SolusiSinergiDigital, solusi sinergi digital</t>
  </si>
  <si>
    <t>WIIM, PT Wismilak Inti Makmur, WISMILAK INTI MAKMUR, Wismilak Inti Makmur, Wismilak Inti Makmur Tbk, Wismilak Inti Makmur Tbk., WismilakIntiMakmur, wismilak inti makmur</t>
  </si>
  <si>
    <t>WIKA, PT Wijaya Karya (Persero), WIJAYA KARYA (PERSERO), Wijaya Karya (Persero), Wijaya Karya (Persero) Tbk, Wijaya Karya (Persero) Tbk., WijayaKarya(Persero), wijaya karya (persero)</t>
  </si>
  <si>
    <t>WINE, HATTEN BALI, Hatten Bali, Hatten Bali Tbk, Hatten Bali Tbk., HattenBali, PT Hatten Bali, hatten bali</t>
  </si>
  <si>
    <t>WINR, PT Winner Nusantara Jaya, WINNER NUSANTARA JAYA, Winner Nusantara Jaya, Winner Nusantara Jaya Tbk, Winner Nusantara Jaya Tbk., WinnerNusantaraJaya, winner nusantara jaya</t>
  </si>
  <si>
    <t>WINS, PT Wintermar Offshore Marine, WINTERMAR OFFSHORE MARINE, Wintermar Offshore Marine, Wintermar Offshore Marine Tbk, Wintermar Offshore Marine Tbk., WintermarOffshoreMarine, wintermar offshore marine</t>
  </si>
  <si>
    <t>WIRG, PT WIR ASIA, WIR ASIA, WIR ASIA Tbk, WIR ASIA Tbk., WIRASIA, wir asia</t>
  </si>
  <si>
    <t>WMPP, PT Widodo Makmur Perkasa, WIDODO MAKMUR PERKASA, Widodo Makmur Perkasa, Widodo Makmur Perkasa Tbk, Widodo Makmur Perkasa Tbk., WidodoMakmurPerkasa, widodo makmur perkasa</t>
  </si>
  <si>
    <t>WMUU, PT Widodo Makmur Unggas, WIDODO MAKMUR UNGGAS, Widodo Makmur Unggas, Widodo Makmur Unggas Tbk, Widodo Makmur Unggas Tbk., WidodoMakmurUnggas, widodo makmur unggas</t>
  </si>
  <si>
    <t>WOMF, PT Wahana Ottomitra Multiartha, WAHANA OTTOMITRA MULTIARTHA, Wahana Ottomitra Multiartha, Wahana Ottomitra Multiartha Tbk, Wahana Ottomitra Multiartha Tbk., WahanaOttomitraMultiartha, wahana ottomitra multiartha</t>
  </si>
  <si>
    <t>WOOD, INTEGRA INDOCABINET, Integra Indocabinet, Integra Indocabinet Tbk, Integra Indocabinet Tbk., IntegraIndocabinet, PT Integra Indocabinet, integra indocabinet</t>
  </si>
  <si>
    <t>WOWS, GINTING JAYA ENERGI, Ginting Jaya Energi, Ginting Jaya Energi Tbk, Ginting Jaya Energi Tbk., GintingJayaEnergi, PT Ginting Jaya Energi, ginting jaya energi</t>
  </si>
  <si>
    <t>WSBP, PT Waskita Beton Precast, WASKITA BETON PRECAST, Waskita Beton Precast, Waskita Beton Precast Tbk, Waskita Beton Precast Tbk., WaskitaBetonPrecast, waskita beton precast</t>
  </si>
  <si>
    <t>WSKT, PT Waskita Karya (Persero), WASKITA KARYA (PERSERO), Waskita Karya (Persero), Waskita Karya (Persero) Tbk, Waskita Karya (Persero) Tbk., WaskitaKarya(Persero), waskita karya (persero)</t>
  </si>
  <si>
    <t>WTON, PT Wijaya Karya Beton, WIJAYA KARYA BETON, Wijaya Karya Beton, Wijaya Karya Beton Tbk, Wijaya Karya Beton Tbk., WijayaKaryaBeton, wijaya karya beton</t>
  </si>
  <si>
    <t>YELO, PT Yelooo Integra Datanet, YELOOO INTEGRA DATANET, Yelooo Integra Datanet, Yelooo Integra Datanet Tbk, Yelooo Integra Datanet Tbk., YeloooIntegraDatanet, yelooo integra datanet</t>
  </si>
  <si>
    <t>YOII, ASURANSI DIGITAL BERSAMA, Asuransi Digital Bersama, Asuransi Digital Bersama Tbk, Asuransi Digital Bersama Tbk., AsuransiDigitalBersama, PT Asuransi Digital Bersama, asuransi digital bersama</t>
  </si>
  <si>
    <t>YPAS, PT Yanaprima Hastapersada, YANAPRIMA HASTAPERSADA, Yanaprima Hastapersada, Yanaprima Hastapersada Tbk, Yanaprima Hastapersada Tbk., YanaprimaHastapersada, yanaprima hastapersada</t>
  </si>
  <si>
    <t>YULE, PT Yulie Sekuritas Indonesia, YULIE SEKURITAS INDONESIA, Yulie Sekuritas Indonesia, Yulie Sekuritas Indonesia Tbk, Yulie Sekuritas Indonesia Tbk., YulieSekuritasIndonesia, yulie sekuritas indonesia</t>
  </si>
  <si>
    <t>YUPI, PT Yupi Indo Jelly Gum, YUPI INDO JELLY GUM, Yupi Indo Jelly Gum, Yupi Indo Jelly Gum Tbk, Yupi Indo Jelly Gum Tbk., YupiIndoJellyGum, yupi indo jelly gum</t>
  </si>
  <si>
    <t>ZATA, BERSAMA ZATTA JAYA, Bersama Zatta Jaya, Bersama Zatta Jaya Tbk, Bersama Zatta Jaya Tbk., BersamaZattaJaya, PT Bersama Zatta Jaya, bersama zatta jaya</t>
  </si>
  <si>
    <t>ZBRA, DOSNI ROHA INDONESIA, Dosni Roha Indonesia, Dosni Roha Indonesia Tbk, Dosni Roha Indonesia Tbk., DosniRohaIndonesia, PT Dosni Roha Indonesia, dosni roha indonesia</t>
  </si>
  <si>
    <t>ZINC, KAPUAS PRIMA COAL, Kapuas Prima Coal, Kapuas Prima Coal Tbk, Kapuas Prima Coal Tbk., KapuasPrimaCoal, PT Kapuas Prima Coal, kapuas prima coal</t>
  </si>
  <si>
    <t>ZONE, MEGA PERINTIS, Mega Perintis, Mega Perintis Tbk, Mega Perintis Tbk., MegaPerintis, PT Mega Perintis, mega perintis</t>
  </si>
  <si>
    <t>ZYRX, PT Zyrexindo Mandiri Buana, ZYREXINDO MANDIRI BUANA, Zyrexindo Mandiri Buana, Zyrexindo Mandiri Buana Tbk, Zyrexindo Mandiri Buana Tbk., ZyrexindoMandiriBuana, zyrexindo mandiri buana</t>
  </si>
  <si>
    <t>REMOVE "Tbk., " di AKHIR</t>
  </si>
  <si>
    <t>REMOVE "Tbk., " di AWAL</t>
  </si>
  <si>
    <t>REMOVE LOWERCASE di AKHIR</t>
  </si>
  <si>
    <t>REMOVE LOWERCASE di AWAL</t>
  </si>
  <si>
    <t>REMOVE UPPERCASE di AKHIR</t>
  </si>
  <si>
    <t>REMOVE UPPERCASE di AWAL</t>
  </si>
  <si>
    <t>REMOVE WITHOUT SPACE di AKHIR</t>
  </si>
  <si>
    <t>REMOVE WITHOUT SPACE di AWAL --&gt; copy this column worksheet alias final</t>
  </si>
  <si>
    <t>(SELECT id FROM attribute WHERE type = 'STOCK_STATUS' AND code = 'LISTED')</t>
  </si>
  <si>
    <t>(SELECT id FROM stock WHERE ticker = '</t>
  </si>
  <si>
    <t>BBCA, BCA, Bank Central Asia, Bank Central Asia Tbk, PT Bank Central Asia</t>
  </si>
  <si>
    <t>BBCA, BCA, BANK CENTRAL ASIA, Bank Central Asia, Bank Central Asia Tbk, Bank Central Asia Tbk., BankCentralAsia, PT Bank Central Asia, bank central 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</si>
</sst>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rgb="FFFF0000"/>
      <name val="Calibri"/>
      <family val="2"/>
      <scheme val="minor"/>
    </font>
    <font>
      <b/>
      <sz val="12"/>
      <color theme="1"/>
      <name val="Calibri"/>
      <family val="2"/>
      <scheme val="minor"/>
    </font>
    <font>
      <sz val="12"/>
      <color rgb="FF000000"/>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3">
    <xf numFmtId="0" fontId="0" fillId="0" borderId="0" xfId="0"/>
    <xf numFmtId="15" fontId="0" fillId="0" borderId="0" xfId="0" applyNumberFormat="1"/>
    <xf numFmtId="0" fontId="2" fillId="0" borderId="0" xfId="0" applyFont="1" applyAlignment="1">
      <alignment horizontal="center"/>
    </xf>
    <xf numFmtId="0" fontId="1" fillId="0" borderId="0" xfId="0" applyFont="1"/>
    <xf numFmtId="15" fontId="1" fillId="0" borderId="0" xfId="0" applyNumberFormat="1" applyFont="1"/>
    <xf numFmtId="0" fontId="3" fillId="0" borderId="0" xfId="0" applyFont="1"/>
    <xf numFmtId="0" fontId="2" fillId="0" borderId="1" xfId="0" applyFont="1" applyBorder="1" applyAlignment="1">
      <alignment horizontal="center"/>
    </xf>
    <xf numFmtId="0" fontId="0" fillId="0" borderId="1" xfId="0" applyBorder="1"/>
    <xf numFmtId="0" fontId="1" fillId="0" borderId="1" xfId="0" applyFont="1" applyBorder="1"/>
    <xf numFmtId="0" fontId="5" fillId="0" borderId="1" xfId="0" applyFont="1" applyBorder="1" applyAlignment="1">
      <alignment horizontal="center" vertical="top"/>
    </xf>
    <xf numFmtId="0" fontId="5" fillId="0" borderId="2" xfId="0" applyFont="1" applyBorder="1" applyAlignment="1">
      <alignment horizontal="center" vertical="top"/>
    </xf>
    <xf numFmtId="0" fontId="5" fillId="0" borderId="3" xfId="0" applyFont="1" applyBorder="1" applyAlignment="1">
      <alignment horizontal="center" vertical="top"/>
    </xf>
    <xf numFmtId="0" fontId="5" fillId="0" borderId="0" xfId="0" applyFont="1" applyAlignment="1">
      <alignment horizontal="center" vertical="top"/>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921CE7-9337-C34A-980C-D1EC230BFACF}" autoFormatId="16" applyNumberFormats="0" applyBorderFormats="0" applyFontFormats="0" applyPatternFormats="0" applyAlignmentFormats="0" applyWidthHeightFormats="0">
  <queryTableRefresh nextId="5" unboundColumnsRight="1">
    <queryTableFields count="4">
      <queryTableField id="1" name="Column1" tableColumnId="1"/>
      <queryTableField id="2" name="Column2" tableColumnId="2"/>
      <queryTableField id="3" name="Column3" tableColumnId="3"/>
      <queryTableField id="4" dataBound="0"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2877EB-70B4-8C45-AEA6-33BFF99DE4D4}" name="alias" displayName="alias" ref="A1:D3892" tableType="queryTable" totalsRowShown="0">
  <autoFilter ref="A1:D3892" xr:uid="{5F2877EB-70B4-8C45-AEA6-33BFF99DE4D4}"/>
  <tableColumns count="4">
    <tableColumn id="1" xr3:uid="{8DC21FC9-18C1-EA47-9DFE-A79DDD26941E}" uniqueName="1" name="Column1" queryTableFieldId="1" dataDxfId="3"/>
    <tableColumn id="2" xr3:uid="{DFFDB52C-DF0F-FF43-B5CE-B4877159D80B}" uniqueName="2" name="Column2" queryTableFieldId="2" dataDxfId="2"/>
    <tableColumn id="3" xr3:uid="{7E93548C-1193-2F4C-9DE5-7A84D0DE236C}" uniqueName="3" name="Column3" queryTableFieldId="3" dataDxfId="1"/>
    <tableColumn id="4" xr3:uid="{E1A53093-15C9-E149-ACAA-B089ACB9FC91}" uniqueName="4" name="Column4" queryTableFieldId="4" dataDxfId="0">
      <calculatedColumnFormula>TRIM(alias[[#This Row],[Column3]])</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58"/>
  <sheetViews>
    <sheetView topLeftCell="R1" workbookViewId="0">
      <selection activeCell="R2" sqref="R2:R958"/>
    </sheetView>
  </sheetViews>
  <sheetFormatPr baseColWidth="10" defaultRowHeight="16" x14ac:dyDescent="0.2"/>
  <cols>
    <col min="1" max="1" width="7.33203125" bestFit="1" customWidth="1"/>
    <col min="2" max="2" width="47.6640625" bestFit="1" customWidth="1"/>
    <col min="3" max="3" width="17.5" bestFit="1" customWidth="1"/>
    <col min="4" max="4" width="17.5" customWidth="1"/>
    <col min="5" max="5" width="16.33203125" bestFit="1" customWidth="1"/>
    <col min="6" max="6" width="17.83203125" bestFit="1" customWidth="1"/>
    <col min="7" max="7" width="17.83203125" customWidth="1"/>
    <col min="8" max="8" width="11.33203125" bestFit="1" customWidth="1"/>
    <col min="9" max="9" width="47.6640625" customWidth="1"/>
    <col min="10" max="10" width="3.5" customWidth="1"/>
    <col min="11" max="11" width="11.5" bestFit="1" customWidth="1"/>
    <col min="12" max="12" width="35.1640625" bestFit="1" customWidth="1"/>
    <col min="13" max="13" width="11.83203125" bestFit="1" customWidth="1"/>
    <col min="14" max="14" width="14.83203125" bestFit="1" customWidth="1"/>
    <col min="15" max="15" width="42.83203125" bestFit="1" customWidth="1"/>
    <col min="16" max="16" width="35.83203125" bestFit="1" customWidth="1"/>
    <col min="18" max="18" width="81.5" customWidth="1"/>
    <col min="19" max="20" width="67.5" bestFit="1" customWidth="1"/>
  </cols>
  <sheetData>
    <row r="1" spans="1:19" x14ac:dyDescent="0.2">
      <c r="A1" s="2" t="s">
        <v>0</v>
      </c>
      <c r="B1" s="2" t="s">
        <v>1</v>
      </c>
      <c r="C1" s="2" t="s">
        <v>2</v>
      </c>
      <c r="D1" s="2" t="s">
        <v>3491</v>
      </c>
      <c r="E1" s="2" t="s">
        <v>3</v>
      </c>
      <c r="F1" s="2" t="s">
        <v>4</v>
      </c>
      <c r="G1" s="2" t="s">
        <v>3488</v>
      </c>
      <c r="H1" s="2" t="s">
        <v>2693</v>
      </c>
      <c r="I1" s="2" t="s">
        <v>1</v>
      </c>
      <c r="J1" s="2"/>
      <c r="K1" s="2" t="s">
        <v>2694</v>
      </c>
      <c r="L1" s="2" t="s">
        <v>2695</v>
      </c>
      <c r="M1" s="2" t="s">
        <v>2696</v>
      </c>
      <c r="N1" s="2" t="s">
        <v>2697</v>
      </c>
      <c r="O1" s="2" t="s">
        <v>2698</v>
      </c>
      <c r="P1" s="2" t="s">
        <v>2699</v>
      </c>
      <c r="R1" t="s">
        <v>3896</v>
      </c>
      <c r="S1" t="s">
        <v>8766</v>
      </c>
    </row>
    <row r="2" spans="1:19" x14ac:dyDescent="0.2">
      <c r="A2" t="s">
        <v>2506</v>
      </c>
      <c r="B2" t="s">
        <v>2507</v>
      </c>
      <c r="C2" s="1">
        <v>45631</v>
      </c>
      <c r="D2" s="1"/>
      <c r="E2" t="s">
        <v>2508</v>
      </c>
      <c r="F2" t="s">
        <v>8</v>
      </c>
      <c r="G2" t="s">
        <v>3489</v>
      </c>
      <c r="H2" t="s">
        <v>2506</v>
      </c>
      <c r="I2" t="s">
        <v>3701</v>
      </c>
      <c r="K2" t="s">
        <v>2701</v>
      </c>
      <c r="L2" t="s">
        <v>2702</v>
      </c>
      <c r="M2" t="str">
        <f t="shared" ref="M2:M65" si="0">LEFT(N2, 3)</f>
        <v>A12</v>
      </c>
      <c r="N2" t="s">
        <v>2723</v>
      </c>
      <c r="O2" t="s">
        <v>2724</v>
      </c>
      <c r="P2" t="s">
        <v>2725</v>
      </c>
      <c r="R2" t="str">
        <f>CONCATENATE($R$1, A2, "', '", B2, "', '", TEXT(C2, "YYYY-MM-DD"), "', '", N2, "', '", M2, "', '", K2, "', ", $S$1, ") ON CONFLICT DO NOTHING;")</f>
        <v>INSERT INTO stock (ticker, name, listing_date, sub_industry, industry, sector, status) VALUES ('AADI', 'Adaro Andalan Indonesia Tbk.', '2024-12-05', 'A121', 'A12', 'IDXENERGY', (SELECT id FROM attribute WHERE type = 'STOCK_STATUS' AND code = 'LISTED')) ON CONFLICT DO NOTHING;</v>
      </c>
    </row>
    <row r="3" spans="1:19" x14ac:dyDescent="0.2">
      <c r="A3" t="s">
        <v>5</v>
      </c>
      <c r="B3" t="s">
        <v>6</v>
      </c>
      <c r="C3" s="1">
        <v>35773</v>
      </c>
      <c r="D3" s="1"/>
      <c r="E3" t="s">
        <v>7</v>
      </c>
      <c r="F3" t="s">
        <v>8</v>
      </c>
      <c r="G3" t="s">
        <v>3489</v>
      </c>
      <c r="H3" t="s">
        <v>5</v>
      </c>
      <c r="I3" t="s">
        <v>3012</v>
      </c>
      <c r="K3" t="s">
        <v>2945</v>
      </c>
      <c r="L3" t="s">
        <v>2961</v>
      </c>
      <c r="M3" t="str">
        <f t="shared" si="0"/>
        <v>D23</v>
      </c>
      <c r="N3" t="s">
        <v>3013</v>
      </c>
      <c r="O3" t="s">
        <v>2999</v>
      </c>
      <c r="P3" t="s">
        <v>3014</v>
      </c>
      <c r="R3" t="str">
        <f t="shared" ref="R3:R66" si="1">CONCATENATE($R$1, A3, "', '", B3, "', '", TEXT(C3, "YYYY-MM-DD"), "', '", N3, "', '", M3, "', '", K3, "', ", $S$1, ") ON CONFLICT DO NOTHING;")</f>
        <v>INSERT INTO stock (ticker, name, listing_date, sub_industry, industry, sector, status) VALUES ('AALI', 'Astra Agro Lestari Tbk.', '1997-12-09', 'D232', 'D23', 'IDXNONCYC', (SELECT id FROM attribute WHERE type = 'STOCK_STATUS' AND code = 'LISTED')) ON CONFLICT DO NOTHING;</v>
      </c>
    </row>
    <row r="4" spans="1:19" x14ac:dyDescent="0.2">
      <c r="A4" t="s">
        <v>9</v>
      </c>
      <c r="B4" t="s">
        <v>10</v>
      </c>
      <c r="C4" s="1">
        <v>37349</v>
      </c>
      <c r="D4" s="1"/>
      <c r="E4" t="s">
        <v>11</v>
      </c>
      <c r="F4" t="s">
        <v>12</v>
      </c>
      <c r="G4" t="s">
        <v>3489</v>
      </c>
      <c r="H4" t="s">
        <v>9</v>
      </c>
      <c r="I4" t="s">
        <v>3161</v>
      </c>
      <c r="K4" t="s">
        <v>3039</v>
      </c>
      <c r="L4" t="s">
        <v>3145</v>
      </c>
      <c r="M4" t="str">
        <f t="shared" si="0"/>
        <v>E61</v>
      </c>
      <c r="N4" t="s">
        <v>3162</v>
      </c>
      <c r="O4" t="s">
        <v>3147</v>
      </c>
      <c r="P4" t="s">
        <v>3163</v>
      </c>
      <c r="R4" t="str">
        <f t="shared" si="1"/>
        <v>INSERT INTO stock (ticker, name, listing_date, sub_industry, industry, sector, status) VALUES ('ABBA', 'Mahaka Media Tbk.', '2002-04-03', 'E614', 'E61', 'IDXCYCLIC', (SELECT id FROM attribute WHERE type = 'STOCK_STATUS' AND code = 'LISTED')) ON CONFLICT DO NOTHING;</v>
      </c>
    </row>
    <row r="5" spans="1:19" x14ac:dyDescent="0.2">
      <c r="A5" t="s">
        <v>13</v>
      </c>
      <c r="B5" t="s">
        <v>14</v>
      </c>
      <c r="C5" s="1">
        <v>32695</v>
      </c>
      <c r="D5" s="1"/>
      <c r="E5" t="s">
        <v>15</v>
      </c>
      <c r="F5" t="s">
        <v>12</v>
      </c>
      <c r="G5" t="s">
        <v>3489</v>
      </c>
      <c r="H5" t="s">
        <v>13</v>
      </c>
      <c r="I5" t="s">
        <v>3263</v>
      </c>
      <c r="K5" t="s">
        <v>3224</v>
      </c>
      <c r="L5" t="s">
        <v>3264</v>
      </c>
      <c r="M5" t="str">
        <f t="shared" si="0"/>
        <v>G41</v>
      </c>
      <c r="N5" t="s">
        <v>3265</v>
      </c>
      <c r="O5" t="s">
        <v>3264</v>
      </c>
      <c r="P5" t="s">
        <v>3266</v>
      </c>
      <c r="R5" t="str">
        <f t="shared" si="1"/>
        <v>INSERT INTO stock (ticker, name, listing_date, sub_industry, industry, sector, status) VALUES ('ABDA', 'Asuransi Bina Dana Arta Tbk.', '1989-07-06', 'G412', 'G41', 'IDXFINANCE', (SELECT id FROM attribute WHERE type = 'STOCK_STATUS' AND code = 'LISTED')) ON CONFLICT DO NOTHING;</v>
      </c>
    </row>
    <row r="6" spans="1:19" x14ac:dyDescent="0.2">
      <c r="A6" t="s">
        <v>16</v>
      </c>
      <c r="B6" t="s">
        <v>17</v>
      </c>
      <c r="C6" s="1">
        <v>40883</v>
      </c>
      <c r="D6" s="1"/>
      <c r="E6" t="s">
        <v>18</v>
      </c>
      <c r="F6" t="s">
        <v>8</v>
      </c>
      <c r="G6" t="s">
        <v>3489</v>
      </c>
      <c r="H6" t="s">
        <v>16</v>
      </c>
      <c r="I6" t="s">
        <v>2938</v>
      </c>
      <c r="K6" t="s">
        <v>2874</v>
      </c>
      <c r="L6" t="s">
        <v>2939</v>
      </c>
      <c r="M6" t="str">
        <f t="shared" si="0"/>
        <v>C31</v>
      </c>
      <c r="N6" t="s">
        <v>2940</v>
      </c>
      <c r="O6" t="s">
        <v>2939</v>
      </c>
      <c r="P6" t="s">
        <v>2939</v>
      </c>
      <c r="R6" t="str">
        <f t="shared" si="1"/>
        <v>INSERT INTO stock (ticker, name, listing_date, sub_industry, industry, sector, status) VALUES ('ABMM', 'ABM Investama Tbk.', '2011-12-06', 'C311', 'C31', 'IDXINDUST', (SELECT id FROM attribute WHERE type = 'STOCK_STATUS' AND code = 'LISTED')) ON CONFLICT DO NOTHING;</v>
      </c>
    </row>
    <row r="7" spans="1:19" x14ac:dyDescent="0.2">
      <c r="A7" t="s">
        <v>19</v>
      </c>
      <c r="B7" t="s">
        <v>20</v>
      </c>
      <c r="C7" s="1">
        <v>39392</v>
      </c>
      <c r="D7" s="1"/>
      <c r="E7" t="s">
        <v>21</v>
      </c>
      <c r="F7" t="s">
        <v>8</v>
      </c>
      <c r="G7" t="s">
        <v>3489</v>
      </c>
      <c r="H7" t="s">
        <v>19</v>
      </c>
      <c r="I7" t="s">
        <v>3702</v>
      </c>
      <c r="K7" t="s">
        <v>3039</v>
      </c>
      <c r="L7" t="s">
        <v>3168</v>
      </c>
      <c r="M7" t="str">
        <f t="shared" si="0"/>
        <v>E74</v>
      </c>
      <c r="N7" t="s">
        <v>3190</v>
      </c>
      <c r="O7" t="s">
        <v>3177</v>
      </c>
      <c r="P7" t="s">
        <v>3191</v>
      </c>
      <c r="R7" t="str">
        <f t="shared" si="1"/>
        <v>INSERT INTO stock (ticker, name, listing_date, sub_industry, industry, sector, status) VALUES ('ACES', 'Aspirasi Hidup Indonesia Tbk.', '2007-11-06', 'E743', 'E74', 'IDXCYCLIC', (SELECT id FROM attribute WHERE type = 'STOCK_STATUS' AND code = 'LISTED')) ON CONFLICT DO NOTHING;</v>
      </c>
    </row>
    <row r="8" spans="1:19" x14ac:dyDescent="0.2">
      <c r="A8" t="s">
        <v>2637</v>
      </c>
      <c r="B8" t="s">
        <v>2638</v>
      </c>
      <c r="C8" s="1">
        <v>45302</v>
      </c>
      <c r="D8" s="1"/>
      <c r="E8" t="s">
        <v>2639</v>
      </c>
      <c r="F8" t="s">
        <v>28</v>
      </c>
      <c r="G8" t="s">
        <v>3489</v>
      </c>
      <c r="H8" t="s">
        <v>2637</v>
      </c>
      <c r="I8" t="s">
        <v>2638</v>
      </c>
      <c r="K8" t="s">
        <v>3039</v>
      </c>
      <c r="L8" t="s">
        <v>3077</v>
      </c>
      <c r="M8" t="str">
        <f t="shared" si="0"/>
        <v>E41</v>
      </c>
      <c r="N8" t="s">
        <v>3088</v>
      </c>
      <c r="O8" t="s">
        <v>3077</v>
      </c>
      <c r="P8" t="s">
        <v>3089</v>
      </c>
      <c r="R8" t="str">
        <f t="shared" si="1"/>
        <v>INSERT INTO stock (ticker, name, listing_date, sub_industry, industry, sector, status) VALUES ('ACRO', 'Samcro Hyosung Adilestari Tbk.', '2024-01-11', 'E413', 'E41', 'IDXCYCLIC', (SELECT id FROM attribute WHERE type = 'STOCK_STATUS' AND code = 'LISTED')) ON CONFLICT DO NOTHING;</v>
      </c>
    </row>
    <row r="9" spans="1:19" x14ac:dyDescent="0.2">
      <c r="A9" t="s">
        <v>22</v>
      </c>
      <c r="B9" t="s">
        <v>23</v>
      </c>
      <c r="C9" s="1">
        <v>41449</v>
      </c>
      <c r="D9" s="1"/>
      <c r="E9" t="s">
        <v>24</v>
      </c>
      <c r="F9" t="s">
        <v>12</v>
      </c>
      <c r="G9" t="s">
        <v>3489</v>
      </c>
      <c r="H9" t="s">
        <v>22</v>
      </c>
      <c r="I9" t="s">
        <v>23</v>
      </c>
      <c r="K9" t="s">
        <v>3418</v>
      </c>
      <c r="L9" t="s">
        <v>3432</v>
      </c>
      <c r="M9" t="str">
        <f t="shared" si="0"/>
        <v>J21</v>
      </c>
      <c r="N9" t="s">
        <v>3433</v>
      </c>
      <c r="O9" t="s">
        <v>3432</v>
      </c>
      <c r="P9" t="s">
        <v>3432</v>
      </c>
      <c r="R9" t="str">
        <f t="shared" si="1"/>
        <v>INSERT INTO stock (ticker, name, listing_date, sub_industry, industry, sector, status) VALUES ('ACST', 'Acset Indonusa Tbk.', '2013-06-24', 'J211', 'J21', 'IDXINFRA', (SELECT id FROM attribute WHERE type = 'STOCK_STATUS' AND code = 'LISTED')) ON CONFLICT DO NOTHING;</v>
      </c>
    </row>
    <row r="10" spans="1:19" x14ac:dyDescent="0.2">
      <c r="A10" t="s">
        <v>1945</v>
      </c>
      <c r="B10" t="s">
        <v>1946</v>
      </c>
      <c r="C10" s="1">
        <v>44337</v>
      </c>
      <c r="D10" s="1"/>
      <c r="E10" t="s">
        <v>1947</v>
      </c>
      <c r="F10" t="s">
        <v>28</v>
      </c>
      <c r="G10" t="s">
        <v>3489</v>
      </c>
      <c r="H10" t="s">
        <v>1945</v>
      </c>
      <c r="I10" t="s">
        <v>3305</v>
      </c>
      <c r="K10" t="s">
        <v>3306</v>
      </c>
      <c r="L10" t="s">
        <v>3307</v>
      </c>
      <c r="M10" t="str">
        <f t="shared" si="0"/>
        <v>H11</v>
      </c>
      <c r="N10" t="s">
        <v>3308</v>
      </c>
      <c r="O10" t="s">
        <v>3309</v>
      </c>
      <c r="P10" t="s">
        <v>3310</v>
      </c>
      <c r="R10" t="str">
        <f t="shared" si="1"/>
        <v>INSERT INTO stock (ticker, name, listing_date, sub_industry, industry, sector, status) VALUES ('ADCP', 'Adhi Commuter Properti Tbk.', '2021-05-21', 'H111', 'H11', 'IDXPROPERT', (SELECT id FROM attribute WHERE type = 'STOCK_STATUS' AND code = 'LISTED')) ON CONFLICT DO NOTHING;</v>
      </c>
    </row>
    <row r="11" spans="1:19" x14ac:dyDescent="0.2">
      <c r="A11" t="s">
        <v>25</v>
      </c>
      <c r="B11" t="s">
        <v>26</v>
      </c>
      <c r="C11" s="1">
        <v>34498</v>
      </c>
      <c r="D11" s="1"/>
      <c r="E11" t="s">
        <v>27</v>
      </c>
      <c r="F11" t="s">
        <v>28</v>
      </c>
      <c r="G11" t="s">
        <v>3489</v>
      </c>
      <c r="H11" t="s">
        <v>25</v>
      </c>
      <c r="I11" t="s">
        <v>2967</v>
      </c>
      <c r="K11" t="s">
        <v>2945</v>
      </c>
      <c r="L11" t="s">
        <v>2961</v>
      </c>
      <c r="M11" t="str">
        <f t="shared" si="0"/>
        <v>D21</v>
      </c>
      <c r="N11" t="s">
        <v>2968</v>
      </c>
      <c r="O11" t="s">
        <v>2963</v>
      </c>
      <c r="P11" t="s">
        <v>2969</v>
      </c>
      <c r="R11" t="str">
        <f t="shared" si="1"/>
        <v>INSERT INTO stock (ticker, name, listing_date, sub_industry, industry, sector, status) VALUES ('ADES', 'Akasha Wira International Tbk.', '1994-06-13', 'D212', 'D21', 'IDXNONCYC', (SELECT id FROM attribute WHERE type = 'STOCK_STATUS' AND code = 'LISTED')) ON CONFLICT DO NOTHING;</v>
      </c>
    </row>
    <row r="12" spans="1:19" x14ac:dyDescent="0.2">
      <c r="A12" t="s">
        <v>29</v>
      </c>
      <c r="B12" t="s">
        <v>30</v>
      </c>
      <c r="C12" s="1">
        <v>38064</v>
      </c>
      <c r="D12" s="1"/>
      <c r="E12" t="s">
        <v>31</v>
      </c>
      <c r="F12" t="s">
        <v>8</v>
      </c>
      <c r="G12" t="s">
        <v>3489</v>
      </c>
      <c r="H12" t="s">
        <v>29</v>
      </c>
      <c r="I12" t="s">
        <v>30</v>
      </c>
      <c r="K12" t="s">
        <v>3418</v>
      </c>
      <c r="L12" t="s">
        <v>3432</v>
      </c>
      <c r="M12" t="str">
        <f t="shared" si="0"/>
        <v>J21</v>
      </c>
      <c r="N12" t="s">
        <v>3433</v>
      </c>
      <c r="O12" t="s">
        <v>3432</v>
      </c>
      <c r="P12" t="s">
        <v>3432</v>
      </c>
      <c r="R12" t="str">
        <f t="shared" si="1"/>
        <v>INSERT INTO stock (ticker, name, listing_date, sub_industry, industry, sector, status) VALUES ('ADHI', 'Adhi Karya (Persero) Tbk.', '2004-03-18', 'J211', 'J21', 'IDXINFRA', (SELECT id FROM attribute WHERE type = 'STOCK_STATUS' AND code = 'LISTED')) ON CONFLICT DO NOTHING;</v>
      </c>
    </row>
    <row r="13" spans="1:19" x14ac:dyDescent="0.2">
      <c r="A13" t="s">
        <v>2660</v>
      </c>
      <c r="B13" t="s">
        <v>3492</v>
      </c>
      <c r="C13" s="1">
        <v>38077</v>
      </c>
      <c r="D13" s="1"/>
      <c r="E13" t="s">
        <v>2661</v>
      </c>
      <c r="F13" t="s">
        <v>28</v>
      </c>
      <c r="G13" t="s">
        <v>3489</v>
      </c>
      <c r="H13" t="s">
        <v>2660</v>
      </c>
      <c r="I13" t="s">
        <v>3237</v>
      </c>
      <c r="K13" t="s">
        <v>3224</v>
      </c>
      <c r="L13" t="s">
        <v>3238</v>
      </c>
      <c r="M13" t="str">
        <f t="shared" si="0"/>
        <v>G21</v>
      </c>
      <c r="N13" t="s">
        <v>3239</v>
      </c>
      <c r="O13" t="s">
        <v>3240</v>
      </c>
      <c r="P13" t="s">
        <v>3240</v>
      </c>
      <c r="R13" t="str">
        <f t="shared" si="1"/>
        <v>INSERT INTO stock (ticker, name, listing_date, sub_industry, industry, sector, status) VALUES ('ADMF', 'Adira Dinamika Multi Finance Tbk.', '2004-03-31', 'G211', 'G21', 'IDXFINANCE', (SELECT id FROM attribute WHERE type = 'STOCK_STATUS' AND code = 'LISTED')) ON CONFLICT DO NOTHING;</v>
      </c>
    </row>
    <row r="14" spans="1:19" x14ac:dyDescent="0.2">
      <c r="A14" t="s">
        <v>2662</v>
      </c>
      <c r="B14" t="s">
        <v>3493</v>
      </c>
      <c r="C14" s="1">
        <v>34262</v>
      </c>
      <c r="D14" s="1"/>
      <c r="E14" t="s">
        <v>2664</v>
      </c>
      <c r="F14" t="s">
        <v>28</v>
      </c>
      <c r="G14" t="s">
        <v>3489</v>
      </c>
      <c r="H14" t="s">
        <v>2662</v>
      </c>
      <c r="I14" t="s">
        <v>2663</v>
      </c>
      <c r="K14" t="s">
        <v>2778</v>
      </c>
      <c r="L14" t="s">
        <v>2779</v>
      </c>
      <c r="M14" t="str">
        <f t="shared" si="0"/>
        <v>B11</v>
      </c>
      <c r="N14" t="s">
        <v>2780</v>
      </c>
      <c r="O14" t="s">
        <v>2781</v>
      </c>
      <c r="P14" t="s">
        <v>2782</v>
      </c>
      <c r="R14" t="str">
        <f t="shared" si="1"/>
        <v>INSERT INTO stock (ticker, name, listing_date, sub_industry, industry, sector, status) VALUES ('ADMG', 'Polychem Indonesia Tbk.', '1993-10-20', 'B111', 'B11', 'IDXBASIC', (SELECT id FROM attribute WHERE type = 'STOCK_STATUS' AND code = 'LISTED')) ON CONFLICT DO NOTHING;</v>
      </c>
    </row>
    <row r="15" spans="1:19" x14ac:dyDescent="0.2">
      <c r="A15" t="s">
        <v>2060</v>
      </c>
      <c r="B15" t="s">
        <v>3494</v>
      </c>
      <c r="C15" s="1">
        <v>44564</v>
      </c>
      <c r="D15" s="1"/>
      <c r="E15" t="s">
        <v>2061</v>
      </c>
      <c r="F15" t="s">
        <v>8</v>
      </c>
      <c r="G15" t="s">
        <v>3489</v>
      </c>
      <c r="H15" t="s">
        <v>2060</v>
      </c>
      <c r="I15" t="s">
        <v>3494</v>
      </c>
      <c r="K15" t="s">
        <v>2701</v>
      </c>
      <c r="L15" t="s">
        <v>2702</v>
      </c>
      <c r="M15" t="str">
        <f t="shared" si="0"/>
        <v>A12</v>
      </c>
      <c r="N15" t="s">
        <v>2723</v>
      </c>
      <c r="O15" t="s">
        <v>2724</v>
      </c>
      <c r="P15" t="s">
        <v>2725</v>
      </c>
      <c r="R15" t="str">
        <f t="shared" si="1"/>
        <v>INSERT INTO stock (ticker, name, listing_date, sub_industry, industry, sector, status) VALUES ('ADMR', 'Alamtri Minerals Indonesia Tbk.', '2022-01-03', 'A121', 'A12', 'IDXENERGY', (SELECT id FROM attribute WHERE type = 'STOCK_STATUS' AND code = 'LISTED')) ON CONFLICT DO NOTHING;</v>
      </c>
    </row>
    <row r="16" spans="1:19" x14ac:dyDescent="0.2">
      <c r="A16" t="s">
        <v>2665</v>
      </c>
      <c r="B16" t="s">
        <v>3495</v>
      </c>
      <c r="C16" s="1">
        <v>39645</v>
      </c>
      <c r="D16" s="1"/>
      <c r="E16" t="s">
        <v>2666</v>
      </c>
      <c r="F16" t="s">
        <v>8</v>
      </c>
      <c r="G16" t="s">
        <v>3489</v>
      </c>
      <c r="H16" t="s">
        <v>2665</v>
      </c>
      <c r="I16" t="s">
        <v>2726</v>
      </c>
      <c r="K16" t="s">
        <v>2701</v>
      </c>
      <c r="L16" t="s">
        <v>2702</v>
      </c>
      <c r="M16" t="str">
        <f t="shared" si="0"/>
        <v>A12</v>
      </c>
      <c r="N16" t="s">
        <v>2723</v>
      </c>
      <c r="O16" t="s">
        <v>2724</v>
      </c>
      <c r="P16" t="s">
        <v>2725</v>
      </c>
      <c r="R16" t="str">
        <f t="shared" si="1"/>
        <v>INSERT INTO stock (ticker, name, listing_date, sub_industry, industry, sector, status) VALUES ('ADRO', 'Alamtri Resources Indonesia Tbk.', '2008-07-16', 'A121', 'A12', 'IDXENERGY', (SELECT id FROM attribute WHERE type = 'STOCK_STATUS' AND code = 'LISTED')) ON CONFLICT DO NOTHING;</v>
      </c>
    </row>
    <row r="17" spans="1:18" x14ac:dyDescent="0.2">
      <c r="A17" t="s">
        <v>2376</v>
      </c>
      <c r="B17" t="s">
        <v>3496</v>
      </c>
      <c r="C17" s="1">
        <v>45180</v>
      </c>
      <c r="D17" s="1"/>
      <c r="E17" t="s">
        <v>2377</v>
      </c>
      <c r="F17" t="s">
        <v>1847</v>
      </c>
      <c r="G17" t="s">
        <v>3489</v>
      </c>
      <c r="H17" t="s">
        <v>2376</v>
      </c>
      <c r="I17" t="s">
        <v>3496</v>
      </c>
      <c r="K17" t="s">
        <v>3039</v>
      </c>
      <c r="L17" t="s">
        <v>3040</v>
      </c>
      <c r="M17" t="str">
        <f t="shared" si="0"/>
        <v>E11</v>
      </c>
      <c r="N17" t="s">
        <v>3041</v>
      </c>
      <c r="O17" t="s">
        <v>3042</v>
      </c>
      <c r="P17" t="s">
        <v>3043</v>
      </c>
      <c r="R17" t="str">
        <f t="shared" si="1"/>
        <v>INSERT INTO stock (ticker, name, listing_date, sub_industry, industry, sector, status) VALUES ('AEGS', 'Anugerah Spareparts Sejahtera Tbk.', '2023-09-11', 'E111', 'E11', 'IDXCYCLIC', (SELECT id FROM attribute WHERE type = 'STOCK_STATUS' AND code = 'LISTED')) ON CONFLICT DO NOTHING;</v>
      </c>
    </row>
    <row r="18" spans="1:18" x14ac:dyDescent="0.2">
      <c r="A18" t="s">
        <v>1774</v>
      </c>
      <c r="B18" t="s">
        <v>1775</v>
      </c>
      <c r="C18" s="1">
        <v>43801</v>
      </c>
      <c r="D18" s="1"/>
      <c r="E18" t="s">
        <v>355</v>
      </c>
      <c r="F18" t="s">
        <v>28</v>
      </c>
      <c r="G18" t="s">
        <v>3489</v>
      </c>
      <c r="H18" t="s">
        <v>1774</v>
      </c>
      <c r="I18" t="s">
        <v>2997</v>
      </c>
      <c r="K18" t="s">
        <v>2945</v>
      </c>
      <c r="L18" t="s">
        <v>2961</v>
      </c>
      <c r="M18" t="str">
        <f t="shared" si="0"/>
        <v>D23</v>
      </c>
      <c r="N18" t="s">
        <v>2998</v>
      </c>
      <c r="O18" t="s">
        <v>2999</v>
      </c>
      <c r="P18" t="s">
        <v>3000</v>
      </c>
      <c r="R18" t="str">
        <f t="shared" si="1"/>
        <v>INSERT INTO stock (ticker, name, listing_date, sub_industry, industry, sector, status) VALUES ('AGAR', 'Asia Sejahtera Mina Tbk.', '2019-12-02', 'D231', 'D23', 'IDXNONCYC', (SELECT id FROM attribute WHERE type = 'STOCK_STATUS' AND code = 'LISTED')) ON CONFLICT DO NOTHING;</v>
      </c>
    </row>
    <row r="19" spans="1:18" x14ac:dyDescent="0.2">
      <c r="A19" t="s">
        <v>2667</v>
      </c>
      <c r="B19" t="s">
        <v>2668</v>
      </c>
      <c r="C19" s="1">
        <v>42641</v>
      </c>
      <c r="D19" s="1"/>
      <c r="E19" t="s">
        <v>2669</v>
      </c>
      <c r="F19" t="s">
        <v>28</v>
      </c>
      <c r="G19" t="s">
        <v>3489</v>
      </c>
      <c r="H19" t="s">
        <v>2667</v>
      </c>
      <c r="I19" t="s">
        <v>2668</v>
      </c>
      <c r="K19" t="s">
        <v>2778</v>
      </c>
      <c r="L19" t="s">
        <v>2779</v>
      </c>
      <c r="M19" t="str">
        <f t="shared" si="0"/>
        <v>B11</v>
      </c>
      <c r="N19" t="s">
        <v>2780</v>
      </c>
      <c r="O19" t="s">
        <v>2781</v>
      </c>
      <c r="P19" t="s">
        <v>2782</v>
      </c>
      <c r="R19" t="str">
        <f t="shared" si="1"/>
        <v>INSERT INTO stock (ticker, name, listing_date, sub_industry, industry, sector, status) VALUES ('AGII', 'Samator Indo Gas Tbk.', '2016-09-28', 'B111', 'B11', 'IDXBASIC', (SELECT id FROM attribute WHERE type = 'STOCK_STATUS' AND code = 'LISTED')) ON CONFLICT DO NOTHING;</v>
      </c>
    </row>
    <row r="20" spans="1:18" x14ac:dyDescent="0.2">
      <c r="A20" t="s">
        <v>2670</v>
      </c>
      <c r="B20" t="s">
        <v>2671</v>
      </c>
      <c r="C20" s="1">
        <v>37841</v>
      </c>
      <c r="D20" s="1"/>
      <c r="E20" t="s">
        <v>2672</v>
      </c>
      <c r="F20" t="s">
        <v>8</v>
      </c>
      <c r="G20" t="s">
        <v>3489</v>
      </c>
      <c r="H20" t="s">
        <v>2670</v>
      </c>
      <c r="I20" t="s">
        <v>2671</v>
      </c>
      <c r="K20" t="s">
        <v>3224</v>
      </c>
      <c r="L20" t="s">
        <v>3225</v>
      </c>
      <c r="M20" t="str">
        <f t="shared" si="0"/>
        <v>G11</v>
      </c>
      <c r="N20" t="s">
        <v>3226</v>
      </c>
      <c r="O20" t="s">
        <v>3225</v>
      </c>
      <c r="P20" t="s">
        <v>3225</v>
      </c>
      <c r="R20" t="str">
        <f t="shared" si="1"/>
        <v>INSERT INTO stock (ticker, name, listing_date, sub_industry, industry, sector, status) VALUES ('AGRO', 'Bank Raya Indonesia Tbk.', '2003-08-08', 'G111', 'G11', 'IDXFINANCE', (SELECT id FROM attribute WHERE type = 'STOCK_STATUS' AND code = 'LISTED')) ON CONFLICT DO NOTHING;</v>
      </c>
    </row>
    <row r="21" spans="1:18" x14ac:dyDescent="0.2">
      <c r="A21" t="s">
        <v>2673</v>
      </c>
      <c r="B21" t="s">
        <v>2674</v>
      </c>
      <c r="C21" s="1">
        <v>41995</v>
      </c>
      <c r="D21" s="1"/>
      <c r="E21" t="s">
        <v>2675</v>
      </c>
      <c r="F21" t="s">
        <v>28</v>
      </c>
      <c r="G21" t="s">
        <v>3489</v>
      </c>
      <c r="H21" t="s">
        <v>2673</v>
      </c>
      <c r="I21" t="s">
        <v>2674</v>
      </c>
      <c r="K21" t="s">
        <v>3224</v>
      </c>
      <c r="L21" t="s">
        <v>3225</v>
      </c>
      <c r="M21" t="str">
        <f t="shared" si="0"/>
        <v>G11</v>
      </c>
      <c r="N21" t="s">
        <v>3226</v>
      </c>
      <c r="O21" t="s">
        <v>3225</v>
      </c>
      <c r="P21" t="s">
        <v>3225</v>
      </c>
      <c r="R21" t="str">
        <f t="shared" si="1"/>
        <v>INSERT INTO stock (ticker, name, listing_date, sub_industry, industry, sector, status) VALUES ('AGRS', 'Bank IBK Indonesia Tbk.', '2014-12-22', 'G111', 'G11', 'IDXFINANCE', (SELECT id FROM attribute WHERE type = 'STOCK_STATUS' AND code = 'LISTED')) ON CONFLICT DO NOTHING;</v>
      </c>
    </row>
    <row r="22" spans="1:18" x14ac:dyDescent="0.2">
      <c r="A22" t="s">
        <v>2676</v>
      </c>
      <c r="B22" t="s">
        <v>3497</v>
      </c>
      <c r="C22" s="1">
        <v>33130</v>
      </c>
      <c r="D22" s="1"/>
      <c r="E22" t="s">
        <v>2677</v>
      </c>
      <c r="F22" t="s">
        <v>28</v>
      </c>
      <c r="G22" t="s">
        <v>3489</v>
      </c>
      <c r="H22" t="s">
        <v>2676</v>
      </c>
      <c r="I22" t="s">
        <v>3267</v>
      </c>
      <c r="K22" t="s">
        <v>3224</v>
      </c>
      <c r="L22" t="s">
        <v>3264</v>
      </c>
      <c r="M22" t="str">
        <f t="shared" si="0"/>
        <v>G41</v>
      </c>
      <c r="N22" t="s">
        <v>3265</v>
      </c>
      <c r="O22" t="s">
        <v>3264</v>
      </c>
      <c r="P22" t="s">
        <v>3266</v>
      </c>
      <c r="R22" t="str">
        <f t="shared" si="1"/>
        <v>INSERT INTO stock (ticker, name, listing_date, sub_industry, industry, sector, status) VALUES ('AHAP', 'Asuransi Harta Aman Pratama Tbk.', '1990-09-14', 'G412', 'G41', 'IDXFINANCE', (SELECT id FROM attribute WHERE type = 'STOCK_STATUS' AND code = 'LISTED')) ON CONFLICT DO NOTHING;</v>
      </c>
    </row>
    <row r="23" spans="1:18" x14ac:dyDescent="0.2">
      <c r="A23" t="s">
        <v>2678</v>
      </c>
      <c r="B23" t="s">
        <v>2679</v>
      </c>
      <c r="C23" s="1">
        <v>37092</v>
      </c>
      <c r="D23" s="1"/>
      <c r="E23" t="s">
        <v>2680</v>
      </c>
      <c r="F23" t="s">
        <v>28</v>
      </c>
      <c r="G23" t="s">
        <v>3489</v>
      </c>
      <c r="H23" t="s">
        <v>2678</v>
      </c>
      <c r="I23" t="s">
        <v>3703</v>
      </c>
      <c r="K23" t="s">
        <v>2701</v>
      </c>
      <c r="L23" t="s">
        <v>2702</v>
      </c>
      <c r="M23" t="str">
        <f t="shared" si="0"/>
        <v>A12</v>
      </c>
      <c r="N23" t="s">
        <v>2723</v>
      </c>
      <c r="O23" t="s">
        <v>2724</v>
      </c>
      <c r="P23" t="s">
        <v>2725</v>
      </c>
      <c r="R23" t="str">
        <f t="shared" si="1"/>
        <v>INSERT INTO stock (ticker, name, listing_date, sub_industry, industry, sector, status) VALUES ('AIMS', 'Artha Mahiya Investama Tbk.', '2001-07-20', 'A121', 'A12', 'IDXENERGY', (SELECT id FROM attribute WHERE type = 'STOCK_STATUS' AND code = 'LISTED')) ON CONFLICT DO NOTHING;</v>
      </c>
    </row>
    <row r="24" spans="1:18" x14ac:dyDescent="0.2">
      <c r="A24" t="s">
        <v>32</v>
      </c>
      <c r="B24" t="s">
        <v>33</v>
      </c>
      <c r="C24" s="1">
        <v>35592</v>
      </c>
      <c r="D24" s="1"/>
      <c r="E24" t="s">
        <v>34</v>
      </c>
      <c r="F24" t="s">
        <v>8</v>
      </c>
      <c r="G24" t="s">
        <v>3489</v>
      </c>
      <c r="H24" t="s">
        <v>32</v>
      </c>
      <c r="I24" t="s">
        <v>2977</v>
      </c>
      <c r="K24" t="s">
        <v>2945</v>
      </c>
      <c r="L24" t="s">
        <v>2961</v>
      </c>
      <c r="M24" t="str">
        <f t="shared" si="0"/>
        <v>D22</v>
      </c>
      <c r="N24" t="s">
        <v>2978</v>
      </c>
      <c r="O24" t="s">
        <v>2973</v>
      </c>
      <c r="P24" t="s">
        <v>2973</v>
      </c>
      <c r="R24" t="str">
        <f t="shared" si="1"/>
        <v>INSERT INTO stock (ticker, name, listing_date, sub_industry, industry, sector, status) VALUES ('AISA', 'FKS Food Sejahtera Tbk.', '1997-06-11', 'D222', 'D22', 'IDXNONCYC', (SELECT id FROM attribute WHERE type = 'STOCK_STATUS' AND code = 'LISTED')) ON CONFLICT DO NOTHING;</v>
      </c>
    </row>
    <row r="25" spans="1:18" x14ac:dyDescent="0.2">
      <c r="A25" t="s">
        <v>35</v>
      </c>
      <c r="B25" t="s">
        <v>3498</v>
      </c>
      <c r="C25" s="1">
        <v>38292</v>
      </c>
      <c r="D25" s="1"/>
      <c r="E25" t="s">
        <v>37</v>
      </c>
      <c r="F25" t="s">
        <v>12</v>
      </c>
      <c r="G25" t="s">
        <v>3489</v>
      </c>
      <c r="H25" t="s">
        <v>35</v>
      </c>
      <c r="I25" t="s">
        <v>36</v>
      </c>
      <c r="K25" t="s">
        <v>3039</v>
      </c>
      <c r="L25" t="s">
        <v>3092</v>
      </c>
      <c r="M25" t="str">
        <f t="shared" si="0"/>
        <v>E51</v>
      </c>
      <c r="N25" t="s">
        <v>3093</v>
      </c>
      <c r="O25" t="s">
        <v>3094</v>
      </c>
      <c r="P25" t="s">
        <v>3095</v>
      </c>
      <c r="R25" t="str">
        <f t="shared" si="1"/>
        <v>INSERT INTO stock (ticker, name, listing_date, sub_industry, industry, sector, status) VALUES ('AKKU', 'Anugerah Kagum Karya Utama Tbk.', '2004-11-01', 'E512', 'E51', 'IDXCYCLIC', (SELECT id FROM attribute WHERE type = 'STOCK_STATUS' AND code = 'LISTED')) ON CONFLICT DO NOTHING;</v>
      </c>
    </row>
    <row r="26" spans="1:18" x14ac:dyDescent="0.2">
      <c r="A26" t="s">
        <v>38</v>
      </c>
      <c r="B26" t="s">
        <v>3499</v>
      </c>
      <c r="C26" s="1">
        <v>33956</v>
      </c>
      <c r="D26" s="1"/>
      <c r="E26" t="s">
        <v>40</v>
      </c>
      <c r="F26" t="s">
        <v>28</v>
      </c>
      <c r="G26" t="s">
        <v>3489</v>
      </c>
      <c r="H26" t="s">
        <v>38</v>
      </c>
      <c r="I26" t="s">
        <v>39</v>
      </c>
      <c r="K26" t="s">
        <v>2778</v>
      </c>
      <c r="L26" t="s">
        <v>2779</v>
      </c>
      <c r="M26" t="str">
        <f t="shared" si="0"/>
        <v>B11</v>
      </c>
      <c r="N26" t="s">
        <v>2792</v>
      </c>
      <c r="O26" t="s">
        <v>2781</v>
      </c>
      <c r="P26" t="s">
        <v>2793</v>
      </c>
      <c r="R26" t="str">
        <f t="shared" si="1"/>
        <v>INSERT INTO stock (ticker, name, listing_date, sub_industry, industry, sector, status) VALUES ('AKPI', 'Argha Karya Prima Industry Tbk.', '1992-12-18', 'B113', 'B11', 'IDXBASIC', (SELECT id FROM attribute WHERE type = 'STOCK_STATUS' AND code = 'LISTED')) ON CONFLICT DO NOTHING;</v>
      </c>
    </row>
    <row r="27" spans="1:18" x14ac:dyDescent="0.2">
      <c r="A27" t="s">
        <v>41</v>
      </c>
      <c r="B27" t="s">
        <v>42</v>
      </c>
      <c r="C27" s="1">
        <v>34610</v>
      </c>
      <c r="D27" s="1"/>
      <c r="E27" t="s">
        <v>43</v>
      </c>
      <c r="F27" t="s">
        <v>8</v>
      </c>
      <c r="G27" t="s">
        <v>3489</v>
      </c>
      <c r="H27" t="s">
        <v>41</v>
      </c>
      <c r="I27" t="s">
        <v>42</v>
      </c>
      <c r="K27" t="s">
        <v>2701</v>
      </c>
      <c r="L27" t="s">
        <v>2702</v>
      </c>
      <c r="M27" t="str">
        <f t="shared" si="0"/>
        <v>A11</v>
      </c>
      <c r="N27" t="s">
        <v>2710</v>
      </c>
      <c r="O27" t="s">
        <v>2704</v>
      </c>
      <c r="P27" t="s">
        <v>2711</v>
      </c>
      <c r="R27" t="str">
        <f t="shared" si="1"/>
        <v>INSERT INTO stock (ticker, name, listing_date, sub_industry, industry, sector, status) VALUES ('AKRA', 'AKR Corporindo Tbk.', '1994-10-03', 'A112', 'A11', 'IDXENERGY', (SELECT id FROM attribute WHERE type = 'STOCK_STATUS' AND code = 'LISTED')) ON CONFLICT DO NOTHING;</v>
      </c>
    </row>
    <row r="28" spans="1:18" x14ac:dyDescent="0.2">
      <c r="A28" t="s">
        <v>44</v>
      </c>
      <c r="B28" t="s">
        <v>3500</v>
      </c>
      <c r="C28" s="1">
        <v>37085</v>
      </c>
      <c r="D28" s="1"/>
      <c r="E28" t="s">
        <v>45</v>
      </c>
      <c r="F28" t="s">
        <v>28</v>
      </c>
      <c r="G28" t="s">
        <v>3489</v>
      </c>
      <c r="H28" t="s">
        <v>44</v>
      </c>
      <c r="I28" t="s">
        <v>3500</v>
      </c>
      <c r="K28" t="s">
        <v>3470</v>
      </c>
      <c r="L28" t="s">
        <v>3481</v>
      </c>
      <c r="M28" t="str">
        <f t="shared" si="0"/>
        <v>K21</v>
      </c>
      <c r="N28" t="s">
        <v>3482</v>
      </c>
      <c r="O28" t="s">
        <v>3481</v>
      </c>
      <c r="P28" t="s">
        <v>3481</v>
      </c>
      <c r="R28" t="str">
        <f t="shared" si="1"/>
        <v>INSERT INTO stock (ticker, name, listing_date, sub_industry, industry, sector, status) VALUES ('AKSI', 'Mineral Sumberdaya Mandiri Tbk.', '2001-07-13', 'K211', 'K21', 'IDXTRANS', (SELECT id FROM attribute WHERE type = 'STOCK_STATUS' AND code = 'LISTED')) ON CONFLICT DO NOTHING;</v>
      </c>
    </row>
    <row r="29" spans="1:18" x14ac:dyDescent="0.2">
      <c r="A29" t="s">
        <v>46</v>
      </c>
      <c r="B29" t="s">
        <v>47</v>
      </c>
      <c r="C29" s="1">
        <v>40736</v>
      </c>
      <c r="D29" s="1"/>
      <c r="E29" t="s">
        <v>48</v>
      </c>
      <c r="F29" t="s">
        <v>28</v>
      </c>
      <c r="G29" t="s">
        <v>3489</v>
      </c>
      <c r="H29" t="s">
        <v>46</v>
      </c>
      <c r="I29" t="s">
        <v>2811</v>
      </c>
      <c r="K29" t="s">
        <v>2778</v>
      </c>
      <c r="L29" t="s">
        <v>2779</v>
      </c>
      <c r="M29" t="str">
        <f t="shared" si="0"/>
        <v>B13</v>
      </c>
      <c r="N29" t="s">
        <v>2812</v>
      </c>
      <c r="O29" t="s">
        <v>2813</v>
      </c>
      <c r="P29" t="s">
        <v>2813</v>
      </c>
      <c r="R29" t="str">
        <f t="shared" si="1"/>
        <v>INSERT INTO stock (ticker, name, listing_date, sub_industry, industry, sector, status) VALUES ('ALDO', 'Alkindo Naratama Tbk.', '2011-07-12', 'B131', 'B13', 'IDXBASIC', (SELECT id FROM attribute WHERE type = 'STOCK_STATUS' AND code = 'LISTED')) ON CONFLICT DO NOTHING;</v>
      </c>
    </row>
    <row r="30" spans="1:18" x14ac:dyDescent="0.2">
      <c r="A30" t="s">
        <v>2430</v>
      </c>
      <c r="B30" t="s">
        <v>3501</v>
      </c>
      <c r="C30" s="1">
        <v>45329</v>
      </c>
      <c r="D30" s="1"/>
      <c r="E30" t="s">
        <v>2432</v>
      </c>
      <c r="F30" t="s">
        <v>8</v>
      </c>
      <c r="G30" t="s">
        <v>3489</v>
      </c>
      <c r="H30" t="s">
        <v>2430</v>
      </c>
      <c r="I30" t="s">
        <v>2431</v>
      </c>
      <c r="K30" t="s">
        <v>2701</v>
      </c>
      <c r="L30" t="s">
        <v>2702</v>
      </c>
      <c r="M30" t="str">
        <f t="shared" si="0"/>
        <v>A12</v>
      </c>
      <c r="N30" t="s">
        <v>2742</v>
      </c>
      <c r="O30" t="s">
        <v>2724</v>
      </c>
      <c r="P30" t="s">
        <v>2743</v>
      </c>
      <c r="R30" t="str">
        <f t="shared" si="1"/>
        <v>INSERT INTO stock (ticker, name, listing_date, sub_industry, industry, sector, status) VALUES ('ALII', 'Ancara Logistics Indonesia Tbk.', '2024-02-07', 'A122', 'A12', 'IDXENERGY', (SELECT id FROM attribute WHERE type = 'STOCK_STATUS' AND code = 'LISTED')) ON CONFLICT DO NOTHING;</v>
      </c>
    </row>
    <row r="31" spans="1:18" x14ac:dyDescent="0.2">
      <c r="A31" t="s">
        <v>49</v>
      </c>
      <c r="B31" t="s">
        <v>3502</v>
      </c>
      <c r="C31" s="1">
        <v>33066</v>
      </c>
      <c r="D31" s="1"/>
      <c r="E31" t="s">
        <v>51</v>
      </c>
      <c r="F31" t="s">
        <v>28</v>
      </c>
      <c r="G31" t="s">
        <v>3489</v>
      </c>
      <c r="H31" t="s">
        <v>49</v>
      </c>
      <c r="I31" t="s">
        <v>50</v>
      </c>
      <c r="K31" t="s">
        <v>2778</v>
      </c>
      <c r="L31" t="s">
        <v>2779</v>
      </c>
      <c r="M31" t="str">
        <f t="shared" si="0"/>
        <v>B14</v>
      </c>
      <c r="N31" t="s">
        <v>2823</v>
      </c>
      <c r="O31" t="s">
        <v>2824</v>
      </c>
      <c r="P31" t="s">
        <v>2825</v>
      </c>
      <c r="R31" t="str">
        <f t="shared" si="1"/>
        <v>INSERT INTO stock (ticker, name, listing_date, sub_industry, industry, sector, status) VALUES ('ALKA', 'Alakasa Industrindo Tbk.', '1990-07-12', 'B141', 'B14', 'IDXBASIC', (SELECT id FROM attribute WHERE type = 'STOCK_STATUS' AND code = 'LISTED')) ON CONFLICT DO NOTHING;</v>
      </c>
    </row>
    <row r="32" spans="1:18" x14ac:dyDescent="0.2">
      <c r="A32" t="s">
        <v>52</v>
      </c>
      <c r="B32" t="s">
        <v>3503</v>
      </c>
      <c r="C32" s="1">
        <v>35432</v>
      </c>
      <c r="D32" s="1"/>
      <c r="E32" t="s">
        <v>53</v>
      </c>
      <c r="F32" t="s">
        <v>12</v>
      </c>
      <c r="G32" t="s">
        <v>3489</v>
      </c>
      <c r="H32" t="s">
        <v>52</v>
      </c>
      <c r="I32" t="s">
        <v>2826</v>
      </c>
      <c r="K32" t="s">
        <v>2778</v>
      </c>
      <c r="L32" t="s">
        <v>2779</v>
      </c>
      <c r="M32" t="str">
        <f t="shared" si="0"/>
        <v>B14</v>
      </c>
      <c r="N32" t="s">
        <v>2823</v>
      </c>
      <c r="O32" t="s">
        <v>2824</v>
      </c>
      <c r="P32" t="s">
        <v>2825</v>
      </c>
      <c r="R32" t="str">
        <f t="shared" si="1"/>
        <v>INSERT INTO stock (ticker, name, listing_date, sub_industry, industry, sector, status) VALUES ('ALMI', 'Alumindo Light Metal Industry Tbk.', '1997-01-02', 'B141', 'B14', 'IDXBASIC', (SELECT id FROM attribute WHERE type = 'STOCK_STATUS' AND code = 'LISTED')) ON CONFLICT DO NOTHING;</v>
      </c>
    </row>
    <row r="33" spans="1:18" x14ac:dyDescent="0.2">
      <c r="A33" t="s">
        <v>54</v>
      </c>
      <c r="B33" t="s">
        <v>55</v>
      </c>
      <c r="C33" s="1">
        <v>41100</v>
      </c>
      <c r="D33" s="1"/>
      <c r="E33" t="s">
        <v>56</v>
      </c>
      <c r="F33" t="s">
        <v>12</v>
      </c>
      <c r="G33" t="s">
        <v>3489</v>
      </c>
      <c r="H33" t="s">
        <v>54</v>
      </c>
      <c r="I33" t="s">
        <v>2970</v>
      </c>
      <c r="K33" t="s">
        <v>2945</v>
      </c>
      <c r="L33" t="s">
        <v>2961</v>
      </c>
      <c r="M33" t="str">
        <f t="shared" si="0"/>
        <v>D21</v>
      </c>
      <c r="N33" t="s">
        <v>2968</v>
      </c>
      <c r="O33" t="s">
        <v>2963</v>
      </c>
      <c r="P33" t="s">
        <v>2969</v>
      </c>
      <c r="R33" t="str">
        <f t="shared" si="1"/>
        <v>INSERT INTO stock (ticker, name, listing_date, sub_industry, industry, sector, status) VALUES ('ALTO', 'Tri Banyan Tirta Tbk.', '2012-07-10', 'D212', 'D21', 'IDXNONCYC', (SELECT id FROM attribute WHERE type = 'STOCK_STATUS' AND code = 'LISTED')) ON CONFLICT DO NOTHING;</v>
      </c>
    </row>
    <row r="34" spans="1:18" x14ac:dyDescent="0.2">
      <c r="A34" t="s">
        <v>57</v>
      </c>
      <c r="B34" t="s">
        <v>58</v>
      </c>
      <c r="C34" s="1">
        <v>38709</v>
      </c>
      <c r="D34" s="1"/>
      <c r="E34" t="s">
        <v>59</v>
      </c>
      <c r="F34" t="s">
        <v>28</v>
      </c>
      <c r="G34" t="s">
        <v>3489</v>
      </c>
      <c r="H34" t="s">
        <v>57</v>
      </c>
      <c r="I34" t="s">
        <v>3268</v>
      </c>
      <c r="K34" t="s">
        <v>3224</v>
      </c>
      <c r="L34" t="s">
        <v>3264</v>
      </c>
      <c r="M34" t="str">
        <f t="shared" si="0"/>
        <v>G41</v>
      </c>
      <c r="N34" t="s">
        <v>3265</v>
      </c>
      <c r="O34" t="s">
        <v>3264</v>
      </c>
      <c r="P34" t="s">
        <v>3266</v>
      </c>
      <c r="R34" t="str">
        <f t="shared" si="1"/>
        <v>INSERT INTO stock (ticker, name, listing_date, sub_industry, industry, sector, status) VALUES ('AMAG', 'Asuransi Multi Artha Guna Tbk.', '2005-12-23', 'G412', 'G41', 'IDXFINANCE', (SELECT id FROM attribute WHERE type = 'STOCK_STATUS' AND code = 'LISTED')) ON CONFLICT DO NOTHING;</v>
      </c>
    </row>
    <row r="35" spans="1:18" x14ac:dyDescent="0.2">
      <c r="A35" t="s">
        <v>2598</v>
      </c>
      <c r="B35" t="s">
        <v>2599</v>
      </c>
      <c r="C35" s="1">
        <v>43903</v>
      </c>
      <c r="D35" s="1"/>
      <c r="E35" t="s">
        <v>2600</v>
      </c>
      <c r="F35" t="s">
        <v>28</v>
      </c>
      <c r="G35" t="s">
        <v>3489</v>
      </c>
      <c r="H35" t="s">
        <v>2598</v>
      </c>
      <c r="I35" t="s">
        <v>3311</v>
      </c>
      <c r="K35" t="s">
        <v>3306</v>
      </c>
      <c r="L35" t="s">
        <v>3307</v>
      </c>
      <c r="M35" t="str">
        <f t="shared" si="0"/>
        <v>H11</v>
      </c>
      <c r="N35" t="s">
        <v>3308</v>
      </c>
      <c r="O35" t="s">
        <v>3309</v>
      </c>
      <c r="P35" t="s">
        <v>3310</v>
      </c>
      <c r="R35" t="str">
        <f t="shared" si="1"/>
        <v>INSERT INTO stock (ticker, name, listing_date, sub_industry, industry, sector, status) VALUES ('AMAN', 'Makmur Berkah Amanda Tbk.', '2020-03-13', 'H111', 'H11', 'IDXPROPERT', (SELECT id FROM attribute WHERE type = 'STOCK_STATUS' AND code = 'LISTED')) ON CONFLICT DO NOTHING;</v>
      </c>
    </row>
    <row r="36" spans="1:18" x14ac:dyDescent="0.2">
      <c r="A36" t="s">
        <v>1796</v>
      </c>
      <c r="B36" t="s">
        <v>1797</v>
      </c>
      <c r="C36" s="1">
        <v>43839</v>
      </c>
      <c r="D36" s="1"/>
      <c r="E36" t="s">
        <v>1798</v>
      </c>
      <c r="F36" t="s">
        <v>28</v>
      </c>
      <c r="G36" t="s">
        <v>3489</v>
      </c>
      <c r="H36" t="s">
        <v>1796</v>
      </c>
      <c r="I36" t="s">
        <v>1797</v>
      </c>
      <c r="K36" t="s">
        <v>3224</v>
      </c>
      <c r="L36" t="s">
        <v>3225</v>
      </c>
      <c r="M36" t="str">
        <f t="shared" si="0"/>
        <v>G11</v>
      </c>
      <c r="N36" t="s">
        <v>3226</v>
      </c>
      <c r="O36" t="s">
        <v>3225</v>
      </c>
      <c r="P36" t="s">
        <v>3225</v>
      </c>
      <c r="R36" t="str">
        <f t="shared" si="1"/>
        <v>INSERT INTO stock (ticker, name, listing_date, sub_industry, industry, sector, status) VALUES ('AMAR', 'Bank Amar Indonesia Tbk.', '2020-01-09', 'G111', 'G11', 'IDXFINANCE', (SELECT id FROM attribute WHERE type = 'STOCK_STATUS' AND code = 'LISTED')) ON CONFLICT DO NOTHING;</v>
      </c>
    </row>
    <row r="37" spans="1:18" x14ac:dyDescent="0.2">
      <c r="A37" t="s">
        <v>60</v>
      </c>
      <c r="B37" t="s">
        <v>61</v>
      </c>
      <c r="C37" s="1">
        <v>35011</v>
      </c>
      <c r="D37" s="1"/>
      <c r="E37" t="s">
        <v>62</v>
      </c>
      <c r="F37" t="s">
        <v>28</v>
      </c>
      <c r="G37" t="s">
        <v>3489</v>
      </c>
      <c r="H37" t="s">
        <v>60</v>
      </c>
      <c r="I37" t="s">
        <v>2873</v>
      </c>
      <c r="K37" t="s">
        <v>2874</v>
      </c>
      <c r="L37" t="s">
        <v>2875</v>
      </c>
      <c r="M37" t="str">
        <f t="shared" si="0"/>
        <v>C12</v>
      </c>
      <c r="N37" t="s">
        <v>2876</v>
      </c>
      <c r="O37" t="s">
        <v>2877</v>
      </c>
      <c r="P37" t="s">
        <v>2877</v>
      </c>
      <c r="R37" t="str">
        <f t="shared" si="1"/>
        <v>INSERT INTO stock (ticker, name, listing_date, sub_industry, industry, sector, status) VALUES ('AMFG', 'Asahimas Flat Glass Tbk.', '1995-11-08', 'C121', 'C12', 'IDXINDUST', (SELECT id FROM attribute WHERE type = 'STOCK_STATUS' AND code = 'LISTED')) ON CONFLICT DO NOTHING;</v>
      </c>
    </row>
    <row r="38" spans="1:18" x14ac:dyDescent="0.2">
      <c r="A38" t="s">
        <v>63</v>
      </c>
      <c r="B38" t="s">
        <v>3504</v>
      </c>
      <c r="C38" s="1">
        <v>42348</v>
      </c>
      <c r="D38" s="1"/>
      <c r="E38" t="s">
        <v>64</v>
      </c>
      <c r="F38" t="s">
        <v>28</v>
      </c>
      <c r="G38" t="s">
        <v>3489</v>
      </c>
      <c r="H38" t="s">
        <v>63</v>
      </c>
      <c r="I38" t="s">
        <v>3504</v>
      </c>
      <c r="K38" t="s">
        <v>2874</v>
      </c>
      <c r="L38" t="s">
        <v>2875</v>
      </c>
      <c r="M38" t="str">
        <f t="shared" si="0"/>
        <v>C14</v>
      </c>
      <c r="N38" t="s">
        <v>2907</v>
      </c>
      <c r="O38" t="s">
        <v>2899</v>
      </c>
      <c r="P38" t="s">
        <v>2908</v>
      </c>
      <c r="R38" t="str">
        <f t="shared" si="1"/>
        <v>INSERT INTO stock (ticker, name, listing_date, sub_industry, industry, sector, status) VALUES ('AMIN', 'Ateliers Mecaniques D Indonesie Tbk.', '2015-12-10', 'C143', 'C14', 'IDXINDUST', (SELECT id FROM attribute WHERE type = 'STOCK_STATUS' AND code = 'LISTED')) ON CONFLICT DO NOTHING;</v>
      </c>
    </row>
    <row r="39" spans="1:18" x14ac:dyDescent="0.2">
      <c r="A39" t="s">
        <v>2319</v>
      </c>
      <c r="B39" t="s">
        <v>3505</v>
      </c>
      <c r="C39" s="1">
        <v>45114</v>
      </c>
      <c r="D39" s="1"/>
      <c r="E39" t="s">
        <v>2320</v>
      </c>
      <c r="F39" t="s">
        <v>8</v>
      </c>
      <c r="G39" t="s">
        <v>3489</v>
      </c>
      <c r="H39" t="s">
        <v>2319</v>
      </c>
      <c r="I39" t="s">
        <v>3505</v>
      </c>
      <c r="K39" t="s">
        <v>2778</v>
      </c>
      <c r="L39" t="s">
        <v>2779</v>
      </c>
      <c r="M39" t="str">
        <f t="shared" si="0"/>
        <v>B14</v>
      </c>
      <c r="N39" t="s">
        <v>2830</v>
      </c>
      <c r="O39" t="s">
        <v>2824</v>
      </c>
      <c r="P39" t="s">
        <v>2831</v>
      </c>
      <c r="R39" t="str">
        <f t="shared" si="1"/>
        <v>INSERT INTO stock (ticker, name, listing_date, sub_industry, industry, sector, status) VALUES ('AMMN', 'Amman Mineral Internasional Tbk.', '2023-07-07', 'B142', 'B14', 'IDXBASIC', (SELECT id FROM attribute WHERE type = 'STOCK_STATUS' AND code = 'LISTED')) ON CONFLICT DO NOTHING;</v>
      </c>
    </row>
    <row r="40" spans="1:18" x14ac:dyDescent="0.2">
      <c r="A40" t="s">
        <v>2146</v>
      </c>
      <c r="B40" t="s">
        <v>2147</v>
      </c>
      <c r="C40" s="1">
        <v>44777</v>
      </c>
      <c r="D40" s="1"/>
      <c r="E40" t="s">
        <v>2148</v>
      </c>
      <c r="F40" t="s">
        <v>1847</v>
      </c>
      <c r="G40" t="s">
        <v>3489</v>
      </c>
      <c r="H40" t="s">
        <v>2146</v>
      </c>
      <c r="I40" t="s">
        <v>3704</v>
      </c>
      <c r="K40" t="s">
        <v>2945</v>
      </c>
      <c r="L40" t="s">
        <v>2961</v>
      </c>
      <c r="M40" t="str">
        <f t="shared" si="0"/>
        <v>D23</v>
      </c>
      <c r="N40" t="s">
        <v>2998</v>
      </c>
      <c r="O40" t="s">
        <v>2999</v>
      </c>
      <c r="P40" t="s">
        <v>3000</v>
      </c>
      <c r="R40" t="str">
        <f t="shared" si="1"/>
        <v>INSERT INTO stock (ticker, name, listing_date, sub_industry, industry, sector, status) VALUES ('AMMS', 'Agung Menjangan Mas Tbk.', '2022-08-04', 'D231', 'D23', 'IDXNONCYC', (SELECT id FROM attribute WHERE type = 'STOCK_STATUS' AND code = 'LISTED')) ON CONFLICT DO NOTHING;</v>
      </c>
    </row>
    <row r="41" spans="1:18" x14ac:dyDescent="0.2">
      <c r="A41" t="s">
        <v>1805</v>
      </c>
      <c r="B41" t="s">
        <v>3506</v>
      </c>
      <c r="C41" s="1">
        <v>43844</v>
      </c>
      <c r="D41" s="1"/>
      <c r="E41" t="s">
        <v>1806</v>
      </c>
      <c r="F41" t="s">
        <v>28</v>
      </c>
      <c r="G41" t="s">
        <v>3489</v>
      </c>
      <c r="H41" t="s">
        <v>1805</v>
      </c>
      <c r="I41" t="s">
        <v>3251</v>
      </c>
      <c r="K41" t="s">
        <v>3224</v>
      </c>
      <c r="L41" t="s">
        <v>3252</v>
      </c>
      <c r="M41" t="str">
        <f t="shared" si="0"/>
        <v>G31</v>
      </c>
      <c r="N41" t="s">
        <v>3253</v>
      </c>
      <c r="O41" t="s">
        <v>3254</v>
      </c>
      <c r="P41" t="s">
        <v>3255</v>
      </c>
      <c r="R41" t="str">
        <f t="shared" si="1"/>
        <v>INSERT INTO stock (ticker, name, listing_date, sub_industry, industry, sector, status) VALUES ('AMOR', 'Ashmore Asset Management Indonesia Tbk.', '2020-01-14', 'G311', 'G31', 'IDXFINANCE', (SELECT id FROM attribute WHERE type = 'STOCK_STATUS' AND code = 'LISTED')) ON CONFLICT DO NOTHING;</v>
      </c>
    </row>
    <row r="42" spans="1:18" x14ac:dyDescent="0.2">
      <c r="A42" t="s">
        <v>65</v>
      </c>
      <c r="B42" t="s">
        <v>66</v>
      </c>
      <c r="C42" s="1">
        <v>39828</v>
      </c>
      <c r="D42" s="1"/>
      <c r="E42" t="s">
        <v>67</v>
      </c>
      <c r="F42" t="s">
        <v>8</v>
      </c>
      <c r="G42" t="s">
        <v>3489</v>
      </c>
      <c r="H42" t="s">
        <v>65</v>
      </c>
      <c r="I42" t="s">
        <v>66</v>
      </c>
      <c r="K42" t="s">
        <v>2945</v>
      </c>
      <c r="L42" t="s">
        <v>2946</v>
      </c>
      <c r="M42" t="str">
        <f t="shared" si="0"/>
        <v>D11</v>
      </c>
      <c r="N42" t="s">
        <v>2956</v>
      </c>
      <c r="O42" t="s">
        <v>2946</v>
      </c>
      <c r="P42" t="s">
        <v>2957</v>
      </c>
      <c r="R42" t="str">
        <f t="shared" si="1"/>
        <v>INSERT INTO stock (ticker, name, listing_date, sub_industry, industry, sector, status) VALUES ('AMRT', 'Sumber Alfaria Trijaya Tbk.', '2009-01-15', 'D113', 'D11', 'IDXNONCYC', (SELECT id FROM attribute WHERE type = 'STOCK_STATUS' AND code = 'LISTED')) ON CONFLICT DO NOTHING;</v>
      </c>
    </row>
    <row r="43" spans="1:18" x14ac:dyDescent="0.2">
      <c r="A43" t="s">
        <v>1571</v>
      </c>
      <c r="B43" t="s">
        <v>1572</v>
      </c>
      <c r="C43" s="1">
        <v>43328</v>
      </c>
      <c r="D43" s="1"/>
      <c r="E43" t="s">
        <v>1573</v>
      </c>
      <c r="F43" t="s">
        <v>12</v>
      </c>
      <c r="G43" t="s">
        <v>3489</v>
      </c>
      <c r="H43" t="s">
        <v>1571</v>
      </c>
      <c r="I43" t="s">
        <v>3705</v>
      </c>
      <c r="K43" t="s">
        <v>2945</v>
      </c>
      <c r="L43" t="s">
        <v>2961</v>
      </c>
      <c r="M43" t="str">
        <f t="shared" si="0"/>
        <v>D23</v>
      </c>
      <c r="N43" t="s">
        <v>3013</v>
      </c>
      <c r="O43" t="s">
        <v>2999</v>
      </c>
      <c r="P43" t="s">
        <v>3014</v>
      </c>
      <c r="R43" t="str">
        <f t="shared" si="1"/>
        <v>INSERT INTO stock (ticker, name, listing_date, sub_industry, industry, sector, status) VALUES ('ANDI', 'Andira Agro Tbk.', '2018-08-16', 'D232', 'D23', 'IDXNONCYC', (SELECT id FROM attribute WHERE type = 'STOCK_STATUS' AND code = 'LISTED')) ON CONFLICT DO NOTHING;</v>
      </c>
    </row>
    <row r="44" spans="1:18" x14ac:dyDescent="0.2">
      <c r="A44" t="s">
        <v>68</v>
      </c>
      <c r="B44" t="s">
        <v>69</v>
      </c>
      <c r="C44" s="1">
        <v>41402</v>
      </c>
      <c r="D44" s="1"/>
      <c r="E44" t="s">
        <v>70</v>
      </c>
      <c r="F44" t="s">
        <v>28</v>
      </c>
      <c r="G44" t="s">
        <v>3489</v>
      </c>
      <c r="H44" t="s">
        <v>68</v>
      </c>
      <c r="I44" t="s">
        <v>69</v>
      </c>
      <c r="K44" t="s">
        <v>2945</v>
      </c>
      <c r="L44" t="s">
        <v>2961</v>
      </c>
      <c r="M44" t="str">
        <f t="shared" si="0"/>
        <v>D23</v>
      </c>
      <c r="N44" t="s">
        <v>3013</v>
      </c>
      <c r="O44" t="s">
        <v>2999</v>
      </c>
      <c r="P44" t="s">
        <v>3014</v>
      </c>
      <c r="R44" t="str">
        <f t="shared" si="1"/>
        <v>INSERT INTO stock (ticker, name, listing_date, sub_industry, industry, sector, status) VALUES ('ANJT', 'Austindo Nusantara Jaya Tbk.', '2013-05-08', 'D232', 'D23', 'IDXNONCYC', (SELECT id FROM attribute WHERE type = 'STOCK_STATUS' AND code = 'LISTED')) ON CONFLICT DO NOTHING;</v>
      </c>
    </row>
    <row r="45" spans="1:18" x14ac:dyDescent="0.2">
      <c r="A45" t="s">
        <v>71</v>
      </c>
      <c r="B45" t="s">
        <v>72</v>
      </c>
      <c r="C45" s="1">
        <v>35761</v>
      </c>
      <c r="D45" s="1"/>
      <c r="E45" t="s">
        <v>73</v>
      </c>
      <c r="F45" t="s">
        <v>8</v>
      </c>
      <c r="G45" t="s">
        <v>3489</v>
      </c>
      <c r="H45" t="s">
        <v>71</v>
      </c>
      <c r="I45" t="s">
        <v>72</v>
      </c>
      <c r="K45" t="s">
        <v>2778</v>
      </c>
      <c r="L45" t="s">
        <v>2779</v>
      </c>
      <c r="M45" t="str">
        <f t="shared" si="0"/>
        <v>B14</v>
      </c>
      <c r="N45" t="s">
        <v>2848</v>
      </c>
      <c r="O45" t="s">
        <v>2824</v>
      </c>
      <c r="P45" t="s">
        <v>2849</v>
      </c>
      <c r="R45" t="str">
        <f t="shared" si="1"/>
        <v>INSERT INTO stock (ticker, name, listing_date, sub_industry, industry, sector, status) VALUES ('ANTM', 'Aneka Tambang Tbk.', '1997-11-27', 'B146', 'B14', 'IDXBASIC', (SELECT id FROM attribute WHERE type = 'STOCK_STATUS' AND code = 'LISTED')) ON CONFLICT DO NOTHING;</v>
      </c>
    </row>
    <row r="46" spans="1:18" x14ac:dyDescent="0.2">
      <c r="A46" t="s">
        <v>74</v>
      </c>
      <c r="B46" t="s">
        <v>75</v>
      </c>
      <c r="C46" s="1">
        <v>41430</v>
      </c>
      <c r="D46" s="1"/>
      <c r="E46" t="s">
        <v>76</v>
      </c>
      <c r="F46" t="s">
        <v>28</v>
      </c>
      <c r="G46" t="s">
        <v>3489</v>
      </c>
      <c r="H46" t="s">
        <v>74</v>
      </c>
      <c r="I46" t="s">
        <v>2758</v>
      </c>
      <c r="K46" t="s">
        <v>2701</v>
      </c>
      <c r="L46" t="s">
        <v>2702</v>
      </c>
      <c r="M46" t="str">
        <f t="shared" si="0"/>
        <v>A13</v>
      </c>
      <c r="N46" t="s">
        <v>2759</v>
      </c>
      <c r="O46" t="s">
        <v>2760</v>
      </c>
      <c r="P46" t="s">
        <v>2761</v>
      </c>
      <c r="R46" t="str">
        <f t="shared" si="1"/>
        <v>INSERT INTO stock (ticker, name, listing_date, sub_industry, industry, sector, status) VALUES ('APEX', 'Apexindo Pratama Duta Tbk.', '2013-06-05', 'A131', 'A13', 'IDXENERGY', (SELECT id FROM attribute WHERE type = 'STOCK_STATUS' AND code = 'LISTED')) ON CONFLICT DO NOTHING;</v>
      </c>
    </row>
    <row r="47" spans="1:18" x14ac:dyDescent="0.2">
      <c r="A47" t="s">
        <v>77</v>
      </c>
      <c r="B47" t="s">
        <v>3507</v>
      </c>
      <c r="C47" s="1">
        <v>37608</v>
      </c>
      <c r="D47" s="1"/>
      <c r="E47" t="s">
        <v>78</v>
      </c>
      <c r="F47" t="s">
        <v>28</v>
      </c>
      <c r="G47" t="s">
        <v>3489</v>
      </c>
      <c r="H47" t="s">
        <v>77</v>
      </c>
      <c r="I47" t="s">
        <v>3288</v>
      </c>
      <c r="K47" t="s">
        <v>3224</v>
      </c>
      <c r="L47" t="s">
        <v>3289</v>
      </c>
      <c r="M47" t="str">
        <f t="shared" si="0"/>
        <v>G51</v>
      </c>
      <c r="N47" t="s">
        <v>3290</v>
      </c>
      <c r="O47" t="s">
        <v>3289</v>
      </c>
      <c r="P47" t="s">
        <v>3291</v>
      </c>
      <c r="R47" t="str">
        <f t="shared" si="1"/>
        <v>INSERT INTO stock (ticker, name, listing_date, sub_industry, industry, sector, status) VALUES ('APIC', 'Pacific Strategic Financial Tbk.', '2002-12-18', 'G511', 'G51', 'IDXFINANCE', (SELECT id FROM attribute WHERE type = 'STOCK_STATUS' AND code = 'LISTED')) ON CONFLICT DO NOTHING;</v>
      </c>
    </row>
    <row r="48" spans="1:18" x14ac:dyDescent="0.2">
      <c r="A48" t="s">
        <v>79</v>
      </c>
      <c r="B48" t="s">
        <v>80</v>
      </c>
      <c r="C48" s="1">
        <v>41576</v>
      </c>
      <c r="D48" s="1"/>
      <c r="E48" t="s">
        <v>81</v>
      </c>
      <c r="F48" t="s">
        <v>28</v>
      </c>
      <c r="G48" t="s">
        <v>3489</v>
      </c>
      <c r="H48" t="s">
        <v>79</v>
      </c>
      <c r="I48" t="s">
        <v>80</v>
      </c>
      <c r="K48" t="s">
        <v>2874</v>
      </c>
      <c r="L48" t="s">
        <v>2875</v>
      </c>
      <c r="M48" t="str">
        <f t="shared" si="0"/>
        <v>C14</v>
      </c>
      <c r="N48" t="s">
        <v>2907</v>
      </c>
      <c r="O48" t="s">
        <v>2899</v>
      </c>
      <c r="P48" t="s">
        <v>2908</v>
      </c>
      <c r="R48" t="str">
        <f t="shared" si="1"/>
        <v>INSERT INTO stock (ticker, name, listing_date, sub_industry, industry, sector, status) VALUES ('APII', 'Arita Prima Indonesia Tbk.', '2013-10-29', 'C143', 'C14', 'IDXINDUST', (SELECT id FROM attribute WHERE type = 'STOCK_STATUS' AND code = 'LISTED')) ON CONFLICT DO NOTHING;</v>
      </c>
    </row>
    <row r="49" spans="1:18" x14ac:dyDescent="0.2">
      <c r="A49" t="s">
        <v>82</v>
      </c>
      <c r="B49" t="s">
        <v>83</v>
      </c>
      <c r="C49" s="1">
        <v>36647</v>
      </c>
      <c r="D49" s="1"/>
      <c r="E49" t="s">
        <v>84</v>
      </c>
      <c r="F49" t="s">
        <v>28</v>
      </c>
      <c r="G49" t="s">
        <v>3489</v>
      </c>
      <c r="H49" t="s">
        <v>82</v>
      </c>
      <c r="I49" t="s">
        <v>2794</v>
      </c>
      <c r="K49" t="s">
        <v>2778</v>
      </c>
      <c r="L49" t="s">
        <v>2779</v>
      </c>
      <c r="M49" t="str">
        <f t="shared" si="0"/>
        <v>B11</v>
      </c>
      <c r="N49" t="s">
        <v>2792</v>
      </c>
      <c r="O49" t="s">
        <v>2781</v>
      </c>
      <c r="P49" t="s">
        <v>2793</v>
      </c>
      <c r="R49" t="str">
        <f t="shared" si="1"/>
        <v>INSERT INTO stock (ticker, name, listing_date, sub_industry, industry, sector, status) VALUES ('APLI', 'Asiaplast Industries Tbk.', '2000-05-01', 'B113', 'B11', 'IDXBASIC', (SELECT id FROM attribute WHERE type = 'STOCK_STATUS' AND code = 'LISTED')) ON CONFLICT DO NOTHING;</v>
      </c>
    </row>
    <row r="50" spans="1:18" x14ac:dyDescent="0.2">
      <c r="A50" t="s">
        <v>85</v>
      </c>
      <c r="B50" t="s">
        <v>86</v>
      </c>
      <c r="C50" s="1">
        <v>40493</v>
      </c>
      <c r="D50" s="1"/>
      <c r="E50" t="s">
        <v>87</v>
      </c>
      <c r="F50" t="s">
        <v>8</v>
      </c>
      <c r="G50" t="s">
        <v>3489</v>
      </c>
      <c r="H50" t="s">
        <v>85</v>
      </c>
      <c r="I50" t="s">
        <v>3312</v>
      </c>
      <c r="K50" t="s">
        <v>3306</v>
      </c>
      <c r="L50" t="s">
        <v>3307</v>
      </c>
      <c r="M50" t="str">
        <f t="shared" si="0"/>
        <v>H11</v>
      </c>
      <c r="N50" t="s">
        <v>3308</v>
      </c>
      <c r="O50" t="s">
        <v>3309</v>
      </c>
      <c r="P50" t="s">
        <v>3310</v>
      </c>
      <c r="R50" t="str">
        <f t="shared" si="1"/>
        <v>INSERT INTO stock (ticker, name, listing_date, sub_industry, industry, sector, status) VALUES ('APLN', 'Agung Podomoro Land Tbk.', '2010-11-11', 'H111', 'H11', 'IDXPROPERT', (SELECT id FROM attribute WHERE type = 'STOCK_STATUS' AND code = 'LISTED')) ON CONFLICT DO NOTHING;</v>
      </c>
    </row>
    <row r="51" spans="1:18" x14ac:dyDescent="0.2">
      <c r="A51" t="s">
        <v>1960</v>
      </c>
      <c r="B51" t="s">
        <v>1961</v>
      </c>
      <c r="C51" s="1">
        <v>44375</v>
      </c>
      <c r="D51" s="1"/>
      <c r="E51" t="s">
        <v>1962</v>
      </c>
      <c r="F51" t="s">
        <v>28</v>
      </c>
      <c r="G51" t="s">
        <v>3489</v>
      </c>
      <c r="H51" t="s">
        <v>1960</v>
      </c>
      <c r="I51" t="s">
        <v>2833</v>
      </c>
      <c r="K51" t="s">
        <v>2778</v>
      </c>
      <c r="L51" t="s">
        <v>2779</v>
      </c>
      <c r="M51" t="str">
        <f t="shared" si="0"/>
        <v>B14</v>
      </c>
      <c r="N51" t="s">
        <v>2834</v>
      </c>
      <c r="O51" t="s">
        <v>2824</v>
      </c>
      <c r="P51" t="s">
        <v>2835</v>
      </c>
      <c r="R51" t="str">
        <f t="shared" si="1"/>
        <v>INSERT INTO stock (ticker, name, listing_date, sub_industry, industry, sector, status) VALUES ('ARCI', 'Archi Indonesia Tbk.', '2021-06-28', 'B143', 'B14', 'IDXBASIC', (SELECT id FROM attribute WHERE type = 'STOCK_STATUS' AND code = 'LISTED')) ON CONFLICT DO NOTHING;</v>
      </c>
    </row>
    <row r="52" spans="1:18" x14ac:dyDescent="0.2">
      <c r="A52" t="s">
        <v>2450</v>
      </c>
      <c r="B52" t="s">
        <v>2451</v>
      </c>
      <c r="C52" s="1">
        <v>45383</v>
      </c>
      <c r="D52" s="1"/>
      <c r="E52" t="s">
        <v>2452</v>
      </c>
      <c r="F52" t="s">
        <v>28</v>
      </c>
      <c r="G52" t="s">
        <v>3489</v>
      </c>
      <c r="H52" t="s">
        <v>2450</v>
      </c>
      <c r="I52" t="s">
        <v>3706</v>
      </c>
      <c r="K52" t="s">
        <v>3381</v>
      </c>
      <c r="L52" t="s">
        <v>3382</v>
      </c>
      <c r="M52" t="str">
        <f t="shared" si="0"/>
        <v>I12</v>
      </c>
      <c r="N52" t="s">
        <v>3393</v>
      </c>
      <c r="O52" t="s">
        <v>3394</v>
      </c>
      <c r="P52" t="s">
        <v>3394</v>
      </c>
      <c r="R52" t="str">
        <f t="shared" si="1"/>
        <v>INSERT INTO stock (ticker, name, listing_date, sub_industry, industry, sector, status) VALUES ('AREA', 'Dunia Virtual Online Tbk.', '2024-04-01', 'I121', 'I12', 'IDXTECHNO', (SELECT id FROM attribute WHERE type = 'STOCK_STATUS' AND code = 'LISTED')) ON CONFLICT DO NOTHING;</v>
      </c>
    </row>
    <row r="53" spans="1:18" x14ac:dyDescent="0.2">
      <c r="A53" t="s">
        <v>88</v>
      </c>
      <c r="B53" t="s">
        <v>3508</v>
      </c>
      <c r="C53" s="1">
        <v>33245</v>
      </c>
      <c r="D53" s="1"/>
      <c r="E53" t="s">
        <v>90</v>
      </c>
      <c r="F53" t="s">
        <v>28</v>
      </c>
      <c r="G53" t="s">
        <v>3489</v>
      </c>
      <c r="H53" t="s">
        <v>88</v>
      </c>
      <c r="I53" t="s">
        <v>89</v>
      </c>
      <c r="K53" t="s">
        <v>3039</v>
      </c>
      <c r="L53" t="s">
        <v>3077</v>
      </c>
      <c r="M53" t="str">
        <f t="shared" si="0"/>
        <v>E41</v>
      </c>
      <c r="N53" t="s">
        <v>3088</v>
      </c>
      <c r="O53" t="s">
        <v>3077</v>
      </c>
      <c r="P53" t="s">
        <v>3089</v>
      </c>
      <c r="R53" t="str">
        <f t="shared" si="1"/>
        <v>INSERT INTO stock (ticker, name, listing_date, sub_industry, industry, sector, status) VALUES ('ARGO', 'Argo Pantes Tbk.', '1991-01-07', 'E413', 'E41', 'IDXCYCLIC', (SELECT id FROM attribute WHERE type = 'STOCK_STATUS' AND code = 'LISTED')) ON CONFLICT DO NOTHING;</v>
      </c>
    </row>
    <row r="54" spans="1:18" x14ac:dyDescent="0.2">
      <c r="A54" t="s">
        <v>91</v>
      </c>
      <c r="B54" t="s">
        <v>92</v>
      </c>
      <c r="C54" s="1">
        <v>40855</v>
      </c>
      <c r="D54" s="1"/>
      <c r="E54" t="s">
        <v>93</v>
      </c>
      <c r="F54" t="s">
        <v>28</v>
      </c>
      <c r="G54" t="s">
        <v>3489</v>
      </c>
      <c r="H54" t="s">
        <v>91</v>
      </c>
      <c r="I54" t="s">
        <v>2727</v>
      </c>
      <c r="K54" t="s">
        <v>2701</v>
      </c>
      <c r="L54" t="s">
        <v>2702</v>
      </c>
      <c r="M54" t="str">
        <f t="shared" si="0"/>
        <v>A12</v>
      </c>
      <c r="N54" t="s">
        <v>2723</v>
      </c>
      <c r="O54" t="s">
        <v>2724</v>
      </c>
      <c r="P54" t="s">
        <v>2725</v>
      </c>
      <c r="R54" t="str">
        <f t="shared" si="1"/>
        <v>INSERT INTO stock (ticker, name, listing_date, sub_industry, industry, sector, status) VALUES ('ARII', 'Atlas Resources Tbk.', '2011-11-08', 'A121', 'A12', 'IDXENERGY', (SELECT id FROM attribute WHERE type = 'STOCK_STATUS' AND code = 'LISTED')) ON CONFLICT DO NOTHING;</v>
      </c>
    </row>
    <row r="55" spans="1:18" x14ac:dyDescent="0.2">
      <c r="A55" t="s">
        <v>1720</v>
      </c>
      <c r="B55" t="s">
        <v>1721</v>
      </c>
      <c r="C55" s="1">
        <v>43656</v>
      </c>
      <c r="D55" s="1"/>
      <c r="E55" t="s">
        <v>1722</v>
      </c>
      <c r="F55" t="s">
        <v>12</v>
      </c>
      <c r="G55" t="s">
        <v>3489</v>
      </c>
      <c r="H55" t="s">
        <v>1720</v>
      </c>
      <c r="I55" t="s">
        <v>1721</v>
      </c>
      <c r="K55" t="s">
        <v>2874</v>
      </c>
      <c r="L55" t="s">
        <v>2875</v>
      </c>
      <c r="M55" t="str">
        <f t="shared" si="0"/>
        <v>C14</v>
      </c>
      <c r="N55" t="s">
        <v>2907</v>
      </c>
      <c r="O55" t="s">
        <v>2899</v>
      </c>
      <c r="P55" t="s">
        <v>2908</v>
      </c>
      <c r="R55" t="str">
        <f t="shared" si="1"/>
        <v>INSERT INTO stock (ticker, name, listing_date, sub_industry, industry, sector, status) VALUES ('ARKA', 'Arkha Jayanti Persada Tbk.', '2019-07-10', 'C143', 'C14', 'IDXINDUST', (SELECT id FROM attribute WHERE type = 'STOCK_STATUS' AND code = 'LISTED')) ON CONFLICT DO NOTHING;</v>
      </c>
    </row>
    <row r="56" spans="1:18" x14ac:dyDescent="0.2">
      <c r="A56" t="s">
        <v>2120</v>
      </c>
      <c r="B56" t="s">
        <v>2121</v>
      </c>
      <c r="C56" s="1">
        <v>44750</v>
      </c>
      <c r="D56" s="1"/>
      <c r="E56" t="s">
        <v>2122</v>
      </c>
      <c r="F56" t="s">
        <v>28</v>
      </c>
      <c r="G56" t="s">
        <v>3489</v>
      </c>
      <c r="H56" t="s">
        <v>2120</v>
      </c>
      <c r="I56" t="s">
        <v>2121</v>
      </c>
      <c r="K56" t="s">
        <v>3418</v>
      </c>
      <c r="L56" t="s">
        <v>3458</v>
      </c>
      <c r="M56" t="str">
        <f t="shared" si="0"/>
        <v>J41</v>
      </c>
      <c r="N56" t="s">
        <v>3459</v>
      </c>
      <c r="O56" t="s">
        <v>3460</v>
      </c>
      <c r="P56" t="s">
        <v>3460</v>
      </c>
      <c r="R56" t="str">
        <f t="shared" si="1"/>
        <v>INSERT INTO stock (ticker, name, listing_date, sub_industry, industry, sector, status) VALUES ('ARKO', 'Arkora Hydro Tbk.', '2022-07-08', 'J411', 'J41', 'IDXINFRA', (SELECT id FROM attribute WHERE type = 'STOCK_STATUS' AND code = 'LISTED')) ON CONFLICT DO NOTHING;</v>
      </c>
    </row>
    <row r="57" spans="1:18" x14ac:dyDescent="0.2">
      <c r="A57" t="s">
        <v>1419</v>
      </c>
      <c r="B57" t="s">
        <v>1420</v>
      </c>
      <c r="C57" s="1">
        <v>42907</v>
      </c>
      <c r="D57" s="1"/>
      <c r="E57" t="s">
        <v>1421</v>
      </c>
      <c r="F57" t="s">
        <v>12</v>
      </c>
      <c r="G57" t="s">
        <v>3489</v>
      </c>
      <c r="H57" t="s">
        <v>1419</v>
      </c>
      <c r="I57" t="s">
        <v>3313</v>
      </c>
      <c r="K57" t="s">
        <v>3306</v>
      </c>
      <c r="L57" t="s">
        <v>3307</v>
      </c>
      <c r="M57" t="str">
        <f t="shared" si="0"/>
        <v>H11</v>
      </c>
      <c r="N57" t="s">
        <v>3308</v>
      </c>
      <c r="O57" t="s">
        <v>3309</v>
      </c>
      <c r="P57" t="s">
        <v>3310</v>
      </c>
      <c r="R57" t="str">
        <f t="shared" si="1"/>
        <v>INSERT INTO stock (ticker, name, listing_date, sub_industry, industry, sector, status) VALUES ('ARMY', 'Armidian Karyatama Tbk.', '2017-06-21', 'H111', 'H11', 'IDXPROPERT', (SELECT id FROM attribute WHERE type = 'STOCK_STATUS' AND code = 'LISTED')) ON CONFLICT DO NOTHING;</v>
      </c>
    </row>
    <row r="58" spans="1:18" x14ac:dyDescent="0.2">
      <c r="A58" t="s">
        <v>94</v>
      </c>
      <c r="B58" t="s">
        <v>95</v>
      </c>
      <c r="C58" s="1">
        <v>37089</v>
      </c>
      <c r="D58" s="1"/>
      <c r="E58" t="s">
        <v>96</v>
      </c>
      <c r="F58" t="s">
        <v>8</v>
      </c>
      <c r="G58" t="s">
        <v>3489</v>
      </c>
      <c r="H58" t="s">
        <v>94</v>
      </c>
      <c r="I58" t="s">
        <v>2878</v>
      </c>
      <c r="K58" t="s">
        <v>2874</v>
      </c>
      <c r="L58" t="s">
        <v>2875</v>
      </c>
      <c r="M58" t="str">
        <f t="shared" si="0"/>
        <v>C12</v>
      </c>
      <c r="N58" t="s">
        <v>2876</v>
      </c>
      <c r="O58" t="s">
        <v>2877</v>
      </c>
      <c r="P58" t="s">
        <v>2877</v>
      </c>
      <c r="R58" t="str">
        <f t="shared" si="1"/>
        <v>INSERT INTO stock (ticker, name, listing_date, sub_industry, industry, sector, status) VALUES ('ARNA', 'Arwana Citramulia Tbk.', '2001-07-17', 'C121', 'C12', 'IDXINDUST', (SELECT id FROM attribute WHERE type = 'STOCK_STATUS' AND code = 'LISTED')) ON CONFLICT DO NOTHING;</v>
      </c>
    </row>
    <row r="59" spans="1:18" x14ac:dyDescent="0.2">
      <c r="A59" t="s">
        <v>97</v>
      </c>
      <c r="B59" t="s">
        <v>3509</v>
      </c>
      <c r="C59" s="1">
        <v>37565</v>
      </c>
      <c r="D59" s="1"/>
      <c r="E59" t="s">
        <v>99</v>
      </c>
      <c r="F59" t="s">
        <v>28</v>
      </c>
      <c r="G59" t="s">
        <v>3489</v>
      </c>
      <c r="H59" t="s">
        <v>97</v>
      </c>
      <c r="I59" t="s">
        <v>98</v>
      </c>
      <c r="K59" t="s">
        <v>3039</v>
      </c>
      <c r="L59" t="s">
        <v>3092</v>
      </c>
      <c r="M59" t="str">
        <f t="shared" si="0"/>
        <v>E51</v>
      </c>
      <c r="N59" t="s">
        <v>3093</v>
      </c>
      <c r="O59" t="s">
        <v>3094</v>
      </c>
      <c r="P59" t="s">
        <v>3095</v>
      </c>
      <c r="R59" t="str">
        <f t="shared" si="1"/>
        <v>INSERT INTO stock (ticker, name, listing_date, sub_industry, industry, sector, status) VALUES ('ARTA', 'Arthavest Tbk.', '2002-11-05', 'E512', 'E51', 'IDXCYCLIC', (SELECT id FROM attribute WHERE type = 'STOCK_STATUS' AND code = 'LISTED')) ON CONFLICT DO NOTHING;</v>
      </c>
    </row>
    <row r="60" spans="1:18" x14ac:dyDescent="0.2">
      <c r="A60" t="s">
        <v>100</v>
      </c>
      <c r="B60" t="s">
        <v>3510</v>
      </c>
      <c r="C60" s="1">
        <v>37741</v>
      </c>
      <c r="D60" s="1"/>
      <c r="E60" t="s">
        <v>102</v>
      </c>
      <c r="F60" t="s">
        <v>12</v>
      </c>
      <c r="G60" t="s">
        <v>3489</v>
      </c>
      <c r="H60" t="s">
        <v>100</v>
      </c>
      <c r="I60" t="s">
        <v>101</v>
      </c>
      <c r="K60" t="s">
        <v>2701</v>
      </c>
      <c r="L60" t="s">
        <v>2702</v>
      </c>
      <c r="M60" t="str">
        <f t="shared" si="0"/>
        <v>A13</v>
      </c>
      <c r="N60" t="s">
        <v>2763</v>
      </c>
      <c r="O60" t="s">
        <v>2760</v>
      </c>
      <c r="P60" t="s">
        <v>2764</v>
      </c>
      <c r="R60" t="str">
        <f t="shared" si="1"/>
        <v>INSERT INTO stock (ticker, name, listing_date, sub_industry, industry, sector, status) VALUES ('ARTI', 'Ratu Prabu Energi Tbk.', '2003-04-30', 'A132', 'A13', 'IDXENERGY', (SELECT id FROM attribute WHERE type = 'STOCK_STATUS' AND code = 'LISTED')) ON CONFLICT DO NOTHING;</v>
      </c>
    </row>
    <row r="61" spans="1:18" x14ac:dyDescent="0.2">
      <c r="A61" t="s">
        <v>103</v>
      </c>
      <c r="B61" t="s">
        <v>104</v>
      </c>
      <c r="C61" s="1">
        <v>42381</v>
      </c>
      <c r="D61" s="1"/>
      <c r="E61" t="s">
        <v>105</v>
      </c>
      <c r="F61" t="s">
        <v>8</v>
      </c>
      <c r="G61" t="s">
        <v>3489</v>
      </c>
      <c r="H61" t="s">
        <v>103</v>
      </c>
      <c r="I61" t="s">
        <v>104</v>
      </c>
      <c r="K61" t="s">
        <v>3224</v>
      </c>
      <c r="L61" t="s">
        <v>3225</v>
      </c>
      <c r="M61" t="str">
        <f t="shared" si="0"/>
        <v>G11</v>
      </c>
      <c r="N61" t="s">
        <v>3226</v>
      </c>
      <c r="O61" t="s">
        <v>3225</v>
      </c>
      <c r="P61" t="s">
        <v>3225</v>
      </c>
      <c r="R61" t="str">
        <f t="shared" si="1"/>
        <v>INSERT INTO stock (ticker, name, listing_date, sub_industry, industry, sector, status) VALUES ('ARTO', 'Bank Jago Tbk.', '2016-01-12', 'G111', 'G11', 'IDXFINANCE', (SELECT id FROM attribute WHERE type = 'STOCK_STATUS' AND code = 'LISTED')) ON CONFLICT DO NOTHING;</v>
      </c>
    </row>
    <row r="62" spans="1:18" x14ac:dyDescent="0.2">
      <c r="A62" t="s">
        <v>106</v>
      </c>
      <c r="B62" t="s">
        <v>107</v>
      </c>
      <c r="C62" s="1">
        <v>32841</v>
      </c>
      <c r="D62" s="1"/>
      <c r="E62" t="s">
        <v>108</v>
      </c>
      <c r="F62" t="s">
        <v>28</v>
      </c>
      <c r="G62" t="s">
        <v>3489</v>
      </c>
      <c r="H62" t="s">
        <v>106</v>
      </c>
      <c r="I62" t="s">
        <v>3269</v>
      </c>
      <c r="K62" t="s">
        <v>3224</v>
      </c>
      <c r="L62" t="s">
        <v>3264</v>
      </c>
      <c r="M62" t="str">
        <f t="shared" si="0"/>
        <v>G41</v>
      </c>
      <c r="N62" t="s">
        <v>3265</v>
      </c>
      <c r="O62" t="s">
        <v>3264</v>
      </c>
      <c r="P62" t="s">
        <v>3266</v>
      </c>
      <c r="R62" t="str">
        <f t="shared" si="1"/>
        <v>INSERT INTO stock (ticker, name, listing_date, sub_industry, industry, sector, status) VALUES ('ASBI', 'Asuransi Bintang Tbk.', '1989-11-29', 'G412', 'G41', 'IDXFINANCE', (SELECT id FROM attribute WHERE type = 'STOCK_STATUS' AND code = 'LISTED')) ON CONFLICT DO NOTHING;</v>
      </c>
    </row>
    <row r="63" spans="1:18" x14ac:dyDescent="0.2">
      <c r="A63" t="s">
        <v>109</v>
      </c>
      <c r="B63" t="s">
        <v>110</v>
      </c>
      <c r="C63" s="1">
        <v>32857</v>
      </c>
      <c r="D63" s="1"/>
      <c r="E63" t="s">
        <v>111</v>
      </c>
      <c r="F63" t="s">
        <v>28</v>
      </c>
      <c r="G63" t="s">
        <v>3489</v>
      </c>
      <c r="H63" t="s">
        <v>109</v>
      </c>
      <c r="I63" t="s">
        <v>3270</v>
      </c>
      <c r="K63" t="s">
        <v>3224</v>
      </c>
      <c r="L63" t="s">
        <v>3264</v>
      </c>
      <c r="M63" t="str">
        <f t="shared" si="0"/>
        <v>G41</v>
      </c>
      <c r="N63" t="s">
        <v>3265</v>
      </c>
      <c r="O63" t="s">
        <v>3264</v>
      </c>
      <c r="P63" t="s">
        <v>3266</v>
      </c>
      <c r="R63" t="str">
        <f t="shared" si="1"/>
        <v>INSERT INTO stock (ticker, name, listing_date, sub_industry, industry, sector, status) VALUES ('ASDM', 'Asuransi Dayin Mitra Tbk.', '1989-12-15', 'G412', 'G41', 'IDXFINANCE', (SELECT id FROM attribute WHERE type = 'STOCK_STATUS' AND code = 'LISTED')) ON CONFLICT DO NOTHING;</v>
      </c>
    </row>
    <row r="64" spans="1:18" x14ac:dyDescent="0.2">
      <c r="A64" t="s">
        <v>112</v>
      </c>
      <c r="B64" t="s">
        <v>113</v>
      </c>
      <c r="C64" s="1">
        <v>32827</v>
      </c>
      <c r="D64" s="1"/>
      <c r="E64" t="s">
        <v>114</v>
      </c>
      <c r="F64" t="s">
        <v>8</v>
      </c>
      <c r="G64" t="s">
        <v>3489</v>
      </c>
      <c r="H64" t="s">
        <v>112</v>
      </c>
      <c r="I64" t="s">
        <v>2926</v>
      </c>
      <c r="K64" t="s">
        <v>2874</v>
      </c>
      <c r="L64" t="s">
        <v>2910</v>
      </c>
      <c r="M64" t="str">
        <f t="shared" si="0"/>
        <v>C22</v>
      </c>
      <c r="N64" t="s">
        <v>2927</v>
      </c>
      <c r="O64" t="s">
        <v>2916</v>
      </c>
      <c r="P64" t="s">
        <v>2928</v>
      </c>
      <c r="R64" t="str">
        <f t="shared" si="1"/>
        <v>INSERT INTO stock (ticker, name, listing_date, sub_industry, industry, sector, status) VALUES ('ASGR', 'Astra Graphia Tbk.', '1989-11-15', 'C224', 'C22', 'IDXINDUST', (SELECT id FROM attribute WHERE type = 'STOCK_STATUS' AND code = 'LISTED')) ON CONFLICT DO NOTHING;</v>
      </c>
    </row>
    <row r="65" spans="1:18" x14ac:dyDescent="0.2">
      <c r="A65" t="s">
        <v>2114</v>
      </c>
      <c r="B65" t="s">
        <v>3511</v>
      </c>
      <c r="C65" s="1">
        <v>44708</v>
      </c>
      <c r="D65" s="1"/>
      <c r="E65" t="s">
        <v>722</v>
      </c>
      <c r="F65" t="s">
        <v>28</v>
      </c>
      <c r="G65" t="s">
        <v>3489</v>
      </c>
      <c r="H65" t="s">
        <v>2114</v>
      </c>
      <c r="I65" t="s">
        <v>3001</v>
      </c>
      <c r="K65" t="s">
        <v>2945</v>
      </c>
      <c r="L65" t="s">
        <v>2961</v>
      </c>
      <c r="M65" t="str">
        <f t="shared" si="0"/>
        <v>D23</v>
      </c>
      <c r="N65" t="s">
        <v>2998</v>
      </c>
      <c r="O65" t="s">
        <v>2999</v>
      </c>
      <c r="P65" t="s">
        <v>3000</v>
      </c>
      <c r="R65" t="str">
        <f t="shared" si="1"/>
        <v>INSERT INTO stock (ticker, name, listing_date, sub_industry, industry, sector, status) VALUES ('ASHA', 'Cilacap Samudera Fishing Industry Tbk.', '2022-05-27', 'D231', 'D23', 'IDXNONCYC', (SELECT id FROM attribute WHERE type = 'STOCK_STATUS' AND code = 'LISTED')) ON CONFLICT DO NOTHING;</v>
      </c>
    </row>
    <row r="66" spans="1:18" x14ac:dyDescent="0.2">
      <c r="A66" t="s">
        <v>115</v>
      </c>
      <c r="B66" t="s">
        <v>116</v>
      </c>
      <c r="C66" s="1">
        <v>32967</v>
      </c>
      <c r="D66" s="1"/>
      <c r="E66" t="s">
        <v>117</v>
      </c>
      <c r="F66" t="s">
        <v>8</v>
      </c>
      <c r="G66" t="s">
        <v>3489</v>
      </c>
      <c r="H66" t="s">
        <v>115</v>
      </c>
      <c r="I66" t="s">
        <v>2941</v>
      </c>
      <c r="K66" t="s">
        <v>2874</v>
      </c>
      <c r="L66" t="s">
        <v>2939</v>
      </c>
      <c r="M66" t="str">
        <f t="shared" ref="M66:M129" si="2">LEFT(N66, 3)</f>
        <v>C31</v>
      </c>
      <c r="N66" t="s">
        <v>2940</v>
      </c>
      <c r="O66" t="s">
        <v>2939</v>
      </c>
      <c r="P66" t="s">
        <v>2939</v>
      </c>
      <c r="R66" t="str">
        <f t="shared" si="1"/>
        <v>INSERT INTO stock (ticker, name, listing_date, sub_industry, industry, sector, status) VALUES ('ASII', 'Astra International Tbk.', '1990-04-04', 'C311', 'C31', 'IDXINDUST', (SELECT id FROM attribute WHERE type = 'STOCK_STATUS' AND code = 'LISTED')) ON CONFLICT DO NOTHING;</v>
      </c>
    </row>
    <row r="67" spans="1:18" x14ac:dyDescent="0.2">
      <c r="A67" t="s">
        <v>118</v>
      </c>
      <c r="B67" t="s">
        <v>119</v>
      </c>
      <c r="C67" s="1">
        <v>37978</v>
      </c>
      <c r="D67" s="1"/>
      <c r="E67" t="s">
        <v>120</v>
      </c>
      <c r="F67" t="s">
        <v>28</v>
      </c>
      <c r="G67" t="s">
        <v>3489</v>
      </c>
      <c r="H67" t="s">
        <v>118</v>
      </c>
      <c r="I67" t="s">
        <v>3271</v>
      </c>
      <c r="K67" t="s">
        <v>3224</v>
      </c>
      <c r="L67" t="s">
        <v>3264</v>
      </c>
      <c r="M67" t="str">
        <f t="shared" si="2"/>
        <v>G41</v>
      </c>
      <c r="N67" t="s">
        <v>3265</v>
      </c>
      <c r="O67" t="s">
        <v>3264</v>
      </c>
      <c r="P67" t="s">
        <v>3266</v>
      </c>
      <c r="R67" t="str">
        <f t="shared" ref="R67:R130" si="3">CONCATENATE($R$1, A67, "', '", B67, "', '", TEXT(C67, "YYYY-MM-DD"), "', '", N67, "', '", M67, "', '", K67, "', ", $S$1, ") ON CONFLICT DO NOTHING;")</f>
        <v>INSERT INTO stock (ticker, name, listing_date, sub_industry, industry, sector, status) VALUES ('ASJT', 'Asuransi Jasa Tania Tbk.', '2003-12-23', 'G412', 'G41', 'IDXFINANCE', (SELECT id FROM attribute WHERE type = 'STOCK_STATUS' AND code = 'LISTED')) ON CONFLICT DO NOTHING;</v>
      </c>
    </row>
    <row r="68" spans="1:18" x14ac:dyDescent="0.2">
      <c r="A68" t="s">
        <v>2065</v>
      </c>
      <c r="B68" t="s">
        <v>2066</v>
      </c>
      <c r="C68" s="1">
        <v>44586</v>
      </c>
      <c r="D68" s="1"/>
      <c r="E68" t="s">
        <v>2067</v>
      </c>
      <c r="F68" t="s">
        <v>28</v>
      </c>
      <c r="G68" t="s">
        <v>3489</v>
      </c>
      <c r="H68" t="s">
        <v>2065</v>
      </c>
      <c r="I68" t="s">
        <v>3195</v>
      </c>
      <c r="K68" t="s">
        <v>3039</v>
      </c>
      <c r="L68" t="s">
        <v>3168</v>
      </c>
      <c r="M68" t="str">
        <f t="shared" si="2"/>
        <v>E74</v>
      </c>
      <c r="N68" t="s">
        <v>3196</v>
      </c>
      <c r="O68" t="s">
        <v>3177</v>
      </c>
      <c r="P68" t="s">
        <v>3197</v>
      </c>
      <c r="R68" t="str">
        <f t="shared" si="3"/>
        <v>INSERT INTO stock (ticker, name, listing_date, sub_industry, industry, sector, status) VALUES ('ASLC', 'Autopedia Sukses Lestari Tbk.', '2022-01-25', 'E745', 'E74', 'IDXCYCLIC', (SELECT id FROM attribute WHERE type = 'STOCK_STATUS' AND code = 'LISTED')) ON CONFLICT DO NOTHING;</v>
      </c>
    </row>
    <row r="69" spans="1:18" x14ac:dyDescent="0.2">
      <c r="A69" t="s">
        <v>2415</v>
      </c>
      <c r="B69" t="s">
        <v>2416</v>
      </c>
      <c r="C69" s="1">
        <v>45296</v>
      </c>
      <c r="D69" s="1"/>
      <c r="E69" t="s">
        <v>2175</v>
      </c>
      <c r="F69" t="s">
        <v>28</v>
      </c>
      <c r="G69" t="s">
        <v>3489</v>
      </c>
      <c r="H69" t="s">
        <v>2415</v>
      </c>
      <c r="I69" t="s">
        <v>2416</v>
      </c>
      <c r="K69" t="s">
        <v>3418</v>
      </c>
      <c r="L69" t="s">
        <v>3432</v>
      </c>
      <c r="M69" t="str">
        <f t="shared" si="2"/>
        <v>J21</v>
      </c>
      <c r="N69" t="s">
        <v>3433</v>
      </c>
      <c r="O69" t="s">
        <v>3432</v>
      </c>
      <c r="P69" t="s">
        <v>3432</v>
      </c>
      <c r="R69" t="str">
        <f t="shared" si="3"/>
        <v>INSERT INTO stock (ticker, name, listing_date, sub_industry, industry, sector, status) VALUES ('ASLI', 'Asri Karya Lestari Tbk.', '2024-01-05', 'J211', 'J21', 'IDXINFRA', (SELECT id FROM attribute WHERE type = 'STOCK_STATUS' AND code = 'LISTED')) ON CONFLICT DO NOTHING;</v>
      </c>
    </row>
    <row r="70" spans="1:18" x14ac:dyDescent="0.2">
      <c r="A70" t="s">
        <v>121</v>
      </c>
      <c r="B70" t="s">
        <v>3512</v>
      </c>
      <c r="C70" s="1">
        <v>41655</v>
      </c>
      <c r="D70" s="1"/>
      <c r="E70" t="s">
        <v>122</v>
      </c>
      <c r="F70" t="s">
        <v>12</v>
      </c>
      <c r="G70" t="s">
        <v>3489</v>
      </c>
      <c r="H70" t="s">
        <v>121</v>
      </c>
      <c r="I70" t="s">
        <v>3272</v>
      </c>
      <c r="K70" t="s">
        <v>3224</v>
      </c>
      <c r="L70" t="s">
        <v>3264</v>
      </c>
      <c r="M70" t="str">
        <f t="shared" si="2"/>
        <v>G41</v>
      </c>
      <c r="N70" t="s">
        <v>3265</v>
      </c>
      <c r="O70" t="s">
        <v>3264</v>
      </c>
      <c r="P70" t="s">
        <v>3266</v>
      </c>
      <c r="R70" t="str">
        <f t="shared" si="3"/>
        <v>INSERT INTO stock (ticker, name, listing_date, sub_industry, industry, sector, status) VALUES ('ASMI', 'Asuransi Maximus Graha Persada Tbk.', '2014-01-16', 'G412', 'G41', 'IDXFINANCE', (SELECT id FROM attribute WHERE type = 'STOCK_STATUS' AND code = 'LISTED')) ON CONFLICT DO NOTHING;</v>
      </c>
    </row>
    <row r="71" spans="1:18" x14ac:dyDescent="0.2">
      <c r="A71" t="s">
        <v>2590</v>
      </c>
      <c r="B71" t="s">
        <v>2591</v>
      </c>
      <c r="C71" s="1">
        <v>43878</v>
      </c>
      <c r="D71" s="1"/>
      <c r="E71" t="s">
        <v>2592</v>
      </c>
      <c r="F71" t="s">
        <v>28</v>
      </c>
      <c r="G71" t="s">
        <v>3489</v>
      </c>
      <c r="H71" t="s">
        <v>2590</v>
      </c>
      <c r="I71" t="s">
        <v>3314</v>
      </c>
      <c r="K71" t="s">
        <v>3306</v>
      </c>
      <c r="L71" t="s">
        <v>3307</v>
      </c>
      <c r="M71" t="str">
        <f t="shared" si="2"/>
        <v>H11</v>
      </c>
      <c r="N71" t="s">
        <v>3308</v>
      </c>
      <c r="O71" t="s">
        <v>3309</v>
      </c>
      <c r="P71" t="s">
        <v>3310</v>
      </c>
      <c r="R71" t="str">
        <f t="shared" si="3"/>
        <v>INSERT INTO stock (ticker, name, listing_date, sub_industry, industry, sector, status) VALUES ('ASPI', 'Andalan Sakti Primaindo Tbk.', '2020-02-17', 'H111', 'H11', 'IDXPROPERT', (SELECT id FROM attribute WHERE type = 'STOCK_STATUS' AND code = 'LISTED')) ON CONFLICT DO NOTHING;</v>
      </c>
    </row>
    <row r="72" spans="1:18" x14ac:dyDescent="0.2">
      <c r="A72" t="s">
        <v>2536</v>
      </c>
      <c r="B72" t="s">
        <v>2537</v>
      </c>
      <c r="C72" s="1">
        <v>45846</v>
      </c>
      <c r="D72" s="1"/>
      <c r="E72" t="s">
        <v>2538</v>
      </c>
      <c r="F72" t="s">
        <v>28</v>
      </c>
      <c r="G72" t="s">
        <v>3489</v>
      </c>
      <c r="H72" t="s">
        <v>2536</v>
      </c>
      <c r="I72" t="s">
        <v>3707</v>
      </c>
      <c r="K72" t="s">
        <v>2778</v>
      </c>
      <c r="L72" t="s">
        <v>2779</v>
      </c>
      <c r="M72" t="str">
        <f t="shared" si="2"/>
        <v>B13</v>
      </c>
      <c r="N72" t="s">
        <v>2812</v>
      </c>
      <c r="O72" t="s">
        <v>2813</v>
      </c>
      <c r="P72" t="s">
        <v>2813</v>
      </c>
      <c r="R72" t="str">
        <f t="shared" si="3"/>
        <v>INSERT INTO stock (ticker, name, listing_date, sub_industry, industry, sector, status) VALUES ('ASPR', 'Asia Pramulia Tbk.', '2025-07-08', 'B131', 'B13', 'IDXBASIC', (SELECT id FROM attribute WHERE type = 'STOCK_STATUS' AND code = 'LISTED')) ON CONFLICT DO NOTHING;</v>
      </c>
    </row>
    <row r="73" spans="1:18" x14ac:dyDescent="0.2">
      <c r="A73" t="s">
        <v>123</v>
      </c>
      <c r="B73" t="s">
        <v>124</v>
      </c>
      <c r="C73" s="1">
        <v>39434</v>
      </c>
      <c r="D73" s="1"/>
      <c r="E73" t="s">
        <v>125</v>
      </c>
      <c r="F73" t="s">
        <v>8</v>
      </c>
      <c r="G73" t="s">
        <v>3489</v>
      </c>
      <c r="H73" t="s">
        <v>123</v>
      </c>
      <c r="I73" t="s">
        <v>3315</v>
      </c>
      <c r="K73" t="s">
        <v>3306</v>
      </c>
      <c r="L73" t="s">
        <v>3307</v>
      </c>
      <c r="M73" t="str">
        <f t="shared" si="2"/>
        <v>H11</v>
      </c>
      <c r="N73" t="s">
        <v>3308</v>
      </c>
      <c r="O73" t="s">
        <v>3309</v>
      </c>
      <c r="P73" t="s">
        <v>3310</v>
      </c>
      <c r="R73" t="str">
        <f t="shared" si="3"/>
        <v>INSERT INTO stock (ticker, name, listing_date, sub_industry, industry, sector, status) VALUES ('ASRI', 'Alam Sutera Realty Tbk.', '2007-12-18', 'H111', 'H11', 'IDXPROPERT', (SELECT id FROM attribute WHERE type = 'STOCK_STATUS' AND code = 'LISTED')) ON CONFLICT DO NOTHING;</v>
      </c>
    </row>
    <row r="74" spans="1:18" x14ac:dyDescent="0.2">
      <c r="A74" t="s">
        <v>126</v>
      </c>
      <c r="B74" t="s">
        <v>127</v>
      </c>
      <c r="C74" s="1">
        <v>32951</v>
      </c>
      <c r="D74" s="1"/>
      <c r="E74" t="s">
        <v>128</v>
      </c>
      <c r="F74" t="s">
        <v>28</v>
      </c>
      <c r="G74" t="s">
        <v>3489</v>
      </c>
      <c r="H74" t="s">
        <v>126</v>
      </c>
      <c r="I74" t="s">
        <v>3273</v>
      </c>
      <c r="K74" t="s">
        <v>3224</v>
      </c>
      <c r="L74" t="s">
        <v>3264</v>
      </c>
      <c r="M74" t="str">
        <f t="shared" si="2"/>
        <v>G41</v>
      </c>
      <c r="N74" t="s">
        <v>3265</v>
      </c>
      <c r="O74" t="s">
        <v>3264</v>
      </c>
      <c r="P74" t="s">
        <v>3266</v>
      </c>
      <c r="R74" t="str">
        <f t="shared" si="3"/>
        <v>INSERT INTO stock (ticker, name, listing_date, sub_industry, industry, sector, status) VALUES ('ASRM', 'Asuransi Ramayana Tbk.', '1990-03-19', 'G412', 'G41', 'IDXFINANCE', (SELECT id FROM attribute WHERE type = 'STOCK_STATUS' AND code = 'LISTED')) ON CONFLICT DO NOTHING;</v>
      </c>
    </row>
    <row r="75" spans="1:18" x14ac:dyDescent="0.2">
      <c r="A75" t="s">
        <v>129</v>
      </c>
      <c r="B75" t="s">
        <v>130</v>
      </c>
      <c r="C75" s="1">
        <v>41225</v>
      </c>
      <c r="D75" s="1"/>
      <c r="E75" t="s">
        <v>131</v>
      </c>
      <c r="F75" t="s">
        <v>8</v>
      </c>
      <c r="G75" t="s">
        <v>3489</v>
      </c>
      <c r="H75" t="s">
        <v>129</v>
      </c>
      <c r="I75" t="s">
        <v>3476</v>
      </c>
      <c r="K75" t="s">
        <v>3470</v>
      </c>
      <c r="L75" t="s">
        <v>3471</v>
      </c>
      <c r="M75" t="str">
        <f t="shared" si="2"/>
        <v>K13</v>
      </c>
      <c r="N75" t="s">
        <v>3477</v>
      </c>
      <c r="O75" t="s">
        <v>3478</v>
      </c>
      <c r="P75" t="s">
        <v>3479</v>
      </c>
      <c r="R75" t="str">
        <f t="shared" si="3"/>
        <v>INSERT INTO stock (ticker, name, listing_date, sub_industry, industry, sector, status) VALUES ('ASSA', 'Adi Sarana Armada Tbk.', '2012-11-12', 'K132', 'K13', 'IDXTRANS', (SELECT id FROM attribute WHERE type = 'STOCK_STATUS' AND code = 'LISTED')) ON CONFLICT DO NOTHING;</v>
      </c>
    </row>
    <row r="76" spans="1:18" x14ac:dyDescent="0.2">
      <c r="A76" t="s">
        <v>1901</v>
      </c>
      <c r="B76" t="s">
        <v>1902</v>
      </c>
      <c r="C76" s="1">
        <v>44176</v>
      </c>
      <c r="D76" s="1"/>
      <c r="E76" t="s">
        <v>1837</v>
      </c>
      <c r="F76" t="s">
        <v>28</v>
      </c>
      <c r="G76" t="s">
        <v>3489</v>
      </c>
      <c r="H76" t="s">
        <v>1901</v>
      </c>
      <c r="I76" t="s">
        <v>3316</v>
      </c>
      <c r="K76" t="s">
        <v>3306</v>
      </c>
      <c r="L76" t="s">
        <v>3307</v>
      </c>
      <c r="M76" t="str">
        <f t="shared" si="2"/>
        <v>H11</v>
      </c>
      <c r="N76" t="s">
        <v>3308</v>
      </c>
      <c r="O76" t="s">
        <v>3309</v>
      </c>
      <c r="P76" t="s">
        <v>3310</v>
      </c>
      <c r="R76" t="str">
        <f t="shared" si="3"/>
        <v>INSERT INTO stock (ticker, name, listing_date, sub_industry, industry, sector, status) VALUES ('ATAP', 'Trimitra Prawara Goldland Tbk.', '2020-12-11', 'H111', 'H11', 'IDXPROPERT', (SELECT id FROM attribute WHERE type = 'STOCK_STATUS' AND code = 'LISTED')) ON CONFLICT DO NOTHING;</v>
      </c>
    </row>
    <row r="77" spans="1:18" x14ac:dyDescent="0.2">
      <c r="A77" t="s">
        <v>132</v>
      </c>
      <c r="B77" t="s">
        <v>133</v>
      </c>
      <c r="C77" s="1">
        <v>42193</v>
      </c>
      <c r="D77" s="1"/>
      <c r="E77" t="s">
        <v>134</v>
      </c>
      <c r="F77" t="s">
        <v>28</v>
      </c>
      <c r="G77" t="s">
        <v>3489</v>
      </c>
      <c r="H77" t="s">
        <v>132</v>
      </c>
      <c r="I77" t="s">
        <v>3395</v>
      </c>
      <c r="K77" t="s">
        <v>3381</v>
      </c>
      <c r="L77" t="s">
        <v>3382</v>
      </c>
      <c r="M77" t="str">
        <f t="shared" si="2"/>
        <v>I12</v>
      </c>
      <c r="N77" t="s">
        <v>3393</v>
      </c>
      <c r="O77" t="s">
        <v>3394</v>
      </c>
      <c r="P77" t="s">
        <v>3394</v>
      </c>
      <c r="R77" t="str">
        <f t="shared" si="3"/>
        <v>INSERT INTO stock (ticker, name, listing_date, sub_industry, industry, sector, status) VALUES ('ATIC', 'Anabatic Technologies Tbk.', '2015-07-08', 'I121', 'I12', 'IDXTECHNO', (SELECT id FROM attribute WHERE type = 'STOCK_STATUS' AND code = 'LISTED')) ON CONFLICT DO NOTHING;</v>
      </c>
    </row>
    <row r="78" spans="1:18" x14ac:dyDescent="0.2">
      <c r="A78" t="s">
        <v>2455</v>
      </c>
      <c r="B78" t="s">
        <v>2456</v>
      </c>
      <c r="C78" s="1">
        <v>45398</v>
      </c>
      <c r="D78" s="1"/>
      <c r="E78" t="s">
        <v>2457</v>
      </c>
      <c r="F78" t="s">
        <v>28</v>
      </c>
      <c r="G78" t="s">
        <v>3489</v>
      </c>
      <c r="H78" t="s">
        <v>2455</v>
      </c>
      <c r="I78" t="s">
        <v>3708</v>
      </c>
      <c r="K78" t="s">
        <v>2701</v>
      </c>
      <c r="L78" t="s">
        <v>2702</v>
      </c>
      <c r="M78" t="str">
        <f t="shared" si="2"/>
        <v>A13</v>
      </c>
      <c r="N78" t="s">
        <v>2763</v>
      </c>
      <c r="O78" t="s">
        <v>2760</v>
      </c>
      <c r="P78" t="s">
        <v>2764</v>
      </c>
      <c r="R78" t="str">
        <f t="shared" si="3"/>
        <v>INSERT INTO stock (ticker, name, listing_date, sub_industry, industry, sector, status) VALUES ('ATLA', 'Atlantis Subsea Indonesia Tbk.', '2024-04-16', 'A132', 'A13', 'IDXENERGY', (SELECT id FROM attribute WHERE type = 'STOCK_STATUS' AND code = 'LISTED')) ON CONFLICT DO NOTHING;</v>
      </c>
    </row>
    <row r="79" spans="1:18" x14ac:dyDescent="0.2">
      <c r="A79" t="s">
        <v>135</v>
      </c>
      <c r="B79" t="s">
        <v>136</v>
      </c>
      <c r="C79" s="1">
        <v>35961</v>
      </c>
      <c r="D79" s="1"/>
      <c r="E79" t="s">
        <v>137</v>
      </c>
      <c r="F79" t="s">
        <v>8</v>
      </c>
      <c r="G79" t="s">
        <v>3489</v>
      </c>
      <c r="H79" t="s">
        <v>135</v>
      </c>
      <c r="I79" t="s">
        <v>3044</v>
      </c>
      <c r="K79" t="s">
        <v>3039</v>
      </c>
      <c r="L79" t="s">
        <v>3040</v>
      </c>
      <c r="M79" t="str">
        <f t="shared" si="2"/>
        <v>E11</v>
      </c>
      <c r="N79" t="s">
        <v>3041</v>
      </c>
      <c r="O79" t="s">
        <v>3042</v>
      </c>
      <c r="P79" t="s">
        <v>3043</v>
      </c>
      <c r="R79" t="str">
        <f t="shared" si="3"/>
        <v>INSERT INTO stock (ticker, name, listing_date, sub_industry, industry, sector, status) VALUES ('AUTO', 'Astra Otoparts Tbk.', '1998-06-15', 'E111', 'E11', 'IDXCYCLIC', (SELECT id FROM attribute WHERE type = 'STOCK_STATUS' AND code = 'LISTED')) ON CONFLICT DO NOTHING;</v>
      </c>
    </row>
    <row r="80" spans="1:18" x14ac:dyDescent="0.2">
      <c r="A80" t="s">
        <v>2046</v>
      </c>
      <c r="B80" t="s">
        <v>2047</v>
      </c>
      <c r="C80" s="1">
        <v>44538</v>
      </c>
      <c r="D80" s="1"/>
      <c r="E80" t="s">
        <v>2048</v>
      </c>
      <c r="F80" t="s">
        <v>8</v>
      </c>
      <c r="G80" t="s">
        <v>3489</v>
      </c>
      <c r="H80" t="s">
        <v>2046</v>
      </c>
      <c r="I80" t="s">
        <v>2795</v>
      </c>
      <c r="K80" t="s">
        <v>2778</v>
      </c>
      <c r="L80" t="s">
        <v>2779</v>
      </c>
      <c r="M80" t="str">
        <f t="shared" si="2"/>
        <v>B11</v>
      </c>
      <c r="N80" t="s">
        <v>2792</v>
      </c>
      <c r="O80" t="s">
        <v>2781</v>
      </c>
      <c r="P80" t="s">
        <v>2793</v>
      </c>
      <c r="R80" t="str">
        <f t="shared" si="3"/>
        <v>INSERT INTO stock (ticker, name, listing_date, sub_industry, industry, sector, status) VALUES ('AVIA', 'Avia Avian Tbk.', '2021-12-08', 'B113', 'B11', 'IDXBASIC', (SELECT id FROM attribute WHERE type = 'STOCK_STATUS' AND code = 'LISTED')) ON CONFLICT DO NOTHING;</v>
      </c>
    </row>
    <row r="81" spans="1:18" x14ac:dyDescent="0.2">
      <c r="A81" t="s">
        <v>2613</v>
      </c>
      <c r="B81" t="s">
        <v>2614</v>
      </c>
      <c r="C81" s="1">
        <v>45034</v>
      </c>
      <c r="D81" s="1"/>
      <c r="E81" t="s">
        <v>2615</v>
      </c>
      <c r="F81" t="s">
        <v>28</v>
      </c>
      <c r="G81" t="s">
        <v>3489</v>
      </c>
      <c r="H81" t="s">
        <v>2613</v>
      </c>
      <c r="I81" t="s">
        <v>3709</v>
      </c>
      <c r="K81" t="s">
        <v>3381</v>
      </c>
      <c r="L81" t="s">
        <v>3382</v>
      </c>
      <c r="M81" t="str">
        <f t="shared" si="2"/>
        <v>I11</v>
      </c>
      <c r="N81" t="s">
        <v>3383</v>
      </c>
      <c r="O81" t="s">
        <v>3384</v>
      </c>
      <c r="P81" t="s">
        <v>3384</v>
      </c>
      <c r="R81" t="str">
        <f t="shared" si="3"/>
        <v>INSERT INTO stock (ticker, name, listing_date, sub_industry, industry, sector, status) VALUES ('AWAN', 'Era Digital Media Tbk.', '2023-04-18', 'I111', 'I11', 'IDXTECHNO', (SELECT id FROM attribute WHERE type = 'STOCK_STATUS' AND code = 'LISTED')) ON CONFLICT DO NOTHING;</v>
      </c>
    </row>
    <row r="82" spans="1:18" x14ac:dyDescent="0.2">
      <c r="A82" t="s">
        <v>2128</v>
      </c>
      <c r="B82" t="s">
        <v>2129</v>
      </c>
      <c r="C82" s="1">
        <v>44762</v>
      </c>
      <c r="D82" s="1"/>
      <c r="E82" t="s">
        <v>2130</v>
      </c>
      <c r="F82" t="s">
        <v>28</v>
      </c>
      <c r="G82" t="s">
        <v>3489</v>
      </c>
      <c r="H82" t="s">
        <v>2128</v>
      </c>
      <c r="I82" t="s">
        <v>3710</v>
      </c>
      <c r="K82" t="s">
        <v>3381</v>
      </c>
      <c r="L82" t="s">
        <v>3406</v>
      </c>
      <c r="M82" t="str">
        <f t="shared" si="2"/>
        <v>I22</v>
      </c>
      <c r="N82" t="s">
        <v>3409</v>
      </c>
      <c r="O82" t="s">
        <v>3410</v>
      </c>
      <c r="P82" t="s">
        <v>3410</v>
      </c>
      <c r="R82" t="str">
        <f t="shared" si="3"/>
        <v>INSERT INTO stock (ticker, name, listing_date, sub_industry, industry, sector, status) VALUES ('AXIO', 'Tera Data Indonusa Tbk.', '2022-07-20', 'I221', 'I22', 'IDXTECHNO', (SELECT id FROM attribute WHERE type = 'STOCK_STATUS' AND code = 'LISTED')) ON CONFLICT DO NOTHING;</v>
      </c>
    </row>
    <row r="83" spans="1:18" x14ac:dyDescent="0.2">
      <c r="A83" t="s">
        <v>2410</v>
      </c>
      <c r="B83" t="s">
        <v>2411</v>
      </c>
      <c r="C83" s="1">
        <v>45260</v>
      </c>
      <c r="D83" s="1"/>
      <c r="E83" t="s">
        <v>2224</v>
      </c>
      <c r="F83" t="s">
        <v>28</v>
      </c>
      <c r="G83" t="s">
        <v>3489</v>
      </c>
      <c r="H83" t="s">
        <v>2410</v>
      </c>
      <c r="I83" t="s">
        <v>2411</v>
      </c>
      <c r="K83" t="s">
        <v>2945</v>
      </c>
      <c r="L83" t="s">
        <v>2961</v>
      </c>
      <c r="M83" t="str">
        <f t="shared" si="2"/>
        <v>D23</v>
      </c>
      <c r="N83" t="s">
        <v>2998</v>
      </c>
      <c r="O83" t="s">
        <v>2999</v>
      </c>
      <c r="P83" t="s">
        <v>3000</v>
      </c>
      <c r="R83" t="str">
        <f t="shared" si="3"/>
        <v>INSERT INTO stock (ticker, name, listing_date, sub_industry, industry, sector, status) VALUES ('AYAM', 'Janu Putra Sejahtera Tbk.', '2023-11-30', 'D231', 'D23', 'IDXNONCYC', (SELECT id FROM attribute WHERE type = 'STOCK_STATUS' AND code = 'LISTED')) ON CONFLICT DO NOTHING;</v>
      </c>
    </row>
    <row r="84" spans="1:18" x14ac:dyDescent="0.2">
      <c r="A84" t="s">
        <v>2584</v>
      </c>
      <c r="B84" t="s">
        <v>2585</v>
      </c>
      <c r="C84" s="1">
        <v>43873</v>
      </c>
      <c r="D84" s="1"/>
      <c r="E84" t="s">
        <v>2586</v>
      </c>
      <c r="F84" t="s">
        <v>28</v>
      </c>
      <c r="G84" t="s">
        <v>3489</v>
      </c>
      <c r="H84" t="s">
        <v>2584</v>
      </c>
      <c r="I84" t="s">
        <v>2800</v>
      </c>
      <c r="K84" t="s">
        <v>2778</v>
      </c>
      <c r="L84" t="s">
        <v>2779</v>
      </c>
      <c r="M84" t="str">
        <f t="shared" si="2"/>
        <v>B12</v>
      </c>
      <c r="N84" t="s">
        <v>2801</v>
      </c>
      <c r="O84" t="s">
        <v>2802</v>
      </c>
      <c r="P84" t="s">
        <v>2802</v>
      </c>
      <c r="R84" t="str">
        <f t="shared" si="3"/>
        <v>INSERT INTO stock (ticker, name, listing_date, sub_industry, industry, sector, status) VALUES ('AYLS', 'Agro Yasa Lestari Tbk.', '2020-02-12', 'B121', 'B12', 'IDXBASIC', (SELECT id FROM attribute WHERE type = 'STOCK_STATUS' AND code = 'LISTED')) ON CONFLICT DO NOTHING;</v>
      </c>
    </row>
    <row r="85" spans="1:18" x14ac:dyDescent="0.2">
      <c r="A85" t="s">
        <v>138</v>
      </c>
      <c r="B85" t="s">
        <v>139</v>
      </c>
      <c r="C85" s="1">
        <v>37452</v>
      </c>
      <c r="D85" s="1"/>
      <c r="E85" t="s">
        <v>140</v>
      </c>
      <c r="F85" t="s">
        <v>28</v>
      </c>
      <c r="G85" t="s">
        <v>3489</v>
      </c>
      <c r="H85" t="s">
        <v>138</v>
      </c>
      <c r="I85" t="s">
        <v>139</v>
      </c>
      <c r="K85" t="s">
        <v>3224</v>
      </c>
      <c r="L85" t="s">
        <v>3225</v>
      </c>
      <c r="M85" t="str">
        <f t="shared" si="2"/>
        <v>G11</v>
      </c>
      <c r="N85" t="s">
        <v>3226</v>
      </c>
      <c r="O85" t="s">
        <v>3225</v>
      </c>
      <c r="P85" t="s">
        <v>3225</v>
      </c>
      <c r="R85" t="str">
        <f t="shared" si="3"/>
        <v>INSERT INTO stock (ticker, name, listing_date, sub_industry, industry, sector, status) VALUES ('BABP', 'Bank MNC Internasional Tbk.', '2002-07-15', 'G111', 'G11', 'IDXFINANCE', (SELECT id FROM attribute WHERE type = 'STOCK_STATUS' AND code = 'LISTED')) ON CONFLICT DO NOTHING;</v>
      </c>
    </row>
    <row r="86" spans="1:18" x14ac:dyDescent="0.2">
      <c r="A86" t="s">
        <v>2373</v>
      </c>
      <c r="B86" t="s">
        <v>2374</v>
      </c>
      <c r="C86" s="1">
        <v>45176</v>
      </c>
      <c r="D86" s="1"/>
      <c r="E86" t="s">
        <v>2375</v>
      </c>
      <c r="F86" t="s">
        <v>28</v>
      </c>
      <c r="G86" t="s">
        <v>3489</v>
      </c>
      <c r="H86" t="s">
        <v>2373</v>
      </c>
      <c r="I86" t="s">
        <v>2374</v>
      </c>
      <c r="K86" t="s">
        <v>3039</v>
      </c>
      <c r="L86" t="s">
        <v>3168</v>
      </c>
      <c r="M86" t="str">
        <f t="shared" si="2"/>
        <v>E74</v>
      </c>
      <c r="N86" t="s">
        <v>3176</v>
      </c>
      <c r="O86" t="s">
        <v>3177</v>
      </c>
      <c r="P86" t="s">
        <v>3178</v>
      </c>
      <c r="R86" t="str">
        <f t="shared" si="3"/>
        <v>INSERT INTO stock (ticker, name, listing_date, sub_industry, industry, sector, status) VALUES ('BABY', 'Multitrend Indo Tbk.', '2023-09-07', 'E741', 'E74', 'IDXCYCLIC', (SELECT id FROM attribute WHERE type = 'STOCK_STATUS' AND code = 'LISTED')) ON CONFLICT DO NOTHING;</v>
      </c>
    </row>
    <row r="87" spans="1:18" x14ac:dyDescent="0.2">
      <c r="A87" t="s">
        <v>141</v>
      </c>
      <c r="B87" t="s">
        <v>142</v>
      </c>
      <c r="C87" s="1">
        <v>39359</v>
      </c>
      <c r="D87" s="1"/>
      <c r="E87" t="s">
        <v>143</v>
      </c>
      <c r="F87" t="s">
        <v>8</v>
      </c>
      <c r="G87" t="s">
        <v>3489</v>
      </c>
      <c r="H87" t="s">
        <v>141</v>
      </c>
      <c r="I87" t="s">
        <v>3711</v>
      </c>
      <c r="K87" t="s">
        <v>3224</v>
      </c>
      <c r="L87" t="s">
        <v>3225</v>
      </c>
      <c r="M87" t="str">
        <f t="shared" si="2"/>
        <v>G11</v>
      </c>
      <c r="N87" t="s">
        <v>3226</v>
      </c>
      <c r="O87" t="s">
        <v>3225</v>
      </c>
      <c r="P87" t="s">
        <v>3225</v>
      </c>
      <c r="R87" t="str">
        <f t="shared" si="3"/>
        <v>INSERT INTO stock (ticker, name, listing_date, sub_industry, industry, sector, status) VALUES ('BACA', 'Bank Capital Indonesia Tbk.', '2007-10-04', 'G111', 'G11', 'IDXFINANCE', (SELECT id FROM attribute WHERE type = 'STOCK_STATUS' AND code = 'LISTED')) ON CONFLICT DO NOTHING;</v>
      </c>
    </row>
    <row r="88" spans="1:18" x14ac:dyDescent="0.2">
      <c r="A88" t="s">
        <v>2444</v>
      </c>
      <c r="B88" t="s">
        <v>2445</v>
      </c>
      <c r="C88" s="1">
        <v>45337</v>
      </c>
      <c r="D88" s="1"/>
      <c r="E88" t="s">
        <v>2446</v>
      </c>
      <c r="F88" t="s">
        <v>28</v>
      </c>
      <c r="G88" t="s">
        <v>3489</v>
      </c>
      <c r="H88" t="s">
        <v>2444</v>
      </c>
      <c r="I88" t="s">
        <v>2445</v>
      </c>
      <c r="K88" t="s">
        <v>3039</v>
      </c>
      <c r="L88" t="s">
        <v>3092</v>
      </c>
      <c r="M88" t="str">
        <f t="shared" si="2"/>
        <v>E51</v>
      </c>
      <c r="N88" t="s">
        <v>3129</v>
      </c>
      <c r="O88" t="s">
        <v>3094</v>
      </c>
      <c r="P88" t="s">
        <v>3130</v>
      </c>
      <c r="R88" t="str">
        <f t="shared" si="3"/>
        <v>INSERT INTO stock (ticker, name, listing_date, sub_industry, industry, sector, status) VALUES ('BAIK', 'Bersama Mencapai Puncak Tbk.', '2024-02-15', 'E515', 'E51', 'IDXCYCLIC', (SELECT id FROM attribute WHERE type = 'STOCK_STATUS' AND code = 'LISTED')) ON CONFLICT DO NOTHING;</v>
      </c>
    </row>
    <row r="89" spans="1:18" x14ac:dyDescent="0.2">
      <c r="A89" t="s">
        <v>144</v>
      </c>
      <c r="B89" t="s">
        <v>145</v>
      </c>
      <c r="C89" s="1">
        <v>40898</v>
      </c>
      <c r="D89" s="1"/>
      <c r="E89" t="s">
        <v>146</v>
      </c>
      <c r="F89" t="s">
        <v>28</v>
      </c>
      <c r="G89" t="s">
        <v>3489</v>
      </c>
      <c r="H89" t="s">
        <v>144</v>
      </c>
      <c r="I89" t="s">
        <v>2838</v>
      </c>
      <c r="K89" t="s">
        <v>2778</v>
      </c>
      <c r="L89" t="s">
        <v>2779</v>
      </c>
      <c r="M89" t="str">
        <f t="shared" si="2"/>
        <v>B14</v>
      </c>
      <c r="N89" t="s">
        <v>2839</v>
      </c>
      <c r="O89" t="s">
        <v>2824</v>
      </c>
      <c r="P89" t="s">
        <v>2840</v>
      </c>
      <c r="R89" t="str">
        <f t="shared" si="3"/>
        <v>INSERT INTO stock (ticker, name, listing_date, sub_industry, industry, sector, status) VALUES ('BAJA', 'Saranacentral Bajatama Tbk.', '2011-12-21', 'B144', 'B14', 'IDXBASIC', (SELECT id FROM attribute WHERE type = 'STOCK_STATUS' AND code = 'LISTED')) ON CONFLICT DO NOTHING;</v>
      </c>
    </row>
    <row r="90" spans="1:18" x14ac:dyDescent="0.2">
      <c r="A90" t="s">
        <v>147</v>
      </c>
      <c r="B90" t="s">
        <v>148</v>
      </c>
      <c r="C90" s="1">
        <v>41711</v>
      </c>
      <c r="D90" s="1"/>
      <c r="E90" t="s">
        <v>149</v>
      </c>
      <c r="F90" t="s">
        <v>8</v>
      </c>
      <c r="G90" t="s">
        <v>3489</v>
      </c>
      <c r="H90" t="s">
        <v>147</v>
      </c>
      <c r="I90" t="s">
        <v>148</v>
      </c>
      <c r="K90" t="s">
        <v>3418</v>
      </c>
      <c r="L90" t="s">
        <v>3439</v>
      </c>
      <c r="M90" t="str">
        <f t="shared" si="2"/>
        <v>J32</v>
      </c>
      <c r="N90" t="s">
        <v>3449</v>
      </c>
      <c r="O90" t="s">
        <v>3450</v>
      </c>
      <c r="P90" t="s">
        <v>3450</v>
      </c>
      <c r="R90" t="str">
        <f t="shared" si="3"/>
        <v>INSERT INTO stock (ticker, name, listing_date, sub_industry, industry, sector, status) VALUES ('BALI', 'Bali Towerindo Sentra Tbk.', '2014-03-13', 'J321', 'J32', 'IDXINFRA', (SELECT id FROM attribute WHERE type = 'STOCK_STATUS' AND code = 'LISTED')) ON CONFLICT DO NOTHING;</v>
      </c>
    </row>
    <row r="91" spans="1:18" x14ac:dyDescent="0.2">
      <c r="A91" t="s">
        <v>1909</v>
      </c>
      <c r="B91" t="s">
        <v>1910</v>
      </c>
      <c r="C91" s="1">
        <v>44228</v>
      </c>
      <c r="D91" s="1"/>
      <c r="E91" t="s">
        <v>1911</v>
      </c>
      <c r="F91" t="s">
        <v>28</v>
      </c>
      <c r="G91" t="s">
        <v>3489</v>
      </c>
      <c r="H91" t="s">
        <v>1909</v>
      </c>
      <c r="I91" t="s">
        <v>1910</v>
      </c>
      <c r="K91" t="s">
        <v>3224</v>
      </c>
      <c r="L91" t="s">
        <v>3225</v>
      </c>
      <c r="M91" t="str">
        <f t="shared" si="2"/>
        <v>G11</v>
      </c>
      <c r="N91" t="s">
        <v>3226</v>
      </c>
      <c r="O91" t="s">
        <v>3225</v>
      </c>
      <c r="P91" t="s">
        <v>3225</v>
      </c>
      <c r="R91" t="str">
        <f t="shared" si="3"/>
        <v>INSERT INTO stock (ticker, name, listing_date, sub_industry, industry, sector, status) VALUES ('BANK', 'Bank Aladin Syariah Tbk.', '2021-02-01', 'G111', 'G11', 'IDXFINANCE', (SELECT id FROM attribute WHERE type = 'STOCK_STATUS' AND code = 'LISTED')) ON CONFLICT DO NOTHING;</v>
      </c>
    </row>
    <row r="92" spans="1:18" x14ac:dyDescent="0.2">
      <c r="A92" t="s">
        <v>150</v>
      </c>
      <c r="B92" t="s">
        <v>151</v>
      </c>
      <c r="C92" s="1">
        <v>39461</v>
      </c>
      <c r="D92" s="1"/>
      <c r="E92" t="s">
        <v>152</v>
      </c>
      <c r="F92" t="s">
        <v>28</v>
      </c>
      <c r="G92" t="s">
        <v>3489</v>
      </c>
      <c r="H92" t="s">
        <v>150</v>
      </c>
      <c r="I92" t="s">
        <v>3317</v>
      </c>
      <c r="K92" t="s">
        <v>3306</v>
      </c>
      <c r="L92" t="s">
        <v>3307</v>
      </c>
      <c r="M92" t="str">
        <f t="shared" si="2"/>
        <v>H11</v>
      </c>
      <c r="N92" t="s">
        <v>3308</v>
      </c>
      <c r="O92" t="s">
        <v>3309</v>
      </c>
      <c r="P92" t="s">
        <v>3310</v>
      </c>
      <c r="R92" t="str">
        <f t="shared" si="3"/>
        <v>INSERT INTO stock (ticker, name, listing_date, sub_industry, industry, sector, status) VALUES ('BAPA', 'Bekasi Asri Pemula Tbk.', '2008-01-14', 'H111', 'H11', 'IDXPROPERT', (SELECT id FROM attribute WHERE type = 'STOCK_STATUS' AND code = 'LISTED')) ON CONFLICT DO NOTHING;</v>
      </c>
    </row>
    <row r="93" spans="1:18" x14ac:dyDescent="0.2">
      <c r="A93" t="s">
        <v>1732</v>
      </c>
      <c r="B93" t="s">
        <v>1733</v>
      </c>
      <c r="C93" s="1">
        <v>43724</v>
      </c>
      <c r="D93" s="1"/>
      <c r="E93" t="s">
        <v>1734</v>
      </c>
      <c r="F93" t="s">
        <v>12</v>
      </c>
      <c r="G93" t="s">
        <v>3489</v>
      </c>
      <c r="H93" t="s">
        <v>1732</v>
      </c>
      <c r="I93" t="s">
        <v>3318</v>
      </c>
      <c r="K93" t="s">
        <v>3306</v>
      </c>
      <c r="L93" t="s">
        <v>3307</v>
      </c>
      <c r="M93" t="str">
        <f t="shared" si="2"/>
        <v>H11</v>
      </c>
      <c r="N93" t="s">
        <v>3308</v>
      </c>
      <c r="O93" t="s">
        <v>3309</v>
      </c>
      <c r="P93" t="s">
        <v>3310</v>
      </c>
      <c r="R93" t="str">
        <f t="shared" si="3"/>
        <v>INSERT INTO stock (ticker, name, listing_date, sub_industry, industry, sector, status) VALUES ('BAPI', 'Bhakti Agung Propertindo Tbk.', '2019-09-16', 'H111', 'H11', 'IDXPROPERT', (SELECT id FROM attribute WHERE type = 'STOCK_STATUS' AND code = 'LISTED')) ON CONFLICT DO NOTHING;</v>
      </c>
    </row>
    <row r="94" spans="1:18" x14ac:dyDescent="0.2">
      <c r="A94" t="s">
        <v>153</v>
      </c>
      <c r="B94" t="s">
        <v>154</v>
      </c>
      <c r="C94" s="1">
        <v>30034</v>
      </c>
      <c r="D94" s="1"/>
      <c r="E94" t="s">
        <v>155</v>
      </c>
      <c r="F94" t="s">
        <v>12</v>
      </c>
      <c r="G94" t="s">
        <v>3489</v>
      </c>
      <c r="H94" t="s">
        <v>153</v>
      </c>
      <c r="I94" t="s">
        <v>3084</v>
      </c>
      <c r="K94" t="s">
        <v>3039</v>
      </c>
      <c r="L94" t="s">
        <v>3077</v>
      </c>
      <c r="M94" t="str">
        <f t="shared" si="2"/>
        <v>E41</v>
      </c>
      <c r="N94" t="s">
        <v>3085</v>
      </c>
      <c r="O94" t="s">
        <v>3077</v>
      </c>
      <c r="P94" t="s">
        <v>3086</v>
      </c>
      <c r="R94" t="str">
        <f t="shared" si="3"/>
        <v>INSERT INTO stock (ticker, name, listing_date, sub_industry, industry, sector, status) VALUES ('BATA', 'Sepatu Bata Tbk.', '1982-03-24', 'E412', 'E41', 'IDXCYCLIC', (SELECT id FROM attribute WHERE type = 'STOCK_STATUS' AND code = 'LISTED')) ON CONFLICT DO NOTHING;</v>
      </c>
    </row>
    <row r="95" spans="1:18" x14ac:dyDescent="0.2">
      <c r="A95" t="s">
        <v>2463</v>
      </c>
      <c r="B95" t="s">
        <v>2464</v>
      </c>
      <c r="C95" s="1">
        <v>45453</v>
      </c>
      <c r="D95" s="1"/>
      <c r="E95" t="s">
        <v>2465</v>
      </c>
      <c r="F95" t="s">
        <v>28</v>
      </c>
      <c r="G95" t="s">
        <v>3489</v>
      </c>
      <c r="H95" t="s">
        <v>2463</v>
      </c>
      <c r="I95" t="s">
        <v>3712</v>
      </c>
      <c r="K95" t="s">
        <v>2778</v>
      </c>
      <c r="L95" t="s">
        <v>2779</v>
      </c>
      <c r="M95" t="str">
        <f t="shared" si="2"/>
        <v>B12</v>
      </c>
      <c r="N95" t="s">
        <v>2801</v>
      </c>
      <c r="O95" t="s">
        <v>2802</v>
      </c>
      <c r="P95" t="s">
        <v>2802</v>
      </c>
      <c r="R95" t="str">
        <f t="shared" si="3"/>
        <v>INSERT INTO stock (ticker, name, listing_date, sub_industry, industry, sector, status) VALUES ('BATR', 'Benteng Api Technic Tbk.', '2024-06-10', 'B121', 'B12', 'IDXBASIC', (SELECT id FROM attribute WHERE type = 'STOCK_STATUS' AND code = 'LISTED')) ON CONFLICT DO NOTHING;</v>
      </c>
    </row>
    <row r="96" spans="1:18" x14ac:dyDescent="0.2">
      <c r="A96" t="s">
        <v>2071</v>
      </c>
      <c r="B96" t="s">
        <v>2072</v>
      </c>
      <c r="C96" s="1">
        <v>44589</v>
      </c>
      <c r="D96" s="1"/>
      <c r="E96" t="s">
        <v>2073</v>
      </c>
      <c r="F96" t="s">
        <v>12</v>
      </c>
      <c r="G96" t="s">
        <v>3489</v>
      </c>
      <c r="H96" t="s">
        <v>2071</v>
      </c>
      <c r="I96" t="s">
        <v>3192</v>
      </c>
      <c r="K96" t="s">
        <v>3039</v>
      </c>
      <c r="L96" t="s">
        <v>3168</v>
      </c>
      <c r="M96" t="str">
        <f t="shared" si="2"/>
        <v>E74</v>
      </c>
      <c r="N96" t="s">
        <v>3190</v>
      </c>
      <c r="O96" t="s">
        <v>3177</v>
      </c>
      <c r="P96" t="s">
        <v>3191</v>
      </c>
      <c r="R96" t="str">
        <f t="shared" si="3"/>
        <v>INSERT INTO stock (ticker, name, listing_date, sub_industry, industry, sector, status) VALUES ('BAUT', 'Mitra Angkasa Sejahtera Tbk.', '2022-01-28', 'E743', 'E74', 'IDXCYCLIC', (SELECT id FROM attribute WHERE type = 'STOCK_STATUS' AND code = 'LISTED')) ON CONFLICT DO NOTHING;</v>
      </c>
    </row>
    <row r="97" spans="1:18" x14ac:dyDescent="0.2">
      <c r="A97" t="s">
        <v>156</v>
      </c>
      <c r="B97" t="s">
        <v>3513</v>
      </c>
      <c r="C97" s="1">
        <v>32811</v>
      </c>
      <c r="D97" s="1"/>
      <c r="E97" t="s">
        <v>158</v>
      </c>
      <c r="F97" t="s">
        <v>8</v>
      </c>
      <c r="G97" t="s">
        <v>3489</v>
      </c>
      <c r="H97" t="s">
        <v>156</v>
      </c>
      <c r="I97" t="s">
        <v>157</v>
      </c>
      <c r="K97" t="s">
        <v>3039</v>
      </c>
      <c r="L97" t="s">
        <v>3092</v>
      </c>
      <c r="M97" t="str">
        <f t="shared" si="2"/>
        <v>E51</v>
      </c>
      <c r="N97" t="s">
        <v>3120</v>
      </c>
      <c r="O97" t="s">
        <v>3094</v>
      </c>
      <c r="P97" t="s">
        <v>3121</v>
      </c>
      <c r="R97" t="str">
        <f t="shared" si="3"/>
        <v>INSERT INTO stock (ticker, name, listing_date, sub_industry, industry, sector, status) VALUES ('BAYU', 'Bayu Buana Tbk.', '1989-10-30', 'E513', 'E51', 'IDXCYCLIC', (SELECT id FROM attribute WHERE type = 'STOCK_STATUS' AND code = 'LISTED')) ON CONFLICT DO NOTHING;</v>
      </c>
    </row>
    <row r="98" spans="1:18" x14ac:dyDescent="0.2">
      <c r="A98" t="s">
        <v>159</v>
      </c>
      <c r="B98" t="s">
        <v>160</v>
      </c>
      <c r="C98" s="1">
        <v>36677</v>
      </c>
      <c r="D98" s="1"/>
      <c r="E98" t="s">
        <v>161</v>
      </c>
      <c r="F98" t="s">
        <v>8</v>
      </c>
      <c r="G98" t="s">
        <v>3489</v>
      </c>
      <c r="H98" t="s">
        <v>159</v>
      </c>
      <c r="I98" t="s">
        <v>160</v>
      </c>
      <c r="K98" t="s">
        <v>3224</v>
      </c>
      <c r="L98" t="s">
        <v>3225</v>
      </c>
      <c r="M98" t="str">
        <f t="shared" si="2"/>
        <v>G11</v>
      </c>
      <c r="N98" t="s">
        <v>3226</v>
      </c>
      <c r="O98" t="s">
        <v>3225</v>
      </c>
      <c r="P98" t="s">
        <v>3225</v>
      </c>
      <c r="R98" t="str">
        <f t="shared" si="3"/>
        <v>INSERT INTO stock (ticker, name, listing_date, sub_industry, industry, sector, status) VALUES ('BBCA', 'Bank Central Asia Tbk.', '2000-05-31', 'G111', 'G11', 'IDXFINANCE', (SELECT id FROM attribute WHERE type = 'STOCK_STATUS' AND code = 'LISTED')) ON CONFLICT DO NOTHING;</v>
      </c>
    </row>
    <row r="99" spans="1:18" x14ac:dyDescent="0.2">
      <c r="A99" t="s">
        <v>162</v>
      </c>
      <c r="B99" t="s">
        <v>163</v>
      </c>
      <c r="C99" s="1">
        <v>42228</v>
      </c>
      <c r="D99" s="1"/>
      <c r="E99" t="s">
        <v>164</v>
      </c>
      <c r="F99" t="s">
        <v>8</v>
      </c>
      <c r="G99" t="s">
        <v>3489</v>
      </c>
      <c r="H99" t="s">
        <v>162</v>
      </c>
      <c r="I99" t="s">
        <v>163</v>
      </c>
      <c r="K99" t="s">
        <v>3224</v>
      </c>
      <c r="L99" t="s">
        <v>3225</v>
      </c>
      <c r="M99" t="str">
        <f t="shared" si="2"/>
        <v>G11</v>
      </c>
      <c r="N99" t="s">
        <v>3226</v>
      </c>
      <c r="O99" t="s">
        <v>3225</v>
      </c>
      <c r="P99" t="s">
        <v>3225</v>
      </c>
      <c r="R99" t="str">
        <f t="shared" si="3"/>
        <v>INSERT INTO stock (ticker, name, listing_date, sub_industry, industry, sector, status) VALUES ('BBHI', 'Allo Bank Indonesia Tbk.', '2015-08-12', 'G111', 'G11', 'IDXFINANCE', (SELECT id FROM attribute WHERE type = 'STOCK_STATUS' AND code = 'LISTED')) ON CONFLICT DO NOTHING;</v>
      </c>
    </row>
    <row r="100" spans="1:18" x14ac:dyDescent="0.2">
      <c r="A100" t="s">
        <v>165</v>
      </c>
      <c r="B100" t="s">
        <v>166</v>
      </c>
      <c r="C100" s="1">
        <v>38908</v>
      </c>
      <c r="D100" s="1"/>
      <c r="E100" t="s">
        <v>167</v>
      </c>
      <c r="F100" t="s">
        <v>28</v>
      </c>
      <c r="G100" t="s">
        <v>3489</v>
      </c>
      <c r="H100" t="s">
        <v>165</v>
      </c>
      <c r="I100" t="s">
        <v>166</v>
      </c>
      <c r="K100" t="s">
        <v>3224</v>
      </c>
      <c r="L100" t="s">
        <v>3225</v>
      </c>
      <c r="M100" t="str">
        <f t="shared" si="2"/>
        <v>G11</v>
      </c>
      <c r="N100" t="s">
        <v>3226</v>
      </c>
      <c r="O100" t="s">
        <v>3225</v>
      </c>
      <c r="P100" t="s">
        <v>3225</v>
      </c>
      <c r="R100" t="str">
        <f t="shared" si="3"/>
        <v>INSERT INTO stock (ticker, name, listing_date, sub_industry, industry, sector, status) VALUES ('BBKP', 'Bank KB Indonesia Tbk.', '2006-07-10', 'G111', 'G11', 'IDXFINANCE', (SELECT id FROM attribute WHERE type = 'STOCK_STATUS' AND code = 'LISTED')) ON CONFLICT DO NOTHING;</v>
      </c>
    </row>
    <row r="101" spans="1:18" x14ac:dyDescent="0.2">
      <c r="A101" t="s">
        <v>168</v>
      </c>
      <c r="B101" t="s">
        <v>169</v>
      </c>
      <c r="C101" s="1">
        <v>33000</v>
      </c>
      <c r="D101" s="1"/>
      <c r="E101" t="s">
        <v>170</v>
      </c>
      <c r="F101" t="s">
        <v>28</v>
      </c>
      <c r="G101" t="s">
        <v>3489</v>
      </c>
      <c r="H101" t="s">
        <v>168</v>
      </c>
      <c r="I101" t="s">
        <v>3241</v>
      </c>
      <c r="K101" t="s">
        <v>3224</v>
      </c>
      <c r="L101" t="s">
        <v>3238</v>
      </c>
      <c r="M101" t="str">
        <f t="shared" si="2"/>
        <v>G21</v>
      </c>
      <c r="N101" t="s">
        <v>3239</v>
      </c>
      <c r="O101" t="s">
        <v>3240</v>
      </c>
      <c r="P101" t="s">
        <v>3240</v>
      </c>
      <c r="R101" t="str">
        <f t="shared" si="3"/>
        <v>INSERT INTO stock (ticker, name, listing_date, sub_industry, industry, sector, status) VALUES ('BBLD', 'Buana Finance Tbk.', '1990-05-07', 'G211', 'G21', 'IDXFINANCE', (SELECT id FROM attribute WHERE type = 'STOCK_STATUS' AND code = 'LISTED')) ON CONFLICT DO NOTHING;</v>
      </c>
    </row>
    <row r="102" spans="1:18" x14ac:dyDescent="0.2">
      <c r="A102" t="s">
        <v>171</v>
      </c>
      <c r="B102" t="s">
        <v>172</v>
      </c>
      <c r="C102" s="1">
        <v>41463</v>
      </c>
      <c r="D102" s="1"/>
      <c r="E102" t="s">
        <v>173</v>
      </c>
      <c r="F102" t="s">
        <v>28</v>
      </c>
      <c r="G102" t="s">
        <v>3489</v>
      </c>
      <c r="H102" t="s">
        <v>171</v>
      </c>
      <c r="I102" t="s">
        <v>172</v>
      </c>
      <c r="K102" t="s">
        <v>3224</v>
      </c>
      <c r="L102" t="s">
        <v>3225</v>
      </c>
      <c r="M102" t="str">
        <f t="shared" si="2"/>
        <v>G11</v>
      </c>
      <c r="N102" t="s">
        <v>3226</v>
      </c>
      <c r="O102" t="s">
        <v>3225</v>
      </c>
      <c r="P102" t="s">
        <v>3225</v>
      </c>
      <c r="R102" t="str">
        <f t="shared" si="3"/>
        <v>INSERT INTO stock (ticker, name, listing_date, sub_industry, industry, sector, status) VALUES ('BBMD', 'Bank Mestika Dharma Tbk.', '2013-07-08', 'G111', 'G11', 'IDXFINANCE', (SELECT id FROM attribute WHERE type = 'STOCK_STATUS' AND code = 'LISTED')) ON CONFLICT DO NOTHING;</v>
      </c>
    </row>
    <row r="103" spans="1:18" x14ac:dyDescent="0.2">
      <c r="A103" t="s">
        <v>174</v>
      </c>
      <c r="B103" t="s">
        <v>3514</v>
      </c>
      <c r="C103" s="1">
        <v>35394</v>
      </c>
      <c r="D103" s="1"/>
      <c r="E103" t="s">
        <v>175</v>
      </c>
      <c r="F103" t="s">
        <v>8</v>
      </c>
      <c r="G103" t="s">
        <v>3489</v>
      </c>
      <c r="H103" t="s">
        <v>174</v>
      </c>
      <c r="I103" t="s">
        <v>3713</v>
      </c>
      <c r="K103" t="s">
        <v>3224</v>
      </c>
      <c r="L103" t="s">
        <v>3225</v>
      </c>
      <c r="M103" t="str">
        <f t="shared" si="2"/>
        <v>G11</v>
      </c>
      <c r="N103" t="s">
        <v>3226</v>
      </c>
      <c r="O103" t="s">
        <v>3225</v>
      </c>
      <c r="P103" t="s">
        <v>3225</v>
      </c>
      <c r="R103" t="str">
        <f t="shared" si="3"/>
        <v>INSERT INTO stock (ticker, name, listing_date, sub_industry, industry, sector, status) VALUES ('BBNI', 'Bank Negara Indonesia (Persero) Tbk.', '1996-11-25', 'G111', 'G11', 'IDXFINANCE', (SELECT id FROM attribute WHERE type = 'STOCK_STATUS' AND code = 'LISTED')) ON CONFLICT DO NOTHING;</v>
      </c>
    </row>
    <row r="104" spans="1:18" x14ac:dyDescent="0.2">
      <c r="A104" t="s">
        <v>176</v>
      </c>
      <c r="B104" t="s">
        <v>3515</v>
      </c>
      <c r="C104" s="1">
        <v>37935</v>
      </c>
      <c r="D104" s="1"/>
      <c r="E104" t="s">
        <v>177</v>
      </c>
      <c r="F104" t="s">
        <v>8</v>
      </c>
      <c r="G104" t="s">
        <v>3489</v>
      </c>
      <c r="H104" t="s">
        <v>176</v>
      </c>
      <c r="I104" t="s">
        <v>3714</v>
      </c>
      <c r="K104" t="s">
        <v>3224</v>
      </c>
      <c r="L104" t="s">
        <v>3225</v>
      </c>
      <c r="M104" t="str">
        <f t="shared" si="2"/>
        <v>G11</v>
      </c>
      <c r="N104" t="s">
        <v>3226</v>
      </c>
      <c r="O104" t="s">
        <v>3225</v>
      </c>
      <c r="P104" t="s">
        <v>3225</v>
      </c>
      <c r="R104" t="str">
        <f t="shared" si="3"/>
        <v>INSERT INTO stock (ticker, name, listing_date, sub_industry, industry, sector, status) VALUES ('BBRI', 'Bank Rakyat Indonesia (Persero) Tbk.', '2003-11-10', 'G111', 'G11', 'IDXFINANCE', (SELECT id FROM attribute WHERE type = 'STOCK_STATUS' AND code = 'LISTED')) ON CONFLICT DO NOTHING;</v>
      </c>
    </row>
    <row r="105" spans="1:18" x14ac:dyDescent="0.2">
      <c r="A105" t="s">
        <v>178</v>
      </c>
      <c r="B105" t="s">
        <v>3516</v>
      </c>
      <c r="C105" s="1">
        <v>41283</v>
      </c>
      <c r="D105" s="1"/>
      <c r="E105" t="s">
        <v>179</v>
      </c>
      <c r="F105" t="s">
        <v>28</v>
      </c>
      <c r="G105" t="s">
        <v>3489</v>
      </c>
      <c r="H105" t="s">
        <v>178</v>
      </c>
      <c r="I105" t="s">
        <v>2744</v>
      </c>
      <c r="K105" t="s">
        <v>2701</v>
      </c>
      <c r="L105" t="s">
        <v>2702</v>
      </c>
      <c r="M105" t="str">
        <f t="shared" si="2"/>
        <v>A12</v>
      </c>
      <c r="N105" t="s">
        <v>2742</v>
      </c>
      <c r="O105" t="s">
        <v>2724</v>
      </c>
      <c r="P105" t="s">
        <v>2743</v>
      </c>
      <c r="R105" t="str">
        <f t="shared" si="3"/>
        <v>INSERT INTO stock (ticker, name, listing_date, sub_industry, industry, sector, status) VALUES ('BBRM', 'Pelayaran Nasional Bina Buana Raya Tbk.', '2013-01-09', 'A122', 'A12', 'IDXENERGY', (SELECT id FROM attribute WHERE type = 'STOCK_STATUS' AND code = 'LISTED')) ON CONFLICT DO NOTHING;</v>
      </c>
    </row>
    <row r="106" spans="1:18" x14ac:dyDescent="0.2">
      <c r="A106" t="s">
        <v>1878</v>
      </c>
      <c r="B106" t="s">
        <v>1879</v>
      </c>
      <c r="C106" s="1">
        <v>44081</v>
      </c>
      <c r="D106" s="1"/>
      <c r="E106" t="s">
        <v>1880</v>
      </c>
      <c r="F106" t="s">
        <v>8</v>
      </c>
      <c r="G106" t="s">
        <v>3489</v>
      </c>
      <c r="H106" t="s">
        <v>1878</v>
      </c>
      <c r="I106" t="s">
        <v>1879</v>
      </c>
      <c r="K106" t="s">
        <v>3224</v>
      </c>
      <c r="L106" t="s">
        <v>3225</v>
      </c>
      <c r="M106" t="str">
        <f t="shared" si="2"/>
        <v>G11</v>
      </c>
      <c r="N106" t="s">
        <v>3226</v>
      </c>
      <c r="O106" t="s">
        <v>3225</v>
      </c>
      <c r="P106" t="s">
        <v>3225</v>
      </c>
      <c r="R106" t="str">
        <f t="shared" si="3"/>
        <v>INSERT INTO stock (ticker, name, listing_date, sub_industry, industry, sector, status) VALUES ('BBSI', 'Krom Bank Indonesia Tbk.', '2020-09-07', 'G111', 'G11', 'IDXFINANCE', (SELECT id FROM attribute WHERE type = 'STOCK_STATUS' AND code = 'LISTED')) ON CONFLICT DO NOTHING;</v>
      </c>
    </row>
    <row r="107" spans="1:18" x14ac:dyDescent="0.2">
      <c r="A107" t="s">
        <v>1841</v>
      </c>
      <c r="B107" t="s">
        <v>3517</v>
      </c>
      <c r="C107" s="1">
        <v>43936</v>
      </c>
      <c r="D107" s="1"/>
      <c r="E107" t="s">
        <v>1842</v>
      </c>
      <c r="F107" t="s">
        <v>28</v>
      </c>
      <c r="G107" t="s">
        <v>3489</v>
      </c>
      <c r="H107" t="s">
        <v>1841</v>
      </c>
      <c r="I107" t="s">
        <v>3319</v>
      </c>
      <c r="K107" t="s">
        <v>3306</v>
      </c>
      <c r="L107" t="s">
        <v>3307</v>
      </c>
      <c r="M107" t="str">
        <f t="shared" si="2"/>
        <v>H11</v>
      </c>
      <c r="N107" t="s">
        <v>3308</v>
      </c>
      <c r="O107" t="s">
        <v>3309</v>
      </c>
      <c r="P107" t="s">
        <v>3310</v>
      </c>
      <c r="R107" t="str">
        <f t="shared" si="3"/>
        <v>INSERT INTO stock (ticker, name, listing_date, sub_industry, industry, sector, status) VALUES ('BBSS', 'Bumi Benowo Sukses Sejahtera Tbk.', '2020-04-15', 'H111', 'H11', 'IDXPROPERT', (SELECT id FROM attribute WHERE type = 'STOCK_STATUS' AND code = 'LISTED')) ON CONFLICT DO NOTHING;</v>
      </c>
    </row>
    <row r="108" spans="1:18" x14ac:dyDescent="0.2">
      <c r="A108" t="s">
        <v>180</v>
      </c>
      <c r="B108" t="s">
        <v>3518</v>
      </c>
      <c r="C108" s="1">
        <v>40164</v>
      </c>
      <c r="D108" s="1"/>
      <c r="E108" t="s">
        <v>181</v>
      </c>
      <c r="F108" t="s">
        <v>8</v>
      </c>
      <c r="G108" t="s">
        <v>3489</v>
      </c>
      <c r="H108" t="s">
        <v>180</v>
      </c>
      <c r="I108" t="s">
        <v>3715</v>
      </c>
      <c r="K108" t="s">
        <v>3224</v>
      </c>
      <c r="L108" t="s">
        <v>3225</v>
      </c>
      <c r="M108" t="str">
        <f t="shared" si="2"/>
        <v>G11</v>
      </c>
      <c r="N108" t="s">
        <v>3226</v>
      </c>
      <c r="O108" t="s">
        <v>3225</v>
      </c>
      <c r="P108" t="s">
        <v>3225</v>
      </c>
      <c r="R108" t="str">
        <f t="shared" si="3"/>
        <v>INSERT INTO stock (ticker, name, listing_date, sub_industry, industry, sector, status) VALUES ('BBTN', 'Bank Tabungan Negara (Persero) Tbk.', '2009-12-17', 'G111', 'G11', 'IDXFINANCE', (SELECT id FROM attribute WHERE type = 'STOCK_STATUS' AND code = 'LISTED')) ON CONFLICT DO NOTHING;</v>
      </c>
    </row>
    <row r="109" spans="1:18" x14ac:dyDescent="0.2">
      <c r="A109" t="s">
        <v>182</v>
      </c>
      <c r="B109" t="s">
        <v>183</v>
      </c>
      <c r="C109" s="1">
        <v>42017</v>
      </c>
      <c r="D109" s="1"/>
      <c r="E109" t="s">
        <v>184</v>
      </c>
      <c r="F109" t="s">
        <v>8</v>
      </c>
      <c r="G109" t="s">
        <v>3489</v>
      </c>
      <c r="H109" t="s">
        <v>182</v>
      </c>
      <c r="I109" t="s">
        <v>183</v>
      </c>
      <c r="K109" t="s">
        <v>3224</v>
      </c>
      <c r="L109" t="s">
        <v>3225</v>
      </c>
      <c r="M109" t="str">
        <f t="shared" si="2"/>
        <v>G11</v>
      </c>
      <c r="N109" t="s">
        <v>3226</v>
      </c>
      <c r="O109" t="s">
        <v>3225</v>
      </c>
      <c r="P109" t="s">
        <v>3225</v>
      </c>
      <c r="R109" t="str">
        <f t="shared" si="3"/>
        <v>INSERT INTO stock (ticker, name, listing_date, sub_industry, industry, sector, status) VALUES ('BBYB', 'Bank Neo Commerce Tbk.', '2015-01-13', 'G111', 'G11', 'IDXFINANCE', (SELECT id FROM attribute WHERE type = 'STOCK_STATUS' AND code = 'LISTED')) ON CONFLICT DO NOTHING;</v>
      </c>
    </row>
    <row r="110" spans="1:18" x14ac:dyDescent="0.2">
      <c r="A110" t="s">
        <v>185</v>
      </c>
      <c r="B110" t="s">
        <v>186</v>
      </c>
      <c r="C110" s="1">
        <v>37050</v>
      </c>
      <c r="D110" s="1"/>
      <c r="E110" t="s">
        <v>187</v>
      </c>
      <c r="F110" t="s">
        <v>8</v>
      </c>
      <c r="G110" t="s">
        <v>3489</v>
      </c>
      <c r="H110" t="s">
        <v>185</v>
      </c>
      <c r="I110" t="s">
        <v>3292</v>
      </c>
      <c r="K110" t="s">
        <v>3224</v>
      </c>
      <c r="L110" t="s">
        <v>3289</v>
      </c>
      <c r="M110" t="str">
        <f t="shared" si="2"/>
        <v>G51</v>
      </c>
      <c r="N110" t="s">
        <v>3290</v>
      </c>
      <c r="O110" t="s">
        <v>3289</v>
      </c>
      <c r="P110" t="s">
        <v>3291</v>
      </c>
      <c r="R110" t="str">
        <f t="shared" si="3"/>
        <v>INSERT INTO stock (ticker, name, listing_date, sub_industry, industry, sector, status) VALUES ('BCAP', 'MNC Kapital Indonesia Tbk.', '2001-06-08', 'G511', 'G51', 'IDXFINANCE', (SELECT id FROM attribute WHERE type = 'STOCK_STATUS' AND code = 'LISTED')) ON CONFLICT DO NOTHING;</v>
      </c>
    </row>
    <row r="111" spans="1:18" x14ac:dyDescent="0.2">
      <c r="A111" t="s">
        <v>188</v>
      </c>
      <c r="B111" t="s">
        <v>189</v>
      </c>
      <c r="C111" s="1">
        <v>35606</v>
      </c>
      <c r="D111" s="1"/>
      <c r="E111" t="s">
        <v>190</v>
      </c>
      <c r="F111" t="s">
        <v>28</v>
      </c>
      <c r="G111" t="s">
        <v>3489</v>
      </c>
      <c r="H111" t="s">
        <v>188</v>
      </c>
      <c r="I111" t="s">
        <v>189</v>
      </c>
      <c r="K111" t="s">
        <v>3224</v>
      </c>
      <c r="L111" t="s">
        <v>3225</v>
      </c>
      <c r="M111" t="str">
        <f t="shared" si="2"/>
        <v>G11</v>
      </c>
      <c r="N111" t="s">
        <v>3226</v>
      </c>
      <c r="O111" t="s">
        <v>3225</v>
      </c>
      <c r="P111" t="s">
        <v>3225</v>
      </c>
      <c r="R111" t="str">
        <f t="shared" si="3"/>
        <v>INSERT INTO stock (ticker, name, listing_date, sub_industry, industry, sector, status) VALUES ('BCIC', 'Bank JTrust Indonesia Tbk.', '1997-06-25', 'G111', 'G11', 'IDXFINANCE', (SELECT id FROM attribute WHERE type = 'STOCK_STATUS' AND code = 'LISTED')) ON CONFLICT DO NOTHING;</v>
      </c>
    </row>
    <row r="112" spans="1:18" x14ac:dyDescent="0.2">
      <c r="A112" t="s">
        <v>191</v>
      </c>
      <c r="B112" t="s">
        <v>192</v>
      </c>
      <c r="C112" s="1">
        <v>40158</v>
      </c>
      <c r="D112" s="1"/>
      <c r="E112" t="s">
        <v>193</v>
      </c>
      <c r="F112" t="s">
        <v>28</v>
      </c>
      <c r="G112" t="s">
        <v>3489</v>
      </c>
      <c r="H112" t="s">
        <v>191</v>
      </c>
      <c r="I112" t="s">
        <v>3320</v>
      </c>
      <c r="K112" t="s">
        <v>3306</v>
      </c>
      <c r="L112" t="s">
        <v>3307</v>
      </c>
      <c r="M112" t="str">
        <f t="shared" si="2"/>
        <v>H11</v>
      </c>
      <c r="N112" t="s">
        <v>3308</v>
      </c>
      <c r="O112" t="s">
        <v>3309</v>
      </c>
      <c r="P112" t="s">
        <v>3310</v>
      </c>
      <c r="R112" t="str">
        <f t="shared" si="3"/>
        <v>INSERT INTO stock (ticker, name, listing_date, sub_industry, industry, sector, status) VALUES ('BCIP', 'Bumi Citra Permai Tbk.', '2009-12-11', 'H111', 'H11', 'IDXPROPERT', (SELECT id FROM attribute WHERE type = 'STOCK_STATUS' AND code = 'LISTED')) ON CONFLICT DO NOTHING;</v>
      </c>
    </row>
    <row r="113" spans="1:18" x14ac:dyDescent="0.2">
      <c r="A113" t="s">
        <v>2275</v>
      </c>
      <c r="B113" t="s">
        <v>2276</v>
      </c>
      <c r="C113" s="1">
        <v>44988</v>
      </c>
      <c r="D113" s="1"/>
      <c r="E113" t="s">
        <v>2277</v>
      </c>
      <c r="F113" t="s">
        <v>8</v>
      </c>
      <c r="G113" t="s">
        <v>3489</v>
      </c>
      <c r="H113" t="s">
        <v>2275</v>
      </c>
      <c r="I113" t="s">
        <v>2276</v>
      </c>
      <c r="K113" t="s">
        <v>3418</v>
      </c>
      <c r="L113" t="s">
        <v>3432</v>
      </c>
      <c r="M113" t="str">
        <f t="shared" si="2"/>
        <v>J21</v>
      </c>
      <c r="N113" t="s">
        <v>3433</v>
      </c>
      <c r="O113" t="s">
        <v>3432</v>
      </c>
      <c r="P113" t="s">
        <v>3432</v>
      </c>
      <c r="R113" t="str">
        <f t="shared" si="3"/>
        <v>INSERT INTO stock (ticker, name, listing_date, sub_industry, industry, sector, status) VALUES ('BDKR', 'Berdikari Pondasi Perkasa Tbk.', '2023-03-03', 'J211', 'J21', 'IDXINFRA', (SELECT id FROM attribute WHERE type = 'STOCK_STATUS' AND code = 'LISTED')) ON CONFLICT DO NOTHING;</v>
      </c>
    </row>
    <row r="114" spans="1:18" x14ac:dyDescent="0.2">
      <c r="A114" t="s">
        <v>194</v>
      </c>
      <c r="B114" t="s">
        <v>195</v>
      </c>
      <c r="C114" s="1">
        <v>32848</v>
      </c>
      <c r="D114" s="1"/>
      <c r="E114" t="s">
        <v>196</v>
      </c>
      <c r="F114" t="s">
        <v>8</v>
      </c>
      <c r="G114" t="s">
        <v>3489</v>
      </c>
      <c r="H114" t="s">
        <v>194</v>
      </c>
      <c r="I114" t="s">
        <v>3716</v>
      </c>
      <c r="K114" t="s">
        <v>3224</v>
      </c>
      <c r="L114" t="s">
        <v>3225</v>
      </c>
      <c r="M114" t="str">
        <f t="shared" si="2"/>
        <v>G11</v>
      </c>
      <c r="N114" t="s">
        <v>3226</v>
      </c>
      <c r="O114" t="s">
        <v>3225</v>
      </c>
      <c r="P114" t="s">
        <v>3225</v>
      </c>
      <c r="R114" t="str">
        <f t="shared" si="3"/>
        <v>INSERT INTO stock (ticker, name, listing_date, sub_industry, industry, sector, status) VALUES ('BDMN', 'Bank Danamon Indonesia Tbk.', '1989-12-06', 'G111', 'G11', 'IDXFINANCE', (SELECT id FROM attribute WHERE type = 'STOCK_STATUS' AND code = 'LISTED')) ON CONFLICT DO NOTHING;</v>
      </c>
    </row>
    <row r="115" spans="1:18" x14ac:dyDescent="0.2">
      <c r="A115" t="s">
        <v>1921</v>
      </c>
      <c r="B115" t="s">
        <v>1922</v>
      </c>
      <c r="C115" s="1">
        <v>44265</v>
      </c>
      <c r="D115" s="1"/>
      <c r="E115" t="s">
        <v>1923</v>
      </c>
      <c r="F115" t="s">
        <v>12</v>
      </c>
      <c r="G115" t="s">
        <v>3489</v>
      </c>
      <c r="H115" t="s">
        <v>1921</v>
      </c>
      <c r="I115" t="s">
        <v>2803</v>
      </c>
      <c r="K115" t="s">
        <v>2778</v>
      </c>
      <c r="L115" t="s">
        <v>2779</v>
      </c>
      <c r="M115" t="str">
        <f t="shared" si="2"/>
        <v>B12</v>
      </c>
      <c r="N115" t="s">
        <v>2801</v>
      </c>
      <c r="O115" t="s">
        <v>2802</v>
      </c>
      <c r="P115" t="s">
        <v>2802</v>
      </c>
      <c r="R115" t="str">
        <f t="shared" si="3"/>
        <v>INSERT INTO stock (ticker, name, listing_date, sub_industry, industry, sector, status) VALUES ('BEBS', 'Berkah Beton Sadaya Tbk.', '2021-03-10', 'B121', 'B12', 'IDXBASIC', (SELECT id FROM attribute WHERE type = 'STOCK_STATUS' AND code = 'LISTED')) ON CONFLICT DO NOTHING;</v>
      </c>
    </row>
    <row r="116" spans="1:18" x14ac:dyDescent="0.2">
      <c r="A116" t="s">
        <v>1643</v>
      </c>
      <c r="B116" t="s">
        <v>1644</v>
      </c>
      <c r="C116" s="1">
        <v>43475</v>
      </c>
      <c r="D116" s="1"/>
      <c r="E116" t="s">
        <v>1645</v>
      </c>
      <c r="F116" t="s">
        <v>28</v>
      </c>
      <c r="G116" t="s">
        <v>3489</v>
      </c>
      <c r="H116" t="s">
        <v>1643</v>
      </c>
      <c r="I116" t="s">
        <v>2979</v>
      </c>
      <c r="K116" t="s">
        <v>2945</v>
      </c>
      <c r="L116" t="s">
        <v>2961</v>
      </c>
      <c r="M116" t="str">
        <f t="shared" si="2"/>
        <v>D22</v>
      </c>
      <c r="N116" t="s">
        <v>2978</v>
      </c>
      <c r="O116" t="s">
        <v>2973</v>
      </c>
      <c r="P116" t="s">
        <v>2973</v>
      </c>
      <c r="R116" t="str">
        <f t="shared" si="3"/>
        <v>INSERT INTO stock (ticker, name, listing_date, sub_industry, industry, sector, status) VALUES ('BEEF', 'Estika Tata Tiara Tbk.', '2019-01-10', 'D222', 'D22', 'IDXNONCYC', (SELECT id FROM attribute WHERE type = 'STOCK_STATUS' AND code = 'LISTED')) ON CONFLICT DO NOTHING;</v>
      </c>
    </row>
    <row r="117" spans="1:18" x14ac:dyDescent="0.2">
      <c r="A117" t="s">
        <v>2222</v>
      </c>
      <c r="B117" t="s">
        <v>2223</v>
      </c>
      <c r="C117" s="1">
        <v>44932</v>
      </c>
      <c r="D117" s="1"/>
      <c r="E117" t="s">
        <v>2224</v>
      </c>
      <c r="F117" t="s">
        <v>28</v>
      </c>
      <c r="G117" t="s">
        <v>3489</v>
      </c>
      <c r="H117" t="s">
        <v>2222</v>
      </c>
      <c r="I117" t="s">
        <v>3717</v>
      </c>
      <c r="K117" t="s">
        <v>2945</v>
      </c>
      <c r="L117" t="s">
        <v>2961</v>
      </c>
      <c r="M117" t="str">
        <f t="shared" si="2"/>
        <v>D21</v>
      </c>
      <c r="N117" t="s">
        <v>2962</v>
      </c>
      <c r="O117" t="s">
        <v>2963</v>
      </c>
      <c r="P117" t="s">
        <v>2964</v>
      </c>
      <c r="R117" t="str">
        <f t="shared" si="3"/>
        <v>INSERT INTO stock (ticker, name, listing_date, sub_industry, industry, sector, status) VALUES ('BEER', 'Jobubu Jarum Minahasa Tbk.', '2023-01-06', 'D211', 'D21', 'IDXNONCYC', (SELECT id FROM attribute WHERE type = 'STOCK_STATUS' AND code = 'LISTED')) ON CONFLICT DO NOTHING;</v>
      </c>
    </row>
    <row r="118" spans="1:18" x14ac:dyDescent="0.2">
      <c r="A118" t="s">
        <v>197</v>
      </c>
      <c r="B118" t="s">
        <v>3519</v>
      </c>
      <c r="C118" s="1">
        <v>37085</v>
      </c>
      <c r="D118" s="1"/>
      <c r="E118" t="s">
        <v>198</v>
      </c>
      <c r="F118" t="s">
        <v>12</v>
      </c>
      <c r="G118" t="s">
        <v>3489</v>
      </c>
      <c r="H118" t="s">
        <v>197</v>
      </c>
      <c r="I118" t="s">
        <v>3519</v>
      </c>
      <c r="K118" t="s">
        <v>3224</v>
      </c>
      <c r="L118" t="s">
        <v>3225</v>
      </c>
      <c r="M118" t="str">
        <f t="shared" si="2"/>
        <v>G11</v>
      </c>
      <c r="N118" t="s">
        <v>3226</v>
      </c>
      <c r="O118" t="s">
        <v>3225</v>
      </c>
      <c r="P118" t="s">
        <v>3225</v>
      </c>
      <c r="R118" t="str">
        <f t="shared" si="3"/>
        <v>INSERT INTO stock (ticker, name, listing_date, sub_industry, industry, sector, status) VALUES ('BEKS', 'Bank Pembangunan Daerah Banten Tbk.', '2001-07-13', 'G111', 'G11', 'IDXFINANCE', (SELECT id FROM attribute WHERE type = 'STOCK_STATUS' AND code = 'LISTED')) ON CONFLICT DO NOTHING;</v>
      </c>
    </row>
    <row r="119" spans="1:18" x14ac:dyDescent="0.2">
      <c r="A119" t="s">
        <v>2181</v>
      </c>
      <c r="B119" t="s">
        <v>2182</v>
      </c>
      <c r="C119" s="1">
        <v>44873</v>
      </c>
      <c r="D119" s="1"/>
      <c r="E119" t="s">
        <v>2183</v>
      </c>
      <c r="F119" t="s">
        <v>1983</v>
      </c>
      <c r="G119" t="s">
        <v>3489</v>
      </c>
      <c r="H119" t="s">
        <v>2181</v>
      </c>
      <c r="I119" t="s">
        <v>3718</v>
      </c>
      <c r="K119" t="s">
        <v>3381</v>
      </c>
      <c r="L119" t="s">
        <v>3382</v>
      </c>
      <c r="M119" t="str">
        <f t="shared" si="2"/>
        <v>I11</v>
      </c>
      <c r="N119" t="s">
        <v>3383</v>
      </c>
      <c r="O119" t="s">
        <v>3384</v>
      </c>
      <c r="P119" t="s">
        <v>3384</v>
      </c>
      <c r="R119" t="str">
        <f t="shared" si="3"/>
        <v>INSERT INTO stock (ticker, name, listing_date, sub_industry, industry, sector, status) VALUES ('BELI', 'Global Digital Niaga Tbk.', '2022-11-08', 'I111', 'I11', 'IDXTECHNO', (SELECT id FROM attribute WHERE type = 'STOCK_STATUS' AND code = 'LISTED')) ON CONFLICT DO NOTHING;</v>
      </c>
    </row>
    <row r="120" spans="1:18" x14ac:dyDescent="0.2">
      <c r="A120" t="s">
        <v>1449</v>
      </c>
      <c r="B120" t="s">
        <v>3520</v>
      </c>
      <c r="C120" s="1">
        <v>43011</v>
      </c>
      <c r="D120" s="1"/>
      <c r="E120" t="s">
        <v>1451</v>
      </c>
      <c r="F120" t="s">
        <v>28</v>
      </c>
      <c r="G120" t="s">
        <v>3489</v>
      </c>
      <c r="H120" t="s">
        <v>1449</v>
      </c>
      <c r="I120" t="s">
        <v>1450</v>
      </c>
      <c r="K120" t="s">
        <v>3039</v>
      </c>
      <c r="L120" t="s">
        <v>3077</v>
      </c>
      <c r="M120" t="str">
        <f t="shared" si="2"/>
        <v>E41</v>
      </c>
      <c r="N120" t="s">
        <v>3088</v>
      </c>
      <c r="O120" t="s">
        <v>3077</v>
      </c>
      <c r="P120" t="s">
        <v>3089</v>
      </c>
      <c r="R120" t="str">
        <f t="shared" si="3"/>
        <v>INSERT INTO stock (ticker, name, listing_date, sub_industry, industry, sector, status) VALUES ('BELL', 'Trisula Textile Industries Tbk.', '2017-10-03', 'E413', 'E41', 'IDXCYCLIC', (SELECT id FROM attribute WHERE type = 'STOCK_STATUS' AND code = 'LISTED')) ON CONFLICT DO NOTHING;</v>
      </c>
    </row>
    <row r="121" spans="1:18" x14ac:dyDescent="0.2">
      <c r="A121" t="s">
        <v>2596</v>
      </c>
      <c r="B121" t="s">
        <v>3521</v>
      </c>
      <c r="C121" s="1">
        <v>43899</v>
      </c>
      <c r="D121" s="1"/>
      <c r="E121" t="s">
        <v>2597</v>
      </c>
      <c r="F121" t="s">
        <v>28</v>
      </c>
      <c r="G121" t="s">
        <v>3489</v>
      </c>
      <c r="H121" t="s">
        <v>2596</v>
      </c>
      <c r="I121" t="s">
        <v>2745</v>
      </c>
      <c r="K121" t="s">
        <v>2701</v>
      </c>
      <c r="L121" t="s">
        <v>2702</v>
      </c>
      <c r="M121" t="str">
        <f t="shared" si="2"/>
        <v>A12</v>
      </c>
      <c r="N121" t="s">
        <v>2742</v>
      </c>
      <c r="O121" t="s">
        <v>2724</v>
      </c>
      <c r="P121" t="s">
        <v>2743</v>
      </c>
      <c r="R121" t="str">
        <f t="shared" si="3"/>
        <v>INSERT INTO stock (ticker, name, listing_date, sub_industry, industry, sector, status) VALUES ('BESS', 'Batulicin Nusantara Maritim Tbk.', '2020-03-09', 'A122', 'A12', 'IDXENERGY', (SELECT id FROM attribute WHERE type = 'STOCK_STATUS' AND code = 'LISTED')) ON CONFLICT DO NOTHING;</v>
      </c>
    </row>
    <row r="122" spans="1:18" x14ac:dyDescent="0.2">
      <c r="A122" t="s">
        <v>199</v>
      </c>
      <c r="B122" t="s">
        <v>3522</v>
      </c>
      <c r="C122" s="1">
        <v>41009</v>
      </c>
      <c r="D122" s="1"/>
      <c r="E122" t="s">
        <v>200</v>
      </c>
      <c r="F122" t="s">
        <v>8</v>
      </c>
      <c r="G122" t="s">
        <v>3489</v>
      </c>
      <c r="H122" t="s">
        <v>199</v>
      </c>
      <c r="I122" t="s">
        <v>3321</v>
      </c>
      <c r="K122" t="s">
        <v>3306</v>
      </c>
      <c r="L122" t="s">
        <v>3307</v>
      </c>
      <c r="M122" t="str">
        <f t="shared" si="2"/>
        <v>H11</v>
      </c>
      <c r="N122" t="s">
        <v>3308</v>
      </c>
      <c r="O122" t="s">
        <v>3309</v>
      </c>
      <c r="P122" t="s">
        <v>3310</v>
      </c>
      <c r="R122" t="str">
        <f t="shared" si="3"/>
        <v>INSERT INTO stock (ticker, name, listing_date, sub_industry, industry, sector, status) VALUES ('BEST', 'Bekasi Fajar Industrial Estate Tbk.', '2012-04-10', 'H111', 'H11', 'IDXPROPERT', (SELECT id FROM attribute WHERE type = 'STOCK_STATUS' AND code = 'LISTED')) ON CONFLICT DO NOTHING;</v>
      </c>
    </row>
    <row r="123" spans="1:18" x14ac:dyDescent="0.2">
      <c r="A123" t="s">
        <v>201</v>
      </c>
      <c r="B123" t="s">
        <v>3888</v>
      </c>
      <c r="C123" s="1">
        <v>33009</v>
      </c>
      <c r="D123" s="1"/>
      <c r="E123" t="s">
        <v>202</v>
      </c>
      <c r="F123" t="s">
        <v>8</v>
      </c>
      <c r="G123" t="s">
        <v>3489</v>
      </c>
      <c r="H123" t="s">
        <v>201</v>
      </c>
      <c r="I123" t="s">
        <v>3242</v>
      </c>
      <c r="K123" t="s">
        <v>3224</v>
      </c>
      <c r="L123" t="s">
        <v>3238</v>
      </c>
      <c r="M123" t="str">
        <f t="shared" si="2"/>
        <v>G21</v>
      </c>
      <c r="N123" t="s">
        <v>3239</v>
      </c>
      <c r="O123" t="s">
        <v>3240</v>
      </c>
      <c r="P123" t="s">
        <v>3240</v>
      </c>
      <c r="R123" t="str">
        <f t="shared" si="3"/>
        <v>INSERT INTO stock (ticker, name, listing_date, sub_industry, industry, sector, status) VALUES ('BFIN', 'BFI Finance Indonesia Tbk.', '1990-05-16', 'G211', 'G21', 'IDXFINANCE', (SELECT id FROM attribute WHERE type = 'STOCK_STATUS' AND code = 'LISTED')) ON CONFLICT DO NOTHING;</v>
      </c>
    </row>
    <row r="124" spans="1:18" x14ac:dyDescent="0.2">
      <c r="A124" t="s">
        <v>203</v>
      </c>
      <c r="B124" t="s">
        <v>204</v>
      </c>
      <c r="C124" s="1">
        <v>42502</v>
      </c>
      <c r="D124" s="1"/>
      <c r="E124" t="s">
        <v>205</v>
      </c>
      <c r="F124" t="s">
        <v>8</v>
      </c>
      <c r="G124" t="s">
        <v>3489</v>
      </c>
      <c r="H124" t="s">
        <v>203</v>
      </c>
      <c r="I124" t="s">
        <v>204</v>
      </c>
      <c r="K124" t="s">
        <v>3224</v>
      </c>
      <c r="L124" t="s">
        <v>3225</v>
      </c>
      <c r="M124" t="str">
        <f t="shared" si="2"/>
        <v>G11</v>
      </c>
      <c r="N124" t="s">
        <v>3226</v>
      </c>
      <c r="O124" t="s">
        <v>3225</v>
      </c>
      <c r="P124" t="s">
        <v>3225</v>
      </c>
      <c r="R124" t="str">
        <f t="shared" si="3"/>
        <v>INSERT INTO stock (ticker, name, listing_date, sub_industry, industry, sector, status) VALUES ('BGTG', 'Bank Ganesha Tbk.', '2016-05-12', 'G111', 'G11', 'IDXFINANCE', (SELECT id FROM attribute WHERE type = 'STOCK_STATUS' AND code = 'LISTED')) ON CONFLICT DO NOTHING;</v>
      </c>
    </row>
    <row r="125" spans="1:18" x14ac:dyDescent="0.2">
      <c r="A125" t="s">
        <v>1843</v>
      </c>
      <c r="B125" t="s">
        <v>1844</v>
      </c>
      <c r="C125" s="1">
        <v>43936</v>
      </c>
      <c r="D125" s="1"/>
      <c r="E125" t="s">
        <v>722</v>
      </c>
      <c r="F125" t="s">
        <v>28</v>
      </c>
      <c r="G125" t="s">
        <v>3489</v>
      </c>
      <c r="H125" t="s">
        <v>1843</v>
      </c>
      <c r="I125" t="s">
        <v>3279</v>
      </c>
      <c r="K125" t="s">
        <v>3224</v>
      </c>
      <c r="L125" t="s">
        <v>3264</v>
      </c>
      <c r="M125" t="str">
        <f t="shared" si="2"/>
        <v>G41</v>
      </c>
      <c r="N125" t="s">
        <v>3280</v>
      </c>
      <c r="O125" t="s">
        <v>3264</v>
      </c>
      <c r="P125" t="s">
        <v>3281</v>
      </c>
      <c r="R125" t="str">
        <f t="shared" si="3"/>
        <v>INSERT INTO stock (ticker, name, listing_date, sub_industry, industry, sector, status) VALUES ('BHAT', 'Bhakti Multi Artha Tbk.', '2020-04-15', 'G413', 'G41', 'IDXFINANCE', (SELECT id FROM attribute WHERE type = 'STOCK_STATUS' AND code = 'LISTED')) ON CONFLICT DO NOTHING;</v>
      </c>
    </row>
    <row r="126" spans="1:18" x14ac:dyDescent="0.2">
      <c r="A126" t="s">
        <v>206</v>
      </c>
      <c r="B126" t="s">
        <v>207</v>
      </c>
      <c r="C126" s="1">
        <v>35758</v>
      </c>
      <c r="D126" s="1"/>
      <c r="E126" t="s">
        <v>208</v>
      </c>
      <c r="F126" t="s">
        <v>12</v>
      </c>
      <c r="G126" t="s">
        <v>3489</v>
      </c>
      <c r="H126" t="s">
        <v>206</v>
      </c>
      <c r="I126" t="s">
        <v>207</v>
      </c>
      <c r="K126" t="s">
        <v>2874</v>
      </c>
      <c r="L126" t="s">
        <v>2939</v>
      </c>
      <c r="M126" t="str">
        <f t="shared" si="2"/>
        <v>C31</v>
      </c>
      <c r="N126" t="s">
        <v>2940</v>
      </c>
      <c r="O126" t="s">
        <v>2939</v>
      </c>
      <c r="P126" t="s">
        <v>2939</v>
      </c>
      <c r="R126" t="str">
        <f t="shared" si="3"/>
        <v>INSERT INTO stock (ticker, name, listing_date, sub_industry, industry, sector, status) VALUES ('BHIT', 'MNC Asia Holding Tbk.', '1997-11-24', 'C311', 'C31', 'IDXINDUST', (SELECT id FROM attribute WHERE type = 'STOCK_STATUS' AND code = 'LISTED')) ON CONFLICT DO NOTHING;</v>
      </c>
    </row>
    <row r="127" spans="1:18" x14ac:dyDescent="0.2">
      <c r="A127" t="s">
        <v>209</v>
      </c>
      <c r="B127" t="s">
        <v>210</v>
      </c>
      <c r="C127" s="1">
        <v>42199</v>
      </c>
      <c r="D127" s="1"/>
      <c r="E127" t="s">
        <v>211</v>
      </c>
      <c r="F127" t="s">
        <v>12</v>
      </c>
      <c r="G127" t="s">
        <v>3489</v>
      </c>
      <c r="H127" t="s">
        <v>209</v>
      </c>
      <c r="I127" t="s">
        <v>3322</v>
      </c>
      <c r="K127" t="s">
        <v>3306</v>
      </c>
      <c r="L127" t="s">
        <v>3307</v>
      </c>
      <c r="M127" t="str">
        <f t="shared" si="2"/>
        <v>H11</v>
      </c>
      <c r="N127" t="s">
        <v>3308</v>
      </c>
      <c r="O127" t="s">
        <v>3309</v>
      </c>
      <c r="P127" t="s">
        <v>3310</v>
      </c>
      <c r="R127" t="str">
        <f t="shared" si="3"/>
        <v>INSERT INTO stock (ticker, name, listing_date, sub_industry, industry, sector, status) VALUES ('BIKA', 'Binakarya Jaya Abadi Tbk.', '2015-07-14', 'H111', 'H11', 'IDXPROPERT', (SELECT id FROM attribute WHERE type = 'STOCK_STATUS' AND code = 'LISTED')) ON CONFLICT DO NOTHING;</v>
      </c>
    </row>
    <row r="128" spans="1:18" x14ac:dyDescent="0.2">
      <c r="A128" t="s">
        <v>2088</v>
      </c>
      <c r="B128" t="s">
        <v>2089</v>
      </c>
      <c r="C128" s="1">
        <v>44641</v>
      </c>
      <c r="D128" s="1"/>
      <c r="E128" t="s">
        <v>2090</v>
      </c>
      <c r="F128" t="s">
        <v>28</v>
      </c>
      <c r="G128" t="s">
        <v>3489</v>
      </c>
      <c r="H128" t="s">
        <v>2088</v>
      </c>
      <c r="I128" t="s">
        <v>3719</v>
      </c>
      <c r="K128" t="s">
        <v>3039</v>
      </c>
      <c r="L128" t="s">
        <v>3071</v>
      </c>
      <c r="M128" t="str">
        <f t="shared" si="2"/>
        <v>E32</v>
      </c>
      <c r="N128" t="s">
        <v>3074</v>
      </c>
      <c r="O128" t="s">
        <v>3075</v>
      </c>
      <c r="P128" t="s">
        <v>3075</v>
      </c>
      <c r="R128" t="str">
        <f t="shared" si="3"/>
        <v>INSERT INTO stock (ticker, name, listing_date, sub_industry, industry, sector, status) VALUES ('BIKE', 'Sepeda Bersama Indonesia Tbk.', '2022-03-21', 'E321', 'E32', 'IDXCYCLIC', (SELECT id FROM attribute WHERE type = 'STOCK_STATUS' AND code = 'LISTED')) ON CONFLICT DO NOTHING;</v>
      </c>
    </row>
    <row r="129" spans="1:18" x14ac:dyDescent="0.2">
      <c r="A129" t="s">
        <v>212</v>
      </c>
      <c r="B129" t="s">
        <v>3523</v>
      </c>
      <c r="C129" s="1">
        <v>34576</v>
      </c>
      <c r="D129" s="1"/>
      <c r="E129" t="s">
        <v>213</v>
      </c>
      <c r="F129" t="s">
        <v>12</v>
      </c>
      <c r="G129" t="s">
        <v>3489</v>
      </c>
      <c r="H129" t="s">
        <v>212</v>
      </c>
      <c r="I129" t="s">
        <v>3087</v>
      </c>
      <c r="K129" t="s">
        <v>3039</v>
      </c>
      <c r="L129" t="s">
        <v>3077</v>
      </c>
      <c r="M129" t="str">
        <f t="shared" si="2"/>
        <v>E41</v>
      </c>
      <c r="N129" t="s">
        <v>3085</v>
      </c>
      <c r="O129" t="s">
        <v>3077</v>
      </c>
      <c r="P129" t="s">
        <v>3086</v>
      </c>
      <c r="R129" t="str">
        <f t="shared" si="3"/>
        <v>INSERT INTO stock (ticker, name, listing_date, sub_industry, industry, sector, status) VALUES ('BIMA', 'Primarindo Asia Infrastructure Tbk.', '1994-08-30', 'E412', 'E41', 'IDXCYCLIC', (SELECT id FROM attribute WHERE type = 'STOCK_STATUS' AND code = 'LISTED')) ON CONFLICT DO NOTHING;</v>
      </c>
    </row>
    <row r="130" spans="1:18" x14ac:dyDescent="0.2">
      <c r="A130" t="s">
        <v>214</v>
      </c>
      <c r="B130" t="s">
        <v>215</v>
      </c>
      <c r="C130" s="1">
        <v>41655</v>
      </c>
      <c r="D130" s="1"/>
      <c r="E130" t="s">
        <v>216</v>
      </c>
      <c r="F130" t="s">
        <v>8</v>
      </c>
      <c r="G130" t="s">
        <v>3489</v>
      </c>
      <c r="H130" t="s">
        <v>214</v>
      </c>
      <c r="I130" t="s">
        <v>215</v>
      </c>
      <c r="K130" t="s">
        <v>3224</v>
      </c>
      <c r="L130" t="s">
        <v>3225</v>
      </c>
      <c r="M130" t="str">
        <f t="shared" ref="M130:M193" si="4">LEFT(N130, 3)</f>
        <v>G11</v>
      </c>
      <c r="N130" t="s">
        <v>3226</v>
      </c>
      <c r="O130" t="s">
        <v>3225</v>
      </c>
      <c r="P130" t="s">
        <v>3225</v>
      </c>
      <c r="R130" t="str">
        <f t="shared" si="3"/>
        <v>INSERT INTO stock (ticker, name, listing_date, sub_industry, industry, sector, status) VALUES ('BINA', 'Bank Ina Perdana Tbk.', '2014-01-16', 'G111', 'G11', 'IDXFINANCE', (SELECT id FROM attribute WHERE type = 'STOCK_STATUS' AND code = 'LISTED')) ON CONFLICT DO NOTHING;</v>
      </c>
    </row>
    <row r="131" spans="1:18" x14ac:dyDescent="0.2">
      <c r="A131" t="s">
        <v>2025</v>
      </c>
      <c r="B131" t="s">
        <v>2026</v>
      </c>
      <c r="C131" s="1">
        <v>44525</v>
      </c>
      <c r="D131" s="1"/>
      <c r="E131" t="s">
        <v>2027</v>
      </c>
      <c r="F131" t="s">
        <v>28</v>
      </c>
      <c r="G131" t="s">
        <v>3489</v>
      </c>
      <c r="H131" t="s">
        <v>2025</v>
      </c>
      <c r="I131" t="s">
        <v>2920</v>
      </c>
      <c r="K131" t="s">
        <v>2874</v>
      </c>
      <c r="L131" t="s">
        <v>2910</v>
      </c>
      <c r="M131" t="str">
        <f t="shared" si="4"/>
        <v>C22</v>
      </c>
      <c r="N131" t="s">
        <v>2921</v>
      </c>
      <c r="O131" t="s">
        <v>2916</v>
      </c>
      <c r="P131" t="s">
        <v>2922</v>
      </c>
      <c r="R131" t="str">
        <f t="shared" ref="R131:R194" si="5">CONCATENATE($R$1, A131, "', '", B131, "', '", TEXT(C131, "YYYY-MM-DD"), "', '", N131, "', '", M131, "', '", K131, "', ", $S$1, ") ON CONFLICT DO NOTHING;")</f>
        <v>INSERT INTO stock (ticker, name, listing_date, sub_industry, industry, sector, status) VALUES ('BINO', 'Perma Plasindo Tbk.', '2021-11-25', 'C223', 'C22', 'IDXINDUST', (SELECT id FROM attribute WHERE type = 'STOCK_STATUS' AND code = 'LISTED')) ON CONFLICT DO NOTHING;</v>
      </c>
    </row>
    <row r="132" spans="1:18" x14ac:dyDescent="0.2">
      <c r="A132" t="s">
        <v>217</v>
      </c>
      <c r="B132" t="s">
        <v>3524</v>
      </c>
      <c r="C132" s="1">
        <v>40220</v>
      </c>
      <c r="D132" s="1"/>
      <c r="E132" t="s">
        <v>218</v>
      </c>
      <c r="F132" t="s">
        <v>28</v>
      </c>
      <c r="G132" t="s">
        <v>3489</v>
      </c>
      <c r="H132" t="s">
        <v>217</v>
      </c>
      <c r="I132" t="s">
        <v>2700</v>
      </c>
      <c r="K132" t="s">
        <v>2701</v>
      </c>
      <c r="L132" t="s">
        <v>2702</v>
      </c>
      <c r="M132" t="str">
        <f t="shared" si="4"/>
        <v>A11</v>
      </c>
      <c r="N132" t="s">
        <v>2703</v>
      </c>
      <c r="O132" t="s">
        <v>2704</v>
      </c>
      <c r="P132" t="s">
        <v>2705</v>
      </c>
      <c r="R132" t="str">
        <f t="shared" si="5"/>
        <v>INSERT INTO stock (ticker, name, listing_date, sub_industry, industry, sector, status) VALUES ('BIPI', 'Astrindo Nusantara Infrastruktur Tbk.', '2010-02-11', 'A111', 'A11', 'IDXENERGY', (SELECT id FROM attribute WHERE type = 'STOCK_STATUS' AND code = 'LISTED')) ON CONFLICT DO NOTHING;</v>
      </c>
    </row>
    <row r="133" spans="1:18" x14ac:dyDescent="0.2">
      <c r="A133" t="s">
        <v>219</v>
      </c>
      <c r="B133" t="s">
        <v>220</v>
      </c>
      <c r="C133" s="1">
        <v>34995</v>
      </c>
      <c r="D133" s="1"/>
      <c r="E133" t="s">
        <v>221</v>
      </c>
      <c r="F133" t="s">
        <v>28</v>
      </c>
      <c r="G133" t="s">
        <v>3489</v>
      </c>
      <c r="H133" t="s">
        <v>219</v>
      </c>
      <c r="I133" t="s">
        <v>3323</v>
      </c>
      <c r="K133" t="s">
        <v>3306</v>
      </c>
      <c r="L133" t="s">
        <v>3307</v>
      </c>
      <c r="M133" t="str">
        <f t="shared" si="4"/>
        <v>H11</v>
      </c>
      <c r="N133" t="s">
        <v>3308</v>
      </c>
      <c r="O133" t="s">
        <v>3309</v>
      </c>
      <c r="P133" t="s">
        <v>3310</v>
      </c>
      <c r="R133" t="str">
        <f t="shared" si="5"/>
        <v>INSERT INTO stock (ticker, name, listing_date, sub_industry, industry, sector, status) VALUES ('BIPP', 'Bhuwanatala Indah Permai Tbk.', '1995-10-23', 'H111', 'H11', 'IDXPROPERT', (SELECT id FROM attribute WHERE type = 'STOCK_STATUS' AND code = 'LISTED')) ON CONFLICT DO NOTHING;</v>
      </c>
    </row>
    <row r="134" spans="1:18" x14ac:dyDescent="0.2">
      <c r="A134" t="s">
        <v>222</v>
      </c>
      <c r="B134" t="s">
        <v>223</v>
      </c>
      <c r="C134" s="1">
        <v>41948</v>
      </c>
      <c r="D134" s="1"/>
      <c r="E134" t="s">
        <v>224</v>
      </c>
      <c r="F134" t="s">
        <v>8</v>
      </c>
      <c r="G134" t="s">
        <v>3489</v>
      </c>
      <c r="H134" t="s">
        <v>222</v>
      </c>
      <c r="I134" t="s">
        <v>3720</v>
      </c>
      <c r="K134" t="s">
        <v>3470</v>
      </c>
      <c r="L134" t="s">
        <v>3471</v>
      </c>
      <c r="M134" t="str">
        <f t="shared" si="4"/>
        <v>K13</v>
      </c>
      <c r="N134" t="s">
        <v>3477</v>
      </c>
      <c r="O134" t="s">
        <v>3478</v>
      </c>
      <c r="P134" t="s">
        <v>3479</v>
      </c>
      <c r="R134" t="str">
        <f t="shared" si="5"/>
        <v>INSERT INTO stock (ticker, name, listing_date, sub_industry, industry, sector, status) VALUES ('BIRD', 'Blue Bird Tbk.', '2014-11-05', 'K132', 'K13', 'IDXTRANS', (SELECT id FROM attribute WHERE type = 'STOCK_STATUS' AND code = 'LISTED')) ON CONFLICT DO NOTHING;</v>
      </c>
    </row>
    <row r="135" spans="1:18" x14ac:dyDescent="0.2">
      <c r="A135" t="s">
        <v>225</v>
      </c>
      <c r="B135" t="s">
        <v>226</v>
      </c>
      <c r="C135" s="1">
        <v>39230</v>
      </c>
      <c r="D135" s="1"/>
      <c r="E135" t="s">
        <v>227</v>
      </c>
      <c r="F135" t="s">
        <v>8</v>
      </c>
      <c r="G135" t="s">
        <v>3489</v>
      </c>
      <c r="H135" t="s">
        <v>225</v>
      </c>
      <c r="I135" t="s">
        <v>3015</v>
      </c>
      <c r="K135" t="s">
        <v>2945</v>
      </c>
      <c r="L135" t="s">
        <v>2961</v>
      </c>
      <c r="M135" t="str">
        <f t="shared" si="4"/>
        <v>D23</v>
      </c>
      <c r="N135" t="s">
        <v>3013</v>
      </c>
      <c r="O135" t="s">
        <v>2999</v>
      </c>
      <c r="P135" t="s">
        <v>3014</v>
      </c>
      <c r="R135" t="str">
        <f t="shared" si="5"/>
        <v>INSERT INTO stock (ticker, name, listing_date, sub_industry, industry, sector, status) VALUES ('BISI', 'BISI International Tbk.', '2007-05-28', 'D232', 'D23', 'IDXNONCYC', (SELECT id FROM attribute WHERE type = 'STOCK_STATUS' AND code = 'LISTED')) ON CONFLICT DO NOTHING;</v>
      </c>
    </row>
    <row r="136" spans="1:18" x14ac:dyDescent="0.2">
      <c r="A136" t="s">
        <v>228</v>
      </c>
      <c r="B136" t="s">
        <v>3525</v>
      </c>
      <c r="C136" s="1">
        <v>40367</v>
      </c>
      <c r="D136" s="1"/>
      <c r="E136" t="s">
        <v>229</v>
      </c>
      <c r="F136" t="s">
        <v>8</v>
      </c>
      <c r="G136" t="s">
        <v>3489</v>
      </c>
      <c r="H136" t="s">
        <v>228</v>
      </c>
      <c r="I136" t="s">
        <v>3227</v>
      </c>
      <c r="K136" t="s">
        <v>3224</v>
      </c>
      <c r="L136" t="s">
        <v>3225</v>
      </c>
      <c r="M136" t="str">
        <f t="shared" si="4"/>
        <v>G11</v>
      </c>
      <c r="N136" t="s">
        <v>3226</v>
      </c>
      <c r="O136" t="s">
        <v>3225</v>
      </c>
      <c r="P136" t="s">
        <v>3225</v>
      </c>
      <c r="R136" t="str">
        <f t="shared" si="5"/>
        <v>INSERT INTO stock (ticker, name, listing_date, sub_industry, industry, sector, status) VALUES ('BJBR', 'Bank Pembangunan Daerah Jawa Barat dan Banten Tbk.', '2010-07-08', 'G111', 'G11', 'IDXFINANCE', (SELECT id FROM attribute WHERE type = 'STOCK_STATUS' AND code = 'LISTED')) ON CONFLICT DO NOTHING;</v>
      </c>
    </row>
    <row r="137" spans="1:18" x14ac:dyDescent="0.2">
      <c r="A137" t="s">
        <v>230</v>
      </c>
      <c r="B137" t="s">
        <v>3526</v>
      </c>
      <c r="C137" s="1">
        <v>41102</v>
      </c>
      <c r="D137" s="1"/>
      <c r="E137" t="s">
        <v>231</v>
      </c>
      <c r="F137" t="s">
        <v>8</v>
      </c>
      <c r="G137" t="s">
        <v>3489</v>
      </c>
      <c r="H137" t="s">
        <v>230</v>
      </c>
      <c r="I137" t="s">
        <v>3228</v>
      </c>
      <c r="K137" t="s">
        <v>3224</v>
      </c>
      <c r="L137" t="s">
        <v>3225</v>
      </c>
      <c r="M137" t="str">
        <f t="shared" si="4"/>
        <v>G11</v>
      </c>
      <c r="N137" t="s">
        <v>3226</v>
      </c>
      <c r="O137" t="s">
        <v>3225</v>
      </c>
      <c r="P137" t="s">
        <v>3225</v>
      </c>
      <c r="R137" t="str">
        <f t="shared" si="5"/>
        <v>INSERT INTO stock (ticker, name, listing_date, sub_industry, industry, sector, status) VALUES ('BJTM', 'Bank Pembangunan Daerah Jawa Timur Tbk.', '2012-07-12', 'G111', 'G11', 'IDXFINANCE', (SELECT id FROM attribute WHERE type = 'STOCK_STATUS' AND code = 'LISTED')) ON CONFLICT DO NOTHING;</v>
      </c>
    </row>
    <row r="138" spans="1:18" x14ac:dyDescent="0.2">
      <c r="A138" t="s">
        <v>232</v>
      </c>
      <c r="B138" t="s">
        <v>3527</v>
      </c>
      <c r="C138" s="1">
        <v>39248</v>
      </c>
      <c r="D138" s="1"/>
      <c r="E138" t="s">
        <v>234</v>
      </c>
      <c r="F138" t="s">
        <v>12</v>
      </c>
      <c r="G138" t="s">
        <v>3489</v>
      </c>
      <c r="H138" t="s">
        <v>232</v>
      </c>
      <c r="I138" t="s">
        <v>233</v>
      </c>
      <c r="K138" t="s">
        <v>3306</v>
      </c>
      <c r="L138" t="s">
        <v>3307</v>
      </c>
      <c r="M138" t="str">
        <f t="shared" si="4"/>
        <v>H11</v>
      </c>
      <c r="N138" t="s">
        <v>3308</v>
      </c>
      <c r="O138" t="s">
        <v>3309</v>
      </c>
      <c r="P138" t="s">
        <v>3310</v>
      </c>
      <c r="R138" t="str">
        <f t="shared" si="5"/>
        <v>INSERT INTO stock (ticker, name, listing_date, sub_industry, industry, sector, status) VALUES ('BKDP', 'Bukit Darmo Property Tbk.', '2007-06-15', 'H111', 'H11', 'IDXPROPERT', (SELECT id FROM attribute WHERE type = 'STOCK_STATUS' AND code = 'LISTED')) ON CONFLICT DO NOTHING;</v>
      </c>
    </row>
    <row r="139" spans="1:18" x14ac:dyDescent="0.2">
      <c r="A139" t="s">
        <v>235</v>
      </c>
      <c r="B139" t="s">
        <v>236</v>
      </c>
      <c r="C139" s="1">
        <v>35639</v>
      </c>
      <c r="D139" s="1"/>
      <c r="E139" t="s">
        <v>237</v>
      </c>
      <c r="F139" t="s">
        <v>8</v>
      </c>
      <c r="G139" t="s">
        <v>3489</v>
      </c>
      <c r="H139" t="s">
        <v>235</v>
      </c>
      <c r="I139" t="s">
        <v>3324</v>
      </c>
      <c r="K139" t="s">
        <v>3306</v>
      </c>
      <c r="L139" t="s">
        <v>3307</v>
      </c>
      <c r="M139" t="str">
        <f t="shared" si="4"/>
        <v>H11</v>
      </c>
      <c r="N139" t="s">
        <v>3308</v>
      </c>
      <c r="O139" t="s">
        <v>3309</v>
      </c>
      <c r="P139" t="s">
        <v>3310</v>
      </c>
      <c r="R139" t="str">
        <f t="shared" si="5"/>
        <v>INSERT INTO stock (ticker, name, listing_date, sub_industry, industry, sector, status) VALUES ('BKSL', 'Sentul City Tbk.', '1997-07-28', 'H111', 'H11', 'IDXPROPERT', (SELECT id FROM attribute WHERE type = 'STOCK_STATUS' AND code = 'LISTED')) ON CONFLICT DO NOTHING;</v>
      </c>
    </row>
    <row r="140" spans="1:18" x14ac:dyDescent="0.2">
      <c r="A140" t="s">
        <v>238</v>
      </c>
      <c r="B140" t="s">
        <v>239</v>
      </c>
      <c r="C140" s="1">
        <v>37581</v>
      </c>
      <c r="D140" s="1"/>
      <c r="E140" t="s">
        <v>240</v>
      </c>
      <c r="F140" t="s">
        <v>28</v>
      </c>
      <c r="G140" t="s">
        <v>3489</v>
      </c>
      <c r="H140" t="s">
        <v>238</v>
      </c>
      <c r="I140" t="s">
        <v>3721</v>
      </c>
      <c r="K140" t="s">
        <v>3224</v>
      </c>
      <c r="L140" t="s">
        <v>3225</v>
      </c>
      <c r="M140" t="str">
        <f t="shared" si="4"/>
        <v>G11</v>
      </c>
      <c r="N140" t="s">
        <v>3226</v>
      </c>
      <c r="O140" t="s">
        <v>3225</v>
      </c>
      <c r="P140" t="s">
        <v>3225</v>
      </c>
      <c r="R140" t="str">
        <f t="shared" si="5"/>
        <v>INSERT INTO stock (ticker, name, listing_date, sub_industry, industry, sector, status) VALUES ('BKSW', 'Bank QNB Indonesia Tbk.', '2002-11-21', 'G111', 'G11', 'IDXFINANCE', (SELECT id FROM attribute WHERE type = 'STOCK_STATUS' AND code = 'LISTED')) ON CONFLICT DO NOTHING;</v>
      </c>
    </row>
    <row r="141" spans="1:18" x14ac:dyDescent="0.2">
      <c r="A141" t="s">
        <v>2477</v>
      </c>
      <c r="B141" t="s">
        <v>2478</v>
      </c>
      <c r="C141" s="1">
        <v>45481</v>
      </c>
      <c r="D141" s="1"/>
      <c r="E141" t="s">
        <v>2479</v>
      </c>
      <c r="F141" t="s">
        <v>28</v>
      </c>
      <c r="G141" t="s">
        <v>3489</v>
      </c>
      <c r="H141" t="s">
        <v>2477</v>
      </c>
      <c r="I141" t="s">
        <v>3722</v>
      </c>
      <c r="K141" t="s">
        <v>2778</v>
      </c>
      <c r="L141" t="s">
        <v>2779</v>
      </c>
      <c r="M141" t="str">
        <f t="shared" si="4"/>
        <v>B12</v>
      </c>
      <c r="N141" t="s">
        <v>2801</v>
      </c>
      <c r="O141" t="s">
        <v>2802</v>
      </c>
      <c r="P141" t="s">
        <v>2802</v>
      </c>
      <c r="R141" t="str">
        <f t="shared" si="5"/>
        <v>INSERT INTO stock (ticker, name, listing_date, sub_industry, industry, sector, status) VALUES ('BLES', 'Superior Prima Sukses Tbk.', '2024-07-08', 'B121', 'B12', 'IDXBASIC', (SELECT id FROM attribute WHERE type = 'STOCK_STATUS' AND code = 'LISTED')) ON CONFLICT DO NOTHING;</v>
      </c>
    </row>
    <row r="142" spans="1:18" x14ac:dyDescent="0.2">
      <c r="A142" t="s">
        <v>2547</v>
      </c>
      <c r="B142" t="s">
        <v>2548</v>
      </c>
      <c r="C142" s="1">
        <v>45848</v>
      </c>
      <c r="D142" s="1"/>
      <c r="E142" t="s">
        <v>2549</v>
      </c>
      <c r="F142" t="s">
        <v>8</v>
      </c>
      <c r="G142" t="s">
        <v>3489</v>
      </c>
      <c r="H142" t="s">
        <v>2547</v>
      </c>
      <c r="I142" t="s">
        <v>3723</v>
      </c>
      <c r="K142" t="s">
        <v>3470</v>
      </c>
      <c r="L142" t="s">
        <v>3481</v>
      </c>
      <c r="M142" t="str">
        <f t="shared" si="4"/>
        <v>K21</v>
      </c>
      <c r="N142" t="s">
        <v>3482</v>
      </c>
      <c r="O142" t="s">
        <v>3481</v>
      </c>
      <c r="P142" t="s">
        <v>3481</v>
      </c>
      <c r="R142" t="str">
        <f t="shared" si="5"/>
        <v>INSERT INTO stock (ticker, name, listing_date, sub_industry, industry, sector, status) VALUES ('BLOG', 'Trimitra Trans Persada Tbk.', '2025-07-10', 'K211', 'K21', 'IDXTRANS', (SELECT id FROM attribute WHERE type = 'STOCK_STATUS' AND code = 'LISTED')) ON CONFLICT DO NOTHING;</v>
      </c>
    </row>
    <row r="143" spans="1:18" x14ac:dyDescent="0.2">
      <c r="A143" t="s">
        <v>241</v>
      </c>
      <c r="B143" t="s">
        <v>3528</v>
      </c>
      <c r="C143" s="1">
        <v>32958</v>
      </c>
      <c r="D143" s="1"/>
      <c r="E143" t="s">
        <v>243</v>
      </c>
      <c r="F143" t="s">
        <v>12</v>
      </c>
      <c r="G143" t="s">
        <v>3489</v>
      </c>
      <c r="H143" t="s">
        <v>241</v>
      </c>
      <c r="I143" t="s">
        <v>242</v>
      </c>
      <c r="K143" t="s">
        <v>3470</v>
      </c>
      <c r="L143" t="s">
        <v>3481</v>
      </c>
      <c r="M143" t="str">
        <f t="shared" si="4"/>
        <v>K21</v>
      </c>
      <c r="N143" t="s">
        <v>3482</v>
      </c>
      <c r="O143" t="s">
        <v>3481</v>
      </c>
      <c r="P143" t="s">
        <v>3481</v>
      </c>
      <c r="R143" t="str">
        <f t="shared" si="5"/>
        <v>INSERT INTO stock (ticker, name, listing_date, sub_industry, industry, sector, status) VALUES ('BLTA', 'Berlian Laju Tanker Tbk.', '1990-03-26', 'K211', 'K21', 'IDXTRANS', (SELECT id FROM attribute WHERE type = 'STOCK_STATUS' AND code = 'LISTED')) ON CONFLICT DO NOTHING;</v>
      </c>
    </row>
    <row r="144" spans="1:18" x14ac:dyDescent="0.2">
      <c r="A144" t="s">
        <v>244</v>
      </c>
      <c r="B144" t="s">
        <v>245</v>
      </c>
      <c r="C144" s="1">
        <v>41739</v>
      </c>
      <c r="D144" s="1"/>
      <c r="E144" t="s">
        <v>246</v>
      </c>
      <c r="F144" t="s">
        <v>12</v>
      </c>
      <c r="G144" t="s">
        <v>3489</v>
      </c>
      <c r="H144" t="s">
        <v>244</v>
      </c>
      <c r="I144" t="s">
        <v>3123</v>
      </c>
      <c r="K144" t="s">
        <v>3039</v>
      </c>
      <c r="L144" t="s">
        <v>3092</v>
      </c>
      <c r="M144" t="str">
        <f t="shared" si="4"/>
        <v>E51</v>
      </c>
      <c r="N144" t="s">
        <v>3124</v>
      </c>
      <c r="O144" t="s">
        <v>3094</v>
      </c>
      <c r="P144" t="s">
        <v>3125</v>
      </c>
      <c r="R144" t="str">
        <f t="shared" si="5"/>
        <v>INSERT INTO stock (ticker, name, listing_date, sub_industry, industry, sector, status) VALUES ('BLTZ', 'Graha Layar Prima Tbk.', '2014-04-10', 'E514', 'E51', 'IDXCYCLIC', (SELECT id FROM attribute WHERE type = 'STOCK_STATUS' AND code = 'LISTED')) ON CONFLICT DO NOTHING;</v>
      </c>
    </row>
    <row r="145" spans="1:18" x14ac:dyDescent="0.2">
      <c r="A145" t="s">
        <v>1703</v>
      </c>
      <c r="B145" t="s">
        <v>1704</v>
      </c>
      <c r="C145" s="1">
        <v>43654</v>
      </c>
      <c r="D145" s="1"/>
      <c r="E145" t="s">
        <v>1705</v>
      </c>
      <c r="F145" t="s">
        <v>28</v>
      </c>
      <c r="G145" t="s">
        <v>3489</v>
      </c>
      <c r="H145" t="s">
        <v>1703</v>
      </c>
      <c r="I145" t="s">
        <v>2923</v>
      </c>
      <c r="K145" t="s">
        <v>2874</v>
      </c>
      <c r="L145" t="s">
        <v>2910</v>
      </c>
      <c r="M145" t="str">
        <f t="shared" si="4"/>
        <v>C22</v>
      </c>
      <c r="N145" t="s">
        <v>2921</v>
      </c>
      <c r="O145" t="s">
        <v>2916</v>
      </c>
      <c r="P145" t="s">
        <v>2922</v>
      </c>
      <c r="R145" t="str">
        <f t="shared" si="5"/>
        <v>INSERT INTO stock (ticker, name, listing_date, sub_industry, industry, sector, status) VALUES ('BLUE', 'Berkah Prima Perkasa Tbk.', '2019-07-08', 'C223', 'C22', 'IDXINDUST', (SELECT id FROM attribute WHERE type = 'STOCK_STATUS' AND code = 'LISTED')) ON CONFLICT DO NOTHING;</v>
      </c>
    </row>
    <row r="146" spans="1:18" x14ac:dyDescent="0.2">
      <c r="A146" t="s">
        <v>247</v>
      </c>
      <c r="B146" t="s">
        <v>248</v>
      </c>
      <c r="C146" s="1">
        <v>41466</v>
      </c>
      <c r="D146" s="1"/>
      <c r="E146" t="s">
        <v>249</v>
      </c>
      <c r="F146" t="s">
        <v>28</v>
      </c>
      <c r="G146" t="s">
        <v>3489</v>
      </c>
      <c r="H146" t="s">
        <v>247</v>
      </c>
      <c r="I146" t="s">
        <v>248</v>
      </c>
      <c r="K146" t="s">
        <v>3224</v>
      </c>
      <c r="L146" t="s">
        <v>3225</v>
      </c>
      <c r="M146" t="str">
        <f t="shared" si="4"/>
        <v>G11</v>
      </c>
      <c r="N146" t="s">
        <v>3226</v>
      </c>
      <c r="O146" t="s">
        <v>3225</v>
      </c>
      <c r="P146" t="s">
        <v>3225</v>
      </c>
      <c r="R146" t="str">
        <f t="shared" si="5"/>
        <v>INSERT INTO stock (ticker, name, listing_date, sub_industry, industry, sector, status) VALUES ('BMAS', 'Bank Maspion Indonesia Tbk.', '2013-07-11', 'G111', 'G11', 'IDXFINANCE', (SELECT id FROM attribute WHERE type = 'STOCK_STATUS' AND code = 'LISTED')) ON CONFLICT DO NOTHING;</v>
      </c>
    </row>
    <row r="147" spans="1:18" x14ac:dyDescent="0.2">
      <c r="A147" t="s">
        <v>2235</v>
      </c>
      <c r="B147" t="s">
        <v>2236</v>
      </c>
      <c r="C147" s="1">
        <v>44937</v>
      </c>
      <c r="D147" s="1"/>
      <c r="E147" t="s">
        <v>2237</v>
      </c>
      <c r="F147" t="s">
        <v>1847</v>
      </c>
      <c r="G147" t="s">
        <v>3489</v>
      </c>
      <c r="H147" t="s">
        <v>2235</v>
      </c>
      <c r="I147" t="s">
        <v>3724</v>
      </c>
      <c r="K147" t="s">
        <v>3039</v>
      </c>
      <c r="L147" t="s">
        <v>3092</v>
      </c>
      <c r="M147" t="str">
        <f t="shared" si="4"/>
        <v>E52</v>
      </c>
      <c r="N147" t="s">
        <v>3139</v>
      </c>
      <c r="O147" t="s">
        <v>3140</v>
      </c>
      <c r="P147" t="s">
        <v>3141</v>
      </c>
      <c r="R147" t="str">
        <f t="shared" si="5"/>
        <v>INSERT INTO stock (ticker, name, listing_date, sub_industry, industry, sector, status) VALUES ('BMBL', 'Lavender Bina Cendikia Tbk.', '2023-01-11', 'E521', 'E52', 'IDXCYCLIC', (SELECT id FROM attribute WHERE type = 'STOCK_STATUS' AND code = 'LISTED')) ON CONFLICT DO NOTHING;</v>
      </c>
    </row>
    <row r="148" spans="1:18" x14ac:dyDescent="0.2">
      <c r="A148" t="s">
        <v>1969</v>
      </c>
      <c r="B148" t="s">
        <v>1970</v>
      </c>
      <c r="C148" s="1">
        <v>44383</v>
      </c>
      <c r="D148" s="1"/>
      <c r="E148" t="s">
        <v>1971</v>
      </c>
      <c r="F148" t="s">
        <v>8</v>
      </c>
      <c r="G148" t="s">
        <v>3489</v>
      </c>
      <c r="H148" t="s">
        <v>1969</v>
      </c>
      <c r="I148" t="s">
        <v>3205</v>
      </c>
      <c r="K148" t="s">
        <v>3199</v>
      </c>
      <c r="L148" t="s">
        <v>3200</v>
      </c>
      <c r="M148" t="str">
        <f t="shared" si="4"/>
        <v>F12</v>
      </c>
      <c r="N148" t="s">
        <v>3206</v>
      </c>
      <c r="O148" t="s">
        <v>3207</v>
      </c>
      <c r="P148" t="s">
        <v>3207</v>
      </c>
      <c r="R148" t="str">
        <f t="shared" si="5"/>
        <v>INSERT INTO stock (ticker, name, listing_date, sub_industry, industry, sector, status) VALUES ('BMHS', 'Bundamedik Tbk.', '2021-07-06', 'F121', 'F12', 'IDXHEALTH', (SELECT id FROM attribute WHERE type = 'STOCK_STATUS' AND code = 'LISTED')) ON CONFLICT DO NOTHING;</v>
      </c>
    </row>
    <row r="149" spans="1:18" x14ac:dyDescent="0.2">
      <c r="A149" t="s">
        <v>250</v>
      </c>
      <c r="B149" t="s">
        <v>251</v>
      </c>
      <c r="C149" s="1">
        <v>37816</v>
      </c>
      <c r="D149" s="1"/>
      <c r="E149" t="s">
        <v>252</v>
      </c>
      <c r="F149" t="s">
        <v>8</v>
      </c>
      <c r="G149" t="s">
        <v>3489</v>
      </c>
      <c r="H149" t="s">
        <v>250</v>
      </c>
      <c r="I149" t="s">
        <v>251</v>
      </c>
      <c r="K149" t="s">
        <v>3224</v>
      </c>
      <c r="L149" t="s">
        <v>3225</v>
      </c>
      <c r="M149" t="str">
        <f t="shared" si="4"/>
        <v>G11</v>
      </c>
      <c r="N149" t="s">
        <v>3226</v>
      </c>
      <c r="O149" t="s">
        <v>3225</v>
      </c>
      <c r="P149" t="s">
        <v>3225</v>
      </c>
      <c r="R149" t="str">
        <f t="shared" si="5"/>
        <v>INSERT INTO stock (ticker, name, listing_date, sub_industry, industry, sector, status) VALUES ('BMRI', 'Bank Mandiri (Persero) Tbk.', '2003-07-14', 'G111', 'G11', 'IDXFINANCE', (SELECT id FROM attribute WHERE type = 'STOCK_STATUS' AND code = 'LISTED')) ON CONFLICT DO NOTHING;</v>
      </c>
    </row>
    <row r="150" spans="1:18" x14ac:dyDescent="0.2">
      <c r="A150" t="s">
        <v>253</v>
      </c>
      <c r="B150" t="s">
        <v>3529</v>
      </c>
      <c r="C150" s="1">
        <v>36523</v>
      </c>
      <c r="D150" s="1"/>
      <c r="E150" t="s">
        <v>255</v>
      </c>
      <c r="F150" t="s">
        <v>28</v>
      </c>
      <c r="G150" t="s">
        <v>3489</v>
      </c>
      <c r="H150" t="s">
        <v>253</v>
      </c>
      <c r="I150" t="s">
        <v>254</v>
      </c>
      <c r="K150" t="s">
        <v>2778</v>
      </c>
      <c r="L150" t="s">
        <v>2779</v>
      </c>
      <c r="M150" t="str">
        <f t="shared" si="4"/>
        <v>B11</v>
      </c>
      <c r="N150" t="s">
        <v>2780</v>
      </c>
      <c r="O150" t="s">
        <v>2781</v>
      </c>
      <c r="P150" t="s">
        <v>2782</v>
      </c>
      <c r="R150" t="str">
        <f t="shared" si="5"/>
        <v>INSERT INTO stock (ticker, name, listing_date, sub_industry, industry, sector, status) VALUES ('BMSR', 'Bintang Mitra Semestaraya Tbk.', '1999-12-29', 'B111', 'B11', 'IDXBASIC', (SELECT id FROM attribute WHERE type = 'STOCK_STATUS' AND code = 'LISTED')) ON CONFLICT DO NOTHING;</v>
      </c>
    </row>
    <row r="151" spans="1:18" x14ac:dyDescent="0.2">
      <c r="A151" t="s">
        <v>256</v>
      </c>
      <c r="B151" t="s">
        <v>257</v>
      </c>
      <c r="C151" s="1">
        <v>34897</v>
      </c>
      <c r="D151" s="1"/>
      <c r="E151" t="s">
        <v>258</v>
      </c>
      <c r="F151" t="s">
        <v>8</v>
      </c>
      <c r="G151" t="s">
        <v>3489</v>
      </c>
      <c r="H151" t="s">
        <v>256</v>
      </c>
      <c r="I151" t="s">
        <v>3725</v>
      </c>
      <c r="K151" t="s">
        <v>2874</v>
      </c>
      <c r="L151" t="s">
        <v>2939</v>
      </c>
      <c r="M151" t="str">
        <f t="shared" si="4"/>
        <v>C31</v>
      </c>
      <c r="N151" t="s">
        <v>2940</v>
      </c>
      <c r="O151" t="s">
        <v>2939</v>
      </c>
      <c r="P151" t="s">
        <v>2939</v>
      </c>
      <c r="R151" t="str">
        <f t="shared" si="5"/>
        <v>INSERT INTO stock (ticker, name, listing_date, sub_industry, industry, sector, status) VALUES ('BMTR', 'Global Mediacom Tbk.', '1995-07-17', 'C311', 'C31', 'IDXINDUST', (SELECT id FROM attribute WHERE type = 'STOCK_STATUS' AND code = 'LISTED')) ON CONFLICT DO NOTHING;</v>
      </c>
    </row>
    <row r="152" spans="1:18" x14ac:dyDescent="0.2">
      <c r="A152" t="s">
        <v>259</v>
      </c>
      <c r="B152" t="s">
        <v>260</v>
      </c>
      <c r="C152" s="1">
        <v>38869</v>
      </c>
      <c r="D152" s="1"/>
      <c r="E152" t="s">
        <v>261</v>
      </c>
      <c r="F152" t="s">
        <v>28</v>
      </c>
      <c r="G152" t="s">
        <v>3489</v>
      </c>
      <c r="H152" t="s">
        <v>259</v>
      </c>
      <c r="I152" t="s">
        <v>3229</v>
      </c>
      <c r="K152" t="s">
        <v>3224</v>
      </c>
      <c r="L152" t="s">
        <v>3225</v>
      </c>
      <c r="M152" t="str">
        <f t="shared" si="4"/>
        <v>G11</v>
      </c>
      <c r="N152" t="s">
        <v>3226</v>
      </c>
      <c r="O152" t="s">
        <v>3225</v>
      </c>
      <c r="P152" t="s">
        <v>3225</v>
      </c>
      <c r="R152" t="str">
        <f t="shared" si="5"/>
        <v>INSERT INTO stock (ticker, name, listing_date, sub_industry, industry, sector, status) VALUES ('BNBA', 'Bank Bumi Arta Tbk.', '2006-06-01', 'G111', 'G11', 'IDXFINANCE', (SELECT id FROM attribute WHERE type = 'STOCK_STATUS' AND code = 'LISTED')) ON CONFLICT DO NOTHING;</v>
      </c>
    </row>
    <row r="153" spans="1:18" x14ac:dyDescent="0.2">
      <c r="A153" t="s">
        <v>262</v>
      </c>
      <c r="B153" t="s">
        <v>3530</v>
      </c>
      <c r="C153" s="1">
        <v>32748</v>
      </c>
      <c r="D153" s="1"/>
      <c r="E153" t="s">
        <v>264</v>
      </c>
      <c r="F153" t="s">
        <v>28</v>
      </c>
      <c r="G153" t="s">
        <v>3489</v>
      </c>
      <c r="H153" t="s">
        <v>262</v>
      </c>
      <c r="I153" t="s">
        <v>263</v>
      </c>
      <c r="K153" t="s">
        <v>2874</v>
      </c>
      <c r="L153" t="s">
        <v>2939</v>
      </c>
      <c r="M153" t="str">
        <f t="shared" si="4"/>
        <v>C31</v>
      </c>
      <c r="N153" t="s">
        <v>2940</v>
      </c>
      <c r="O153" t="s">
        <v>2939</v>
      </c>
      <c r="P153" t="s">
        <v>2939</v>
      </c>
      <c r="R153" t="str">
        <f t="shared" si="5"/>
        <v>INSERT INTO stock (ticker, name, listing_date, sub_industry, industry, sector, status) VALUES ('BNBR', 'Bakrie &amp; Brothers Tbk.', '1989-08-28', 'C311', 'C31', 'IDXINDUST', (SELECT id FROM attribute WHERE type = 'STOCK_STATUS' AND code = 'LISTED')) ON CONFLICT DO NOTHING;</v>
      </c>
    </row>
    <row r="154" spans="1:18" x14ac:dyDescent="0.2">
      <c r="A154" t="s">
        <v>265</v>
      </c>
      <c r="B154" t="s">
        <v>266</v>
      </c>
      <c r="C154" s="1">
        <v>32841</v>
      </c>
      <c r="D154" s="1"/>
      <c r="E154" t="s">
        <v>267</v>
      </c>
      <c r="F154" t="s">
        <v>8</v>
      </c>
      <c r="G154" t="s">
        <v>3489</v>
      </c>
      <c r="H154" t="s">
        <v>265</v>
      </c>
      <c r="I154" t="s">
        <v>3726</v>
      </c>
      <c r="K154" t="s">
        <v>3224</v>
      </c>
      <c r="L154" t="s">
        <v>3225</v>
      </c>
      <c r="M154" t="str">
        <f t="shared" si="4"/>
        <v>G11</v>
      </c>
      <c r="N154" t="s">
        <v>3226</v>
      </c>
      <c r="O154" t="s">
        <v>3225</v>
      </c>
      <c r="P154" t="s">
        <v>3225</v>
      </c>
      <c r="R154" t="str">
        <f t="shared" si="5"/>
        <v>INSERT INTO stock (ticker, name, listing_date, sub_industry, industry, sector, status) VALUES ('BNGA', 'Bank CIMB Niaga Tbk.', '1989-11-29', 'G111', 'G11', 'IDXFINANCE', (SELECT id FROM attribute WHERE type = 'STOCK_STATUS' AND code = 'LISTED')) ON CONFLICT DO NOTHING;</v>
      </c>
    </row>
    <row r="155" spans="1:18" x14ac:dyDescent="0.2">
      <c r="A155" t="s">
        <v>268</v>
      </c>
      <c r="B155" t="s">
        <v>269</v>
      </c>
      <c r="C155" s="1">
        <v>32833</v>
      </c>
      <c r="D155" s="1"/>
      <c r="E155" t="s">
        <v>270</v>
      </c>
      <c r="F155" t="s">
        <v>8</v>
      </c>
      <c r="G155" t="s">
        <v>3489</v>
      </c>
      <c r="H155" t="s">
        <v>268</v>
      </c>
      <c r="I155" t="s">
        <v>3727</v>
      </c>
      <c r="K155" t="s">
        <v>3224</v>
      </c>
      <c r="L155" t="s">
        <v>3225</v>
      </c>
      <c r="M155" t="str">
        <f t="shared" si="4"/>
        <v>G11</v>
      </c>
      <c r="N155" t="s">
        <v>3226</v>
      </c>
      <c r="O155" t="s">
        <v>3225</v>
      </c>
      <c r="P155" t="s">
        <v>3225</v>
      </c>
      <c r="R155" t="str">
        <f t="shared" si="5"/>
        <v>INSERT INTO stock (ticker, name, listing_date, sub_industry, industry, sector, status) VALUES ('BNII', 'Bank Maybank Indonesia Tbk.', '1989-11-21', 'G111', 'G11', 'IDXFINANCE', (SELECT id FROM attribute WHERE type = 'STOCK_STATUS' AND code = 'LISTED')) ON CONFLICT DO NOTHING;</v>
      </c>
    </row>
    <row r="156" spans="1:18" x14ac:dyDescent="0.2">
      <c r="A156" t="s">
        <v>271</v>
      </c>
      <c r="B156" t="s">
        <v>272</v>
      </c>
      <c r="C156" s="1">
        <v>32888</v>
      </c>
      <c r="D156" s="1"/>
      <c r="E156" t="s">
        <v>273</v>
      </c>
      <c r="F156" t="s">
        <v>8</v>
      </c>
      <c r="G156" t="s">
        <v>3489</v>
      </c>
      <c r="H156" t="s">
        <v>271</v>
      </c>
      <c r="I156" t="s">
        <v>3230</v>
      </c>
      <c r="K156" t="s">
        <v>3224</v>
      </c>
      <c r="L156" t="s">
        <v>3225</v>
      </c>
      <c r="M156" t="str">
        <f t="shared" si="4"/>
        <v>G11</v>
      </c>
      <c r="N156" t="s">
        <v>3226</v>
      </c>
      <c r="O156" t="s">
        <v>3225</v>
      </c>
      <c r="P156" t="s">
        <v>3225</v>
      </c>
      <c r="R156" t="str">
        <f t="shared" si="5"/>
        <v>INSERT INTO stock (ticker, name, listing_date, sub_industry, industry, sector, status) VALUES ('BNLI', 'Bank Permata Tbk.', '1990-01-15', 'G111', 'G11', 'IDXFINANCE', (SELECT id FROM attribute WHERE type = 'STOCK_STATUS' AND code = 'LISTED')) ON CONFLICT DO NOTHING;</v>
      </c>
    </row>
    <row r="157" spans="1:18" x14ac:dyDescent="0.2">
      <c r="A157" t="s">
        <v>2500</v>
      </c>
      <c r="B157" t="s">
        <v>2501</v>
      </c>
      <c r="C157" s="1">
        <v>45608</v>
      </c>
      <c r="D157" s="1"/>
      <c r="E157" t="s">
        <v>2502</v>
      </c>
      <c r="F157" t="s">
        <v>28</v>
      </c>
      <c r="G157" t="s">
        <v>3489</v>
      </c>
      <c r="H157" t="s">
        <v>2500</v>
      </c>
      <c r="I157" t="s">
        <v>3728</v>
      </c>
      <c r="K157" t="s">
        <v>2701</v>
      </c>
      <c r="L157" t="s">
        <v>2702</v>
      </c>
      <c r="M157" t="str">
        <f t="shared" si="4"/>
        <v>A13</v>
      </c>
      <c r="N157" t="s">
        <v>2763</v>
      </c>
      <c r="O157" t="s">
        <v>2760</v>
      </c>
      <c r="P157" t="s">
        <v>2764</v>
      </c>
      <c r="R157" t="str">
        <f t="shared" si="5"/>
        <v>INSERT INTO stock (ticker, name, listing_date, sub_industry, industry, sector, status) VALUES ('BOAT', 'Newport Marine Services Tbk.', '2024-11-12', 'A132', 'A13', 'IDXENERGY', (SELECT id FROM attribute WHERE type = 'STOCK_STATUS' AND code = 'LISTED')) ON CONFLICT DO NOTHING;</v>
      </c>
    </row>
    <row r="158" spans="1:18" x14ac:dyDescent="0.2">
      <c r="A158" t="s">
        <v>2016</v>
      </c>
      <c r="B158" t="s">
        <v>3531</v>
      </c>
      <c r="C158" s="1">
        <v>44501</v>
      </c>
      <c r="D158" s="1"/>
      <c r="E158" t="s">
        <v>2018</v>
      </c>
      <c r="F158" t="s">
        <v>28</v>
      </c>
      <c r="G158" t="s">
        <v>3489</v>
      </c>
      <c r="H158" t="s">
        <v>2016</v>
      </c>
      <c r="I158" t="s">
        <v>2017</v>
      </c>
      <c r="K158" t="s">
        <v>2945</v>
      </c>
      <c r="L158" t="s">
        <v>2961</v>
      </c>
      <c r="M158" t="str">
        <f t="shared" si="4"/>
        <v>D22</v>
      </c>
      <c r="N158" t="s">
        <v>2978</v>
      </c>
      <c r="O158" t="s">
        <v>2973</v>
      </c>
      <c r="P158" t="s">
        <v>2973</v>
      </c>
      <c r="R158" t="str">
        <f t="shared" si="5"/>
        <v>INSERT INTO stock (ticker, name, listing_date, sub_industry, industry, sector, status) VALUES ('BOBA', 'Formosa Ingredient Factory Tbk.', '2021-11-01', 'D222', 'D22', 'IDXNONCYC', (SELECT id FROM attribute WHERE type = 'STOCK_STATUS' AND code = 'LISTED')) ON CONFLICT DO NOTHING;</v>
      </c>
    </row>
    <row r="159" spans="1:18" x14ac:dyDescent="0.2">
      <c r="A159" t="s">
        <v>1386</v>
      </c>
      <c r="B159" t="s">
        <v>1387</v>
      </c>
      <c r="C159" s="1">
        <v>42723</v>
      </c>
      <c r="D159" s="1"/>
      <c r="E159" t="s">
        <v>1388</v>
      </c>
      <c r="F159" t="s">
        <v>28</v>
      </c>
      <c r="G159" t="s">
        <v>3489</v>
      </c>
      <c r="H159" t="s">
        <v>1386</v>
      </c>
      <c r="I159" t="s">
        <v>1387</v>
      </c>
      <c r="K159" t="s">
        <v>3039</v>
      </c>
      <c r="L159" t="s">
        <v>3168</v>
      </c>
      <c r="M159" t="str">
        <f t="shared" si="4"/>
        <v>E11</v>
      </c>
      <c r="N159" t="s">
        <v>3041</v>
      </c>
      <c r="O159" t="s">
        <v>3042</v>
      </c>
      <c r="P159" t="s">
        <v>3043</v>
      </c>
      <c r="R159" t="str">
        <f t="shared" si="5"/>
        <v>INSERT INTO stock (ticker, name, listing_date, sub_industry, industry, sector, status) VALUES ('BOGA', 'Apollo Global Interactive Tbk.', '2016-12-19', 'E111', 'E11', 'IDXCYCLIC', (SELECT id FROM attribute WHERE type = 'STOCK_STATUS' AND code = 'LISTED')) ON CONFLICT DO NOTHING;</v>
      </c>
    </row>
    <row r="160" spans="1:18" x14ac:dyDescent="0.2">
      <c r="A160" t="s">
        <v>1678</v>
      </c>
      <c r="B160" t="s">
        <v>1679</v>
      </c>
      <c r="C160" s="1">
        <v>43633</v>
      </c>
      <c r="D160" s="1"/>
      <c r="E160" t="s">
        <v>550</v>
      </c>
      <c r="F160" t="s">
        <v>8</v>
      </c>
      <c r="G160" t="s">
        <v>3489</v>
      </c>
      <c r="H160" t="s">
        <v>1678</v>
      </c>
      <c r="I160" t="s">
        <v>3126</v>
      </c>
      <c r="K160" t="s">
        <v>3039</v>
      </c>
      <c r="L160" t="s">
        <v>3092</v>
      </c>
      <c r="M160" t="str">
        <f t="shared" si="4"/>
        <v>E51</v>
      </c>
      <c r="N160" t="s">
        <v>3124</v>
      </c>
      <c r="O160" t="s">
        <v>3094</v>
      </c>
      <c r="P160" t="s">
        <v>3125</v>
      </c>
      <c r="R160" t="str">
        <f t="shared" si="5"/>
        <v>INSERT INTO stock (ticker, name, listing_date, sub_industry, industry, sector, status) VALUES ('BOLA', 'Bali Bintang Sejahtera Tbk.', '2019-06-17', 'E514', 'E51', 'IDXCYCLIC', (SELECT id FROM attribute WHERE type = 'STOCK_STATUS' AND code = 'LISTED')) ON CONFLICT DO NOTHING;</v>
      </c>
    </row>
    <row r="161" spans="1:18" x14ac:dyDescent="0.2">
      <c r="A161" t="s">
        <v>274</v>
      </c>
      <c r="B161" t="s">
        <v>275</v>
      </c>
      <c r="C161" s="1">
        <v>42192</v>
      </c>
      <c r="D161" s="1"/>
      <c r="E161" t="s">
        <v>276</v>
      </c>
      <c r="F161" t="s">
        <v>28</v>
      </c>
      <c r="G161" t="s">
        <v>3489</v>
      </c>
      <c r="H161" t="s">
        <v>274</v>
      </c>
      <c r="I161" t="s">
        <v>3045</v>
      </c>
      <c r="K161" t="s">
        <v>3039</v>
      </c>
      <c r="L161" t="s">
        <v>3040</v>
      </c>
      <c r="M161" t="str">
        <f t="shared" si="4"/>
        <v>E11</v>
      </c>
      <c r="N161" t="s">
        <v>3041</v>
      </c>
      <c r="O161" t="s">
        <v>3042</v>
      </c>
      <c r="P161" t="s">
        <v>3043</v>
      </c>
      <c r="R161" t="str">
        <f t="shared" si="5"/>
        <v>INSERT INTO stock (ticker, name, listing_date, sub_industry, industry, sector, status) VALUES ('BOLT', 'Garuda Metalindo Tbk.', '2015-07-07', 'E111', 'E11', 'IDXCYCLIC', (SELECT id FROM attribute WHERE type = 'STOCK_STATUS' AND code = 'LISTED')) ON CONFLICT DO NOTHING;</v>
      </c>
    </row>
    <row r="162" spans="1:18" x14ac:dyDescent="0.2">
      <c r="A162" t="s">
        <v>1494</v>
      </c>
      <c r="B162" t="s">
        <v>1495</v>
      </c>
      <c r="C162" s="1">
        <v>43146</v>
      </c>
      <c r="D162" s="1"/>
      <c r="E162" t="s">
        <v>120</v>
      </c>
      <c r="F162" t="s">
        <v>12</v>
      </c>
      <c r="G162" t="s">
        <v>3489</v>
      </c>
      <c r="H162" t="s">
        <v>1494</v>
      </c>
      <c r="I162" t="s">
        <v>2728</v>
      </c>
      <c r="K162" t="s">
        <v>2701</v>
      </c>
      <c r="L162" t="s">
        <v>2702</v>
      </c>
      <c r="M162" t="str">
        <f t="shared" si="4"/>
        <v>A12</v>
      </c>
      <c r="N162" t="s">
        <v>2723</v>
      </c>
      <c r="O162" t="s">
        <v>2724</v>
      </c>
      <c r="P162" t="s">
        <v>2725</v>
      </c>
      <c r="R162" t="str">
        <f t="shared" si="5"/>
        <v>INSERT INTO stock (ticker, name, listing_date, sub_industry, industry, sector, status) VALUES ('BOSS', 'Borneo Olah Sarana Sukses Tbk.', '2018-02-15', 'A121', 'A12', 'IDXENERGY', (SELECT id FROM attribute WHERE type = 'STOCK_STATUS' AND code = 'LISTED')) ON CONFLICT DO NOTHING;</v>
      </c>
    </row>
    <row r="163" spans="1:18" x14ac:dyDescent="0.2">
      <c r="A163" t="s">
        <v>277</v>
      </c>
      <c r="B163" t="s">
        <v>278</v>
      </c>
      <c r="C163" s="1">
        <v>39965</v>
      </c>
      <c r="D163" s="1"/>
      <c r="E163" t="s">
        <v>279</v>
      </c>
      <c r="F163" t="s">
        <v>28</v>
      </c>
      <c r="G163" t="s">
        <v>3489</v>
      </c>
      <c r="H163" t="s">
        <v>277</v>
      </c>
      <c r="I163" t="s">
        <v>278</v>
      </c>
      <c r="K163" t="s">
        <v>3224</v>
      </c>
      <c r="L163" t="s">
        <v>3238</v>
      </c>
      <c r="M163" t="str">
        <f t="shared" si="4"/>
        <v>G21</v>
      </c>
      <c r="N163" t="s">
        <v>3239</v>
      </c>
      <c r="O163" t="s">
        <v>3240</v>
      </c>
      <c r="P163" t="s">
        <v>3240</v>
      </c>
      <c r="R163" t="str">
        <f t="shared" si="5"/>
        <v>INSERT INTO stock (ticker, name, listing_date, sub_industry, industry, sector, status) VALUES ('BPFI', 'Woori Finance Indonesia Tbk.', '2009-06-01', 'G211', 'G21', 'IDXFINANCE', (SELECT id FROM attribute WHERE type = 'STOCK_STATUS' AND code = 'LISTED')) ON CONFLICT DO NOTHING;</v>
      </c>
    </row>
    <row r="164" spans="1:18" x14ac:dyDescent="0.2">
      <c r="A164" t="s">
        <v>280</v>
      </c>
      <c r="B164" t="s">
        <v>3532</v>
      </c>
      <c r="C164" s="1">
        <v>41828</v>
      </c>
      <c r="D164" s="1"/>
      <c r="E164" t="s">
        <v>281</v>
      </c>
      <c r="F164" t="s">
        <v>28</v>
      </c>
      <c r="G164" t="s">
        <v>3489</v>
      </c>
      <c r="H164" t="s">
        <v>280</v>
      </c>
      <c r="I164" t="s">
        <v>3293</v>
      </c>
      <c r="K164" t="s">
        <v>3224</v>
      </c>
      <c r="L164" t="s">
        <v>3289</v>
      </c>
      <c r="M164" t="str">
        <f t="shared" si="4"/>
        <v>G51</v>
      </c>
      <c r="N164" t="s">
        <v>3290</v>
      </c>
      <c r="O164" t="s">
        <v>3289</v>
      </c>
      <c r="P164" t="s">
        <v>3291</v>
      </c>
      <c r="R164" t="str">
        <f t="shared" si="5"/>
        <v>INSERT INTO stock (ticker, name, listing_date, sub_industry, industry, sector, status) VALUES ('BPII', 'Batavia Prosperindo Internasional Tbk.', '2014-07-08', 'G511', 'G51', 'IDXFINANCE', (SELECT id FROM attribute WHERE type = 'STOCK_STATUS' AND code = 'LISTED')) ON CONFLICT DO NOTHING;</v>
      </c>
    </row>
    <row r="165" spans="1:18" x14ac:dyDescent="0.2">
      <c r="A165" t="s">
        <v>1554</v>
      </c>
      <c r="B165" t="s">
        <v>1555</v>
      </c>
      <c r="C165" s="1">
        <v>43290</v>
      </c>
      <c r="D165" s="1"/>
      <c r="E165" t="s">
        <v>1556</v>
      </c>
      <c r="F165" t="s">
        <v>28</v>
      </c>
      <c r="G165" t="s">
        <v>3489</v>
      </c>
      <c r="H165" t="s">
        <v>1554</v>
      </c>
      <c r="I165" t="s">
        <v>1555</v>
      </c>
      <c r="K165" t="s">
        <v>3470</v>
      </c>
      <c r="L165" t="s">
        <v>3471</v>
      </c>
      <c r="M165" t="str">
        <f t="shared" si="4"/>
        <v>K13</v>
      </c>
      <c r="N165" t="s">
        <v>3477</v>
      </c>
      <c r="O165" t="s">
        <v>3478</v>
      </c>
      <c r="P165" t="s">
        <v>3479</v>
      </c>
      <c r="R165" t="str">
        <f t="shared" si="5"/>
        <v>INSERT INTO stock (ticker, name, listing_date, sub_industry, industry, sector, status) VALUES ('BPTR', 'Batavia Prosperindo Trans Tbk.', '2018-07-09', 'K132', 'K13', 'IDXTRANS', (SELECT id FROM attribute WHERE type = 'STOCK_STATUS' AND code = 'LISTED')) ON CONFLICT DO NOTHING;</v>
      </c>
    </row>
    <row r="166" spans="1:18" x14ac:dyDescent="0.2">
      <c r="A166" t="s">
        <v>282</v>
      </c>
      <c r="B166" t="s">
        <v>283</v>
      </c>
      <c r="C166" s="1">
        <v>33121</v>
      </c>
      <c r="D166" s="1"/>
      <c r="E166" t="s">
        <v>284</v>
      </c>
      <c r="F166" t="s">
        <v>28</v>
      </c>
      <c r="G166" t="s">
        <v>3489</v>
      </c>
      <c r="H166" t="s">
        <v>282</v>
      </c>
      <c r="I166" t="s">
        <v>3049</v>
      </c>
      <c r="K166" t="s">
        <v>3039</v>
      </c>
      <c r="L166" t="s">
        <v>3040</v>
      </c>
      <c r="M166" t="str">
        <f t="shared" si="4"/>
        <v>E11</v>
      </c>
      <c r="N166" t="s">
        <v>3050</v>
      </c>
      <c r="O166" t="s">
        <v>3042</v>
      </c>
      <c r="P166" t="s">
        <v>3051</v>
      </c>
      <c r="R166" t="str">
        <f t="shared" si="5"/>
        <v>INSERT INTO stock (ticker, name, listing_date, sub_industry, industry, sector, status) VALUES ('BRAM', 'Indo Kordsa Tbk.', '1990-09-05', 'E112', 'E11', 'IDXCYCLIC', (SELECT id FROM attribute WHERE type = 'STOCK_STATUS' AND code = 'LISTED')) ON CONFLICT DO NOTHING;</v>
      </c>
    </row>
    <row r="167" spans="1:18" x14ac:dyDescent="0.2">
      <c r="A167" t="s">
        <v>2387</v>
      </c>
      <c r="B167" t="s">
        <v>2388</v>
      </c>
      <c r="C167" s="1">
        <v>45208</v>
      </c>
      <c r="D167" s="1"/>
      <c r="E167" t="s">
        <v>2389</v>
      </c>
      <c r="F167" t="s">
        <v>8</v>
      </c>
      <c r="G167" t="s">
        <v>3489</v>
      </c>
      <c r="H167" t="s">
        <v>2387</v>
      </c>
      <c r="I167" t="s">
        <v>2388</v>
      </c>
      <c r="K167" t="s">
        <v>3418</v>
      </c>
      <c r="L167" t="s">
        <v>3458</v>
      </c>
      <c r="M167" t="str">
        <f t="shared" si="4"/>
        <v>J41</v>
      </c>
      <c r="N167" t="s">
        <v>3459</v>
      </c>
      <c r="O167" t="s">
        <v>3460</v>
      </c>
      <c r="P167" t="s">
        <v>3460</v>
      </c>
      <c r="R167" t="str">
        <f t="shared" si="5"/>
        <v>INSERT INTO stock (ticker, name, listing_date, sub_industry, industry, sector, status) VALUES ('BREN', 'Barito Renewables Energy Tbk.', '2023-10-09', 'J411', 'J41', 'IDXINFRA', (SELECT id FROM attribute WHERE type = 'STOCK_STATUS' AND code = 'LISTED')) ON CONFLICT DO NOTHING;</v>
      </c>
    </row>
    <row r="168" spans="1:18" x14ac:dyDescent="0.2">
      <c r="A168" t="s">
        <v>1389</v>
      </c>
      <c r="B168" t="s">
        <v>1390</v>
      </c>
      <c r="C168" s="1">
        <v>43229</v>
      </c>
      <c r="D168" s="1"/>
      <c r="E168" t="s">
        <v>1391</v>
      </c>
      <c r="F168" t="s">
        <v>8</v>
      </c>
      <c r="G168" t="s">
        <v>3489</v>
      </c>
      <c r="H168" t="s">
        <v>1389</v>
      </c>
      <c r="I168" t="s">
        <v>1390</v>
      </c>
      <c r="K168" t="s">
        <v>3224</v>
      </c>
      <c r="L168" t="s">
        <v>3225</v>
      </c>
      <c r="M168" t="str">
        <f t="shared" si="4"/>
        <v>G11</v>
      </c>
      <c r="N168" t="s">
        <v>3226</v>
      </c>
      <c r="O168" t="s">
        <v>3225</v>
      </c>
      <c r="P168" t="s">
        <v>3225</v>
      </c>
      <c r="R168" t="str">
        <f t="shared" si="5"/>
        <v>INSERT INTO stock (ticker, name, listing_date, sub_industry, industry, sector, status) VALUES ('BRIS', 'Bank Syariah Indonesia Tbk.', '2018-05-09', 'G111', 'G11', 'IDXFINANCE', (SELECT id FROM attribute WHERE type = 'STOCK_STATUS' AND code = 'LISTED')) ON CONFLICT DO NOTHING;</v>
      </c>
    </row>
    <row r="169" spans="1:18" x14ac:dyDescent="0.2">
      <c r="A169" t="s">
        <v>285</v>
      </c>
      <c r="B169" t="s">
        <v>286</v>
      </c>
      <c r="C169" s="1">
        <v>40521</v>
      </c>
      <c r="D169" s="1"/>
      <c r="E169" t="s">
        <v>287</v>
      </c>
      <c r="F169" t="s">
        <v>8</v>
      </c>
      <c r="G169" t="s">
        <v>3489</v>
      </c>
      <c r="H169" t="s">
        <v>285</v>
      </c>
      <c r="I169" t="s">
        <v>2850</v>
      </c>
      <c r="K169" t="s">
        <v>2778</v>
      </c>
      <c r="L169" t="s">
        <v>2779</v>
      </c>
      <c r="M169" t="str">
        <f t="shared" si="4"/>
        <v>B14</v>
      </c>
      <c r="N169" t="s">
        <v>2848</v>
      </c>
      <c r="O169" t="s">
        <v>2824</v>
      </c>
      <c r="P169" t="s">
        <v>2849</v>
      </c>
      <c r="R169" t="str">
        <f t="shared" si="5"/>
        <v>INSERT INTO stock (ticker, name, listing_date, sub_industry, industry, sector, status) VALUES ('BRMS', 'Bumi Resources Minerals Tbk.', '2010-12-09', 'B146', 'B14', 'IDXBASIC', (SELECT id FROM attribute WHERE type = 'STOCK_STATUS' AND code = 'LISTED')) ON CONFLICT DO NOTHING;</v>
      </c>
    </row>
    <row r="170" spans="1:18" x14ac:dyDescent="0.2">
      <c r="A170" t="s">
        <v>288</v>
      </c>
      <c r="B170" t="s">
        <v>289</v>
      </c>
      <c r="C170" s="1">
        <v>32818</v>
      </c>
      <c r="D170" s="1"/>
      <c r="E170" t="s">
        <v>290</v>
      </c>
      <c r="F170" t="s">
        <v>28</v>
      </c>
      <c r="G170" t="s">
        <v>3489</v>
      </c>
      <c r="H170" t="s">
        <v>288</v>
      </c>
      <c r="I170" t="s">
        <v>2814</v>
      </c>
      <c r="K170" t="s">
        <v>2778</v>
      </c>
      <c r="L170" t="s">
        <v>2779</v>
      </c>
      <c r="M170" t="str">
        <f t="shared" si="4"/>
        <v>B13</v>
      </c>
      <c r="N170" t="s">
        <v>2812</v>
      </c>
      <c r="O170" t="s">
        <v>2813</v>
      </c>
      <c r="P170" t="s">
        <v>2813</v>
      </c>
      <c r="R170" t="str">
        <f t="shared" si="5"/>
        <v>INSERT INTO stock (ticker, name, listing_date, sub_industry, industry, sector, status) VALUES ('BRNA', 'Berlina Tbk.', '1989-11-06', 'B131', 'B13', 'IDXBASIC', (SELECT id FROM attribute WHERE type = 'STOCK_STATUS' AND code = 'LISTED')) ON CONFLICT DO NOTHING;</v>
      </c>
    </row>
    <row r="171" spans="1:18" x14ac:dyDescent="0.2">
      <c r="A171" t="s">
        <v>291</v>
      </c>
      <c r="B171" t="s">
        <v>292</v>
      </c>
      <c r="C171" s="1">
        <v>34243</v>
      </c>
      <c r="D171" s="1"/>
      <c r="E171" t="s">
        <v>293</v>
      </c>
      <c r="F171" t="s">
        <v>8</v>
      </c>
      <c r="G171" t="s">
        <v>3489</v>
      </c>
      <c r="H171" t="s">
        <v>291</v>
      </c>
      <c r="I171" t="s">
        <v>2783</v>
      </c>
      <c r="K171" t="s">
        <v>2778</v>
      </c>
      <c r="L171" t="s">
        <v>2779</v>
      </c>
      <c r="M171" t="str">
        <f t="shared" si="4"/>
        <v>B11</v>
      </c>
      <c r="N171" t="s">
        <v>2780</v>
      </c>
      <c r="O171" t="s">
        <v>2781</v>
      </c>
      <c r="P171" t="s">
        <v>2782</v>
      </c>
      <c r="R171" t="str">
        <f t="shared" si="5"/>
        <v>INSERT INTO stock (ticker, name, listing_date, sub_industry, industry, sector, status) VALUES ('BRPT', 'Barito Pacific Tbk.', '1993-10-01', 'B111', 'B11', 'IDXBASIC', (SELECT id FROM attribute WHERE type = 'STOCK_STATUS' AND code = 'LISTED')) ON CONFLICT DO NOTHING;</v>
      </c>
    </row>
    <row r="172" spans="1:18" x14ac:dyDescent="0.2">
      <c r="A172" t="s">
        <v>2523</v>
      </c>
      <c r="B172" t="s">
        <v>2524</v>
      </c>
      <c r="C172" s="1">
        <v>45666</v>
      </c>
      <c r="D172" s="1"/>
      <c r="E172" t="s">
        <v>2525</v>
      </c>
      <c r="F172" t="s">
        <v>28</v>
      </c>
      <c r="G172" t="s">
        <v>3489</v>
      </c>
      <c r="H172" t="s">
        <v>2523</v>
      </c>
      <c r="I172" t="s">
        <v>3729</v>
      </c>
      <c r="K172" t="s">
        <v>2945</v>
      </c>
      <c r="L172" t="s">
        <v>2961</v>
      </c>
      <c r="M172" t="str">
        <f t="shared" si="4"/>
        <v>D22</v>
      </c>
      <c r="N172" t="s">
        <v>2978</v>
      </c>
      <c r="O172" t="s">
        <v>2973</v>
      </c>
      <c r="P172" t="s">
        <v>2973</v>
      </c>
      <c r="R172" t="str">
        <f t="shared" si="5"/>
        <v>INSERT INTO stock (ticker, name, listing_date, sub_industry, industry, sector, status) VALUES ('BRRC', 'Raja Roti Cemerlang Tbk.', '2025-01-09', 'D222', 'D22', 'IDXNONCYC', (SELECT id FROM attribute WHERE type = 'STOCK_STATUS' AND code = 'LISTED')) ON CONFLICT DO NOTHING;</v>
      </c>
    </row>
    <row r="173" spans="1:18" x14ac:dyDescent="0.2">
      <c r="A173" t="s">
        <v>2190</v>
      </c>
      <c r="B173" t="s">
        <v>2191</v>
      </c>
      <c r="C173" s="1">
        <v>44873</v>
      </c>
      <c r="D173" s="1"/>
      <c r="E173" t="s">
        <v>2192</v>
      </c>
      <c r="F173" t="s">
        <v>28</v>
      </c>
      <c r="G173" t="s">
        <v>3489</v>
      </c>
      <c r="H173" t="s">
        <v>2190</v>
      </c>
      <c r="I173" t="s">
        <v>3730</v>
      </c>
      <c r="K173" t="s">
        <v>3306</v>
      </c>
      <c r="L173" t="s">
        <v>3307</v>
      </c>
      <c r="M173" t="str">
        <f t="shared" si="4"/>
        <v>H11</v>
      </c>
      <c r="N173" t="s">
        <v>3308</v>
      </c>
      <c r="O173" t="s">
        <v>3309</v>
      </c>
      <c r="P173" t="s">
        <v>3310</v>
      </c>
      <c r="R173" t="str">
        <f t="shared" si="5"/>
        <v>INSERT INTO stock (ticker, name, listing_date, sub_industry, industry, sector, status) VALUES ('BSBK', 'Wulandari Bangun Laksana Tbk.', '2022-11-08', 'H111', 'H11', 'IDXPROPERT', (SELECT id FROM attribute WHERE type = 'STOCK_STATUS' AND code = 'LISTED')) ON CONFLICT DO NOTHING;</v>
      </c>
    </row>
    <row r="174" spans="1:18" x14ac:dyDescent="0.2">
      <c r="A174" t="s">
        <v>294</v>
      </c>
      <c r="B174" t="s">
        <v>295</v>
      </c>
      <c r="C174" s="1">
        <v>39605</v>
      </c>
      <c r="D174" s="1"/>
      <c r="E174" t="s">
        <v>296</v>
      </c>
      <c r="F174" t="s">
        <v>8</v>
      </c>
      <c r="G174" t="s">
        <v>3489</v>
      </c>
      <c r="H174" t="s">
        <v>294</v>
      </c>
      <c r="I174" t="s">
        <v>3325</v>
      </c>
      <c r="K174" t="s">
        <v>3306</v>
      </c>
      <c r="L174" t="s">
        <v>3307</v>
      </c>
      <c r="M174" t="str">
        <f t="shared" si="4"/>
        <v>H11</v>
      </c>
      <c r="N174" t="s">
        <v>3308</v>
      </c>
      <c r="O174" t="s">
        <v>3309</v>
      </c>
      <c r="P174" t="s">
        <v>3310</v>
      </c>
      <c r="R174" t="str">
        <f t="shared" si="5"/>
        <v>INSERT INTO stock (ticker, name, listing_date, sub_industry, industry, sector, status) VALUES ('BSDE', 'Bumi Serpong Damai Tbk.', '2008-06-06', 'H111', 'H11', 'IDXPROPERT', (SELECT id FROM attribute WHERE type = 'STOCK_STATUS' AND code = 'LISTED')) ON CONFLICT DO NOTHING;</v>
      </c>
    </row>
    <row r="175" spans="1:18" x14ac:dyDescent="0.2">
      <c r="A175" t="s">
        <v>297</v>
      </c>
      <c r="B175" t="s">
        <v>298</v>
      </c>
      <c r="C175" s="1">
        <v>40525</v>
      </c>
      <c r="D175" s="1"/>
      <c r="E175" t="s">
        <v>299</v>
      </c>
      <c r="F175" t="s">
        <v>8</v>
      </c>
      <c r="G175" t="s">
        <v>3489</v>
      </c>
      <c r="H175" t="s">
        <v>297</v>
      </c>
      <c r="I175" t="s">
        <v>3231</v>
      </c>
      <c r="K175" t="s">
        <v>3224</v>
      </c>
      <c r="L175" t="s">
        <v>3225</v>
      </c>
      <c r="M175" t="str">
        <f t="shared" si="4"/>
        <v>G11</v>
      </c>
      <c r="N175" t="s">
        <v>3226</v>
      </c>
      <c r="O175" t="s">
        <v>3225</v>
      </c>
      <c r="P175" t="s">
        <v>3225</v>
      </c>
      <c r="R175" t="str">
        <f t="shared" si="5"/>
        <v>INSERT INTO stock (ticker, name, listing_date, sub_industry, industry, sector, status) VALUES ('BSIM', 'Bank Sinarmas Tbk.', '2010-12-13', 'G111', 'G11', 'IDXFINANCE', (SELECT id FROM attribute WHERE type = 'STOCK_STATUS' AND code = 'LISTED')) ON CONFLICT DO NOTHING;</v>
      </c>
    </row>
    <row r="176" spans="1:18" x14ac:dyDescent="0.2">
      <c r="A176" t="s">
        <v>2055</v>
      </c>
      <c r="B176" t="s">
        <v>3533</v>
      </c>
      <c r="C176" s="1">
        <v>44546</v>
      </c>
      <c r="D176" s="1"/>
      <c r="E176" t="s">
        <v>2056</v>
      </c>
      <c r="F176" t="s">
        <v>28</v>
      </c>
      <c r="G176" t="s">
        <v>3489</v>
      </c>
      <c r="H176" t="s">
        <v>2055</v>
      </c>
      <c r="I176" t="s">
        <v>2746</v>
      </c>
      <c r="K176" t="s">
        <v>2701</v>
      </c>
      <c r="L176" t="s">
        <v>2702</v>
      </c>
      <c r="M176" t="str">
        <f t="shared" si="4"/>
        <v>A12</v>
      </c>
      <c r="N176" t="s">
        <v>2742</v>
      </c>
      <c r="O176" t="s">
        <v>2724</v>
      </c>
      <c r="P176" t="s">
        <v>2743</v>
      </c>
      <c r="R176" t="str">
        <f t="shared" si="5"/>
        <v>INSERT INTO stock (ticker, name, listing_date, sub_industry, industry, sector, status) VALUES ('BSML', 'Bintang Samudera Mandiri Lines Tbk.', '2021-12-16', 'A122', 'A12', 'IDXENERGY', (SELECT id FROM attribute WHERE type = 'STOCK_STATUS' AND code = 'LISTED')) ON CONFLICT DO NOTHING;</v>
      </c>
    </row>
    <row r="177" spans="1:18" x14ac:dyDescent="0.2">
      <c r="A177" t="s">
        <v>300</v>
      </c>
      <c r="B177" t="s">
        <v>301</v>
      </c>
      <c r="C177" s="1">
        <v>41221</v>
      </c>
      <c r="D177" s="1"/>
      <c r="E177" t="s">
        <v>302</v>
      </c>
      <c r="F177" t="s">
        <v>28</v>
      </c>
      <c r="G177" t="s">
        <v>3489</v>
      </c>
      <c r="H177" t="s">
        <v>300</v>
      </c>
      <c r="I177" t="s">
        <v>2729</v>
      </c>
      <c r="K177" t="s">
        <v>2701</v>
      </c>
      <c r="L177" t="s">
        <v>2702</v>
      </c>
      <c r="M177" t="str">
        <f t="shared" si="4"/>
        <v>A12</v>
      </c>
      <c r="N177" t="s">
        <v>2723</v>
      </c>
      <c r="O177" t="s">
        <v>2724</v>
      </c>
      <c r="P177" t="s">
        <v>2725</v>
      </c>
      <c r="R177" t="str">
        <f t="shared" si="5"/>
        <v>INSERT INTO stock (ticker, name, listing_date, sub_industry, industry, sector, status) VALUES ('BSSR', 'Baramulti Suksessarana Tbk.', '2012-11-08', 'A121', 'A12', 'IDXENERGY', (SELECT id FROM attribute WHERE type = 'STOCK_STATUS' AND code = 'LISTED')) ON CONFLICT DO NOTHING;</v>
      </c>
    </row>
    <row r="178" spans="1:18" x14ac:dyDescent="0.2">
      <c r="A178" t="s">
        <v>303</v>
      </c>
      <c r="B178" t="s">
        <v>304</v>
      </c>
      <c r="C178" s="1">
        <v>37377</v>
      </c>
      <c r="D178" s="1"/>
      <c r="E178" t="s">
        <v>305</v>
      </c>
      <c r="F178" t="s">
        <v>12</v>
      </c>
      <c r="G178" t="s">
        <v>3489</v>
      </c>
      <c r="H178" t="s">
        <v>303</v>
      </c>
      <c r="I178" t="s">
        <v>3232</v>
      </c>
      <c r="K178" t="s">
        <v>3224</v>
      </c>
      <c r="L178" t="s">
        <v>3225</v>
      </c>
      <c r="M178" t="str">
        <f t="shared" si="4"/>
        <v>G11</v>
      </c>
      <c r="N178" t="s">
        <v>3226</v>
      </c>
      <c r="O178" t="s">
        <v>3225</v>
      </c>
      <c r="P178" t="s">
        <v>3225</v>
      </c>
      <c r="R178" t="str">
        <f t="shared" si="5"/>
        <v>INSERT INTO stock (ticker, name, listing_date, sub_industry, industry, sector, status) VALUES ('BSWD', 'Bank Of India Indonesia Tbk.', '2002-05-01', 'G111', 'G11', 'IDXFINANCE', (SELECT id FROM attribute WHERE type = 'STOCK_STATUS' AND code = 'LISTED')) ON CONFLICT DO NOTHING;</v>
      </c>
    </row>
    <row r="179" spans="1:18" x14ac:dyDescent="0.2">
      <c r="A179" t="s">
        <v>306</v>
      </c>
      <c r="B179" t="s">
        <v>3534</v>
      </c>
      <c r="C179" s="1">
        <v>38121</v>
      </c>
      <c r="D179" s="1"/>
      <c r="E179" t="s">
        <v>308</v>
      </c>
      <c r="F179" t="s">
        <v>12</v>
      </c>
      <c r="G179" t="s">
        <v>3489</v>
      </c>
      <c r="H179" t="s">
        <v>306</v>
      </c>
      <c r="I179" t="s">
        <v>307</v>
      </c>
      <c r="K179" t="s">
        <v>2945</v>
      </c>
      <c r="L179" t="s">
        <v>2961</v>
      </c>
      <c r="M179" t="str">
        <f t="shared" si="4"/>
        <v>D23</v>
      </c>
      <c r="N179" t="s">
        <v>3013</v>
      </c>
      <c r="O179" t="s">
        <v>2999</v>
      </c>
      <c r="P179" t="s">
        <v>3014</v>
      </c>
      <c r="R179" t="str">
        <f t="shared" si="5"/>
        <v>INSERT INTO stock (ticker, name, listing_date, sub_industry, industry, sector, status) VALUES ('BTEK', 'Bumi Teknokultura Unggul Tbk.', '2004-05-14', 'D232', 'D23', 'IDXNONCYC', (SELECT id FROM attribute WHERE type = 'STOCK_STATUS' AND code = 'LISTED')) ON CONFLICT DO NOTHING;</v>
      </c>
    </row>
    <row r="180" spans="1:18" x14ac:dyDescent="0.2">
      <c r="A180" t="s">
        <v>309</v>
      </c>
      <c r="B180" t="s">
        <v>310</v>
      </c>
      <c r="C180" s="1">
        <v>38751</v>
      </c>
      <c r="D180" s="1"/>
      <c r="E180" t="s">
        <v>311</v>
      </c>
      <c r="F180" t="s">
        <v>12</v>
      </c>
      <c r="G180" t="s">
        <v>3489</v>
      </c>
      <c r="H180" t="s">
        <v>309</v>
      </c>
      <c r="I180" t="s">
        <v>3451</v>
      </c>
      <c r="K180" t="s">
        <v>3418</v>
      </c>
      <c r="L180" t="s">
        <v>3439</v>
      </c>
      <c r="M180" t="str">
        <f t="shared" si="4"/>
        <v>J32</v>
      </c>
      <c r="N180" t="s">
        <v>3449</v>
      </c>
      <c r="O180" t="s">
        <v>3450</v>
      </c>
      <c r="P180" t="s">
        <v>3450</v>
      </c>
      <c r="R180" t="str">
        <f t="shared" si="5"/>
        <v>INSERT INTO stock (ticker, name, listing_date, sub_industry, industry, sector, status) VALUES ('BTEL', 'Bakrie Telecom Tbk.', '2006-02-03', 'J321', 'J32', 'IDXINFRA', (SELECT id FROM attribute WHERE type = 'STOCK_STATUS' AND code = 'LISTED')) ON CONFLICT DO NOTHING;</v>
      </c>
    </row>
    <row r="181" spans="1:18" x14ac:dyDescent="0.2">
      <c r="A181" t="s">
        <v>312</v>
      </c>
      <c r="B181" t="s">
        <v>313</v>
      </c>
      <c r="C181" s="1">
        <v>37090</v>
      </c>
      <c r="D181" s="1"/>
      <c r="E181" t="s">
        <v>45</v>
      </c>
      <c r="F181" t="s">
        <v>28</v>
      </c>
      <c r="G181" t="s">
        <v>3489</v>
      </c>
      <c r="H181" t="s">
        <v>312</v>
      </c>
      <c r="I181" t="s">
        <v>2841</v>
      </c>
      <c r="K181" t="s">
        <v>2778</v>
      </c>
      <c r="L181" t="s">
        <v>2779</v>
      </c>
      <c r="M181" t="str">
        <f t="shared" si="4"/>
        <v>B14</v>
      </c>
      <c r="N181" t="s">
        <v>2839</v>
      </c>
      <c r="O181" t="s">
        <v>2824</v>
      </c>
      <c r="P181" t="s">
        <v>2840</v>
      </c>
      <c r="R181" t="str">
        <f t="shared" si="5"/>
        <v>INSERT INTO stock (ticker, name, listing_date, sub_industry, industry, sector, status) VALUES ('BTON', 'Betonjaya Manunggal Tbk.', '2001-07-18', 'B144', 'B14', 'IDXBASIC', (SELECT id FROM attribute WHERE type = 'STOCK_STATUS' AND code = 'LISTED')) ON CONFLICT DO NOTHING;</v>
      </c>
    </row>
    <row r="182" spans="1:18" x14ac:dyDescent="0.2">
      <c r="A182" t="s">
        <v>314</v>
      </c>
      <c r="B182" t="s">
        <v>315</v>
      </c>
      <c r="C182" s="1">
        <v>39519</v>
      </c>
      <c r="D182" s="1"/>
      <c r="E182" t="s">
        <v>316</v>
      </c>
      <c r="F182" t="s">
        <v>8</v>
      </c>
      <c r="G182" t="s">
        <v>3489</v>
      </c>
      <c r="H182" t="s">
        <v>314</v>
      </c>
      <c r="I182" t="s">
        <v>3731</v>
      </c>
      <c r="K182" t="s">
        <v>3224</v>
      </c>
      <c r="L182" t="s">
        <v>3225</v>
      </c>
      <c r="M182" t="str">
        <f t="shared" si="4"/>
        <v>G11</v>
      </c>
      <c r="N182" t="s">
        <v>3226</v>
      </c>
      <c r="O182" t="s">
        <v>3225</v>
      </c>
      <c r="P182" t="s">
        <v>3225</v>
      </c>
      <c r="R182" t="str">
        <f t="shared" si="5"/>
        <v>INSERT INTO stock (ticker, name, listing_date, sub_industry, industry, sector, status) VALUES ('BTPN', 'Bank SMBC Indonesia Tbk.', '2008-03-12', 'G111', 'G11', 'IDXFINANCE', (SELECT id FROM attribute WHERE type = 'STOCK_STATUS' AND code = 'LISTED')) ON CONFLICT DO NOTHING;</v>
      </c>
    </row>
    <row r="183" spans="1:18" x14ac:dyDescent="0.2">
      <c r="A183" t="s">
        <v>1515</v>
      </c>
      <c r="B183" t="s">
        <v>1516</v>
      </c>
      <c r="C183" s="1">
        <v>43228</v>
      </c>
      <c r="D183" s="1"/>
      <c r="E183" t="s">
        <v>1517</v>
      </c>
      <c r="F183" t="s">
        <v>8</v>
      </c>
      <c r="G183" t="s">
        <v>3489</v>
      </c>
      <c r="H183" t="s">
        <v>1515</v>
      </c>
      <c r="I183" t="s">
        <v>1516</v>
      </c>
      <c r="K183" t="s">
        <v>3224</v>
      </c>
      <c r="L183" t="s">
        <v>3225</v>
      </c>
      <c r="M183" t="str">
        <f t="shared" si="4"/>
        <v>G11</v>
      </c>
      <c r="N183" t="s">
        <v>3226</v>
      </c>
      <c r="O183" t="s">
        <v>3225</v>
      </c>
      <c r="P183" t="s">
        <v>3225</v>
      </c>
      <c r="R183" t="str">
        <f t="shared" si="5"/>
        <v>INSERT INTO stock (ticker, name, listing_date, sub_industry, industry, sector, status) VALUES ('BTPS', 'Bank BTPN Syariah Tbk.', '2018-05-08', 'G111', 'G11', 'IDXFINANCE', (SELECT id FROM attribute WHERE type = 'STOCK_STATUS' AND code = 'LISTED')) ON CONFLICT DO NOTHING;</v>
      </c>
    </row>
    <row r="184" spans="1:18" x14ac:dyDescent="0.2">
      <c r="A184" t="s">
        <v>2165</v>
      </c>
      <c r="B184" t="s">
        <v>2166</v>
      </c>
      <c r="C184" s="1">
        <v>44782</v>
      </c>
      <c r="D184" s="1"/>
      <c r="E184" t="s">
        <v>1722</v>
      </c>
      <c r="F184" t="s">
        <v>28</v>
      </c>
      <c r="G184" t="s">
        <v>3489</v>
      </c>
      <c r="H184" t="s">
        <v>2165</v>
      </c>
      <c r="I184" t="s">
        <v>3732</v>
      </c>
      <c r="K184" t="s">
        <v>2945</v>
      </c>
      <c r="L184" t="s">
        <v>2946</v>
      </c>
      <c r="M184" t="str">
        <f t="shared" si="4"/>
        <v>D11</v>
      </c>
      <c r="N184" t="s">
        <v>2950</v>
      </c>
      <c r="O184" t="s">
        <v>2946</v>
      </c>
      <c r="P184" t="s">
        <v>2951</v>
      </c>
      <c r="R184" t="str">
        <f t="shared" si="5"/>
        <v>INSERT INTO stock (ticker, name, listing_date, sub_industry, industry, sector, status) VALUES ('BUAH', 'Segar Kumala Indonesia Tbk.', '2022-08-09', 'D112', 'D11', 'IDXNONCYC', (SELECT id FROM attribute WHERE type = 'STOCK_STATUS' AND code = 'LISTED')) ON CONFLICT DO NOTHING;</v>
      </c>
    </row>
    <row r="185" spans="1:18" x14ac:dyDescent="0.2">
      <c r="A185" t="s">
        <v>317</v>
      </c>
      <c r="B185" t="s">
        <v>318</v>
      </c>
      <c r="C185" s="1">
        <v>34827</v>
      </c>
      <c r="D185" s="1"/>
      <c r="E185" t="s">
        <v>319</v>
      </c>
      <c r="F185" t="s">
        <v>8</v>
      </c>
      <c r="G185" t="s">
        <v>3489</v>
      </c>
      <c r="H185" t="s">
        <v>317</v>
      </c>
      <c r="I185" t="s">
        <v>2980</v>
      </c>
      <c r="K185" t="s">
        <v>2945</v>
      </c>
      <c r="L185" t="s">
        <v>2961</v>
      </c>
      <c r="M185" t="str">
        <f t="shared" si="4"/>
        <v>D22</v>
      </c>
      <c r="N185" t="s">
        <v>2978</v>
      </c>
      <c r="O185" t="s">
        <v>2973</v>
      </c>
      <c r="P185" t="s">
        <v>2973</v>
      </c>
      <c r="R185" t="str">
        <f t="shared" si="5"/>
        <v>INSERT INTO stock (ticker, name, listing_date, sub_industry, industry, sector, status) VALUES ('BUDI', 'Budi Starch &amp; Sweetener Tbk.', '1995-05-08', 'D222', 'D22', 'IDXNONCYC', (SELECT id FROM attribute WHERE type = 'STOCK_STATUS' AND code = 'LISTED')) ON CONFLICT DO NOTHING;</v>
      </c>
    </row>
    <row r="186" spans="1:18" x14ac:dyDescent="0.2">
      <c r="A186" t="s">
        <v>1980</v>
      </c>
      <c r="B186" t="s">
        <v>1981</v>
      </c>
      <c r="C186" s="1">
        <v>44414</v>
      </c>
      <c r="D186" s="1"/>
      <c r="E186" t="s">
        <v>1982</v>
      </c>
      <c r="F186" t="s">
        <v>1983</v>
      </c>
      <c r="G186" t="s">
        <v>3489</v>
      </c>
      <c r="H186" t="s">
        <v>1980</v>
      </c>
      <c r="I186" t="s">
        <v>1981</v>
      </c>
      <c r="K186" t="s">
        <v>3381</v>
      </c>
      <c r="L186" t="s">
        <v>3382</v>
      </c>
      <c r="M186" t="str">
        <f t="shared" si="4"/>
        <v>I11</v>
      </c>
      <c r="N186" t="s">
        <v>3383</v>
      </c>
      <c r="O186" t="s">
        <v>3384</v>
      </c>
      <c r="P186" t="s">
        <v>3384</v>
      </c>
      <c r="R186" t="str">
        <f t="shared" si="5"/>
        <v>INSERT INTO stock (ticker, name, listing_date, sub_industry, industry, sector, status) VALUES ('BUKA', 'Bukalapak.com Tbk.', '2021-08-06', 'I111', 'I11', 'IDXTECHNO', (SELECT id FROM attribute WHERE type = 'STOCK_STATUS' AND code = 'LISTED')) ON CONFLICT DO NOTHING;</v>
      </c>
    </row>
    <row r="187" spans="1:18" x14ac:dyDescent="0.2">
      <c r="A187" t="s">
        <v>320</v>
      </c>
      <c r="B187" t="s">
        <v>321</v>
      </c>
      <c r="C187" s="1">
        <v>42184</v>
      </c>
      <c r="D187" s="1"/>
      <c r="E187" t="s">
        <v>322</v>
      </c>
      <c r="F187" t="s">
        <v>8</v>
      </c>
      <c r="G187" t="s">
        <v>3489</v>
      </c>
      <c r="H187" t="s">
        <v>320</v>
      </c>
      <c r="I187" t="s">
        <v>3434</v>
      </c>
      <c r="K187" t="s">
        <v>3418</v>
      </c>
      <c r="L187" t="s">
        <v>3432</v>
      </c>
      <c r="M187" t="str">
        <f t="shared" si="4"/>
        <v>J21</v>
      </c>
      <c r="N187" t="s">
        <v>3433</v>
      </c>
      <c r="O187" t="s">
        <v>3432</v>
      </c>
      <c r="P187" t="s">
        <v>3432</v>
      </c>
      <c r="R187" t="str">
        <f t="shared" si="5"/>
        <v>INSERT INTO stock (ticker, name, listing_date, sub_industry, industry, sector, status) VALUES ('BUKK', 'Bukaka Teknik Utama Tbk.', '2015-06-29', 'J211', 'J21', 'IDXINFRA', (SELECT id FROM attribute WHERE type = 'STOCK_STATUS' AND code = 'LISTED')) ON CONFLICT DO NOTHING;</v>
      </c>
    </row>
    <row r="188" spans="1:18" x14ac:dyDescent="0.2">
      <c r="A188" t="s">
        <v>323</v>
      </c>
      <c r="B188" t="s">
        <v>324</v>
      </c>
      <c r="C188" s="1">
        <v>40686</v>
      </c>
      <c r="D188" s="1"/>
      <c r="E188" t="s">
        <v>325</v>
      </c>
      <c r="F188" t="s">
        <v>28</v>
      </c>
      <c r="G188" t="s">
        <v>3489</v>
      </c>
      <c r="H188" t="s">
        <v>323</v>
      </c>
      <c r="I188" t="s">
        <v>2712</v>
      </c>
      <c r="K188" t="s">
        <v>2701</v>
      </c>
      <c r="L188" t="s">
        <v>2702</v>
      </c>
      <c r="M188" t="str">
        <f t="shared" si="4"/>
        <v>A11</v>
      </c>
      <c r="N188" t="s">
        <v>2710</v>
      </c>
      <c r="O188" t="s">
        <v>2704</v>
      </c>
      <c r="P188" t="s">
        <v>2711</v>
      </c>
      <c r="R188" t="str">
        <f t="shared" si="5"/>
        <v>INSERT INTO stock (ticker, name, listing_date, sub_industry, industry, sector, status) VALUES ('BULL', 'Buana Lintas Lautan Tbk.', '2011-05-23', 'A112', 'A11', 'IDXENERGY', (SELECT id FROM attribute WHERE type = 'STOCK_STATUS' AND code = 'LISTED')) ON CONFLICT DO NOTHING;</v>
      </c>
    </row>
    <row r="189" spans="1:18" x14ac:dyDescent="0.2">
      <c r="A189" t="s">
        <v>326</v>
      </c>
      <c r="B189" t="s">
        <v>327</v>
      </c>
      <c r="C189" s="1">
        <v>33084</v>
      </c>
      <c r="D189" s="1"/>
      <c r="E189" t="s">
        <v>328</v>
      </c>
      <c r="F189" t="s">
        <v>8</v>
      </c>
      <c r="G189" t="s">
        <v>3489</v>
      </c>
      <c r="H189" t="s">
        <v>326</v>
      </c>
      <c r="I189" t="s">
        <v>2730</v>
      </c>
      <c r="K189" t="s">
        <v>2701</v>
      </c>
      <c r="L189" t="s">
        <v>2702</v>
      </c>
      <c r="M189" t="str">
        <f t="shared" si="4"/>
        <v>A12</v>
      </c>
      <c r="N189" t="s">
        <v>2723</v>
      </c>
      <c r="O189" t="s">
        <v>2724</v>
      </c>
      <c r="P189" t="s">
        <v>2725</v>
      </c>
      <c r="R189" t="str">
        <f t="shared" si="5"/>
        <v>INSERT INTO stock (ticker, name, listing_date, sub_industry, industry, sector, status) VALUES ('BUMI', 'Bumi Resources Tbk.', '1990-07-30', 'A121', 'A12', 'IDXENERGY', (SELECT id FROM attribute WHERE type = 'STOCK_STATUS' AND code = 'LISTED')) ON CONFLICT DO NOTHING;</v>
      </c>
    </row>
    <row r="190" spans="1:18" x14ac:dyDescent="0.2">
      <c r="A190" t="s">
        <v>329</v>
      </c>
      <c r="B190" t="s">
        <v>330</v>
      </c>
      <c r="C190" s="1">
        <v>40371</v>
      </c>
      <c r="D190" s="1"/>
      <c r="E190" t="s">
        <v>331</v>
      </c>
      <c r="F190" t="s">
        <v>28</v>
      </c>
      <c r="G190" t="s">
        <v>3489</v>
      </c>
      <c r="H190" t="s">
        <v>329</v>
      </c>
      <c r="I190" t="s">
        <v>3096</v>
      </c>
      <c r="K190" t="s">
        <v>3039</v>
      </c>
      <c r="L190" t="s">
        <v>3092</v>
      </c>
      <c r="M190" t="str">
        <f t="shared" si="4"/>
        <v>E51</v>
      </c>
      <c r="N190" t="s">
        <v>3093</v>
      </c>
      <c r="O190" t="s">
        <v>3094</v>
      </c>
      <c r="P190" t="s">
        <v>3095</v>
      </c>
      <c r="R190" t="str">
        <f t="shared" si="5"/>
        <v>INSERT INTO stock (ticker, name, listing_date, sub_industry, industry, sector, status) VALUES ('BUVA', 'Bukit Uluwatu Villa Tbk.', '2010-07-12', 'E512', 'E51', 'IDXCYCLIC', (SELECT id FROM attribute WHERE type = 'STOCK_STATUS' AND code = 'LISTED')) ON CONFLICT DO NOTHING;</v>
      </c>
    </row>
    <row r="191" spans="1:18" x14ac:dyDescent="0.2">
      <c r="A191" t="s">
        <v>332</v>
      </c>
      <c r="B191" t="s">
        <v>3233</v>
      </c>
      <c r="C191" s="1">
        <v>36341</v>
      </c>
      <c r="D191" s="1"/>
      <c r="E191" t="s">
        <v>333</v>
      </c>
      <c r="F191" t="s">
        <v>8</v>
      </c>
      <c r="G191" t="s">
        <v>3489</v>
      </c>
      <c r="H191" t="s">
        <v>332</v>
      </c>
      <c r="I191" t="s">
        <v>3233</v>
      </c>
      <c r="K191" t="s">
        <v>3224</v>
      </c>
      <c r="L191" t="s">
        <v>3225</v>
      </c>
      <c r="M191" t="str">
        <f t="shared" si="4"/>
        <v>G11</v>
      </c>
      <c r="N191" t="s">
        <v>3226</v>
      </c>
      <c r="O191" t="s">
        <v>3225</v>
      </c>
      <c r="P191" t="s">
        <v>3225</v>
      </c>
      <c r="R191" t="str">
        <f t="shared" si="5"/>
        <v>INSERT INTO stock (ticker, name, listing_date, sub_industry, industry, sector, status) VALUES ('BVIC', 'Bank Victoria International Tbk.', '1999-06-30', 'G111', 'G11', 'IDXFINANCE', (SELECT id FROM attribute WHERE type = 'STOCK_STATUS' AND code = 'LISTED')) ON CONFLICT DO NOTHING;</v>
      </c>
    </row>
    <row r="192" spans="1:18" x14ac:dyDescent="0.2">
      <c r="A192" t="s">
        <v>334</v>
      </c>
      <c r="B192" t="s">
        <v>335</v>
      </c>
      <c r="C192" s="1">
        <v>40113</v>
      </c>
      <c r="D192" s="1"/>
      <c r="E192" t="s">
        <v>336</v>
      </c>
      <c r="F192" t="s">
        <v>8</v>
      </c>
      <c r="G192" t="s">
        <v>3489</v>
      </c>
      <c r="H192" t="s">
        <v>334</v>
      </c>
      <c r="I192" t="s">
        <v>3016</v>
      </c>
      <c r="K192" t="s">
        <v>2945</v>
      </c>
      <c r="L192" t="s">
        <v>2961</v>
      </c>
      <c r="M192" t="str">
        <f t="shared" si="4"/>
        <v>D23</v>
      </c>
      <c r="N192" t="s">
        <v>3013</v>
      </c>
      <c r="O192" t="s">
        <v>2999</v>
      </c>
      <c r="P192" t="s">
        <v>3014</v>
      </c>
      <c r="R192" t="str">
        <f t="shared" si="5"/>
        <v>INSERT INTO stock (ticker, name, listing_date, sub_industry, industry, sector, status) VALUES ('BWPT', 'Eagle High Plantations Tbk.', '2009-10-27', 'D232', 'D23', 'IDXNONCYC', (SELECT id FROM attribute WHERE type = 'STOCK_STATUS' AND code = 'LISTED')) ON CONFLICT DO NOTHING;</v>
      </c>
    </row>
    <row r="193" spans="1:18" x14ac:dyDescent="0.2">
      <c r="A193" t="s">
        <v>337</v>
      </c>
      <c r="B193" t="s">
        <v>338</v>
      </c>
      <c r="C193" s="1">
        <v>39672</v>
      </c>
      <c r="D193" s="1"/>
      <c r="E193" t="s">
        <v>339</v>
      </c>
      <c r="F193" t="s">
        <v>8</v>
      </c>
      <c r="G193" t="s">
        <v>3489</v>
      </c>
      <c r="H193" t="s">
        <v>337</v>
      </c>
      <c r="I193" t="s">
        <v>2731</v>
      </c>
      <c r="K193" t="s">
        <v>2701</v>
      </c>
      <c r="L193" t="s">
        <v>2702</v>
      </c>
      <c r="M193" t="str">
        <f t="shared" si="4"/>
        <v>A12</v>
      </c>
      <c r="N193" t="s">
        <v>2723</v>
      </c>
      <c r="O193" t="s">
        <v>2724</v>
      </c>
      <c r="P193" t="s">
        <v>2725</v>
      </c>
      <c r="R193" t="str">
        <f t="shared" si="5"/>
        <v>INSERT INTO stock (ticker, name, listing_date, sub_industry, industry, sector, status) VALUES ('BYAN', 'Bayan Resources Tbk.', '2008-08-12', 'A121', 'A12', 'IDXENERGY', (SELECT id FROM attribute WHERE type = 'STOCK_STATUS' AND code = 'LISTED')) ON CONFLICT DO NOTHING;</v>
      </c>
    </row>
    <row r="194" spans="1:18" x14ac:dyDescent="0.2">
      <c r="A194" t="s">
        <v>1611</v>
      </c>
      <c r="B194" t="s">
        <v>1612</v>
      </c>
      <c r="C194" s="1">
        <v>43404</v>
      </c>
      <c r="D194" s="1"/>
      <c r="E194" t="s">
        <v>1613</v>
      </c>
      <c r="F194" t="s">
        <v>28</v>
      </c>
      <c r="G194" t="s">
        <v>3489</v>
      </c>
      <c r="H194" t="s">
        <v>1611</v>
      </c>
      <c r="I194" t="s">
        <v>2879</v>
      </c>
      <c r="K194" t="s">
        <v>2874</v>
      </c>
      <c r="L194" t="s">
        <v>2875</v>
      </c>
      <c r="M194" t="str">
        <f t="shared" ref="M194:M257" si="6">LEFT(N194, 3)</f>
        <v>C12</v>
      </c>
      <c r="N194" t="s">
        <v>2876</v>
      </c>
      <c r="O194" t="s">
        <v>2877</v>
      </c>
      <c r="P194" t="s">
        <v>2877</v>
      </c>
      <c r="R194" t="str">
        <f t="shared" si="5"/>
        <v>INSERT INTO stock (ticker, name, listing_date, sub_industry, industry, sector, status) VALUES ('CAKK', 'Cahayaputra Asa Keramik Tbk.', '2018-10-31', 'C121', 'C12', 'IDXINDUST', (SELECT id FROM attribute WHERE type = 'STOCK_STATUS' AND code = 'LISTED')) ON CONFLICT DO NOTHING;</v>
      </c>
    </row>
    <row r="195" spans="1:18" x14ac:dyDescent="0.2">
      <c r="A195" t="s">
        <v>1483</v>
      </c>
      <c r="B195" t="s">
        <v>3535</v>
      </c>
      <c r="C195" s="1">
        <v>43088</v>
      </c>
      <c r="D195" s="1"/>
      <c r="E195" t="s">
        <v>1485</v>
      </c>
      <c r="F195" t="s">
        <v>28</v>
      </c>
      <c r="G195" t="s">
        <v>3489</v>
      </c>
      <c r="H195" t="s">
        <v>1483</v>
      </c>
      <c r="I195" t="s">
        <v>1484</v>
      </c>
      <c r="K195" t="s">
        <v>2945</v>
      </c>
      <c r="L195" t="s">
        <v>2961</v>
      </c>
      <c r="M195" t="str">
        <f t="shared" si="6"/>
        <v>D22</v>
      </c>
      <c r="N195" t="s">
        <v>2972</v>
      </c>
      <c r="O195" t="s">
        <v>2973</v>
      </c>
      <c r="P195" t="s">
        <v>2974</v>
      </c>
      <c r="R195" t="str">
        <f t="shared" ref="R195:R258" si="7">CONCATENATE($R$1, A195, "', '", B195, "', '", TEXT(C195, "YYYY-MM-DD"), "', '", N195, "', '", M195, "', '", K195, "', ", $S$1, ") ON CONFLICT DO NOTHING;")</f>
        <v>INSERT INTO stock (ticker, name, listing_date, sub_industry, industry, sector, status) VALUES ('CAMP', 'Campina Ice Cream Industry Tbk.', '2017-12-19', 'D221', 'D22', 'IDXNONCYC', (SELECT id FROM attribute WHERE type = 'STOCK_STATUS' AND code = 'LISTED')) ON CONFLICT DO NOTHING;</v>
      </c>
    </row>
    <row r="196" spans="1:18" x14ac:dyDescent="0.2">
      <c r="A196" t="s">
        <v>340</v>
      </c>
      <c r="B196" t="s">
        <v>3536</v>
      </c>
      <c r="C196" s="1">
        <v>41655</v>
      </c>
      <c r="D196" s="1"/>
      <c r="E196" t="s">
        <v>341</v>
      </c>
      <c r="F196" t="s">
        <v>12</v>
      </c>
      <c r="G196" t="s">
        <v>3489</v>
      </c>
      <c r="H196" t="s">
        <v>340</v>
      </c>
      <c r="I196" t="s">
        <v>2747</v>
      </c>
      <c r="K196" t="s">
        <v>2701</v>
      </c>
      <c r="L196" t="s">
        <v>2702</v>
      </c>
      <c r="M196" t="str">
        <f t="shared" si="6"/>
        <v>A12</v>
      </c>
      <c r="N196" t="s">
        <v>2742</v>
      </c>
      <c r="O196" t="s">
        <v>2724</v>
      </c>
      <c r="P196" t="s">
        <v>2743</v>
      </c>
      <c r="R196" t="str">
        <f t="shared" si="7"/>
        <v>INSERT INTO stock (ticker, name, listing_date, sub_industry, industry, sector, status) VALUES ('CANI', 'Capitol Nusantara Indonesia Tbk.', '2014-01-16', 'A122', 'A12', 'IDXENERGY', (SELECT id FROM attribute WHERE type = 'STOCK_STATUS' AND code = 'LISTED')) ON CONFLICT DO NOTHING;</v>
      </c>
    </row>
    <row r="197" spans="1:18" x14ac:dyDescent="0.2">
      <c r="A197" t="s">
        <v>2601</v>
      </c>
      <c r="B197" t="s">
        <v>3537</v>
      </c>
      <c r="C197" s="1">
        <v>43903</v>
      </c>
      <c r="D197" s="1"/>
      <c r="E197" t="s">
        <v>2603</v>
      </c>
      <c r="F197" t="s">
        <v>28</v>
      </c>
      <c r="G197" t="s">
        <v>3489</v>
      </c>
      <c r="H197" t="s">
        <v>2601</v>
      </c>
      <c r="I197" t="s">
        <v>2602</v>
      </c>
      <c r="K197" t="s">
        <v>3199</v>
      </c>
      <c r="L197" t="s">
        <v>3200</v>
      </c>
      <c r="M197" t="str">
        <f t="shared" si="6"/>
        <v>F12</v>
      </c>
      <c r="N197" t="s">
        <v>3206</v>
      </c>
      <c r="O197" t="s">
        <v>3207</v>
      </c>
      <c r="P197" t="s">
        <v>3207</v>
      </c>
      <c r="R197" t="str">
        <f t="shared" si="7"/>
        <v>INSERT INTO stock (ticker, name, listing_date, sub_industry, industry, sector, status) VALUES ('CARE', 'Metro Healthcare Indonesia Tbk.', '2020-03-13', 'F121', 'F12', 'IDXHEALTH', (SELECT id FROM attribute WHERE type = 'STOCK_STATUS' AND code = 'LISTED')) ON CONFLICT DO NOTHING;</v>
      </c>
    </row>
    <row r="198" spans="1:18" x14ac:dyDescent="0.2">
      <c r="A198" t="s">
        <v>1394</v>
      </c>
      <c r="B198" t="s">
        <v>3538</v>
      </c>
      <c r="C198" s="1">
        <v>42835</v>
      </c>
      <c r="D198" s="1"/>
      <c r="E198" t="s">
        <v>1395</v>
      </c>
      <c r="F198" t="s">
        <v>8</v>
      </c>
      <c r="G198" t="s">
        <v>3489</v>
      </c>
      <c r="H198" t="s">
        <v>1394</v>
      </c>
      <c r="I198" t="s">
        <v>3733</v>
      </c>
      <c r="K198" t="s">
        <v>3039</v>
      </c>
      <c r="L198" t="s">
        <v>3168</v>
      </c>
      <c r="M198" t="str">
        <f t="shared" si="6"/>
        <v>E74</v>
      </c>
      <c r="N198" t="s">
        <v>3196</v>
      </c>
      <c r="O198" t="s">
        <v>3177</v>
      </c>
      <c r="P198" t="s">
        <v>3197</v>
      </c>
      <c r="R198" t="str">
        <f t="shared" si="7"/>
        <v>INSERT INTO stock (ticker, name, listing_date, sub_industry, industry, sector, status) VALUES ('CARS', 'Industri dan Perdagangan Bintraco Dharma Tbk.', '2017-04-10', 'E745', 'E74', 'IDXCYCLIC', (SELECT id FROM attribute WHERE type = 'STOCK_STATUS' AND code = 'LISTED')) ON CONFLICT DO NOTHING;</v>
      </c>
    </row>
    <row r="199" spans="1:18" x14ac:dyDescent="0.2">
      <c r="A199" t="s">
        <v>1345</v>
      </c>
      <c r="B199" t="s">
        <v>3539</v>
      </c>
      <c r="C199" s="1">
        <v>42570</v>
      </c>
      <c r="D199" s="1"/>
      <c r="E199" t="s">
        <v>1346</v>
      </c>
      <c r="F199" t="s">
        <v>28</v>
      </c>
      <c r="G199" t="s">
        <v>3489</v>
      </c>
      <c r="H199" t="s">
        <v>1345</v>
      </c>
      <c r="I199" t="s">
        <v>3294</v>
      </c>
      <c r="K199" t="s">
        <v>3224</v>
      </c>
      <c r="L199" t="s">
        <v>3289</v>
      </c>
      <c r="M199" t="str">
        <f t="shared" si="6"/>
        <v>G51</v>
      </c>
      <c r="N199" t="s">
        <v>3290</v>
      </c>
      <c r="O199" t="s">
        <v>3289</v>
      </c>
      <c r="P199" t="s">
        <v>3291</v>
      </c>
      <c r="R199" t="str">
        <f t="shared" si="7"/>
        <v>INSERT INTO stock (ticker, name, listing_date, sub_industry, industry, sector, status) VALUES ('CASA', 'Capital Financial Indonesia Tbk.', '2016-07-19', 'G511', 'G51', 'IDXFINANCE', (SELECT id FROM attribute WHERE type = 'STOCK_STATUS' AND code = 'LISTED')) ON CONFLICT DO NOTHING;</v>
      </c>
    </row>
    <row r="200" spans="1:18" x14ac:dyDescent="0.2">
      <c r="A200" t="s">
        <v>1845</v>
      </c>
      <c r="B200" t="s">
        <v>3540</v>
      </c>
      <c r="C200" s="1">
        <v>43955</v>
      </c>
      <c r="D200" s="1"/>
      <c r="E200" t="s">
        <v>1846</v>
      </c>
      <c r="F200" t="s">
        <v>1847</v>
      </c>
      <c r="G200" t="s">
        <v>3489</v>
      </c>
      <c r="H200" t="s">
        <v>1845</v>
      </c>
      <c r="I200" t="s">
        <v>3385</v>
      </c>
      <c r="K200" t="s">
        <v>3381</v>
      </c>
      <c r="L200" t="s">
        <v>3382</v>
      </c>
      <c r="M200" t="str">
        <f t="shared" si="6"/>
        <v>I11</v>
      </c>
      <c r="N200" t="s">
        <v>3383</v>
      </c>
      <c r="O200" t="s">
        <v>3384</v>
      </c>
      <c r="P200" t="s">
        <v>3384</v>
      </c>
      <c r="R200" t="str">
        <f t="shared" si="7"/>
        <v>INSERT INTO stock (ticker, name, listing_date, sub_industry, industry, sector, status) VALUES ('CASH', 'Cashlez Worldwide Indonesia Tbk.', '2020-05-04', 'I111', 'I11', 'IDXTECHNO', (SELECT id FROM attribute WHERE type = 'STOCK_STATUS' AND code = 'LISTED')) ON CONFLICT DO NOTHING;</v>
      </c>
    </row>
    <row r="201" spans="1:18" x14ac:dyDescent="0.2">
      <c r="A201" t="s">
        <v>342</v>
      </c>
      <c r="B201" t="s">
        <v>343</v>
      </c>
      <c r="C201" s="1">
        <v>40882</v>
      </c>
      <c r="D201" s="1"/>
      <c r="E201" t="s">
        <v>344</v>
      </c>
      <c r="F201" t="s">
        <v>8</v>
      </c>
      <c r="G201" t="s">
        <v>3489</v>
      </c>
      <c r="H201" t="s">
        <v>342</v>
      </c>
      <c r="I201" t="s">
        <v>343</v>
      </c>
      <c r="K201" t="s">
        <v>3418</v>
      </c>
      <c r="L201" t="s">
        <v>3419</v>
      </c>
      <c r="M201" t="str">
        <f t="shared" si="6"/>
        <v>J11</v>
      </c>
      <c r="N201" t="s">
        <v>3420</v>
      </c>
      <c r="O201" t="s">
        <v>3421</v>
      </c>
      <c r="P201" t="s">
        <v>3422</v>
      </c>
      <c r="R201" t="str">
        <f t="shared" si="7"/>
        <v>INSERT INTO stock (ticker, name, listing_date, sub_industry, industry, sector, status) VALUES ('CASS', 'Cahaya Aero Services Tbk.', '2011-12-05', 'J111', 'J11', 'IDXINFRA', (SELECT id FROM attribute WHERE type = 'STOCK_STATUS' AND code = 'LISTED')) ON CONFLICT DO NOTHING;</v>
      </c>
    </row>
    <row r="202" spans="1:18" x14ac:dyDescent="0.2">
      <c r="A202" t="s">
        <v>2528</v>
      </c>
      <c r="B202" t="s">
        <v>2529</v>
      </c>
      <c r="C202" s="1">
        <v>45670</v>
      </c>
      <c r="D202" s="1"/>
      <c r="E202" t="s">
        <v>2530</v>
      </c>
      <c r="F202" t="s">
        <v>8</v>
      </c>
      <c r="G202" t="s">
        <v>3489</v>
      </c>
      <c r="H202" t="s">
        <v>2528</v>
      </c>
      <c r="I202" t="s">
        <v>3734</v>
      </c>
      <c r="K202" t="s">
        <v>3306</v>
      </c>
      <c r="L202" t="s">
        <v>3307</v>
      </c>
      <c r="M202" t="str">
        <f t="shared" si="6"/>
        <v>H11</v>
      </c>
      <c r="N202" t="s">
        <v>3308</v>
      </c>
      <c r="O202" t="s">
        <v>3309</v>
      </c>
      <c r="P202" t="s">
        <v>3310</v>
      </c>
      <c r="R202" t="str">
        <f t="shared" si="7"/>
        <v>INSERT INTO stock (ticker, name, listing_date, sub_industry, industry, sector, status) VALUES ('CBDK', 'Bangun Kosambi Sukses Tbk.', '2025-01-13', 'H111', 'H11', 'IDXPROPERT', (SELECT id FROM attribute WHERE type = 'STOCK_STATUS' AND code = 'LISTED')) ON CONFLICT DO NOTHING;</v>
      </c>
    </row>
    <row r="203" spans="1:18" x14ac:dyDescent="0.2">
      <c r="A203" t="s">
        <v>1833</v>
      </c>
      <c r="B203" t="s">
        <v>1834</v>
      </c>
      <c r="C203" s="1">
        <v>43930</v>
      </c>
      <c r="D203" s="1"/>
      <c r="E203" t="s">
        <v>877</v>
      </c>
      <c r="F203" t="s">
        <v>12</v>
      </c>
      <c r="G203" t="s">
        <v>3489</v>
      </c>
      <c r="H203" t="s">
        <v>1833</v>
      </c>
      <c r="I203" t="s">
        <v>3054</v>
      </c>
      <c r="K203" t="s">
        <v>3039</v>
      </c>
      <c r="L203" t="s">
        <v>3055</v>
      </c>
      <c r="M203" t="str">
        <f t="shared" si="6"/>
        <v>E21</v>
      </c>
      <c r="N203" t="s">
        <v>3056</v>
      </c>
      <c r="O203" t="s">
        <v>3055</v>
      </c>
      <c r="P203" t="s">
        <v>3057</v>
      </c>
      <c r="R203" t="str">
        <f t="shared" si="7"/>
        <v>INSERT INTO stock (ticker, name, listing_date, sub_industry, industry, sector, status) VALUES ('CBMF', 'Cahaya Bintang Medan Tbk.', '2020-04-09', 'E211', 'E21', 'IDXCYCLIC', (SELECT id FROM attribute WHERE type = 'STOCK_STATUS' AND code = 'LISTED')) ON CONFLICT DO NOTHING;</v>
      </c>
    </row>
    <row r="204" spans="1:18" x14ac:dyDescent="0.2">
      <c r="A204" t="s">
        <v>2225</v>
      </c>
      <c r="B204" t="s">
        <v>2226</v>
      </c>
      <c r="C204" s="1">
        <v>44932</v>
      </c>
      <c r="D204" s="1"/>
      <c r="E204" t="s">
        <v>2227</v>
      </c>
      <c r="F204" t="s">
        <v>28</v>
      </c>
      <c r="G204" t="s">
        <v>3489</v>
      </c>
      <c r="H204" t="s">
        <v>2225</v>
      </c>
      <c r="I204" t="s">
        <v>3735</v>
      </c>
      <c r="K204" t="s">
        <v>3306</v>
      </c>
      <c r="L204" t="s">
        <v>3307</v>
      </c>
      <c r="M204" t="str">
        <f t="shared" si="6"/>
        <v>H11</v>
      </c>
      <c r="N204" t="s">
        <v>3308</v>
      </c>
      <c r="O204" t="s">
        <v>3309</v>
      </c>
      <c r="P204" t="s">
        <v>3310</v>
      </c>
      <c r="R204" t="str">
        <f t="shared" si="7"/>
        <v>INSERT INTO stock (ticker, name, listing_date, sub_industry, industry, sector, status) VALUES ('CBPE', 'Citra Buana Prasida Tbk.', '2023-01-06', 'H111', 'H11', 'IDXPROPERT', (SELECT id FROM attribute WHERE type = 'STOCK_STATUS' AND code = 'LISTED')) ON CONFLICT DO NOTHING;</v>
      </c>
    </row>
    <row r="205" spans="1:18" x14ac:dyDescent="0.2">
      <c r="A205" t="s">
        <v>2230</v>
      </c>
      <c r="B205" t="s">
        <v>3541</v>
      </c>
      <c r="C205" s="1">
        <v>44935</v>
      </c>
      <c r="D205" s="1"/>
      <c r="E205" t="s">
        <v>2231</v>
      </c>
      <c r="F205" t="s">
        <v>28</v>
      </c>
      <c r="G205" t="s">
        <v>3489</v>
      </c>
      <c r="H205" t="s">
        <v>2230</v>
      </c>
      <c r="I205" t="s">
        <v>3736</v>
      </c>
      <c r="K205" t="s">
        <v>2701</v>
      </c>
      <c r="L205" t="s">
        <v>2702</v>
      </c>
      <c r="M205" t="str">
        <f t="shared" si="6"/>
        <v>A12</v>
      </c>
      <c r="N205" t="s">
        <v>2742</v>
      </c>
      <c r="O205" t="s">
        <v>2724</v>
      </c>
      <c r="P205" t="s">
        <v>2743</v>
      </c>
      <c r="R205" t="str">
        <f t="shared" si="7"/>
        <v>INSERT INTO stock (ticker, name, listing_date, sub_industry, industry, sector, status) VALUES ('CBRE', 'Cakra Buana Resources Energi Tbk.', '2023-01-09', 'A122', 'A12', 'IDXENERGY', (SELECT id FROM attribute WHERE type = 'STOCK_STATUS' AND code = 'LISTED')) ON CONFLICT DO NOTHING;</v>
      </c>
    </row>
    <row r="206" spans="1:18" x14ac:dyDescent="0.2">
      <c r="A206" t="s">
        <v>2179</v>
      </c>
      <c r="B206" t="s">
        <v>2180</v>
      </c>
      <c r="C206" s="1">
        <v>44873</v>
      </c>
      <c r="D206" s="1"/>
      <c r="E206" t="s">
        <v>1699</v>
      </c>
      <c r="F206" t="s">
        <v>28</v>
      </c>
      <c r="G206" t="s">
        <v>3489</v>
      </c>
      <c r="H206" t="s">
        <v>2179</v>
      </c>
      <c r="I206" t="s">
        <v>3737</v>
      </c>
      <c r="K206" t="s">
        <v>2945</v>
      </c>
      <c r="L206" t="s">
        <v>2961</v>
      </c>
      <c r="M206" t="str">
        <f t="shared" si="6"/>
        <v>D23</v>
      </c>
      <c r="N206" t="s">
        <v>3013</v>
      </c>
      <c r="O206" t="s">
        <v>2999</v>
      </c>
      <c r="P206" t="s">
        <v>3014</v>
      </c>
      <c r="R206" t="str">
        <f t="shared" si="7"/>
        <v>INSERT INTO stock (ticker, name, listing_date, sub_industry, industry, sector, status) VALUES ('CBUT', 'Citra Borneo Utama Tbk.', '2022-11-08', 'D232', 'D23', 'IDXNONCYC', (SELECT id FROM attribute WHERE type = 'STOCK_STATUS' AND code = 'LISTED')) ON CONFLICT DO NOTHING;</v>
      </c>
    </row>
    <row r="207" spans="1:18" x14ac:dyDescent="0.2">
      <c r="A207" t="s">
        <v>1680</v>
      </c>
      <c r="B207" t="s">
        <v>3542</v>
      </c>
      <c r="C207" s="1">
        <v>43634</v>
      </c>
      <c r="D207" s="1"/>
      <c r="E207" t="s">
        <v>1681</v>
      </c>
      <c r="F207" t="s">
        <v>28</v>
      </c>
      <c r="G207" t="s">
        <v>3489</v>
      </c>
      <c r="H207" t="s">
        <v>1680</v>
      </c>
      <c r="I207" t="s">
        <v>2887</v>
      </c>
      <c r="K207" t="s">
        <v>2874</v>
      </c>
      <c r="L207" t="s">
        <v>2875</v>
      </c>
      <c r="M207" t="str">
        <f t="shared" si="6"/>
        <v>C13</v>
      </c>
      <c r="N207" t="s">
        <v>2888</v>
      </c>
      <c r="O207" t="s">
        <v>2889</v>
      </c>
      <c r="P207" t="s">
        <v>2890</v>
      </c>
      <c r="R207" t="str">
        <f t="shared" si="7"/>
        <v>INSERT INTO stock (ticker, name, listing_date, sub_industry, industry, sector, status) VALUES ('CCSI', 'Communication Cable Systems Indonesia Tbk.', '2019-06-18', 'C131', 'C13', 'IDXINDUST', (SELECT id FROM attribute WHERE type = 'STOCK_STATUS' AND code = 'LISTED')) ON CONFLICT DO NOTHING;</v>
      </c>
    </row>
    <row r="208" spans="1:18" x14ac:dyDescent="0.2">
      <c r="A208" t="s">
        <v>2544</v>
      </c>
      <c r="B208" t="s">
        <v>2545</v>
      </c>
      <c r="C208" s="1">
        <v>45847</v>
      </c>
      <c r="D208" s="1"/>
      <c r="E208" t="s">
        <v>2546</v>
      </c>
      <c r="F208" t="s">
        <v>28</v>
      </c>
      <c r="G208" t="s">
        <v>3489</v>
      </c>
      <c r="H208" t="s">
        <v>2544</v>
      </c>
      <c r="I208" t="s">
        <v>3738</v>
      </c>
      <c r="K208" t="s">
        <v>3418</v>
      </c>
      <c r="L208" t="s">
        <v>3458</v>
      </c>
      <c r="M208" t="str">
        <f t="shared" si="6"/>
        <v>J41</v>
      </c>
      <c r="N208" t="s">
        <v>3459</v>
      </c>
      <c r="O208" t="s">
        <v>3460</v>
      </c>
      <c r="P208" t="s">
        <v>3460</v>
      </c>
      <c r="R208" t="str">
        <f t="shared" si="7"/>
        <v>INSERT INTO stock (ticker, name, listing_date, sub_industry, industry, sector, status) VALUES ('CDIA', 'Chandra Daya Investasi Tbk.', '2025-07-09', 'J411', 'J41', 'IDXINFRA', (SELECT id FROM attribute WHERE type = 'STOCK_STATUS' AND code = 'LISTED')) ON CONFLICT DO NOTHING;</v>
      </c>
    </row>
    <row r="209" spans="1:18" x14ac:dyDescent="0.2">
      <c r="A209" t="s">
        <v>345</v>
      </c>
      <c r="B209" t="s">
        <v>346</v>
      </c>
      <c r="C209" s="1">
        <v>35255</v>
      </c>
      <c r="D209" s="1"/>
      <c r="E209" t="s">
        <v>347</v>
      </c>
      <c r="F209" t="s">
        <v>28</v>
      </c>
      <c r="G209" t="s">
        <v>3489</v>
      </c>
      <c r="H209" t="s">
        <v>345</v>
      </c>
      <c r="I209" t="s">
        <v>2981</v>
      </c>
      <c r="K209" t="s">
        <v>2945</v>
      </c>
      <c r="L209" t="s">
        <v>2961</v>
      </c>
      <c r="M209" t="str">
        <f t="shared" si="6"/>
        <v>D22</v>
      </c>
      <c r="N209" t="s">
        <v>2978</v>
      </c>
      <c r="O209" t="s">
        <v>2973</v>
      </c>
      <c r="P209" t="s">
        <v>2973</v>
      </c>
      <c r="R209" t="str">
        <f t="shared" si="7"/>
        <v>INSERT INTO stock (ticker, name, listing_date, sub_industry, industry, sector, status) VALUES ('CEKA', 'Wilmar Cahaya Indonesia Tbk.', '1996-07-09', 'D222', 'D22', 'IDXNONCYC', (SELECT id FROM attribute WHERE type = 'STOCK_STATUS' AND code = 'LISTED')) ON CONFLICT DO NOTHING;</v>
      </c>
    </row>
    <row r="210" spans="1:18" x14ac:dyDescent="0.2">
      <c r="A210" t="s">
        <v>348</v>
      </c>
      <c r="B210" t="s">
        <v>3543</v>
      </c>
      <c r="C210" s="1">
        <v>37196</v>
      </c>
      <c r="D210" s="1"/>
      <c r="E210" t="s">
        <v>349</v>
      </c>
      <c r="F210" t="s">
        <v>28</v>
      </c>
      <c r="G210" t="s">
        <v>3489</v>
      </c>
      <c r="H210" t="s">
        <v>348</v>
      </c>
      <c r="I210" t="s">
        <v>3543</v>
      </c>
      <c r="K210" t="s">
        <v>3418</v>
      </c>
      <c r="L210" t="s">
        <v>3439</v>
      </c>
      <c r="M210" t="str">
        <f t="shared" si="6"/>
        <v>J32</v>
      </c>
      <c r="N210" t="s">
        <v>3449</v>
      </c>
      <c r="O210" t="s">
        <v>3450</v>
      </c>
      <c r="P210" t="s">
        <v>3450</v>
      </c>
      <c r="R210" t="str">
        <f t="shared" si="7"/>
        <v>INSERT INTO stock (ticker, name, listing_date, sub_industry, industry, sector, status) VALUES ('CENT', 'Centratama Telekomunikasi Indonesia Tbk.', '2001-11-01', 'J321', 'J32', 'IDXINFRA', (SELECT id FROM attribute WHERE type = 'STOCK_STATUS' AND code = 'LISTED')) ON CONFLICT DO NOTHING;</v>
      </c>
    </row>
    <row r="211" spans="1:18" x14ac:dyDescent="0.2">
      <c r="A211" t="s">
        <v>350</v>
      </c>
      <c r="B211" t="s">
        <v>351</v>
      </c>
      <c r="C211" s="1">
        <v>33112</v>
      </c>
      <c r="D211" s="1"/>
      <c r="E211" t="s">
        <v>352</v>
      </c>
      <c r="F211" t="s">
        <v>8</v>
      </c>
      <c r="G211" t="s">
        <v>3489</v>
      </c>
      <c r="H211" t="s">
        <v>350</v>
      </c>
      <c r="I211" t="s">
        <v>3243</v>
      </c>
      <c r="K211" t="s">
        <v>3224</v>
      </c>
      <c r="L211" t="s">
        <v>3238</v>
      </c>
      <c r="M211" t="str">
        <f t="shared" si="6"/>
        <v>G21</v>
      </c>
      <c r="N211" t="s">
        <v>3239</v>
      </c>
      <c r="O211" t="s">
        <v>3240</v>
      </c>
      <c r="P211" t="s">
        <v>3240</v>
      </c>
      <c r="R211" t="str">
        <f t="shared" si="7"/>
        <v>INSERT INTO stock (ticker, name, listing_date, sub_industry, industry, sector, status) VALUES ('CFIN', 'Clipan Finance Indonesia Tbk.', '1990-08-27', 'G211', 'G21', 'IDXFINANCE', (SELECT id FROM attribute WHERE type = 'STOCK_STATUS' AND code = 'LISTED')) ON CONFLICT DO NOTHING;</v>
      </c>
    </row>
    <row r="212" spans="1:18" x14ac:dyDescent="0.2">
      <c r="A212" t="s">
        <v>2625</v>
      </c>
      <c r="B212" t="s">
        <v>2626</v>
      </c>
      <c r="C212" s="1">
        <v>45299</v>
      </c>
      <c r="D212" s="1"/>
      <c r="E212" t="s">
        <v>2627</v>
      </c>
      <c r="F212" t="s">
        <v>28</v>
      </c>
      <c r="G212" t="s">
        <v>3489</v>
      </c>
      <c r="H212" t="s">
        <v>2625</v>
      </c>
      <c r="I212" t="s">
        <v>2626</v>
      </c>
      <c r="K212" t="s">
        <v>2701</v>
      </c>
      <c r="L212" t="s">
        <v>2702</v>
      </c>
      <c r="M212" t="str">
        <f t="shared" si="6"/>
        <v>A11</v>
      </c>
      <c r="N212" t="s">
        <v>2710</v>
      </c>
      <c r="O212" t="s">
        <v>2704</v>
      </c>
      <c r="P212" t="s">
        <v>2711</v>
      </c>
      <c r="R212" t="str">
        <f t="shared" si="7"/>
        <v>INSERT INTO stock (ticker, name, listing_date, sub_industry, industry, sector, status) VALUES ('CGAS', 'Citra Nusantara Gemilang Tbk.', '2024-01-08', 'A112', 'A11', 'IDXENERGY', (SELECT id FROM attribute WHERE type = 'STOCK_STATUS' AND code = 'LISTED')) ON CONFLICT DO NOTHING;</v>
      </c>
    </row>
    <row r="213" spans="1:18" x14ac:dyDescent="0.2">
      <c r="A213" t="s">
        <v>2553</v>
      </c>
      <c r="B213" t="s">
        <v>2554</v>
      </c>
      <c r="C213" s="1">
        <v>45848</v>
      </c>
      <c r="D213" s="1"/>
      <c r="E213" t="s">
        <v>2555</v>
      </c>
      <c r="F213" t="s">
        <v>28</v>
      </c>
      <c r="G213" t="s">
        <v>3489</v>
      </c>
      <c r="H213" t="s">
        <v>2553</v>
      </c>
      <c r="I213" t="s">
        <v>3739</v>
      </c>
      <c r="K213" t="s">
        <v>3199</v>
      </c>
      <c r="L213" t="s">
        <v>3200</v>
      </c>
      <c r="M213" t="str">
        <f t="shared" si="6"/>
        <v>F11</v>
      </c>
      <c r="N213" t="s">
        <v>3201</v>
      </c>
      <c r="O213" t="s">
        <v>3202</v>
      </c>
      <c r="P213" t="s">
        <v>3203</v>
      </c>
      <c r="R213" t="str">
        <f t="shared" si="7"/>
        <v>INSERT INTO stock (ticker, name, listing_date, sub_industry, industry, sector, status) VALUES ('CHEK', 'Diastika Biotekindo Tbk.', '2025-07-10', 'F112', 'F11', 'IDXHEALTH', (SELECT id FROM attribute WHERE type = 'STOCK_STATUS' AND code = 'LISTED')) ON CONFLICT DO NOTHING;</v>
      </c>
    </row>
    <row r="214" spans="1:18" x14ac:dyDescent="0.2">
      <c r="A214" t="s">
        <v>2123</v>
      </c>
      <c r="B214" t="s">
        <v>2124</v>
      </c>
      <c r="C214" s="1">
        <v>44750</v>
      </c>
      <c r="D214" s="1"/>
      <c r="E214" t="s">
        <v>2125</v>
      </c>
      <c r="F214" t="s">
        <v>28</v>
      </c>
      <c r="G214" t="s">
        <v>3489</v>
      </c>
      <c r="H214" t="s">
        <v>2123</v>
      </c>
      <c r="I214" t="s">
        <v>3740</v>
      </c>
      <c r="K214" t="s">
        <v>2778</v>
      </c>
      <c r="L214" t="s">
        <v>2779</v>
      </c>
      <c r="M214" t="str">
        <f t="shared" si="6"/>
        <v>B11</v>
      </c>
      <c r="N214" t="s">
        <v>2780</v>
      </c>
      <c r="O214" t="s">
        <v>2781</v>
      </c>
      <c r="P214" t="s">
        <v>2782</v>
      </c>
      <c r="R214" t="str">
        <f t="shared" si="7"/>
        <v>INSERT INTO stock (ticker, name, listing_date, sub_industry, industry, sector, status) VALUES ('CHEM', 'Chemstar Indonesia Tbk.', '2022-07-08', 'B111', 'B11', 'IDXBASIC', (SELECT id FROM attribute WHERE type = 'STOCK_STATUS' AND code = 'LISTED')) ON CONFLICT DO NOTHING;</v>
      </c>
    </row>
    <row r="215" spans="1:18" x14ac:dyDescent="0.2">
      <c r="A215" t="s">
        <v>2258</v>
      </c>
      <c r="B215" t="s">
        <v>2259</v>
      </c>
      <c r="C215" s="1">
        <v>44965</v>
      </c>
      <c r="D215" s="1"/>
      <c r="E215" t="s">
        <v>2260</v>
      </c>
      <c r="F215" t="s">
        <v>1847</v>
      </c>
      <c r="G215" t="s">
        <v>3489</v>
      </c>
      <c r="H215" t="s">
        <v>2258</v>
      </c>
      <c r="I215" t="s">
        <v>3741</v>
      </c>
      <c r="K215" t="s">
        <v>3381</v>
      </c>
      <c r="L215" t="s">
        <v>3406</v>
      </c>
      <c r="M215" t="str">
        <f t="shared" si="6"/>
        <v>I23</v>
      </c>
      <c r="N215" t="s">
        <v>3414</v>
      </c>
      <c r="O215" t="s">
        <v>3415</v>
      </c>
      <c r="P215" t="s">
        <v>3416</v>
      </c>
      <c r="R215" t="str">
        <f t="shared" si="7"/>
        <v>INSERT INTO stock (ticker, name, listing_date, sub_industry, industry, sector, status) VALUES ('CHIP', 'Pelita Teknologi Global Tbk.', '2023-02-08', 'I231', 'I23', 'IDXTECHNO', (SELECT id FROM attribute WHERE type = 'STOCK_STATUS' AND code = 'LISTED')) ON CONFLICT DO NOTHING;</v>
      </c>
    </row>
    <row r="216" spans="1:18" x14ac:dyDescent="0.2">
      <c r="A216" t="s">
        <v>353</v>
      </c>
      <c r="B216" t="s">
        <v>354</v>
      </c>
      <c r="C216" s="1">
        <v>41817</v>
      </c>
      <c r="D216" s="1"/>
      <c r="E216" t="s">
        <v>355</v>
      </c>
      <c r="F216" t="s">
        <v>28</v>
      </c>
      <c r="G216" t="s">
        <v>3489</v>
      </c>
      <c r="H216" t="s">
        <v>353</v>
      </c>
      <c r="I216" t="s">
        <v>3058</v>
      </c>
      <c r="K216" t="s">
        <v>3039</v>
      </c>
      <c r="L216" t="s">
        <v>3055</v>
      </c>
      <c r="M216" t="str">
        <f t="shared" si="6"/>
        <v>E21</v>
      </c>
      <c r="N216" t="s">
        <v>3056</v>
      </c>
      <c r="O216" t="s">
        <v>3055</v>
      </c>
      <c r="P216" t="s">
        <v>3057</v>
      </c>
      <c r="R216" t="str">
        <f t="shared" si="7"/>
        <v>INSERT INTO stock (ticker, name, listing_date, sub_industry, industry, sector, status) VALUES ('CINT', 'Chitose Internasional Tbk.', '2014-06-27', 'E211', 'E21', 'IDXCYCLIC', (SELECT id FROM attribute WHERE type = 'STOCK_STATUS' AND code = 'LISTED')) ON CONFLICT DO NOTHING;</v>
      </c>
    </row>
    <row r="217" spans="1:18" x14ac:dyDescent="0.2">
      <c r="A217" t="s">
        <v>356</v>
      </c>
      <c r="B217" t="s">
        <v>357</v>
      </c>
      <c r="C217" s="1">
        <v>37335</v>
      </c>
      <c r="D217" s="1"/>
      <c r="E217" t="s">
        <v>358</v>
      </c>
      <c r="F217" t="s">
        <v>8</v>
      </c>
      <c r="G217" t="s">
        <v>3489</v>
      </c>
      <c r="H217" t="s">
        <v>356</v>
      </c>
      <c r="I217" t="s">
        <v>2827</v>
      </c>
      <c r="K217" t="s">
        <v>2778</v>
      </c>
      <c r="L217" t="s">
        <v>2779</v>
      </c>
      <c r="M217" t="str">
        <f t="shared" si="6"/>
        <v>B14</v>
      </c>
      <c r="N217" t="s">
        <v>2823</v>
      </c>
      <c r="O217" t="s">
        <v>2824</v>
      </c>
      <c r="P217" t="s">
        <v>2825</v>
      </c>
      <c r="R217" t="str">
        <f t="shared" si="7"/>
        <v>INSERT INTO stock (ticker, name, listing_date, sub_industry, industry, sector, status) VALUES ('CITA', 'Cita Mineral Investindo Tbk.', '2002-03-20', 'B141', 'B14', 'IDXBASIC', (SELECT id FROM attribute WHERE type = 'STOCK_STATUS' AND code = 'LISTED')) ON CONFLICT DO NOTHING;</v>
      </c>
    </row>
    <row r="218" spans="1:18" x14ac:dyDescent="0.2">
      <c r="A218" t="s">
        <v>1586</v>
      </c>
      <c r="B218" t="s">
        <v>1587</v>
      </c>
      <c r="C218" s="1">
        <v>43371</v>
      </c>
      <c r="D218" s="1"/>
      <c r="E218" t="s">
        <v>1588</v>
      </c>
      <c r="F218" t="s">
        <v>28</v>
      </c>
      <c r="G218" t="s">
        <v>3489</v>
      </c>
      <c r="H218" t="s">
        <v>1586</v>
      </c>
      <c r="I218" t="s">
        <v>3326</v>
      </c>
      <c r="K218" t="s">
        <v>3306</v>
      </c>
      <c r="L218" t="s">
        <v>3307</v>
      </c>
      <c r="M218" t="str">
        <f t="shared" si="6"/>
        <v>H11</v>
      </c>
      <c r="N218" t="s">
        <v>3308</v>
      </c>
      <c r="O218" t="s">
        <v>3309</v>
      </c>
      <c r="P218" t="s">
        <v>3310</v>
      </c>
      <c r="R218" t="str">
        <f t="shared" si="7"/>
        <v>INSERT INTO stock (ticker, name, listing_date, sub_industry, industry, sector, status) VALUES ('CITY', 'Natura City Developments Tbk.', '2018-09-28', 'H111', 'H11', 'IDXPROPERT', (SELECT id FROM attribute WHERE type = 'STOCK_STATUS' AND code = 'LISTED')) ON CONFLICT DO NOTHING;</v>
      </c>
    </row>
    <row r="219" spans="1:18" x14ac:dyDescent="0.2">
      <c r="A219" t="s">
        <v>1649</v>
      </c>
      <c r="B219" t="s">
        <v>1650</v>
      </c>
      <c r="C219" s="1">
        <v>43483</v>
      </c>
      <c r="D219" s="1"/>
      <c r="E219" t="s">
        <v>1651</v>
      </c>
      <c r="F219" t="s">
        <v>28</v>
      </c>
      <c r="G219" t="s">
        <v>3489</v>
      </c>
      <c r="H219" t="s">
        <v>1649</v>
      </c>
      <c r="I219" t="s">
        <v>3097</v>
      </c>
      <c r="K219" t="s">
        <v>3039</v>
      </c>
      <c r="L219" t="s">
        <v>3092</v>
      </c>
      <c r="M219" t="str">
        <f t="shared" si="6"/>
        <v>E51</v>
      </c>
      <c r="N219" t="s">
        <v>3093</v>
      </c>
      <c r="O219" t="s">
        <v>3094</v>
      </c>
      <c r="P219" t="s">
        <v>3095</v>
      </c>
      <c r="R219" t="str">
        <f t="shared" si="7"/>
        <v>INSERT INTO stock (ticker, name, listing_date, sub_industry, industry, sector, status) VALUES ('CLAY', 'Citra Putra Realty Tbk.', '2019-01-18', 'E512', 'E51', 'IDXCYCLIC', (SELECT id FROM attribute WHERE type = 'STOCK_STATUS' AND code = 'LISTED')) ON CONFLICT DO NOTHING;</v>
      </c>
    </row>
    <row r="220" spans="1:18" x14ac:dyDescent="0.2">
      <c r="A220" t="s">
        <v>1399</v>
      </c>
      <c r="B220" t="s">
        <v>1400</v>
      </c>
      <c r="C220" s="1">
        <v>42860</v>
      </c>
      <c r="D220" s="1"/>
      <c r="E220" t="s">
        <v>1401</v>
      </c>
      <c r="F220" t="s">
        <v>8</v>
      </c>
      <c r="G220" t="s">
        <v>3489</v>
      </c>
      <c r="H220" t="s">
        <v>1399</v>
      </c>
      <c r="I220" t="s">
        <v>2971</v>
      </c>
      <c r="K220" t="s">
        <v>2945</v>
      </c>
      <c r="L220" t="s">
        <v>2961</v>
      </c>
      <c r="M220" t="str">
        <f t="shared" si="6"/>
        <v>D21</v>
      </c>
      <c r="N220" t="s">
        <v>2968</v>
      </c>
      <c r="O220" t="s">
        <v>2963</v>
      </c>
      <c r="P220" t="s">
        <v>2969</v>
      </c>
      <c r="R220" t="str">
        <f t="shared" si="7"/>
        <v>INSERT INTO stock (ticker, name, listing_date, sub_industry, industry, sector, status) VALUES ('CLEO', 'Sariguna Primatirta Tbk.', '2017-05-05', 'D212', 'D21', 'IDXNONCYC', (SELECT id FROM attribute WHERE type = 'STOCK_STATUS' AND code = 'LISTED')) ON CONFLICT DO NOTHING;</v>
      </c>
    </row>
    <row r="221" spans="1:18" x14ac:dyDescent="0.2">
      <c r="A221" t="s">
        <v>359</v>
      </c>
      <c r="B221" t="s">
        <v>360</v>
      </c>
      <c r="C221" s="1">
        <v>37225</v>
      </c>
      <c r="D221" s="1"/>
      <c r="E221" t="s">
        <v>361</v>
      </c>
      <c r="F221" t="s">
        <v>28</v>
      </c>
      <c r="G221" t="s">
        <v>3489</v>
      </c>
      <c r="H221" t="s">
        <v>359</v>
      </c>
      <c r="I221" t="s">
        <v>2796</v>
      </c>
      <c r="K221" t="s">
        <v>2778</v>
      </c>
      <c r="L221" t="s">
        <v>2779</v>
      </c>
      <c r="M221" t="str">
        <f t="shared" si="6"/>
        <v>B11</v>
      </c>
      <c r="N221" t="s">
        <v>2792</v>
      </c>
      <c r="O221" t="s">
        <v>2781</v>
      </c>
      <c r="P221" t="s">
        <v>2793</v>
      </c>
      <c r="R221" t="str">
        <f t="shared" si="7"/>
        <v>INSERT INTO stock (ticker, name, listing_date, sub_industry, industry, sector, status) VALUES ('CLPI', 'Colorpak Indonesia Tbk.', '2001-11-30', 'B113', 'B11', 'IDXBASIC', (SELECT id FROM attribute WHERE type = 'STOCK_STATUS' AND code = 'LISTED')) ON CONFLICT DO NOTHING;</v>
      </c>
    </row>
    <row r="222" spans="1:18" x14ac:dyDescent="0.2">
      <c r="A222" t="s">
        <v>362</v>
      </c>
      <c r="B222" t="s">
        <v>3544</v>
      </c>
      <c r="C222" s="1">
        <v>34709</v>
      </c>
      <c r="D222" s="1"/>
      <c r="E222" t="s">
        <v>363</v>
      </c>
      <c r="F222" t="s">
        <v>8</v>
      </c>
      <c r="G222" t="s">
        <v>3489</v>
      </c>
      <c r="H222" t="s">
        <v>362</v>
      </c>
      <c r="I222" t="s">
        <v>3424</v>
      </c>
      <c r="K222" t="s">
        <v>3418</v>
      </c>
      <c r="L222" t="s">
        <v>3419</v>
      </c>
      <c r="M222" t="str">
        <f t="shared" si="6"/>
        <v>J11</v>
      </c>
      <c r="N222" t="s">
        <v>3425</v>
      </c>
      <c r="O222" t="s">
        <v>3421</v>
      </c>
      <c r="P222" t="s">
        <v>3426</v>
      </c>
      <c r="R222" t="str">
        <f t="shared" si="7"/>
        <v>INSERT INTO stock (ticker, name, listing_date, sub_industry, industry, sector, status) VALUES ('CMNP', 'Citra Marga Nusaphala Persada Tbk.', '1995-01-10', 'J112', 'J11', 'IDXINFRA', (SELECT id FROM attribute WHERE type = 'STOCK_STATUS' AND code = 'LISTED')) ON CONFLICT DO NOTHING;</v>
      </c>
    </row>
    <row r="223" spans="1:18" x14ac:dyDescent="0.2">
      <c r="A223" t="s">
        <v>2004</v>
      </c>
      <c r="B223" t="s">
        <v>2005</v>
      </c>
      <c r="C223" s="1">
        <v>44447</v>
      </c>
      <c r="D223" s="1"/>
      <c r="E223" t="s">
        <v>2006</v>
      </c>
      <c r="F223" t="s">
        <v>28</v>
      </c>
      <c r="G223" t="s">
        <v>3489</v>
      </c>
      <c r="H223" t="s">
        <v>2004</v>
      </c>
      <c r="I223" t="s">
        <v>2804</v>
      </c>
      <c r="K223" t="s">
        <v>2778</v>
      </c>
      <c r="L223" t="s">
        <v>2779</v>
      </c>
      <c r="M223" t="str">
        <f t="shared" si="6"/>
        <v>B12</v>
      </c>
      <c r="N223" t="s">
        <v>2801</v>
      </c>
      <c r="O223" t="s">
        <v>2802</v>
      </c>
      <c r="P223" t="s">
        <v>2802</v>
      </c>
      <c r="R223" t="str">
        <f t="shared" si="7"/>
        <v>INSERT INTO stock (ticker, name, listing_date, sub_industry, industry, sector, status) VALUES ('CMNT', 'Cemindo Gemilang Tbk.', '2021-09-08', 'B121', 'B12', 'IDXBASIC', (SELECT id FROM attribute WHERE type = 'STOCK_STATUS' AND code = 'LISTED')) ON CONFLICT DO NOTHING;</v>
      </c>
    </row>
    <row r="224" spans="1:18" x14ac:dyDescent="0.2">
      <c r="A224" t="s">
        <v>364</v>
      </c>
      <c r="B224" t="s">
        <v>365</v>
      </c>
      <c r="C224" s="1">
        <v>34676</v>
      </c>
      <c r="D224" s="1"/>
      <c r="E224" t="s">
        <v>366</v>
      </c>
      <c r="F224" t="s">
        <v>12</v>
      </c>
      <c r="G224" t="s">
        <v>3489</v>
      </c>
      <c r="H224" t="s">
        <v>364</v>
      </c>
      <c r="I224" t="s">
        <v>3469</v>
      </c>
      <c r="K224" t="s">
        <v>3470</v>
      </c>
      <c r="L224" t="s">
        <v>3471</v>
      </c>
      <c r="M224" t="str">
        <f t="shared" si="6"/>
        <v>K11</v>
      </c>
      <c r="N224" t="s">
        <v>3472</v>
      </c>
      <c r="O224" t="s">
        <v>3473</v>
      </c>
      <c r="P224" t="s">
        <v>3473</v>
      </c>
      <c r="R224" t="str">
        <f t="shared" si="7"/>
        <v>INSERT INTO stock (ticker, name, listing_date, sub_industry, industry, sector, status) VALUES ('CMPP', 'AirAsia Indonesia Tbk.', '1994-12-08', 'K111', 'K11', 'IDXTRANS', (SELECT id FROM attribute WHERE type = 'STOCK_STATUS' AND code = 'LISTED')) ON CONFLICT DO NOTHING;</v>
      </c>
    </row>
    <row r="225" spans="1:18" x14ac:dyDescent="0.2">
      <c r="A225" t="s">
        <v>2028</v>
      </c>
      <c r="B225" t="s">
        <v>2029</v>
      </c>
      <c r="C225" s="1">
        <v>44536</v>
      </c>
      <c r="D225" s="1"/>
      <c r="E225" t="s">
        <v>2030</v>
      </c>
      <c r="F225" t="s">
        <v>8</v>
      </c>
      <c r="G225" t="s">
        <v>3489</v>
      </c>
      <c r="H225" t="s">
        <v>2028</v>
      </c>
      <c r="I225" t="s">
        <v>2975</v>
      </c>
      <c r="K225" t="s">
        <v>2945</v>
      </c>
      <c r="L225" t="s">
        <v>2961</v>
      </c>
      <c r="M225" t="str">
        <f t="shared" si="6"/>
        <v>D22</v>
      </c>
      <c r="N225" t="s">
        <v>2972</v>
      </c>
      <c r="O225" t="s">
        <v>2973</v>
      </c>
      <c r="P225" t="s">
        <v>2974</v>
      </c>
      <c r="R225" t="str">
        <f t="shared" si="7"/>
        <v>INSERT INTO stock (ticker, name, listing_date, sub_industry, industry, sector, status) VALUES ('CMRY', 'Cisarua Mountain Dairy Tbk.', '2021-12-06', 'D221', 'D22', 'IDXNONCYC', (SELECT id FROM attribute WHERE type = 'STOCK_STATUS' AND code = 'LISTED')) ON CONFLICT DO NOTHING;</v>
      </c>
    </row>
    <row r="226" spans="1:18" x14ac:dyDescent="0.2">
      <c r="A226" t="s">
        <v>367</v>
      </c>
      <c r="B226" t="s">
        <v>3545</v>
      </c>
      <c r="C226" s="1">
        <v>37215</v>
      </c>
      <c r="D226" s="1"/>
      <c r="E226" t="s">
        <v>368</v>
      </c>
      <c r="F226" t="s">
        <v>12</v>
      </c>
      <c r="G226" t="s">
        <v>3489</v>
      </c>
      <c r="H226" t="s">
        <v>367</v>
      </c>
      <c r="I226" t="s">
        <v>2748</v>
      </c>
      <c r="K226" t="s">
        <v>2701</v>
      </c>
      <c r="L226" t="s">
        <v>2702</v>
      </c>
      <c r="M226" t="str">
        <f t="shared" si="6"/>
        <v>A12</v>
      </c>
      <c r="N226" t="s">
        <v>2742</v>
      </c>
      <c r="O226" t="s">
        <v>2724</v>
      </c>
      <c r="P226" t="s">
        <v>2743</v>
      </c>
      <c r="R226" t="str">
        <f t="shared" si="7"/>
        <v>INSERT INTO stock (ticker, name, listing_date, sub_industry, industry, sector, status) VALUES ('CNKO', 'Exploitasi Energi Indonesia Tbk.', '2001-11-20', 'A122', 'A12', 'IDXENERGY', (SELECT id FROM attribute WHERE type = 'STOCK_STATUS' AND code = 'LISTED')) ON CONFLICT DO NOTHING;</v>
      </c>
    </row>
    <row r="227" spans="1:18" x14ac:dyDescent="0.2">
      <c r="A227" t="s">
        <v>2339</v>
      </c>
      <c r="B227" t="s">
        <v>2340</v>
      </c>
      <c r="C227" s="1">
        <v>45140</v>
      </c>
      <c r="D227" s="1"/>
      <c r="E227" t="s">
        <v>2341</v>
      </c>
      <c r="F227" t="s">
        <v>28</v>
      </c>
      <c r="G227" t="s">
        <v>3489</v>
      </c>
      <c r="H227" t="s">
        <v>2339</v>
      </c>
      <c r="I227" t="s">
        <v>3742</v>
      </c>
      <c r="K227" t="s">
        <v>3039</v>
      </c>
      <c r="L227" t="s">
        <v>3092</v>
      </c>
      <c r="M227" t="str">
        <f t="shared" si="6"/>
        <v>E51</v>
      </c>
      <c r="N227" t="s">
        <v>3124</v>
      </c>
      <c r="O227" t="s">
        <v>3094</v>
      </c>
      <c r="P227" t="s">
        <v>3125</v>
      </c>
      <c r="R227" t="str">
        <f t="shared" si="7"/>
        <v>INSERT INTO stock (ticker, name, listing_date, sub_industry, industry, sector, status) VALUES ('CNMA', 'Nusantara Sejahtera Raya Tbk.', '2023-08-02', 'E514', 'E51', 'IDXCYCLIC', (SELECT id FROM attribute WHERE type = 'STOCK_STATUS' AND code = 'LISTED')) ON CONFLICT DO NOTHING;</v>
      </c>
    </row>
    <row r="228" spans="1:18" x14ac:dyDescent="0.2">
      <c r="A228" t="s">
        <v>369</v>
      </c>
      <c r="B228" t="s">
        <v>370</v>
      </c>
      <c r="C228" s="1">
        <v>28997</v>
      </c>
      <c r="D228" s="1"/>
      <c r="E228" t="s">
        <v>371</v>
      </c>
      <c r="F228" t="s">
        <v>12</v>
      </c>
      <c r="G228" t="s">
        <v>3489</v>
      </c>
      <c r="H228" t="s">
        <v>369</v>
      </c>
      <c r="I228" t="s">
        <v>370</v>
      </c>
      <c r="K228" t="s">
        <v>3039</v>
      </c>
      <c r="L228" t="s">
        <v>3077</v>
      </c>
      <c r="M228" t="str">
        <f t="shared" si="6"/>
        <v>E41</v>
      </c>
      <c r="N228" t="s">
        <v>3088</v>
      </c>
      <c r="O228" t="s">
        <v>3077</v>
      </c>
      <c r="P228" t="s">
        <v>3089</v>
      </c>
      <c r="R228" t="str">
        <f t="shared" si="7"/>
        <v>INSERT INTO stock (ticker, name, listing_date, sub_industry, industry, sector, status) VALUES ('CNTX', 'Century Textile Industry Tbk.', '1979-05-22', 'E413', 'E41', 'IDXCYCLIC', (SELECT id FROM attribute WHERE type = 'STOCK_STATUS' AND code = 'LISTED')) ON CONFLICT DO NOTHING;</v>
      </c>
    </row>
    <row r="229" spans="1:18" x14ac:dyDescent="0.2">
      <c r="A229" t="s">
        <v>2173</v>
      </c>
      <c r="B229" t="s">
        <v>2174</v>
      </c>
      <c r="C229" s="1">
        <v>44811</v>
      </c>
      <c r="D229" s="1"/>
      <c r="E229" t="s">
        <v>2175</v>
      </c>
      <c r="F229" t="s">
        <v>28</v>
      </c>
      <c r="G229" t="s">
        <v>3489</v>
      </c>
      <c r="H229" t="s">
        <v>2173</v>
      </c>
      <c r="I229" t="s">
        <v>3743</v>
      </c>
      <c r="K229" t="s">
        <v>2701</v>
      </c>
      <c r="L229" t="s">
        <v>2702</v>
      </c>
      <c r="M229" t="str">
        <f t="shared" si="6"/>
        <v>A12</v>
      </c>
      <c r="N229" t="s">
        <v>2723</v>
      </c>
      <c r="O229" t="s">
        <v>2724</v>
      </c>
      <c r="P229" t="s">
        <v>2725</v>
      </c>
      <c r="R229" t="str">
        <f t="shared" si="7"/>
        <v>INSERT INTO stock (ticker, name, listing_date, sub_industry, industry, sector, status) VALUES ('COAL', 'Black Diamond Resources Tbk.', '2022-09-07', 'A121', 'A12', 'IDXENERGY', (SELECT id FROM attribute WHERE type = 'STOCK_STATUS' AND code = 'LISTED')) ON CONFLICT DO NOTHING;</v>
      </c>
    </row>
    <row r="230" spans="1:18" x14ac:dyDescent="0.2">
      <c r="A230" t="s">
        <v>1657</v>
      </c>
      <c r="B230" t="s">
        <v>3546</v>
      </c>
      <c r="C230" s="1">
        <v>43544</v>
      </c>
      <c r="D230" s="1"/>
      <c r="E230" t="s">
        <v>1659</v>
      </c>
      <c r="F230" t="s">
        <v>28</v>
      </c>
      <c r="G230" t="s">
        <v>3489</v>
      </c>
      <c r="H230" t="s">
        <v>1657</v>
      </c>
      <c r="I230" t="s">
        <v>1658</v>
      </c>
      <c r="K230" t="s">
        <v>2945</v>
      </c>
      <c r="L230" t="s">
        <v>2961</v>
      </c>
      <c r="M230" t="str">
        <f t="shared" si="6"/>
        <v>D22</v>
      </c>
      <c r="N230" t="s">
        <v>2978</v>
      </c>
      <c r="O230" t="s">
        <v>2973</v>
      </c>
      <c r="P230" t="s">
        <v>2973</v>
      </c>
      <c r="R230" t="str">
        <f t="shared" si="7"/>
        <v>INSERT INTO stock (ticker, name, listing_date, sub_industry, industry, sector, status) VALUES ('COCO', 'Wahana Interfood Nusantara Tbk.', '2019-03-20', 'D222', 'D22', 'IDXNONCYC', (SELECT id FROM attribute WHERE type = 'STOCK_STATUS' AND code = 'LISTED')) ON CONFLICT DO NOTHING;</v>
      </c>
    </row>
    <row r="231" spans="1:18" x14ac:dyDescent="0.2">
      <c r="A231" t="s">
        <v>2541</v>
      </c>
      <c r="B231" t="s">
        <v>2542</v>
      </c>
      <c r="C231" s="1">
        <v>45847</v>
      </c>
      <c r="D231" s="1"/>
      <c r="E231" t="s">
        <v>2543</v>
      </c>
      <c r="F231" t="s">
        <v>28</v>
      </c>
      <c r="G231" t="s">
        <v>3489</v>
      </c>
      <c r="H231" t="s">
        <v>2541</v>
      </c>
      <c r="I231" t="s">
        <v>3744</v>
      </c>
      <c r="K231" t="s">
        <v>3224</v>
      </c>
      <c r="L231" t="s">
        <v>3289</v>
      </c>
      <c r="M231" t="str">
        <f t="shared" si="6"/>
        <v>G51</v>
      </c>
      <c r="N231" t="s">
        <v>3290</v>
      </c>
      <c r="O231" t="s">
        <v>3289</v>
      </c>
      <c r="P231" t="s">
        <v>3291</v>
      </c>
      <c r="R231" t="str">
        <f t="shared" si="7"/>
        <v>INSERT INTO stock (ticker, name, listing_date, sub_industry, industry, sector, status) VALUES ('COIN', 'Indokripto Koin Semesta Tbk.', '2025-07-09', 'G511', 'G51', 'IDXFINANCE', (SELECT id FROM attribute WHERE type = 'STOCK_STATUS' AND code = 'LISTED')) ON CONFLICT DO NOTHING;</v>
      </c>
    </row>
    <row r="232" spans="1:18" x14ac:dyDescent="0.2">
      <c r="A232" t="s">
        <v>372</v>
      </c>
      <c r="B232" t="s">
        <v>373</v>
      </c>
      <c r="C232" s="1">
        <v>39435</v>
      </c>
      <c r="D232" s="1"/>
      <c r="E232" t="s">
        <v>374</v>
      </c>
      <c r="F232" t="s">
        <v>12</v>
      </c>
      <c r="G232" t="s">
        <v>3489</v>
      </c>
      <c r="H232" t="s">
        <v>372</v>
      </c>
      <c r="I232" t="s">
        <v>3327</v>
      </c>
      <c r="K232" t="s">
        <v>3306</v>
      </c>
      <c r="L232" t="s">
        <v>3307</v>
      </c>
      <c r="M232" t="str">
        <f t="shared" si="6"/>
        <v>H11</v>
      </c>
      <c r="N232" t="s">
        <v>3308</v>
      </c>
      <c r="O232" t="s">
        <v>3309</v>
      </c>
      <c r="P232" t="s">
        <v>3310</v>
      </c>
      <c r="R232" t="str">
        <f t="shared" si="7"/>
        <v>INSERT INTO stock (ticker, name, listing_date, sub_industry, industry, sector, status) VALUES ('COWL', 'Cowell Development Tbk.', '2007-12-19', 'H111', 'H11', 'IDXPROPERT', (SELECT id FROM attribute WHERE type = 'STOCK_STATUS' AND code = 'LISTED')) ON CONFLICT DO NOTHING;</v>
      </c>
    </row>
    <row r="233" spans="1:18" x14ac:dyDescent="0.2">
      <c r="A233" t="s">
        <v>375</v>
      </c>
      <c r="B233" t="s">
        <v>3547</v>
      </c>
      <c r="C233" s="1">
        <v>33315</v>
      </c>
      <c r="D233" s="1"/>
      <c r="E233" t="s">
        <v>377</v>
      </c>
      <c r="F233" t="s">
        <v>8</v>
      </c>
      <c r="G233" t="s">
        <v>3489</v>
      </c>
      <c r="H233" t="s">
        <v>375</v>
      </c>
      <c r="I233" t="s">
        <v>376</v>
      </c>
      <c r="K233" t="s">
        <v>2945</v>
      </c>
      <c r="L233" t="s">
        <v>2961</v>
      </c>
      <c r="M233" t="str">
        <f t="shared" si="6"/>
        <v>D23</v>
      </c>
      <c r="N233" t="s">
        <v>2998</v>
      </c>
      <c r="O233" t="s">
        <v>2999</v>
      </c>
      <c r="P233" t="s">
        <v>3000</v>
      </c>
      <c r="R233" t="str">
        <f t="shared" si="7"/>
        <v>INSERT INTO stock (ticker, name, listing_date, sub_industry, industry, sector, status) VALUES ('CPIN', 'Charoen Pokphand Indonesia Tbk.', '1991-03-18', 'D231', 'D23', 'IDXNONCYC', (SELECT id FROM attribute WHERE type = 'STOCK_STATUS' AND code = 'LISTED')) ON CONFLICT DO NOTHING;</v>
      </c>
    </row>
    <row r="234" spans="1:18" x14ac:dyDescent="0.2">
      <c r="A234" t="s">
        <v>1663</v>
      </c>
      <c r="B234" t="s">
        <v>1664</v>
      </c>
      <c r="C234" s="1">
        <v>43566</v>
      </c>
      <c r="D234" s="1"/>
      <c r="E234" t="s">
        <v>1665</v>
      </c>
      <c r="F234" t="s">
        <v>12</v>
      </c>
      <c r="G234" t="s">
        <v>3489</v>
      </c>
      <c r="H234" t="s">
        <v>1663</v>
      </c>
      <c r="I234" t="s">
        <v>3328</v>
      </c>
      <c r="K234" t="s">
        <v>3306</v>
      </c>
      <c r="L234" t="s">
        <v>3307</v>
      </c>
      <c r="M234" t="str">
        <f t="shared" si="6"/>
        <v>H11</v>
      </c>
      <c r="N234" t="s">
        <v>3308</v>
      </c>
      <c r="O234" t="s">
        <v>3309</v>
      </c>
      <c r="P234" t="s">
        <v>3310</v>
      </c>
      <c r="R234" t="str">
        <f t="shared" si="7"/>
        <v>INSERT INTO stock (ticker, name, listing_date, sub_industry, industry, sector, status) VALUES ('CPRI', 'Capri Nusa Satu Properti Tbk.', '2019-04-11', 'H111', 'H11', 'IDXPROPERT', (SELECT id FROM attribute WHERE type = 'STOCK_STATUS' AND code = 'LISTED')) ON CONFLICT DO NOTHING;</v>
      </c>
    </row>
    <row r="235" spans="1:18" x14ac:dyDescent="0.2">
      <c r="A235" t="s">
        <v>378</v>
      </c>
      <c r="B235" t="s">
        <v>379</v>
      </c>
      <c r="C235" s="1">
        <v>39049</v>
      </c>
      <c r="D235" s="1"/>
      <c r="E235" t="s">
        <v>380</v>
      </c>
      <c r="F235" t="s">
        <v>28</v>
      </c>
      <c r="G235" t="s">
        <v>3489</v>
      </c>
      <c r="H235" t="s">
        <v>378</v>
      </c>
      <c r="I235" t="s">
        <v>3002</v>
      </c>
      <c r="K235" t="s">
        <v>2945</v>
      </c>
      <c r="L235" t="s">
        <v>2961</v>
      </c>
      <c r="M235" t="str">
        <f t="shared" si="6"/>
        <v>D23</v>
      </c>
      <c r="N235" t="s">
        <v>2998</v>
      </c>
      <c r="O235" t="s">
        <v>2999</v>
      </c>
      <c r="P235" t="s">
        <v>3000</v>
      </c>
      <c r="R235" t="str">
        <f t="shared" si="7"/>
        <v>INSERT INTO stock (ticker, name, listing_date, sub_industry, industry, sector, status) VALUES ('CPRO', 'Central Proteina Prima Tbk.', '2006-11-28', 'D231', 'D23', 'IDXNONCYC', (SELECT id FROM attribute WHERE type = 'STOCK_STATUS' AND code = 'LISTED')) ON CONFLICT DO NOTHING;</v>
      </c>
    </row>
    <row r="236" spans="1:18" x14ac:dyDescent="0.2">
      <c r="A236" t="s">
        <v>2167</v>
      </c>
      <c r="B236" t="s">
        <v>2168</v>
      </c>
      <c r="C236" s="1">
        <v>44783</v>
      </c>
      <c r="D236" s="1"/>
      <c r="E236" t="s">
        <v>2169</v>
      </c>
      <c r="F236" t="s">
        <v>28</v>
      </c>
      <c r="G236" t="s">
        <v>3489</v>
      </c>
      <c r="H236" t="s">
        <v>2167</v>
      </c>
      <c r="I236" t="s">
        <v>3745</v>
      </c>
      <c r="K236" t="s">
        <v>2945</v>
      </c>
      <c r="L236" t="s">
        <v>2961</v>
      </c>
      <c r="M236" t="str">
        <f t="shared" si="6"/>
        <v>D23</v>
      </c>
      <c r="N236" t="s">
        <v>2998</v>
      </c>
      <c r="O236" t="s">
        <v>2999</v>
      </c>
      <c r="P236" t="s">
        <v>3000</v>
      </c>
      <c r="R236" t="str">
        <f t="shared" si="7"/>
        <v>INSERT INTO stock (ticker, name, listing_date, sub_industry, industry, sector, status) VALUES ('CRAB', 'Toba Surimi Industries Tbk.', '2022-08-10', 'D231', 'D23', 'IDXNONCYC', (SELECT id FROM attribute WHERE type = 'STOCK_STATUS' AND code = 'LISTED')) ON CONFLICT DO NOTHING;</v>
      </c>
    </row>
    <row r="237" spans="1:18" x14ac:dyDescent="0.2">
      <c r="A237" t="s">
        <v>2321</v>
      </c>
      <c r="B237" t="s">
        <v>2322</v>
      </c>
      <c r="C237" s="1">
        <v>45117</v>
      </c>
      <c r="D237" s="1"/>
      <c r="E237" t="s">
        <v>2323</v>
      </c>
      <c r="F237" t="s">
        <v>28</v>
      </c>
      <c r="G237" t="s">
        <v>3489</v>
      </c>
      <c r="H237" t="s">
        <v>2321</v>
      </c>
      <c r="I237" t="s">
        <v>3746</v>
      </c>
      <c r="K237" t="s">
        <v>2874</v>
      </c>
      <c r="L237" t="s">
        <v>2910</v>
      </c>
      <c r="M237" t="str">
        <f t="shared" si="6"/>
        <v>C23</v>
      </c>
      <c r="N237" t="s">
        <v>2936</v>
      </c>
      <c r="O237" t="s">
        <v>2933</v>
      </c>
      <c r="P237" t="s">
        <v>2937</v>
      </c>
      <c r="R237" t="str">
        <f t="shared" si="7"/>
        <v>INSERT INTO stock (ticker, name, listing_date, sub_industry, industry, sector, status) VALUES ('CRSN', 'Carsurin Tbk.', '2023-07-10', 'C232', 'C23', 'IDXINDUST', (SELECT id FROM attribute WHERE type = 'STOCK_STATUS' AND code = 'LISTED')) ON CONFLICT DO NOTHING;</v>
      </c>
    </row>
    <row r="238" spans="1:18" x14ac:dyDescent="0.2">
      <c r="A238" t="s">
        <v>381</v>
      </c>
      <c r="B238" t="s">
        <v>382</v>
      </c>
      <c r="C238" s="1">
        <v>39428</v>
      </c>
      <c r="D238" s="1"/>
      <c r="E238" t="s">
        <v>383</v>
      </c>
      <c r="F238" t="s">
        <v>28</v>
      </c>
      <c r="G238" t="s">
        <v>3489</v>
      </c>
      <c r="H238" t="s">
        <v>381</v>
      </c>
      <c r="I238" t="s">
        <v>3193</v>
      </c>
      <c r="K238" t="s">
        <v>3039</v>
      </c>
      <c r="L238" t="s">
        <v>3168</v>
      </c>
      <c r="M238" t="str">
        <f t="shared" si="6"/>
        <v>E74</v>
      </c>
      <c r="N238" t="s">
        <v>3190</v>
      </c>
      <c r="O238" t="s">
        <v>3177</v>
      </c>
      <c r="P238" t="s">
        <v>3191</v>
      </c>
      <c r="R238" t="str">
        <f t="shared" si="7"/>
        <v>INSERT INTO stock (ticker, name, listing_date, sub_industry, industry, sector, status) VALUES ('CSAP', 'Catur Sentosa Adiprana Tbk.', '2007-12-12', 'E743', 'E74', 'IDXCYCLIC', (SELECT id FROM attribute WHERE type = 'STOCK_STATUS' AND code = 'LISTED')) ON CONFLICT DO NOTHING;</v>
      </c>
    </row>
    <row r="239" spans="1:18" x14ac:dyDescent="0.2">
      <c r="A239" t="s">
        <v>1405</v>
      </c>
      <c r="B239" t="s">
        <v>3548</v>
      </c>
      <c r="C239" s="1">
        <v>42865</v>
      </c>
      <c r="D239" s="1"/>
      <c r="E239" t="s">
        <v>1406</v>
      </c>
      <c r="F239" t="s">
        <v>28</v>
      </c>
      <c r="G239" t="s">
        <v>3489</v>
      </c>
      <c r="H239" t="s">
        <v>1405</v>
      </c>
      <c r="I239" t="s">
        <v>3329</v>
      </c>
      <c r="K239" t="s">
        <v>3306</v>
      </c>
      <c r="L239" t="s">
        <v>3307</v>
      </c>
      <c r="M239" t="str">
        <f t="shared" si="6"/>
        <v>H11</v>
      </c>
      <c r="N239" t="s">
        <v>3308</v>
      </c>
      <c r="O239" t="s">
        <v>3309</v>
      </c>
      <c r="P239" t="s">
        <v>3310</v>
      </c>
      <c r="R239" t="str">
        <f t="shared" si="7"/>
        <v>INSERT INTO stock (ticker, name, listing_date, sub_industry, industry, sector, status) VALUES ('CSIS', 'Cahayasakti Investindo Sukses Tbk.', '2017-05-10', 'H111', 'H11', 'IDXPROPERT', (SELECT id FROM attribute WHERE type = 'STOCK_STATUS' AND code = 'LISTED')) ON CONFLICT DO NOTHING;</v>
      </c>
    </row>
    <row r="240" spans="1:18" x14ac:dyDescent="0.2">
      <c r="A240" t="s">
        <v>1838</v>
      </c>
      <c r="B240" t="s">
        <v>1839</v>
      </c>
      <c r="C240" s="1">
        <v>43930</v>
      </c>
      <c r="D240" s="1"/>
      <c r="E240" t="s">
        <v>1840</v>
      </c>
      <c r="F240" t="s">
        <v>28</v>
      </c>
      <c r="G240" t="s">
        <v>3489</v>
      </c>
      <c r="H240" t="s">
        <v>1838</v>
      </c>
      <c r="I240" t="s">
        <v>3131</v>
      </c>
      <c r="K240" t="s">
        <v>3039</v>
      </c>
      <c r="L240" t="s">
        <v>3092</v>
      </c>
      <c r="M240" t="str">
        <f t="shared" si="6"/>
        <v>E51</v>
      </c>
      <c r="N240" t="s">
        <v>3129</v>
      </c>
      <c r="O240" t="s">
        <v>3094</v>
      </c>
      <c r="P240" t="s">
        <v>3130</v>
      </c>
      <c r="R240" t="str">
        <f t="shared" si="7"/>
        <v>INSERT INTO stock (ticker, name, listing_date, sub_industry, industry, sector, status) VALUES ('CSMI', 'Cipta Selera Murni Tbk.', '2020-04-09', 'E515', 'E51', 'IDXCYCLIC', (SELECT id FROM attribute WHERE type = 'STOCK_STATUS' AND code = 'LISTED')) ON CONFLICT DO NOTHING;</v>
      </c>
    </row>
    <row r="241" spans="1:18" x14ac:dyDescent="0.2">
      <c r="A241" t="s">
        <v>1799</v>
      </c>
      <c r="B241" t="s">
        <v>1800</v>
      </c>
      <c r="C241" s="1">
        <v>43839</v>
      </c>
      <c r="D241" s="1"/>
      <c r="E241" t="s">
        <v>1801</v>
      </c>
      <c r="F241" t="s">
        <v>8</v>
      </c>
      <c r="G241" t="s">
        <v>3489</v>
      </c>
      <c r="H241" t="s">
        <v>1799</v>
      </c>
      <c r="I241" t="s">
        <v>1800</v>
      </c>
      <c r="K241" t="s">
        <v>2945</v>
      </c>
      <c r="L241" t="s">
        <v>2961</v>
      </c>
      <c r="M241" t="str">
        <f t="shared" si="6"/>
        <v>D23</v>
      </c>
      <c r="N241" t="s">
        <v>3013</v>
      </c>
      <c r="O241" t="s">
        <v>2999</v>
      </c>
      <c r="P241" t="s">
        <v>3014</v>
      </c>
      <c r="R241" t="str">
        <f t="shared" si="7"/>
        <v>INSERT INTO stock (ticker, name, listing_date, sub_industry, industry, sector, status) VALUES ('CSRA', 'Cisadane Sawit Raya Tbk.', '2020-01-09', 'D232', 'D23', 'IDXNONCYC', (SELECT id FROM attribute WHERE type = 'STOCK_STATUS' AND code = 'LISTED')) ON CONFLICT DO NOTHING;</v>
      </c>
    </row>
    <row r="242" spans="1:18" x14ac:dyDescent="0.2">
      <c r="A242" t="s">
        <v>384</v>
      </c>
      <c r="B242" t="s">
        <v>385</v>
      </c>
      <c r="C242" s="1">
        <v>32840</v>
      </c>
      <c r="D242" s="1"/>
      <c r="E242" t="s">
        <v>386</v>
      </c>
      <c r="F242" t="s">
        <v>28</v>
      </c>
      <c r="G242" t="s">
        <v>3489</v>
      </c>
      <c r="H242" t="s">
        <v>384</v>
      </c>
      <c r="I242" t="s">
        <v>2842</v>
      </c>
      <c r="K242" t="s">
        <v>2778</v>
      </c>
      <c r="L242" t="s">
        <v>2779</v>
      </c>
      <c r="M242" t="str">
        <f t="shared" si="6"/>
        <v>B14</v>
      </c>
      <c r="N242" t="s">
        <v>2839</v>
      </c>
      <c r="O242" t="s">
        <v>2824</v>
      </c>
      <c r="P242" t="s">
        <v>2840</v>
      </c>
      <c r="R242" t="str">
        <f t="shared" si="7"/>
        <v>INSERT INTO stock (ticker, name, listing_date, sub_industry, industry, sector, status) VALUES ('CTBN', 'Citra Tubindo Tbk.', '1989-11-28', 'B144', 'B14', 'IDXBASIC', (SELECT id FROM attribute WHERE type = 'STOCK_STATUS' AND code = 'LISTED')) ON CONFLICT DO NOTHING;</v>
      </c>
    </row>
    <row r="243" spans="1:18" x14ac:dyDescent="0.2">
      <c r="A243" t="s">
        <v>387</v>
      </c>
      <c r="B243" t="s">
        <v>388</v>
      </c>
      <c r="C243" s="1">
        <v>34421</v>
      </c>
      <c r="D243" s="1"/>
      <c r="E243" t="s">
        <v>389</v>
      </c>
      <c r="F243" t="s">
        <v>8</v>
      </c>
      <c r="G243" t="s">
        <v>3489</v>
      </c>
      <c r="H243" t="s">
        <v>387</v>
      </c>
      <c r="I243" t="s">
        <v>3330</v>
      </c>
      <c r="K243" t="s">
        <v>3306</v>
      </c>
      <c r="L243" t="s">
        <v>3307</v>
      </c>
      <c r="M243" t="str">
        <f t="shared" si="6"/>
        <v>H11</v>
      </c>
      <c r="N243" t="s">
        <v>3308</v>
      </c>
      <c r="O243" t="s">
        <v>3309</v>
      </c>
      <c r="P243" t="s">
        <v>3310</v>
      </c>
      <c r="R243" t="str">
        <f t="shared" si="7"/>
        <v>INSERT INTO stock (ticker, name, listing_date, sub_industry, industry, sector, status) VALUES ('CTRA', 'Ciputra Development Tbk.', '1994-03-28', 'H111', 'H11', 'IDXPROPERT', (SELECT id FROM attribute WHERE type = 'STOCK_STATUS' AND code = 'LISTED')) ON CONFLICT DO NOTHING;</v>
      </c>
    </row>
    <row r="244" spans="1:18" x14ac:dyDescent="0.2">
      <c r="A244" t="s">
        <v>390</v>
      </c>
      <c r="B244" t="s">
        <v>391</v>
      </c>
      <c r="C244" s="1">
        <v>35249</v>
      </c>
      <c r="D244" s="1"/>
      <c r="E244" t="s">
        <v>392</v>
      </c>
      <c r="F244" t="s">
        <v>28</v>
      </c>
      <c r="G244" t="s">
        <v>3489</v>
      </c>
      <c r="H244" t="s">
        <v>390</v>
      </c>
      <c r="I244" t="s">
        <v>2880</v>
      </c>
      <c r="K244" t="s">
        <v>2874</v>
      </c>
      <c r="L244" t="s">
        <v>2875</v>
      </c>
      <c r="M244" t="str">
        <f t="shared" si="6"/>
        <v>C12</v>
      </c>
      <c r="N244" t="s">
        <v>2876</v>
      </c>
      <c r="O244" t="s">
        <v>2877</v>
      </c>
      <c r="P244" t="s">
        <v>2877</v>
      </c>
      <c r="R244" t="str">
        <f t="shared" si="7"/>
        <v>INSERT INTO stock (ticker, name, listing_date, sub_industry, industry, sector, status) VALUES ('CTTH', 'Citatah Tbk.', '1996-07-03', 'C121', 'C12', 'IDXINDUST', (SELECT id FROM attribute WHERE type = 'STOCK_STATUS' AND code = 'LISTED')) ON CONFLICT DO NOTHING;</v>
      </c>
    </row>
    <row r="245" spans="1:18" x14ac:dyDescent="0.2">
      <c r="A245" t="s">
        <v>2286</v>
      </c>
      <c r="B245" t="s">
        <v>2287</v>
      </c>
      <c r="C245" s="1">
        <v>44993</v>
      </c>
      <c r="D245" s="1"/>
      <c r="E245" t="s">
        <v>2288</v>
      </c>
      <c r="F245" t="s">
        <v>8</v>
      </c>
      <c r="G245" t="s">
        <v>3489</v>
      </c>
      <c r="H245" t="s">
        <v>2286</v>
      </c>
      <c r="I245" t="s">
        <v>3747</v>
      </c>
      <c r="K245" t="s">
        <v>2701</v>
      </c>
      <c r="L245" t="s">
        <v>2702</v>
      </c>
      <c r="M245" t="str">
        <f t="shared" si="6"/>
        <v>A12</v>
      </c>
      <c r="N245" t="s">
        <v>2723</v>
      </c>
      <c r="O245" t="s">
        <v>2724</v>
      </c>
      <c r="P245" t="s">
        <v>2725</v>
      </c>
      <c r="R245" t="str">
        <f t="shared" si="7"/>
        <v>INSERT INTO stock (ticker, name, listing_date, sub_industry, industry, sector, status) VALUES ('CUAN', 'Petrindo Jaya Kreasi Tbk.', '2023-03-08', 'A121', 'A12', 'IDXENERGY', (SELECT id FROM attribute WHERE type = 'STOCK_STATUS' AND code = 'LISTED')) ON CONFLICT DO NOTHING;</v>
      </c>
    </row>
    <row r="246" spans="1:18" x14ac:dyDescent="0.2">
      <c r="A246" t="s">
        <v>2357</v>
      </c>
      <c r="B246" t="s">
        <v>2358</v>
      </c>
      <c r="C246" s="1">
        <v>45146</v>
      </c>
      <c r="D246" s="1"/>
      <c r="E246" t="s">
        <v>2359</v>
      </c>
      <c r="F246" t="s">
        <v>28</v>
      </c>
      <c r="G246" t="s">
        <v>3489</v>
      </c>
      <c r="H246" t="s">
        <v>2357</v>
      </c>
      <c r="I246" t="s">
        <v>2358</v>
      </c>
      <c r="K246" t="s">
        <v>3381</v>
      </c>
      <c r="L246" t="s">
        <v>3382</v>
      </c>
      <c r="M246" t="str">
        <f t="shared" si="6"/>
        <v>I12</v>
      </c>
      <c r="N246" t="s">
        <v>3393</v>
      </c>
      <c r="O246" t="s">
        <v>3394</v>
      </c>
      <c r="P246" t="s">
        <v>3394</v>
      </c>
      <c r="R246" t="str">
        <f t="shared" si="7"/>
        <v>INSERT INTO stock (ticker, name, listing_date, sub_industry, industry, sector, status) VALUES ('CYBR', 'ITSEC Asia Tbk.', '2023-08-08', 'I121', 'I12', 'IDXTECHNO', (SELECT id FROM attribute WHERE type = 'STOCK_STATUS' AND code = 'LISTED')) ON CONFLICT DO NOTHING;</v>
      </c>
    </row>
    <row r="247" spans="1:18" x14ac:dyDescent="0.2">
      <c r="A247" t="s">
        <v>2497</v>
      </c>
      <c r="B247" t="s">
        <v>2498</v>
      </c>
      <c r="C247" s="1">
        <v>45607</v>
      </c>
      <c r="D247" s="1"/>
      <c r="E247" t="s">
        <v>2499</v>
      </c>
      <c r="F247" t="s">
        <v>8</v>
      </c>
      <c r="G247" t="s">
        <v>3489</v>
      </c>
      <c r="H247" t="s">
        <v>2497</v>
      </c>
      <c r="I247" t="s">
        <v>3748</v>
      </c>
      <c r="K247" t="s">
        <v>2778</v>
      </c>
      <c r="L247" t="s">
        <v>2779</v>
      </c>
      <c r="M247" t="str">
        <f t="shared" si="6"/>
        <v>B14</v>
      </c>
      <c r="N247" t="s">
        <v>2848</v>
      </c>
      <c r="O247" t="s">
        <v>2824</v>
      </c>
      <c r="P247" t="s">
        <v>2849</v>
      </c>
      <c r="R247" t="str">
        <f t="shared" si="7"/>
        <v>INSERT INTO stock (ticker, name, listing_date, sub_industry, industry, sector, status) VALUES ('DAAZ', 'Daaz Bara Lestari Tbk.', '2024-11-11', 'B146', 'B14', 'IDXBASIC', (SELECT id FROM attribute WHERE type = 'STOCK_STATUS' AND code = 'LISTED')) ON CONFLICT DO NOTHING;</v>
      </c>
    </row>
    <row r="248" spans="1:18" x14ac:dyDescent="0.2">
      <c r="A248" t="s">
        <v>2587</v>
      </c>
      <c r="B248" t="s">
        <v>2588</v>
      </c>
      <c r="C248" s="1">
        <v>43875</v>
      </c>
      <c r="D248" s="1"/>
      <c r="E248" t="s">
        <v>2589</v>
      </c>
      <c r="F248" t="s">
        <v>28</v>
      </c>
      <c r="G248" t="s">
        <v>3489</v>
      </c>
      <c r="H248" t="s">
        <v>2587</v>
      </c>
      <c r="I248" t="s">
        <v>3331</v>
      </c>
      <c r="K248" t="s">
        <v>3306</v>
      </c>
      <c r="L248" t="s">
        <v>3307</v>
      </c>
      <c r="M248" t="str">
        <f t="shared" si="6"/>
        <v>H11</v>
      </c>
      <c r="N248" t="s">
        <v>3308</v>
      </c>
      <c r="O248" t="s">
        <v>3309</v>
      </c>
      <c r="P248" t="s">
        <v>3310</v>
      </c>
      <c r="R248" t="str">
        <f t="shared" si="7"/>
        <v>INSERT INTO stock (ticker, name, listing_date, sub_industry, industry, sector, status) VALUES ('DADA', 'Diamond Citra Propertindo Tbk.', '2020-02-14', 'H111', 'H11', 'IDXPROPERT', (SELECT id FROM attribute WHERE type = 'STOCK_STATUS' AND code = 'LISTED')) ON CONFLICT DO NOTHING;</v>
      </c>
    </row>
    <row r="249" spans="1:18" x14ac:dyDescent="0.2">
      <c r="A249" t="s">
        <v>393</v>
      </c>
      <c r="B249" t="s">
        <v>394</v>
      </c>
      <c r="C249" s="1">
        <v>33001</v>
      </c>
      <c r="D249" s="1"/>
      <c r="E249" t="s">
        <v>395</v>
      </c>
      <c r="F249" t="s">
        <v>28</v>
      </c>
      <c r="G249" t="s">
        <v>3489</v>
      </c>
      <c r="H249" t="s">
        <v>393</v>
      </c>
      <c r="I249" t="s">
        <v>3332</v>
      </c>
      <c r="K249" t="s">
        <v>3306</v>
      </c>
      <c r="L249" t="s">
        <v>3307</v>
      </c>
      <c r="M249" t="str">
        <f t="shared" si="6"/>
        <v>H11</v>
      </c>
      <c r="N249" t="s">
        <v>3308</v>
      </c>
      <c r="O249" t="s">
        <v>3309</v>
      </c>
      <c r="P249" t="s">
        <v>3310</v>
      </c>
      <c r="R249" t="str">
        <f t="shared" si="7"/>
        <v>INSERT INTO stock (ticker, name, listing_date, sub_industry, industry, sector, status) VALUES ('DART', 'Duta Anggada Realty Tbk.', '1990-05-08', 'H111', 'H11', 'IDXPROPERT', (SELECT id FROM attribute WHERE type = 'STOCK_STATUS' AND code = 'LISTED')) ON CONFLICT DO NOTHING;</v>
      </c>
    </row>
    <row r="250" spans="1:18" x14ac:dyDescent="0.2">
      <c r="A250" t="s">
        <v>2458</v>
      </c>
      <c r="B250" t="s">
        <v>2459</v>
      </c>
      <c r="C250" s="1">
        <v>45419</v>
      </c>
      <c r="D250" s="1"/>
      <c r="E250" t="s">
        <v>1616</v>
      </c>
      <c r="F250" t="s">
        <v>28</v>
      </c>
      <c r="G250" t="s">
        <v>3489</v>
      </c>
      <c r="H250" t="s">
        <v>2458</v>
      </c>
      <c r="I250" t="s">
        <v>3749</v>
      </c>
      <c r="K250" t="s">
        <v>3418</v>
      </c>
      <c r="L250" t="s">
        <v>3439</v>
      </c>
      <c r="M250" t="str">
        <f t="shared" si="6"/>
        <v>J31</v>
      </c>
      <c r="N250" t="s">
        <v>3440</v>
      </c>
      <c r="O250" t="s">
        <v>3441</v>
      </c>
      <c r="P250" t="s">
        <v>3442</v>
      </c>
      <c r="R250" t="str">
        <f t="shared" si="7"/>
        <v>INSERT INTO stock (ticker, name, listing_date, sub_industry, industry, sector, status) VALUES ('DATA', 'Remala Abadi Tbk.', '2024-05-07', 'J311', 'J31', 'IDXINFRA', (SELECT id FROM attribute WHERE type = 'STOCK_STATUS' AND code = 'LISTED')) ON CONFLICT DO NOTHING;</v>
      </c>
    </row>
    <row r="251" spans="1:18" x14ac:dyDescent="0.2">
      <c r="A251" t="s">
        <v>1347</v>
      </c>
      <c r="B251" t="s">
        <v>1348</v>
      </c>
      <c r="C251" s="1">
        <v>42549</v>
      </c>
      <c r="D251" s="1"/>
      <c r="E251" t="s">
        <v>1349</v>
      </c>
      <c r="F251" t="s">
        <v>28</v>
      </c>
      <c r="G251" t="s">
        <v>3489</v>
      </c>
      <c r="H251" t="s">
        <v>1347</v>
      </c>
      <c r="I251" t="s">
        <v>2944</v>
      </c>
      <c r="K251" t="s">
        <v>2945</v>
      </c>
      <c r="L251" t="s">
        <v>2946</v>
      </c>
      <c r="M251" t="str">
        <f t="shared" si="6"/>
        <v>D11</v>
      </c>
      <c r="N251" t="s">
        <v>2947</v>
      </c>
      <c r="O251" t="s">
        <v>2946</v>
      </c>
      <c r="P251" t="s">
        <v>2948</v>
      </c>
      <c r="R251" t="str">
        <f t="shared" si="7"/>
        <v>INSERT INTO stock (ticker, name, listing_date, sub_industry, industry, sector, status) VALUES ('DAYA', 'Duta Intidaya Tbk.', '2016-06-28', 'D111', 'D11', 'IDXNONCYC', (SELECT id FROM attribute WHERE type = 'STOCK_STATUS' AND code = 'LISTED')) ON CONFLICT DO NOTHING;</v>
      </c>
    </row>
    <row r="252" spans="1:18" x14ac:dyDescent="0.2">
      <c r="A252" t="s">
        <v>2649</v>
      </c>
      <c r="B252" t="s">
        <v>2650</v>
      </c>
      <c r="C252" s="1">
        <v>44202</v>
      </c>
      <c r="D252" s="1"/>
      <c r="E252" t="s">
        <v>2651</v>
      </c>
      <c r="F252" t="s">
        <v>28</v>
      </c>
      <c r="G252" t="s">
        <v>3489</v>
      </c>
      <c r="H252" t="s">
        <v>2649</v>
      </c>
      <c r="I252" t="s">
        <v>3396</v>
      </c>
      <c r="K252" t="s">
        <v>3381</v>
      </c>
      <c r="L252" t="s">
        <v>3382</v>
      </c>
      <c r="M252" t="str">
        <f t="shared" si="6"/>
        <v>I12</v>
      </c>
      <c r="N252" t="s">
        <v>3393</v>
      </c>
      <c r="O252" t="s">
        <v>3394</v>
      </c>
      <c r="P252" t="s">
        <v>3394</v>
      </c>
      <c r="R252" t="str">
        <f t="shared" si="7"/>
        <v>INSERT INTO stock (ticker, name, listing_date, sub_industry, industry, sector, status) VALUES ('DCII', 'DCI Indonesia Tbk.', '2021-01-06', 'I121', 'I12', 'IDXTECHNO', (SELECT id FROM attribute WHERE type = 'STOCK_STATUS' AND code = 'LISTED')) ON CONFLICT DO NOTHING;</v>
      </c>
    </row>
    <row r="253" spans="1:18" x14ac:dyDescent="0.2">
      <c r="A253" t="s">
        <v>1620</v>
      </c>
      <c r="B253" t="s">
        <v>3549</v>
      </c>
      <c r="C253" s="1">
        <v>43415</v>
      </c>
      <c r="D253" s="1"/>
      <c r="E253" t="s">
        <v>1621</v>
      </c>
      <c r="F253" t="s">
        <v>12</v>
      </c>
      <c r="G253" t="s">
        <v>3489</v>
      </c>
      <c r="H253" t="s">
        <v>1620</v>
      </c>
      <c r="I253" t="s">
        <v>3549</v>
      </c>
      <c r="K253" t="s">
        <v>3470</v>
      </c>
      <c r="L253" t="s">
        <v>3481</v>
      </c>
      <c r="M253" t="str">
        <f t="shared" si="6"/>
        <v>K21</v>
      </c>
      <c r="N253" t="s">
        <v>3482</v>
      </c>
      <c r="O253" t="s">
        <v>3481</v>
      </c>
      <c r="P253" t="s">
        <v>3481</v>
      </c>
      <c r="R253" t="str">
        <f t="shared" si="7"/>
        <v>INSERT INTO stock (ticker, name, listing_date, sub_industry, industry, sector, status) VALUES ('DEAL', 'Dewata Freightinternational Tbk.', '2018-11-11', 'K211', 'K21', 'IDXTRANS', (SELECT id FROM attribute WHERE type = 'STOCK_STATUS' AND code = 'LISTED')) ON CONFLICT DO NOTHING;</v>
      </c>
    </row>
    <row r="254" spans="1:18" x14ac:dyDescent="0.2">
      <c r="A254" t="s">
        <v>396</v>
      </c>
      <c r="B254" t="s">
        <v>397</v>
      </c>
      <c r="C254" s="1">
        <v>37078</v>
      </c>
      <c r="D254" s="1"/>
      <c r="E254" t="s">
        <v>398</v>
      </c>
      <c r="F254" t="s">
        <v>28</v>
      </c>
      <c r="G254" t="s">
        <v>3489</v>
      </c>
      <c r="H254" t="s">
        <v>396</v>
      </c>
      <c r="I254" t="s">
        <v>3244</v>
      </c>
      <c r="K254" t="s">
        <v>3224</v>
      </c>
      <c r="L254" t="s">
        <v>3238</v>
      </c>
      <c r="M254" t="str">
        <f t="shared" si="6"/>
        <v>G21</v>
      </c>
      <c r="N254" t="s">
        <v>3239</v>
      </c>
      <c r="O254" t="s">
        <v>3240</v>
      </c>
      <c r="P254" t="s">
        <v>3240</v>
      </c>
      <c r="R254" t="str">
        <f t="shared" si="7"/>
        <v>INSERT INTO stock (ticker, name, listing_date, sub_industry, industry, sector, status) VALUES ('DEFI', 'Danasupra Erapacific Tbk.', '2001-07-06', 'G211', 'G21', 'IDXFINANCE', (SELECT id FROM attribute WHERE type = 'STOCK_STATUS' AND code = 'LISTED')) ON CONFLICT DO NOTHING;</v>
      </c>
    </row>
    <row r="255" spans="1:18" x14ac:dyDescent="0.2">
      <c r="A255" t="s">
        <v>2022</v>
      </c>
      <c r="B255" t="s">
        <v>2023</v>
      </c>
      <c r="C255" s="1">
        <v>44525</v>
      </c>
      <c r="D255" s="1"/>
      <c r="E255" t="s">
        <v>2024</v>
      </c>
      <c r="F255" t="s">
        <v>28</v>
      </c>
      <c r="G255" t="s">
        <v>3489</v>
      </c>
      <c r="H255" t="s">
        <v>2022</v>
      </c>
      <c r="I255" t="s">
        <v>3194</v>
      </c>
      <c r="K255" t="s">
        <v>3039</v>
      </c>
      <c r="L255" t="s">
        <v>3168</v>
      </c>
      <c r="M255" t="str">
        <f t="shared" si="6"/>
        <v>E74</v>
      </c>
      <c r="N255" t="s">
        <v>3190</v>
      </c>
      <c r="O255" t="s">
        <v>3177</v>
      </c>
      <c r="P255" t="s">
        <v>3191</v>
      </c>
      <c r="R255" t="str">
        <f t="shared" si="7"/>
        <v>INSERT INTO stock (ticker, name, listing_date, sub_industry, industry, sector, status) VALUES ('DEPO', 'Caturkarda Depo Bangunan Tbk.', '2021-11-25', 'E743', 'E74', 'IDXCYCLIC', (SELECT id FROM attribute WHERE type = 'STOCK_STATUS' AND code = 'LISTED')) ON CONFLICT DO NOTHING;</v>
      </c>
    </row>
    <row r="256" spans="1:18" x14ac:dyDescent="0.2">
      <c r="A256" t="s">
        <v>399</v>
      </c>
      <c r="B256" t="s">
        <v>3550</v>
      </c>
      <c r="C256" s="1">
        <v>39351</v>
      </c>
      <c r="D256" s="1"/>
      <c r="E256" t="s">
        <v>401</v>
      </c>
      <c r="F256" t="s">
        <v>8</v>
      </c>
      <c r="G256" t="s">
        <v>3489</v>
      </c>
      <c r="H256" t="s">
        <v>399</v>
      </c>
      <c r="I256" t="s">
        <v>400</v>
      </c>
      <c r="K256" t="s">
        <v>2701</v>
      </c>
      <c r="L256" t="s">
        <v>2702</v>
      </c>
      <c r="M256" t="str">
        <f t="shared" si="6"/>
        <v>A13</v>
      </c>
      <c r="N256" t="s">
        <v>2763</v>
      </c>
      <c r="O256" t="s">
        <v>2760</v>
      </c>
      <c r="P256" t="s">
        <v>2764</v>
      </c>
      <c r="R256" t="str">
        <f t="shared" si="7"/>
        <v>INSERT INTO stock (ticker, name, listing_date, sub_industry, industry, sector, status) VALUES ('DEWA', 'Darma Henwa Tbk.', '2007-09-26', 'A132', 'A13', 'IDXENERGY', (SELECT id FROM attribute WHERE type = 'STOCK_STATUS' AND code = 'LISTED')) ON CONFLICT DO NOTHING;</v>
      </c>
    </row>
    <row r="257" spans="1:18" x14ac:dyDescent="0.2">
      <c r="A257" t="s">
        <v>2126</v>
      </c>
      <c r="B257" t="s">
        <v>2127</v>
      </c>
      <c r="C257" s="1">
        <v>44760</v>
      </c>
      <c r="D257" s="1"/>
      <c r="E257" t="s">
        <v>1722</v>
      </c>
      <c r="F257" t="s">
        <v>28</v>
      </c>
      <c r="G257" t="s">
        <v>3489</v>
      </c>
      <c r="H257" t="s">
        <v>2126</v>
      </c>
      <c r="I257" t="s">
        <v>3750</v>
      </c>
      <c r="K257" t="s">
        <v>2945</v>
      </c>
      <c r="L257" t="s">
        <v>2961</v>
      </c>
      <c r="M257" t="str">
        <f t="shared" si="6"/>
        <v>D23</v>
      </c>
      <c r="N257" t="s">
        <v>2998</v>
      </c>
      <c r="O257" t="s">
        <v>2999</v>
      </c>
      <c r="P257" t="s">
        <v>3000</v>
      </c>
      <c r="R257" t="str">
        <f t="shared" si="7"/>
        <v>INSERT INTO stock (ticker, name, listing_date, sub_industry, industry, sector, status) VALUES ('DEWI', 'Dewi Shri Farmindo Tbk.', '2022-07-18', 'D231', 'D23', 'IDXNONCYC', (SELECT id FROM attribute WHERE type = 'STOCK_STATUS' AND code = 'LISTED')) ON CONFLICT DO NOTHING;</v>
      </c>
    </row>
    <row r="258" spans="1:18" x14ac:dyDescent="0.2">
      <c r="A258" t="s">
        <v>1509</v>
      </c>
      <c r="B258" t="s">
        <v>1510</v>
      </c>
      <c r="C258" s="1">
        <v>43217</v>
      </c>
      <c r="D258" s="1"/>
      <c r="E258" t="s">
        <v>1511</v>
      </c>
      <c r="F258" t="s">
        <v>28</v>
      </c>
      <c r="G258" t="s">
        <v>3489</v>
      </c>
      <c r="H258" t="s">
        <v>1509</v>
      </c>
      <c r="I258" t="s">
        <v>3098</v>
      </c>
      <c r="K258" t="s">
        <v>3039</v>
      </c>
      <c r="L258" t="s">
        <v>3092</v>
      </c>
      <c r="M258" t="str">
        <f t="shared" ref="M258:M321" si="8">LEFT(N258, 3)</f>
        <v>E51</v>
      </c>
      <c r="N258" t="s">
        <v>3093</v>
      </c>
      <c r="O258" t="s">
        <v>3094</v>
      </c>
      <c r="P258" t="s">
        <v>3095</v>
      </c>
      <c r="R258" t="str">
        <f t="shared" si="7"/>
        <v>INSERT INTO stock (ticker, name, listing_date, sub_industry, industry, sector, status) VALUES ('DFAM', 'Dafam Property Indonesia Tbk.', '2018-04-27', 'E512', 'E51', 'IDXCYCLIC', (SELECT id FROM attribute WHERE type = 'STOCK_STATUS' AND code = 'LISTED')) ON CONFLICT DO NOTHING;</v>
      </c>
    </row>
    <row r="259" spans="1:18" x14ac:dyDescent="0.2">
      <c r="A259" t="s">
        <v>402</v>
      </c>
      <c r="B259" t="s">
        <v>3551</v>
      </c>
      <c r="C259" s="1">
        <v>39435</v>
      </c>
      <c r="D259" s="1"/>
      <c r="E259" t="s">
        <v>403</v>
      </c>
      <c r="F259" t="s">
        <v>28</v>
      </c>
      <c r="G259" t="s">
        <v>3489</v>
      </c>
      <c r="H259" t="s">
        <v>402</v>
      </c>
      <c r="I259" t="s">
        <v>3551</v>
      </c>
      <c r="K259" t="s">
        <v>3418</v>
      </c>
      <c r="L259" t="s">
        <v>3432</v>
      </c>
      <c r="M259" t="str">
        <f t="shared" si="8"/>
        <v>J21</v>
      </c>
      <c r="N259" t="s">
        <v>3433</v>
      </c>
      <c r="O259" t="s">
        <v>3432</v>
      </c>
      <c r="P259" t="s">
        <v>3432</v>
      </c>
      <c r="R259" t="str">
        <f t="shared" ref="R259:R322" si="9">CONCATENATE($R$1, A259, "', '", B259, "', '", TEXT(C259, "YYYY-MM-DD"), "', '", N259, "', '", M259, "', '", K259, "', ", $S$1, ") ON CONFLICT DO NOTHING;")</f>
        <v>INSERT INTO stock (ticker, name, listing_date, sub_industry, industry, sector, status) VALUES ('DGIK', 'Nusa Konstruksi Enjiniring Tbk.', '2007-12-19', 'J211', 'J21', 'IDXINFRA', (SELECT id FROM attribute WHERE type = 'STOCK_STATUS' AND code = 'LISTED')) ON CONFLICT DO NOTHING;</v>
      </c>
    </row>
    <row r="260" spans="1:18" x14ac:dyDescent="0.2">
      <c r="A260" t="s">
        <v>2655</v>
      </c>
      <c r="B260" t="s">
        <v>3552</v>
      </c>
      <c r="C260" s="1">
        <v>44211</v>
      </c>
      <c r="D260" s="1"/>
      <c r="E260" t="s">
        <v>1837</v>
      </c>
      <c r="F260" t="s">
        <v>28</v>
      </c>
      <c r="G260" t="s">
        <v>3489</v>
      </c>
      <c r="H260" t="s">
        <v>2655</v>
      </c>
      <c r="I260" t="s">
        <v>2656</v>
      </c>
      <c r="K260" t="s">
        <v>3199</v>
      </c>
      <c r="L260" t="s">
        <v>3200</v>
      </c>
      <c r="M260" t="str">
        <f t="shared" si="8"/>
        <v>F12</v>
      </c>
      <c r="N260" t="s">
        <v>3206</v>
      </c>
      <c r="O260" t="s">
        <v>3207</v>
      </c>
      <c r="P260" t="s">
        <v>3207</v>
      </c>
      <c r="R260" t="str">
        <f t="shared" si="9"/>
        <v>INSERT INTO stock (ticker, name, listing_date, sub_industry, industry, sector, status) VALUES ('DGNS', 'Diagnos Laboratorium Utama Tbk.', '2021-01-15', 'F121', 'F12', 'IDXHEALTH', (SELECT id FROM attribute WHERE type = 'STOCK_STATUS' AND code = 'LISTED')) ON CONFLICT DO NOTHING;</v>
      </c>
    </row>
    <row r="261" spans="1:18" x14ac:dyDescent="0.2">
      <c r="A261" t="s">
        <v>2526</v>
      </c>
      <c r="B261" t="s">
        <v>2527</v>
      </c>
      <c r="C261" s="1">
        <v>45670</v>
      </c>
      <c r="D261" s="1"/>
      <c r="E261" t="s">
        <v>517</v>
      </c>
      <c r="F261" t="s">
        <v>8</v>
      </c>
      <c r="G261" t="s">
        <v>3489</v>
      </c>
      <c r="H261" t="s">
        <v>2526</v>
      </c>
      <c r="I261" t="s">
        <v>3751</v>
      </c>
      <c r="K261" t="s">
        <v>2778</v>
      </c>
      <c r="L261" t="s">
        <v>2779</v>
      </c>
      <c r="M261" t="str">
        <f t="shared" si="8"/>
        <v>B11</v>
      </c>
      <c r="N261" t="s">
        <v>2789</v>
      </c>
      <c r="O261" t="s">
        <v>2781</v>
      </c>
      <c r="P261" t="s">
        <v>2790</v>
      </c>
      <c r="R261" t="str">
        <f t="shared" si="9"/>
        <v>INSERT INTO stock (ticker, name, listing_date, sub_industry, industry, sector, status) VALUES ('DGWG', 'Delta Giri Wacana Tbk.', '2025-01-13', 'B112', 'B11', 'IDXBASIC', (SELECT id FROM attribute WHERE type = 'STOCK_STATUS' AND code = 'LISTED')) ON CONFLICT DO NOTHING;</v>
      </c>
    </row>
    <row r="262" spans="1:18" x14ac:dyDescent="0.2">
      <c r="A262" t="s">
        <v>1583</v>
      </c>
      <c r="B262" t="s">
        <v>1584</v>
      </c>
      <c r="C262" s="1">
        <v>43361</v>
      </c>
      <c r="D262" s="1"/>
      <c r="E262" t="s">
        <v>1585</v>
      </c>
      <c r="F262" t="s">
        <v>12</v>
      </c>
      <c r="G262" t="s">
        <v>3489</v>
      </c>
      <c r="H262" t="s">
        <v>1583</v>
      </c>
      <c r="I262" t="s">
        <v>3164</v>
      </c>
      <c r="K262" t="s">
        <v>3039</v>
      </c>
      <c r="L262" t="s">
        <v>3145</v>
      </c>
      <c r="M262" t="str">
        <f t="shared" si="8"/>
        <v>E61</v>
      </c>
      <c r="N262" t="s">
        <v>3162</v>
      </c>
      <c r="O262" t="s">
        <v>3147</v>
      </c>
      <c r="P262" t="s">
        <v>3163</v>
      </c>
      <c r="R262" t="str">
        <f t="shared" si="9"/>
        <v>INSERT INTO stock (ticker, name, listing_date, sub_industry, industry, sector, status) VALUES ('DIGI', 'Arkadia Digital Media Tbk.', '2018-09-18', 'E614', 'E61', 'IDXCYCLIC', (SELECT id FROM attribute WHERE type = 'STOCK_STATUS' AND code = 'LISTED')) ON CONFLICT DO NOTHING;</v>
      </c>
    </row>
    <row r="263" spans="1:18" x14ac:dyDescent="0.2">
      <c r="A263" t="s">
        <v>404</v>
      </c>
      <c r="B263" t="s">
        <v>405</v>
      </c>
      <c r="C263" s="1">
        <v>33485</v>
      </c>
      <c r="D263" s="1"/>
      <c r="E263" t="s">
        <v>406</v>
      </c>
      <c r="F263" t="s">
        <v>8</v>
      </c>
      <c r="G263" t="s">
        <v>3489</v>
      </c>
      <c r="H263" t="s">
        <v>404</v>
      </c>
      <c r="I263" t="s">
        <v>3333</v>
      </c>
      <c r="K263" t="s">
        <v>3306</v>
      </c>
      <c r="L263" t="s">
        <v>3307</v>
      </c>
      <c r="M263" t="str">
        <f t="shared" si="8"/>
        <v>H11</v>
      </c>
      <c r="N263" t="s">
        <v>3308</v>
      </c>
      <c r="O263" t="s">
        <v>3309</v>
      </c>
      <c r="P263" t="s">
        <v>3310</v>
      </c>
      <c r="R263" t="str">
        <f t="shared" si="9"/>
        <v>INSERT INTO stock (ticker, name, listing_date, sub_industry, industry, sector, status) VALUES ('DILD', 'Intiland Development Tbk.', '1991-09-04', 'H111', 'H11', 'IDXPROPERT', (SELECT id FROM attribute WHERE type = 'STOCK_STATUS' AND code = 'LISTED')) ON CONFLICT DO NOTHING;</v>
      </c>
    </row>
    <row r="264" spans="1:18" x14ac:dyDescent="0.2">
      <c r="A264" t="s">
        <v>1625</v>
      </c>
      <c r="B264" t="s">
        <v>3553</v>
      </c>
      <c r="C264" s="1">
        <v>43431</v>
      </c>
      <c r="D264" s="1"/>
      <c r="E264" t="s">
        <v>1626</v>
      </c>
      <c r="F264" t="s">
        <v>28</v>
      </c>
      <c r="G264" t="s">
        <v>3489</v>
      </c>
      <c r="H264" t="s">
        <v>1625</v>
      </c>
      <c r="I264" t="s">
        <v>3386</v>
      </c>
      <c r="K264" t="s">
        <v>3381</v>
      </c>
      <c r="L264" t="s">
        <v>3382</v>
      </c>
      <c r="M264" t="str">
        <f t="shared" si="8"/>
        <v>I11</v>
      </c>
      <c r="N264" t="s">
        <v>3383</v>
      </c>
      <c r="O264" t="s">
        <v>3384</v>
      </c>
      <c r="P264" t="s">
        <v>3384</v>
      </c>
      <c r="R264" t="str">
        <f t="shared" si="9"/>
        <v>INSERT INTO stock (ticker, name, listing_date, sub_industry, industry, sector, status) VALUES ('DIVA', 'Distribusi Voucher Nusantara Tbk.', '2018-11-27', 'I111', 'I11', 'IDXTECHNO', (SELECT id FROM attribute WHERE type = 'STOCK_STATUS' AND code = 'LISTED')) ON CONFLICT DO NOTHING;</v>
      </c>
    </row>
    <row r="265" spans="1:18" x14ac:dyDescent="0.2">
      <c r="A265" t="s">
        <v>407</v>
      </c>
      <c r="B265" t="s">
        <v>408</v>
      </c>
      <c r="C265" s="1">
        <v>35755</v>
      </c>
      <c r="D265" s="1"/>
      <c r="E265" t="s">
        <v>409</v>
      </c>
      <c r="F265" t="s">
        <v>28</v>
      </c>
      <c r="G265" t="s">
        <v>3489</v>
      </c>
      <c r="H265" t="s">
        <v>407</v>
      </c>
      <c r="I265" t="s">
        <v>2851</v>
      </c>
      <c r="K265" t="s">
        <v>2778</v>
      </c>
      <c r="L265" t="s">
        <v>2779</v>
      </c>
      <c r="M265" t="str">
        <f t="shared" si="8"/>
        <v>B14</v>
      </c>
      <c r="N265" t="s">
        <v>2848</v>
      </c>
      <c r="O265" t="s">
        <v>2824</v>
      </c>
      <c r="P265" t="s">
        <v>2849</v>
      </c>
      <c r="R265" t="str">
        <f t="shared" si="9"/>
        <v>INSERT INTO stock (ticker, name, listing_date, sub_industry, industry, sector, status) VALUES ('DKFT', 'Central Omega Resources Tbk.', '1997-11-21', 'B146', 'B14', 'IDXBASIC', (SELECT id FROM attribute WHERE type = 'STOCK_STATUS' AND code = 'LISTED')) ON CONFLICT DO NOTHING;</v>
      </c>
    </row>
    <row r="266" spans="1:18" x14ac:dyDescent="0.2">
      <c r="A266" t="s">
        <v>2581</v>
      </c>
      <c r="B266" t="s">
        <v>2582</v>
      </c>
      <c r="C266" s="1">
        <v>45785</v>
      </c>
      <c r="D266" s="1"/>
      <c r="E266" t="s">
        <v>2583</v>
      </c>
      <c r="F266" t="s">
        <v>28</v>
      </c>
      <c r="G266" t="s">
        <v>3489</v>
      </c>
      <c r="H266" t="s">
        <v>2581</v>
      </c>
      <c r="I266" t="s">
        <v>3752</v>
      </c>
      <c r="K266" t="s">
        <v>3199</v>
      </c>
      <c r="L266" t="s">
        <v>3200</v>
      </c>
      <c r="M266" t="str">
        <f t="shared" si="8"/>
        <v>F12</v>
      </c>
      <c r="N266" t="s">
        <v>3206</v>
      </c>
      <c r="O266" t="s">
        <v>3207</v>
      </c>
      <c r="P266" t="s">
        <v>3207</v>
      </c>
      <c r="R266" t="str">
        <f t="shared" si="9"/>
        <v>INSERT INTO stock (ticker, name, listing_date, sub_industry, industry, sector, status) VALUES ('DKHH', 'Cipta Sarana Medika Tbk.', '2025-05-08', 'F121', 'F12', 'IDXHEALTH', (SELECT id FROM attribute WHERE type = 'STOCK_STATUS' AND code = 'LISTED')) ON CONFLICT DO NOTHING;</v>
      </c>
    </row>
    <row r="267" spans="1:18" x14ac:dyDescent="0.2">
      <c r="A267" t="s">
        <v>410</v>
      </c>
      <c r="B267" t="s">
        <v>411</v>
      </c>
      <c r="C267" s="1">
        <v>30739</v>
      </c>
      <c r="D267" s="1"/>
      <c r="E267" t="s">
        <v>412</v>
      </c>
      <c r="F267" t="s">
        <v>8</v>
      </c>
      <c r="G267" t="s">
        <v>3489</v>
      </c>
      <c r="H267" t="s">
        <v>410</v>
      </c>
      <c r="I267" t="s">
        <v>2965</v>
      </c>
      <c r="K267" t="s">
        <v>2945</v>
      </c>
      <c r="L267" t="s">
        <v>2961</v>
      </c>
      <c r="M267" t="str">
        <f t="shared" si="8"/>
        <v>D21</v>
      </c>
      <c r="N267" t="s">
        <v>2962</v>
      </c>
      <c r="O267" t="s">
        <v>2963</v>
      </c>
      <c r="P267" t="s">
        <v>2964</v>
      </c>
      <c r="R267" t="str">
        <f t="shared" si="9"/>
        <v>INSERT INTO stock (ticker, name, listing_date, sub_industry, industry, sector, status) VALUES ('DLTA', 'Delta Djakarta Tbk.', '1984-02-27', 'D211', 'D21', 'IDXNONCYC', (SELECT id FROM attribute WHERE type = 'STOCK_STATUS' AND code = 'LISTED')) ON CONFLICT DO NOTHING;</v>
      </c>
    </row>
    <row r="268" spans="1:18" x14ac:dyDescent="0.2">
      <c r="A268" t="s">
        <v>413</v>
      </c>
      <c r="B268" t="s">
        <v>414</v>
      </c>
      <c r="C268" s="1">
        <v>42153</v>
      </c>
      <c r="D268" s="1"/>
      <c r="E268" t="s">
        <v>415</v>
      </c>
      <c r="F268" t="s">
        <v>8</v>
      </c>
      <c r="G268" t="s">
        <v>3489</v>
      </c>
      <c r="H268" t="s">
        <v>413</v>
      </c>
      <c r="I268" t="s">
        <v>3334</v>
      </c>
      <c r="K268" t="s">
        <v>3306</v>
      </c>
      <c r="L268" t="s">
        <v>3307</v>
      </c>
      <c r="M268" t="str">
        <f t="shared" si="8"/>
        <v>H11</v>
      </c>
      <c r="N268" t="s">
        <v>3308</v>
      </c>
      <c r="O268" t="s">
        <v>3309</v>
      </c>
      <c r="P268" t="s">
        <v>3310</v>
      </c>
      <c r="R268" t="str">
        <f t="shared" si="9"/>
        <v>INSERT INTO stock (ticker, name, listing_date, sub_industry, industry, sector, status) VALUES ('DMAS', 'Puradelta Lestari Tbk.', '2015-05-29', 'H111', 'H11', 'IDXPROPERT', (SELECT id FROM attribute WHERE type = 'STOCK_STATUS' AND code = 'LISTED')) ON CONFLICT DO NOTHING;</v>
      </c>
    </row>
    <row r="269" spans="1:18" x14ac:dyDescent="0.2">
      <c r="A269" t="s">
        <v>1753</v>
      </c>
      <c r="B269" t="s">
        <v>1754</v>
      </c>
      <c r="C269" s="1">
        <v>43759</v>
      </c>
      <c r="D269" s="1"/>
      <c r="E269" t="s">
        <v>1755</v>
      </c>
      <c r="F269" t="s">
        <v>28</v>
      </c>
      <c r="G269" t="s">
        <v>3489</v>
      </c>
      <c r="H269" t="s">
        <v>1753</v>
      </c>
      <c r="I269" t="s">
        <v>3397</v>
      </c>
      <c r="K269" t="s">
        <v>3381</v>
      </c>
      <c r="L269" t="s">
        <v>3382</v>
      </c>
      <c r="M269" t="str">
        <f t="shared" si="8"/>
        <v>I12</v>
      </c>
      <c r="N269" t="s">
        <v>3393</v>
      </c>
      <c r="O269" t="s">
        <v>3394</v>
      </c>
      <c r="P269" t="s">
        <v>3394</v>
      </c>
      <c r="R269" t="str">
        <f t="shared" si="9"/>
        <v>INSERT INTO stock (ticker, name, listing_date, sub_industry, industry, sector, status) VALUES ('DMMX', 'Digital Mediatama Maxima Tbk.', '2019-10-21', 'I121', 'I12', 'IDXTECHNO', (SELECT id FROM attribute WHERE type = 'STOCK_STATUS' AND code = 'LISTED')) ON CONFLICT DO NOTHING;</v>
      </c>
    </row>
    <row r="270" spans="1:18" x14ac:dyDescent="0.2">
      <c r="A270" t="s">
        <v>1810</v>
      </c>
      <c r="B270" t="s">
        <v>1811</v>
      </c>
      <c r="C270" s="1">
        <v>43852</v>
      </c>
      <c r="D270" s="1"/>
      <c r="E270" t="s">
        <v>1812</v>
      </c>
      <c r="F270" t="s">
        <v>28</v>
      </c>
      <c r="G270" t="s">
        <v>3489</v>
      </c>
      <c r="H270" t="s">
        <v>1810</v>
      </c>
      <c r="I270" t="s">
        <v>2952</v>
      </c>
      <c r="K270" t="s">
        <v>2945</v>
      </c>
      <c r="L270" t="s">
        <v>2946</v>
      </c>
      <c r="M270" t="str">
        <f t="shared" si="8"/>
        <v>D11</v>
      </c>
      <c r="N270" t="s">
        <v>2950</v>
      </c>
      <c r="O270" t="s">
        <v>2946</v>
      </c>
      <c r="P270" t="s">
        <v>2951</v>
      </c>
      <c r="R270" t="str">
        <f t="shared" si="9"/>
        <v>INSERT INTO stock (ticker, name, listing_date, sub_industry, industry, sector, status) VALUES ('DMND', 'Diamond Food Indonesia Tbk.', '2020-01-22', 'D112', 'D11', 'IDXNONCYC', (SELECT id FROM attribute WHERE type = 'STOCK_STATUS' AND code = 'LISTED')) ON CONFLICT DO NOTHING;</v>
      </c>
    </row>
    <row r="271" spans="1:18" x14ac:dyDescent="0.2">
      <c r="A271" t="s">
        <v>416</v>
      </c>
      <c r="B271" t="s">
        <v>417</v>
      </c>
      <c r="C271" s="1">
        <v>41831</v>
      </c>
      <c r="D271" s="1"/>
      <c r="E271" t="s">
        <v>418</v>
      </c>
      <c r="F271" t="s">
        <v>28</v>
      </c>
      <c r="G271" t="s">
        <v>3489</v>
      </c>
      <c r="H271" t="s">
        <v>416</v>
      </c>
      <c r="I271" t="s">
        <v>417</v>
      </c>
      <c r="K271" t="s">
        <v>3224</v>
      </c>
      <c r="L271" t="s">
        <v>3225</v>
      </c>
      <c r="M271" t="str">
        <f t="shared" si="8"/>
        <v>G11</v>
      </c>
      <c r="N271" t="s">
        <v>3226</v>
      </c>
      <c r="O271" t="s">
        <v>3225</v>
      </c>
      <c r="P271" t="s">
        <v>3225</v>
      </c>
      <c r="R271" t="str">
        <f t="shared" si="9"/>
        <v>INSERT INTO stock (ticker, name, listing_date, sub_industry, industry, sector, status) VALUES ('DNAR', 'Bank Oke Indonesia Tbk.', '2014-07-11', 'G111', 'G11', 'IDXFINANCE', (SELECT id FROM attribute WHERE type = 'STOCK_STATUS' AND code = 'LISTED')) ON CONFLICT DO NOTHING;</v>
      </c>
    </row>
    <row r="272" spans="1:18" x14ac:dyDescent="0.2">
      <c r="A272" t="s">
        <v>419</v>
      </c>
      <c r="B272" t="s">
        <v>3554</v>
      </c>
      <c r="C272" s="1">
        <v>36871</v>
      </c>
      <c r="D272" s="1"/>
      <c r="E272" t="s">
        <v>420</v>
      </c>
      <c r="F272" t="s">
        <v>8</v>
      </c>
      <c r="G272" t="s">
        <v>3489</v>
      </c>
      <c r="H272" t="s">
        <v>419</v>
      </c>
      <c r="I272" t="s">
        <v>3554</v>
      </c>
      <c r="K272" t="s">
        <v>3224</v>
      </c>
      <c r="L272" t="s">
        <v>3289</v>
      </c>
      <c r="M272" t="str">
        <f t="shared" si="8"/>
        <v>G51</v>
      </c>
      <c r="N272" t="s">
        <v>3303</v>
      </c>
      <c r="O272" t="s">
        <v>3289</v>
      </c>
      <c r="P272" t="s">
        <v>3304</v>
      </c>
      <c r="R272" t="str">
        <f t="shared" si="9"/>
        <v>INSERT INTO stock (ticker, name, listing_date, sub_industry, industry, sector, status) VALUES ('DNET', 'Indoritel Makmur Internasional Tbk.', '2000-12-11', 'G512', 'G51', 'IDXFINANCE', (SELECT id FROM attribute WHERE type = 'STOCK_STATUS' AND code = 'LISTED')) ON CONFLICT DO NOTHING;</v>
      </c>
    </row>
    <row r="273" spans="1:18" x14ac:dyDescent="0.2">
      <c r="A273" t="s">
        <v>421</v>
      </c>
      <c r="B273" t="s">
        <v>422</v>
      </c>
      <c r="C273" s="1">
        <v>37057</v>
      </c>
      <c r="D273" s="1"/>
      <c r="E273" t="s">
        <v>423</v>
      </c>
      <c r="F273" t="s">
        <v>8</v>
      </c>
      <c r="G273" t="s">
        <v>3489</v>
      </c>
      <c r="H273" t="s">
        <v>421</v>
      </c>
      <c r="I273" t="s">
        <v>422</v>
      </c>
      <c r="K273" t="s">
        <v>2701</v>
      </c>
      <c r="L273" t="s">
        <v>2702</v>
      </c>
      <c r="M273" t="str">
        <f t="shared" si="8"/>
        <v>A13</v>
      </c>
      <c r="N273" t="s">
        <v>2763</v>
      </c>
      <c r="O273" t="s">
        <v>2760</v>
      </c>
      <c r="P273" t="s">
        <v>2764</v>
      </c>
      <c r="R273" t="str">
        <f t="shared" si="9"/>
        <v>INSERT INTO stock (ticker, name, listing_date, sub_industry, industry, sector, status) VALUES ('DOID', 'BUMA Internasional Grup Tbk.', '2001-06-15', 'A132', 'A13', 'IDXENERGY', (SELECT id FROM attribute WHERE type = 'STOCK_STATUS' AND code = 'LISTED')) ON CONFLICT DO NOTHING;</v>
      </c>
    </row>
    <row r="274" spans="1:18" x14ac:dyDescent="0.2">
      <c r="A274" t="s">
        <v>2622</v>
      </c>
      <c r="B274" t="s">
        <v>2623</v>
      </c>
      <c r="C274" s="1">
        <v>45054</v>
      </c>
      <c r="D274" s="1"/>
      <c r="E274" t="s">
        <v>2624</v>
      </c>
      <c r="F274" t="s">
        <v>28</v>
      </c>
      <c r="G274" t="s">
        <v>3489</v>
      </c>
      <c r="H274" t="s">
        <v>2622</v>
      </c>
      <c r="I274" t="s">
        <v>3753</v>
      </c>
      <c r="K274" t="s">
        <v>3039</v>
      </c>
      <c r="L274" t="s">
        <v>3145</v>
      </c>
      <c r="M274" t="str">
        <f t="shared" si="8"/>
        <v>E61</v>
      </c>
      <c r="N274" t="s">
        <v>3146</v>
      </c>
      <c r="O274" t="s">
        <v>3147</v>
      </c>
      <c r="P274" t="s">
        <v>3148</v>
      </c>
      <c r="R274" t="str">
        <f t="shared" si="9"/>
        <v>INSERT INTO stock (ticker, name, listing_date, sub_industry, industry, sector, status) VALUES ('DOOH', 'Era Media Sejahtera Tbk.', '2023-05-08', 'E611', 'E61', 'IDXCYCLIC', (SELECT id FROM attribute WHERE type = 'STOCK_STATUS' AND code = 'LISTED')) ON CONFLICT DO NOTHING;</v>
      </c>
    </row>
    <row r="275" spans="1:18" x14ac:dyDescent="0.2">
      <c r="A275" t="s">
        <v>2485</v>
      </c>
      <c r="B275" t="s">
        <v>2486</v>
      </c>
      <c r="C275" s="1">
        <v>45511</v>
      </c>
      <c r="D275" s="1"/>
      <c r="E275" t="s">
        <v>2487</v>
      </c>
      <c r="F275" t="s">
        <v>28</v>
      </c>
      <c r="G275" t="s">
        <v>3489</v>
      </c>
      <c r="H275" t="s">
        <v>2485</v>
      </c>
      <c r="I275" t="s">
        <v>3754</v>
      </c>
      <c r="K275" t="s">
        <v>3039</v>
      </c>
      <c r="L275" t="s">
        <v>3071</v>
      </c>
      <c r="M275" t="str">
        <f t="shared" si="8"/>
        <v>E31</v>
      </c>
      <c r="N275" t="s">
        <v>3072</v>
      </c>
      <c r="O275" t="s">
        <v>3073</v>
      </c>
      <c r="P275" t="s">
        <v>3073</v>
      </c>
      <c r="R275" t="str">
        <f t="shared" si="9"/>
        <v>INSERT INTO stock (ticker, name, listing_date, sub_industry, industry, sector, status) VALUES ('DOSS', 'Global Sukses Digital Tbk.', '2024-08-07', 'E311', 'E31', 'IDXCYCLIC', (SELECT id FROM attribute WHERE type = 'STOCK_STATUS' AND code = 'LISTED')) ON CONFLICT DO NOTHING;</v>
      </c>
    </row>
    <row r="276" spans="1:18" x14ac:dyDescent="0.2">
      <c r="A276" t="s">
        <v>424</v>
      </c>
      <c r="B276" t="s">
        <v>425</v>
      </c>
      <c r="C276" s="1">
        <v>33093</v>
      </c>
      <c r="D276" s="1"/>
      <c r="E276" t="s">
        <v>426</v>
      </c>
      <c r="F276" t="s">
        <v>28</v>
      </c>
      <c r="G276" t="s">
        <v>3489</v>
      </c>
      <c r="H276" t="s">
        <v>424</v>
      </c>
      <c r="I276" t="s">
        <v>2797</v>
      </c>
      <c r="K276" t="s">
        <v>2778</v>
      </c>
      <c r="L276" t="s">
        <v>2779</v>
      </c>
      <c r="M276" t="str">
        <f t="shared" si="8"/>
        <v>B11</v>
      </c>
      <c r="N276" t="s">
        <v>2792</v>
      </c>
      <c r="O276" t="s">
        <v>2781</v>
      </c>
      <c r="P276" t="s">
        <v>2793</v>
      </c>
      <c r="R276" t="str">
        <f t="shared" si="9"/>
        <v>INSERT INTO stock (ticker, name, listing_date, sub_industry, industry, sector, status) VALUES ('DPNS', 'Duta Pertiwi Nusantara Tbk.', '1990-08-08', 'B113', 'B11', 'IDXBASIC', (SELECT id FROM attribute WHERE type = 'STOCK_STATUS' AND code = 'LISTED')) ON CONFLICT DO NOTHING;</v>
      </c>
    </row>
    <row r="277" spans="1:18" x14ac:dyDescent="0.2">
      <c r="A277" t="s">
        <v>1350</v>
      </c>
      <c r="B277" t="s">
        <v>1351</v>
      </c>
      <c r="C277" s="1">
        <v>42346</v>
      </c>
      <c r="D277" s="1"/>
      <c r="E277" t="s">
        <v>1352</v>
      </c>
      <c r="F277" t="s">
        <v>28</v>
      </c>
      <c r="G277" t="s">
        <v>3489</v>
      </c>
      <c r="H277" t="s">
        <v>1350</v>
      </c>
      <c r="I277" t="s">
        <v>3003</v>
      </c>
      <c r="K277" t="s">
        <v>2945</v>
      </c>
      <c r="L277" t="s">
        <v>2961</v>
      </c>
      <c r="M277" t="str">
        <f t="shared" si="8"/>
        <v>D23</v>
      </c>
      <c r="N277" t="s">
        <v>2998</v>
      </c>
      <c r="O277" t="s">
        <v>2999</v>
      </c>
      <c r="P277" t="s">
        <v>3000</v>
      </c>
      <c r="R277" t="str">
        <f t="shared" si="9"/>
        <v>INSERT INTO stock (ticker, name, listing_date, sub_industry, industry, sector, status) VALUES ('DPUM', 'Dua Putra Utama Makmur Tbk.', '2015-12-08', 'D231', 'D23', 'IDXNONCYC', (SELECT id FROM attribute WHERE type = 'STOCK_STATUS' AND code = 'LISTED')) ON CONFLICT DO NOTHING;</v>
      </c>
    </row>
    <row r="278" spans="1:18" x14ac:dyDescent="0.2">
      <c r="A278" t="s">
        <v>2057</v>
      </c>
      <c r="B278" t="s">
        <v>2058</v>
      </c>
      <c r="C278" s="1">
        <v>44550</v>
      </c>
      <c r="D278" s="1"/>
      <c r="E278" t="s">
        <v>2059</v>
      </c>
      <c r="F278" t="s">
        <v>8</v>
      </c>
      <c r="G278" t="s">
        <v>3489</v>
      </c>
      <c r="H278" t="s">
        <v>2057</v>
      </c>
      <c r="I278" t="s">
        <v>3046</v>
      </c>
      <c r="K278" t="s">
        <v>3039</v>
      </c>
      <c r="L278" t="s">
        <v>3040</v>
      </c>
      <c r="M278" t="str">
        <f t="shared" si="8"/>
        <v>E11</v>
      </c>
      <c r="N278" t="s">
        <v>3041</v>
      </c>
      <c r="O278" t="s">
        <v>3042</v>
      </c>
      <c r="P278" t="s">
        <v>3043</v>
      </c>
      <c r="R278" t="str">
        <f t="shared" si="9"/>
        <v>INSERT INTO stock (ticker, name, listing_date, sub_industry, industry, sector, status) VALUES ('DRMA', 'Dharma Polimetal Tbk.', '2021-12-20', 'E111', 'E11', 'IDXCYCLIC', (SELECT id FROM attribute WHERE type = 'STOCK_STATUS' AND code = 'LISTED')) ON CONFLICT DO NOTHING;</v>
      </c>
    </row>
    <row r="279" spans="1:18" x14ac:dyDescent="0.2">
      <c r="A279" t="s">
        <v>427</v>
      </c>
      <c r="B279" t="s">
        <v>3889</v>
      </c>
      <c r="C279" s="1">
        <v>36609</v>
      </c>
      <c r="D279" s="1"/>
      <c r="E279" t="s">
        <v>428</v>
      </c>
      <c r="F279" t="s">
        <v>28</v>
      </c>
      <c r="G279" t="s">
        <v>3489</v>
      </c>
      <c r="H279" t="s">
        <v>427</v>
      </c>
      <c r="I279" t="s">
        <v>3004</v>
      </c>
      <c r="K279" t="s">
        <v>2945</v>
      </c>
      <c r="L279" t="s">
        <v>2961</v>
      </c>
      <c r="M279" t="str">
        <f t="shared" si="8"/>
        <v>D23</v>
      </c>
      <c r="N279" t="s">
        <v>2998</v>
      </c>
      <c r="O279" t="s">
        <v>2999</v>
      </c>
      <c r="P279" t="s">
        <v>3000</v>
      </c>
      <c r="R279" t="str">
        <f t="shared" si="9"/>
        <v>INSERT INTO stock (ticker, name, listing_date, sub_industry, industry, sector, status) VALUES ('DSFI', 'Dharma Samudera Fishing Industries Tbk.', '2000-03-24', 'D231', 'D23', 'IDXNONCYC', (SELECT id FROM attribute WHERE type = 'STOCK_STATUS' AND code = 'LISTED')) ON CONFLICT DO NOTHING;</v>
      </c>
    </row>
    <row r="280" spans="1:18" x14ac:dyDescent="0.2">
      <c r="A280" t="s">
        <v>429</v>
      </c>
      <c r="B280" t="s">
        <v>430</v>
      </c>
      <c r="C280" s="1">
        <v>41439</v>
      </c>
      <c r="D280" s="1"/>
      <c r="E280" t="s">
        <v>431</v>
      </c>
      <c r="F280" t="s">
        <v>8</v>
      </c>
      <c r="G280" t="s">
        <v>3489</v>
      </c>
      <c r="H280" t="s">
        <v>429</v>
      </c>
      <c r="I280" t="s">
        <v>430</v>
      </c>
      <c r="K280" t="s">
        <v>2945</v>
      </c>
      <c r="L280" t="s">
        <v>2961</v>
      </c>
      <c r="M280" t="str">
        <f t="shared" si="8"/>
        <v>D23</v>
      </c>
      <c r="N280" t="s">
        <v>3013</v>
      </c>
      <c r="O280" t="s">
        <v>2999</v>
      </c>
      <c r="P280" t="s">
        <v>3014</v>
      </c>
      <c r="R280" t="str">
        <f t="shared" si="9"/>
        <v>INSERT INTO stock (ticker, name, listing_date, sub_industry, industry, sector, status) VALUES ('DSNG', 'Dharma Satya Nusantara Tbk.', '2013-06-14', 'D232', 'D23', 'IDXNONCYC', (SELECT id FROM attribute WHERE type = 'STOCK_STATUS' AND code = 'LISTED')) ON CONFLICT DO NOTHING;</v>
      </c>
    </row>
    <row r="281" spans="1:18" x14ac:dyDescent="0.2">
      <c r="A281" t="s">
        <v>432</v>
      </c>
      <c r="B281" t="s">
        <v>3555</v>
      </c>
      <c r="C281" s="1">
        <v>40157</v>
      </c>
      <c r="D281" s="1"/>
      <c r="E281" t="s">
        <v>434</v>
      </c>
      <c r="F281" t="s">
        <v>8</v>
      </c>
      <c r="G281" t="s">
        <v>3489</v>
      </c>
      <c r="H281" t="s">
        <v>432</v>
      </c>
      <c r="I281" t="s">
        <v>433</v>
      </c>
      <c r="K281" t="s">
        <v>2701</v>
      </c>
      <c r="L281" t="s">
        <v>2702</v>
      </c>
      <c r="M281" t="str">
        <f t="shared" si="8"/>
        <v>A12</v>
      </c>
      <c r="N281" t="s">
        <v>2723</v>
      </c>
      <c r="O281" t="s">
        <v>2724</v>
      </c>
      <c r="P281" t="s">
        <v>2725</v>
      </c>
      <c r="R281" t="str">
        <f t="shared" si="9"/>
        <v>INSERT INTO stock (ticker, name, listing_date, sub_industry, industry, sector, status) VALUES ('DSSA', 'Dian Swastatika Sentosa Tbk.', '2009-12-10', 'A121', 'A12', 'IDXENERGY', (SELECT id FROM attribute WHERE type = 'STOCK_STATUS' AND code = 'LISTED')) ON CONFLICT DO NOTHING;</v>
      </c>
    </row>
    <row r="282" spans="1:18" x14ac:dyDescent="0.2">
      <c r="A282" t="s">
        <v>1601</v>
      </c>
      <c r="B282" t="s">
        <v>1602</v>
      </c>
      <c r="C282" s="1">
        <v>43383</v>
      </c>
      <c r="D282" s="1"/>
      <c r="E282" t="s">
        <v>1603</v>
      </c>
      <c r="F282" t="s">
        <v>12</v>
      </c>
      <c r="G282" t="s">
        <v>3489</v>
      </c>
      <c r="H282" t="s">
        <v>1601</v>
      </c>
      <c r="I282" t="s">
        <v>3132</v>
      </c>
      <c r="K282" t="s">
        <v>3039</v>
      </c>
      <c r="L282" t="s">
        <v>3092</v>
      </c>
      <c r="M282" t="str">
        <f t="shared" si="8"/>
        <v>E51</v>
      </c>
      <c r="N282" t="s">
        <v>3129</v>
      </c>
      <c r="O282" t="s">
        <v>3094</v>
      </c>
      <c r="P282" t="s">
        <v>3130</v>
      </c>
      <c r="R282" t="str">
        <f t="shared" si="9"/>
        <v>INSERT INTO stock (ticker, name, listing_date, sub_industry, industry, sector, status) VALUES ('DUCK', 'Jaya Bersama Indo Tbk.', '2018-10-10', 'E515', 'E51', 'IDXCYCLIC', (SELECT id FROM attribute WHERE type = 'STOCK_STATUS' AND code = 'LISTED')) ON CONFLICT DO NOTHING;</v>
      </c>
    </row>
    <row r="283" spans="1:18" x14ac:dyDescent="0.2">
      <c r="A283" t="s">
        <v>435</v>
      </c>
      <c r="B283" t="s">
        <v>3556</v>
      </c>
      <c r="C283" s="1">
        <v>34640</v>
      </c>
      <c r="D283" s="1"/>
      <c r="E283" t="s">
        <v>437</v>
      </c>
      <c r="F283" t="s">
        <v>28</v>
      </c>
      <c r="G283" t="s">
        <v>3489</v>
      </c>
      <c r="H283" t="s">
        <v>435</v>
      </c>
      <c r="I283" t="s">
        <v>436</v>
      </c>
      <c r="K283" t="s">
        <v>3306</v>
      </c>
      <c r="L283" t="s">
        <v>3307</v>
      </c>
      <c r="M283" t="str">
        <f t="shared" si="8"/>
        <v>H11</v>
      </c>
      <c r="N283" t="s">
        <v>3308</v>
      </c>
      <c r="O283" t="s">
        <v>3309</v>
      </c>
      <c r="P283" t="s">
        <v>3310</v>
      </c>
      <c r="R283" t="str">
        <f t="shared" si="9"/>
        <v>INSERT INTO stock (ticker, name, listing_date, sub_industry, industry, sector, status) VALUES ('DUTI', 'Duta Pertiwi Tbk.', '1994-11-02', 'H111', 'H11', 'IDXPROPERT', (SELECT id FROM attribute WHERE type = 'STOCK_STATUS' AND code = 'LISTED')) ON CONFLICT DO NOTHING;</v>
      </c>
    </row>
    <row r="284" spans="1:18" x14ac:dyDescent="0.2">
      <c r="A284" t="s">
        <v>438</v>
      </c>
      <c r="B284" t="s">
        <v>439</v>
      </c>
      <c r="C284" s="1">
        <v>34649</v>
      </c>
      <c r="D284" s="1"/>
      <c r="E284" t="s">
        <v>440</v>
      </c>
      <c r="F284" t="s">
        <v>28</v>
      </c>
      <c r="G284" t="s">
        <v>3489</v>
      </c>
      <c r="H284" t="s">
        <v>438</v>
      </c>
      <c r="I284" t="s">
        <v>3211</v>
      </c>
      <c r="K284" t="s">
        <v>3199</v>
      </c>
      <c r="L284" t="s">
        <v>3212</v>
      </c>
      <c r="M284" t="str">
        <f t="shared" si="8"/>
        <v>F21</v>
      </c>
      <c r="N284" t="s">
        <v>3213</v>
      </c>
      <c r="O284" t="s">
        <v>3214</v>
      </c>
      <c r="P284" t="s">
        <v>3214</v>
      </c>
      <c r="R284" t="str">
        <f t="shared" si="9"/>
        <v>INSERT INTO stock (ticker, name, listing_date, sub_industry, industry, sector, status) VALUES ('DVLA', 'Darya-Varia Laboratoria Tbk.', '1994-11-11', 'F211', 'F21', 'IDXHEALTH', (SELECT id FROM attribute WHERE type = 'STOCK_STATUS' AND code = 'LISTED')) ON CONFLICT DO NOTHING;</v>
      </c>
    </row>
    <row r="285" spans="1:18" x14ac:dyDescent="0.2">
      <c r="A285" t="s">
        <v>1476</v>
      </c>
      <c r="B285" t="s">
        <v>1477</v>
      </c>
      <c r="C285" s="1">
        <v>43082</v>
      </c>
      <c r="D285" s="1"/>
      <c r="E285" t="s">
        <v>1478</v>
      </c>
      <c r="F285" t="s">
        <v>28</v>
      </c>
      <c r="G285" t="s">
        <v>3489</v>
      </c>
      <c r="H285" t="s">
        <v>1476</v>
      </c>
      <c r="I285" t="s">
        <v>2749</v>
      </c>
      <c r="K285" t="s">
        <v>2701</v>
      </c>
      <c r="L285" t="s">
        <v>2702</v>
      </c>
      <c r="M285" t="str">
        <f t="shared" si="8"/>
        <v>A12</v>
      </c>
      <c r="N285" t="s">
        <v>2742</v>
      </c>
      <c r="O285" t="s">
        <v>2724</v>
      </c>
      <c r="P285" t="s">
        <v>2743</v>
      </c>
      <c r="R285" t="str">
        <f t="shared" si="9"/>
        <v>INSERT INTO stock (ticker, name, listing_date, sub_industry, industry, sector, status) VALUES ('DWGL', 'Dwi Guna Laksana Tbk.', '2017-12-13', 'A122', 'A12', 'IDXENERGY', (SELECT id FROM attribute WHERE type = 'STOCK_STATUS' AND code = 'LISTED')) ON CONFLICT DO NOTHING;</v>
      </c>
    </row>
    <row r="286" spans="1:18" x14ac:dyDescent="0.2">
      <c r="A286" t="s">
        <v>441</v>
      </c>
      <c r="B286" t="s">
        <v>3557</v>
      </c>
      <c r="C286" s="1">
        <v>41358</v>
      </c>
      <c r="D286" s="1"/>
      <c r="E286" t="s">
        <v>442</v>
      </c>
      <c r="F286" t="s">
        <v>28</v>
      </c>
      <c r="G286" t="s">
        <v>3489</v>
      </c>
      <c r="H286" t="s">
        <v>441</v>
      </c>
      <c r="I286" t="s">
        <v>2929</v>
      </c>
      <c r="K286" t="s">
        <v>2874</v>
      </c>
      <c r="L286" t="s">
        <v>2910</v>
      </c>
      <c r="M286" t="str">
        <f t="shared" si="8"/>
        <v>C22</v>
      </c>
      <c r="N286" t="s">
        <v>2927</v>
      </c>
      <c r="O286" t="s">
        <v>2916</v>
      </c>
      <c r="P286" t="s">
        <v>2928</v>
      </c>
      <c r="R286" t="str">
        <f t="shared" si="9"/>
        <v>INSERT INTO stock (ticker, name, listing_date, sub_industry, industry, sector, status) VALUES ('DYAN', 'Dyandra Media International Tbk.', '2013-03-25', 'C224', 'C22', 'IDXINDUST', (SELECT id FROM attribute WHERE type = 'STOCK_STATUS' AND code = 'LISTED')) ON CONFLICT DO NOTHING;</v>
      </c>
    </row>
    <row r="287" spans="1:18" x14ac:dyDescent="0.2">
      <c r="A287" t="s">
        <v>1707</v>
      </c>
      <c r="B287" t="s">
        <v>1708</v>
      </c>
      <c r="C287" s="1">
        <v>43655</v>
      </c>
      <c r="D287" s="1"/>
      <c r="E287" t="s">
        <v>1709</v>
      </c>
      <c r="F287" t="s">
        <v>28</v>
      </c>
      <c r="G287" t="s">
        <v>3489</v>
      </c>
      <c r="H287" t="s">
        <v>1707</v>
      </c>
      <c r="I287" t="s">
        <v>3099</v>
      </c>
      <c r="K287" t="s">
        <v>3039</v>
      </c>
      <c r="L287" t="s">
        <v>3092</v>
      </c>
      <c r="M287" t="str">
        <f t="shared" si="8"/>
        <v>E51</v>
      </c>
      <c r="N287" t="s">
        <v>3093</v>
      </c>
      <c r="O287" t="s">
        <v>3094</v>
      </c>
      <c r="P287" t="s">
        <v>3095</v>
      </c>
      <c r="R287" t="str">
        <f t="shared" si="9"/>
        <v>INSERT INTO stock (ticker, name, listing_date, sub_industry, industry, sector, status) VALUES ('EAST', 'Eastparc Hotel Tbk.', '2019-07-09', 'E512', 'E51', 'IDXCYCLIC', (SELECT id FROM attribute WHERE type = 'STOCK_STATUS' AND code = 'LISTED')) ON CONFLICT DO NOTHING;</v>
      </c>
    </row>
    <row r="288" spans="1:18" x14ac:dyDescent="0.2">
      <c r="A288" t="s">
        <v>443</v>
      </c>
      <c r="B288" t="s">
        <v>444</v>
      </c>
      <c r="C288" s="1">
        <v>41458</v>
      </c>
      <c r="D288" s="1"/>
      <c r="E288" t="s">
        <v>445</v>
      </c>
      <c r="F288" t="s">
        <v>28</v>
      </c>
      <c r="G288" t="s">
        <v>3489</v>
      </c>
      <c r="H288" t="s">
        <v>443</v>
      </c>
      <c r="I288" t="s">
        <v>3182</v>
      </c>
      <c r="K288" t="s">
        <v>3039</v>
      </c>
      <c r="L288" t="s">
        <v>3168</v>
      </c>
      <c r="M288" t="str">
        <f t="shared" si="8"/>
        <v>E74</v>
      </c>
      <c r="N288" t="s">
        <v>3183</v>
      </c>
      <c r="O288" t="s">
        <v>3177</v>
      </c>
      <c r="P288" t="s">
        <v>3184</v>
      </c>
      <c r="R288" t="str">
        <f t="shared" si="9"/>
        <v>INSERT INTO stock (ticker, name, listing_date, sub_industry, industry, sector, status) VALUES ('ECII', 'Electronic City Indonesia Tbk.', '2013-07-03', 'E742', 'E74', 'IDXCYCLIC', (SELECT id FROM attribute WHERE type = 'STOCK_STATUS' AND code = 'LISTED')) ON CONFLICT DO NOTHING;</v>
      </c>
    </row>
    <row r="289" spans="1:18" x14ac:dyDescent="0.2">
      <c r="A289" t="s">
        <v>1915</v>
      </c>
      <c r="B289" t="s">
        <v>1916</v>
      </c>
      <c r="C289" s="1">
        <v>44235</v>
      </c>
      <c r="D289" s="1"/>
      <c r="E289" t="s">
        <v>1917</v>
      </c>
      <c r="F289" t="s">
        <v>28</v>
      </c>
      <c r="G289" t="s">
        <v>3489</v>
      </c>
      <c r="H289" t="s">
        <v>1915</v>
      </c>
      <c r="I289" t="s">
        <v>3398</v>
      </c>
      <c r="K289" t="s">
        <v>3381</v>
      </c>
      <c r="L289" t="s">
        <v>3382</v>
      </c>
      <c r="M289" t="str">
        <f t="shared" si="8"/>
        <v>I12</v>
      </c>
      <c r="N289" t="s">
        <v>3393</v>
      </c>
      <c r="O289" t="s">
        <v>3394</v>
      </c>
      <c r="P289" t="s">
        <v>3394</v>
      </c>
      <c r="R289" t="str">
        <f t="shared" si="9"/>
        <v>INSERT INTO stock (ticker, name, listing_date, sub_industry, industry, sector, status) VALUES ('EDGE', 'Indointernet Tbk.', '2021-02-08', 'I121', 'I12', 'IDXTECHNO', (SELECT id FROM attribute WHERE type = 'STOCK_STATUS' AND code = 'LISTED')) ON CONFLICT DO NOTHING;</v>
      </c>
    </row>
    <row r="290" spans="1:18" x14ac:dyDescent="0.2">
      <c r="A290" t="s">
        <v>446</v>
      </c>
      <c r="B290" t="s">
        <v>447</v>
      </c>
      <c r="C290" s="1">
        <v>33099</v>
      </c>
      <c r="D290" s="1"/>
      <c r="E290" t="s">
        <v>448</v>
      </c>
      <c r="F290" t="s">
        <v>28</v>
      </c>
      <c r="G290" t="s">
        <v>3489</v>
      </c>
      <c r="H290" t="s">
        <v>446</v>
      </c>
      <c r="I290" t="s">
        <v>2798</v>
      </c>
      <c r="K290" t="s">
        <v>2778</v>
      </c>
      <c r="L290" t="s">
        <v>2779</v>
      </c>
      <c r="M290" t="str">
        <f t="shared" si="8"/>
        <v>B11</v>
      </c>
      <c r="N290" t="s">
        <v>2792</v>
      </c>
      <c r="O290" t="s">
        <v>2781</v>
      </c>
      <c r="P290" t="s">
        <v>2793</v>
      </c>
      <c r="R290" t="str">
        <f t="shared" si="9"/>
        <v>INSERT INTO stock (ticker, name, listing_date, sub_industry, industry, sector, status) VALUES ('EKAD', 'Ekadharma International Tbk.', '1990-08-14', 'B113', 'B11', 'IDXBASIC', (SELECT id FROM attribute WHERE type = 'STOCK_STATUS' AND code = 'LISTED')) ON CONFLICT DO NOTHING;</v>
      </c>
    </row>
    <row r="291" spans="1:18" x14ac:dyDescent="0.2">
      <c r="A291" t="s">
        <v>2219</v>
      </c>
      <c r="B291" t="s">
        <v>2220</v>
      </c>
      <c r="C291" s="1">
        <v>44932</v>
      </c>
      <c r="D291" s="1"/>
      <c r="E291" t="s">
        <v>2221</v>
      </c>
      <c r="F291" t="s">
        <v>28</v>
      </c>
      <c r="G291" t="s">
        <v>3489</v>
      </c>
      <c r="H291" t="s">
        <v>2219</v>
      </c>
      <c r="I291" t="s">
        <v>3755</v>
      </c>
      <c r="K291" t="s">
        <v>3381</v>
      </c>
      <c r="L291" t="s">
        <v>3382</v>
      </c>
      <c r="M291" t="str">
        <f t="shared" si="8"/>
        <v>I12</v>
      </c>
      <c r="N291" t="s">
        <v>3393</v>
      </c>
      <c r="O291" t="s">
        <v>3394</v>
      </c>
      <c r="P291" t="s">
        <v>3394</v>
      </c>
      <c r="R291" t="str">
        <f t="shared" si="9"/>
        <v>INSERT INTO stock (ticker, name, listing_date, sub_industry, industry, sector, status) VALUES ('ELIT', 'Data Sinergitama Jaya Tbk.', '2023-01-06', 'I121', 'I12', 'IDXTECHNO', (SELECT id FROM attribute WHERE type = 'STOCK_STATUS' AND code = 'LISTED')) ON CONFLICT DO NOTHING;</v>
      </c>
    </row>
    <row r="292" spans="1:18" x14ac:dyDescent="0.2">
      <c r="A292" t="s">
        <v>2154</v>
      </c>
      <c r="B292" t="s">
        <v>3558</v>
      </c>
      <c r="C292" s="1">
        <v>44781</v>
      </c>
      <c r="D292" s="1"/>
      <c r="E292" t="s">
        <v>2155</v>
      </c>
      <c r="F292" t="s">
        <v>8</v>
      </c>
      <c r="G292" t="s">
        <v>3489</v>
      </c>
      <c r="H292" t="s">
        <v>2154</v>
      </c>
      <c r="I292" t="s">
        <v>3756</v>
      </c>
      <c r="K292" t="s">
        <v>3470</v>
      </c>
      <c r="L292" t="s">
        <v>3481</v>
      </c>
      <c r="M292" t="str">
        <f t="shared" si="8"/>
        <v>K21</v>
      </c>
      <c r="N292" t="s">
        <v>3482</v>
      </c>
      <c r="O292" t="s">
        <v>3481</v>
      </c>
      <c r="P292" t="s">
        <v>3481</v>
      </c>
      <c r="R292" t="str">
        <f t="shared" si="9"/>
        <v>INSERT INTO stock (ticker, name, listing_date, sub_industry, industry, sector, status) VALUES ('ELPI', 'Pelayaran Nasional Ekalya Purnamasari Tbk.', '2022-08-08', 'K211', 'K21', 'IDXTRANS', (SELECT id FROM attribute WHERE type = 'STOCK_STATUS' AND code = 'LISTED')) ON CONFLICT DO NOTHING;</v>
      </c>
    </row>
    <row r="293" spans="1:18" x14ac:dyDescent="0.2">
      <c r="A293" t="s">
        <v>449</v>
      </c>
      <c r="B293" t="s">
        <v>450</v>
      </c>
      <c r="C293" s="1">
        <v>39484</v>
      </c>
      <c r="D293" s="1"/>
      <c r="E293" t="s">
        <v>451</v>
      </c>
      <c r="F293" t="s">
        <v>8</v>
      </c>
      <c r="G293" t="s">
        <v>3489</v>
      </c>
      <c r="H293" t="s">
        <v>449</v>
      </c>
      <c r="I293" t="s">
        <v>2762</v>
      </c>
      <c r="K293" t="s">
        <v>2701</v>
      </c>
      <c r="L293" t="s">
        <v>2702</v>
      </c>
      <c r="M293" t="str">
        <f t="shared" si="8"/>
        <v>A13</v>
      </c>
      <c r="N293" t="s">
        <v>2759</v>
      </c>
      <c r="O293" t="s">
        <v>2760</v>
      </c>
      <c r="P293" t="s">
        <v>2761</v>
      </c>
      <c r="R293" t="str">
        <f t="shared" si="9"/>
        <v>INSERT INTO stock (ticker, name, listing_date, sub_industry, industry, sector, status) VALUES ('ELSA', 'Elnusa Tbk.', '2008-02-06', 'A131', 'A13', 'IDXENERGY', (SELECT id FROM attribute WHERE type = 'STOCK_STATUS' AND code = 'LISTED')) ON CONFLICT DO NOTHING;</v>
      </c>
    </row>
    <row r="294" spans="1:18" x14ac:dyDescent="0.2">
      <c r="A294" t="s">
        <v>452</v>
      </c>
      <c r="B294" t="s">
        <v>453</v>
      </c>
      <c r="C294" s="1">
        <v>35002</v>
      </c>
      <c r="D294" s="1"/>
      <c r="E294" t="s">
        <v>454</v>
      </c>
      <c r="F294" t="s">
        <v>12</v>
      </c>
      <c r="G294" t="s">
        <v>3489</v>
      </c>
      <c r="H294" t="s">
        <v>452</v>
      </c>
      <c r="I294" t="s">
        <v>3335</v>
      </c>
      <c r="K294" t="s">
        <v>3306</v>
      </c>
      <c r="L294" t="s">
        <v>3307</v>
      </c>
      <c r="M294" t="str">
        <f t="shared" si="8"/>
        <v>H11</v>
      </c>
      <c r="N294" t="s">
        <v>3308</v>
      </c>
      <c r="O294" t="s">
        <v>3309</v>
      </c>
      <c r="P294" t="s">
        <v>3310</v>
      </c>
      <c r="R294" t="str">
        <f t="shared" si="9"/>
        <v>INSERT INTO stock (ticker, name, listing_date, sub_industry, industry, sector, status) VALUES ('ELTY', 'Bakrieland Development Tbk.', '1995-10-30', 'H111', 'H11', 'IDXPROPERT', (SELECT id FROM attribute WHERE type = 'STOCK_STATUS' AND code = 'LISTED')) ON CONFLICT DO NOTHING;</v>
      </c>
    </row>
    <row r="295" spans="1:18" x14ac:dyDescent="0.2">
      <c r="A295" t="s">
        <v>2558</v>
      </c>
      <c r="B295" t="s">
        <v>2559</v>
      </c>
      <c r="C295" s="1">
        <v>45923</v>
      </c>
      <c r="D295" s="1"/>
      <c r="E295" t="s">
        <v>2560</v>
      </c>
      <c r="F295" t="s">
        <v>28</v>
      </c>
      <c r="G295" t="s">
        <v>3489</v>
      </c>
      <c r="H295" t="s">
        <v>2558</v>
      </c>
      <c r="I295" t="s">
        <v>3757</v>
      </c>
      <c r="K295" t="s">
        <v>2778</v>
      </c>
      <c r="L295" t="s">
        <v>2779</v>
      </c>
      <c r="M295" t="str">
        <f t="shared" si="8"/>
        <v>B14</v>
      </c>
      <c r="N295" t="s">
        <v>2834</v>
      </c>
      <c r="O295" t="s">
        <v>2824</v>
      </c>
      <c r="P295" t="s">
        <v>2835</v>
      </c>
      <c r="R295" t="str">
        <f t="shared" si="9"/>
        <v>INSERT INTO stock (ticker, name, listing_date, sub_industry, industry, sector, status) VALUES ('EMAS', 'Merdeka Gold Resources Tbk.', '2025-09-23', 'B143', 'B14', 'IDXBASIC', (SELECT id FROM attribute WHERE type = 'STOCK_STATUS' AND code = 'LISTED')) ON CONFLICT DO NOTHING;</v>
      </c>
    </row>
    <row r="296" spans="1:18" x14ac:dyDescent="0.2">
      <c r="A296" t="s">
        <v>455</v>
      </c>
      <c r="B296" t="s">
        <v>456</v>
      </c>
      <c r="C296" s="1">
        <v>40555</v>
      </c>
      <c r="D296" s="1"/>
      <c r="E296" t="s">
        <v>457</v>
      </c>
      <c r="F296" t="s">
        <v>28</v>
      </c>
      <c r="G296" t="s">
        <v>3489</v>
      </c>
      <c r="H296" t="s">
        <v>455</v>
      </c>
      <c r="I296" t="s">
        <v>3336</v>
      </c>
      <c r="K296" t="s">
        <v>3306</v>
      </c>
      <c r="L296" t="s">
        <v>3307</v>
      </c>
      <c r="M296" t="str">
        <f t="shared" si="8"/>
        <v>H11</v>
      </c>
      <c r="N296" t="s">
        <v>3308</v>
      </c>
      <c r="O296" t="s">
        <v>3309</v>
      </c>
      <c r="P296" t="s">
        <v>3310</v>
      </c>
      <c r="R296" t="str">
        <f t="shared" si="9"/>
        <v>INSERT INTO stock (ticker, name, listing_date, sub_industry, industry, sector, status) VALUES ('EMDE', 'Megapolitan Developments Tbk.', '2011-01-12', 'H111', 'H11', 'IDXPROPERT', (SELECT id FROM attribute WHERE type = 'STOCK_STATUS' AND code = 'LISTED')) ON CONFLICT DO NOTHING;</v>
      </c>
    </row>
    <row r="297" spans="1:18" x14ac:dyDescent="0.2">
      <c r="A297" t="s">
        <v>458</v>
      </c>
      <c r="B297" t="s">
        <v>459</v>
      </c>
      <c r="C297" s="1">
        <v>40190</v>
      </c>
      <c r="D297" s="1"/>
      <c r="E297" t="s">
        <v>460</v>
      </c>
      <c r="F297" t="s">
        <v>8</v>
      </c>
      <c r="G297" t="s">
        <v>3489</v>
      </c>
      <c r="H297" t="s">
        <v>458</v>
      </c>
      <c r="I297" t="s">
        <v>3387</v>
      </c>
      <c r="K297" t="s">
        <v>3381</v>
      </c>
      <c r="L297" t="s">
        <v>3382</v>
      </c>
      <c r="M297" t="str">
        <f t="shared" si="8"/>
        <v>I11</v>
      </c>
      <c r="N297" t="s">
        <v>3383</v>
      </c>
      <c r="O297" t="s">
        <v>3384</v>
      </c>
      <c r="P297" t="s">
        <v>3384</v>
      </c>
      <c r="R297" t="str">
        <f t="shared" si="9"/>
        <v>INSERT INTO stock (ticker, name, listing_date, sub_industry, industry, sector, status) VALUES ('EMTK', 'Elang Mahkota Teknologi Tbk.', '2010-01-12', 'I111', 'I11', 'IDXTECHNO', (SELECT id FROM attribute WHERE type = 'STOCK_STATUS' AND code = 'LISTED')) ON CONFLICT DO NOTHING;</v>
      </c>
    </row>
    <row r="298" spans="1:18" x14ac:dyDescent="0.2">
      <c r="A298" t="s">
        <v>2074</v>
      </c>
      <c r="B298" t="s">
        <v>2075</v>
      </c>
      <c r="C298" s="1">
        <v>44600</v>
      </c>
      <c r="D298" s="1"/>
      <c r="E298" t="s">
        <v>2076</v>
      </c>
      <c r="F298" t="s">
        <v>28</v>
      </c>
      <c r="G298" t="s">
        <v>3489</v>
      </c>
      <c r="H298" t="s">
        <v>2074</v>
      </c>
      <c r="I298" t="s">
        <v>3133</v>
      </c>
      <c r="K298" t="s">
        <v>3039</v>
      </c>
      <c r="L298" t="s">
        <v>3092</v>
      </c>
      <c r="M298" t="str">
        <f t="shared" si="8"/>
        <v>E51</v>
      </c>
      <c r="N298" t="s">
        <v>3129</v>
      </c>
      <c r="O298" t="s">
        <v>3094</v>
      </c>
      <c r="P298" t="s">
        <v>3130</v>
      </c>
      <c r="R298" t="str">
        <f t="shared" si="9"/>
        <v>INSERT INTO stock (ticker, name, listing_date, sub_industry, industry, sector, status) VALUES ('ENAK', 'Champ Resto Indonesia Tbk.', '2022-02-08', 'E515', 'E51', 'IDXCYCLIC', (SELECT id FROM attribute WHERE type = 'STOCK_STATUS' AND code = 'LISTED')) ON CONFLICT DO NOTHING;</v>
      </c>
    </row>
    <row r="299" spans="1:18" x14ac:dyDescent="0.2">
      <c r="A299" t="s">
        <v>461</v>
      </c>
      <c r="B299" t="s">
        <v>462</v>
      </c>
      <c r="C299" s="1">
        <v>38145</v>
      </c>
      <c r="D299" s="1"/>
      <c r="E299" t="s">
        <v>463</v>
      </c>
      <c r="F299" t="s">
        <v>8</v>
      </c>
      <c r="G299" t="s">
        <v>3489</v>
      </c>
      <c r="H299" t="s">
        <v>461</v>
      </c>
      <c r="I299" t="s">
        <v>2706</v>
      </c>
      <c r="K299" t="s">
        <v>2701</v>
      </c>
      <c r="L299" t="s">
        <v>2702</v>
      </c>
      <c r="M299" t="str">
        <f t="shared" si="8"/>
        <v>A11</v>
      </c>
      <c r="N299" t="s">
        <v>2703</v>
      </c>
      <c r="O299" t="s">
        <v>2704</v>
      </c>
      <c r="P299" t="s">
        <v>2705</v>
      </c>
      <c r="R299" t="str">
        <f t="shared" si="9"/>
        <v>INSERT INTO stock (ticker, name, listing_date, sub_industry, industry, sector, status) VALUES ('ENRG', 'Energi Mega Persada Tbk.', '2004-06-07', 'A111', 'A11', 'IDXENERGY', (SELECT id FROM attribute WHERE type = 'STOCK_STATUS' AND code = 'LISTED')) ON CONFLICT DO NOTHING;</v>
      </c>
    </row>
    <row r="300" spans="1:18" x14ac:dyDescent="0.2">
      <c r="A300" t="s">
        <v>1706</v>
      </c>
      <c r="B300" t="s">
        <v>3559</v>
      </c>
      <c r="C300" s="1">
        <v>43654</v>
      </c>
      <c r="D300" s="1"/>
      <c r="E300" t="s">
        <v>146</v>
      </c>
      <c r="F300" t="s">
        <v>12</v>
      </c>
      <c r="G300" t="s">
        <v>3489</v>
      </c>
      <c r="H300" t="s">
        <v>1706</v>
      </c>
      <c r="I300" t="s">
        <v>3399</v>
      </c>
      <c r="K300" t="s">
        <v>3381</v>
      </c>
      <c r="L300" t="s">
        <v>3382</v>
      </c>
      <c r="M300" t="str">
        <f t="shared" si="8"/>
        <v>I12</v>
      </c>
      <c r="N300" t="s">
        <v>3393</v>
      </c>
      <c r="O300" t="s">
        <v>3394</v>
      </c>
      <c r="P300" t="s">
        <v>3394</v>
      </c>
      <c r="R300" t="str">
        <f t="shared" si="9"/>
        <v>INSERT INTO stock (ticker, name, listing_date, sub_industry, industry, sector, status) VALUES ('ENVY', 'Envy Technologies Indonesia Tbk.', '2019-07-08', 'I121', 'I12', 'IDXTECHNO', (SELECT id FROM attribute WHERE type = 'STOCK_STATUS' AND code = 'LISTED')) ON CONFLICT DO NOTHING;</v>
      </c>
    </row>
    <row r="301" spans="1:18" x14ac:dyDescent="0.2">
      <c r="A301" t="s">
        <v>1893</v>
      </c>
      <c r="B301" t="s">
        <v>1894</v>
      </c>
      <c r="C301" s="1">
        <v>44088</v>
      </c>
      <c r="D301" s="1"/>
      <c r="E301" t="s">
        <v>1895</v>
      </c>
      <c r="F301" t="s">
        <v>28</v>
      </c>
      <c r="G301" t="s">
        <v>3489</v>
      </c>
      <c r="H301" t="s">
        <v>1893</v>
      </c>
      <c r="I301" t="s">
        <v>3005</v>
      </c>
      <c r="K301" t="s">
        <v>2945</v>
      </c>
      <c r="L301" t="s">
        <v>2961</v>
      </c>
      <c r="M301" t="str">
        <f t="shared" si="8"/>
        <v>D23</v>
      </c>
      <c r="N301" t="s">
        <v>2998</v>
      </c>
      <c r="O301" t="s">
        <v>2999</v>
      </c>
      <c r="P301" t="s">
        <v>3000</v>
      </c>
      <c r="R301" t="str">
        <f t="shared" si="9"/>
        <v>INSERT INTO stock (ticker, name, listing_date, sub_industry, industry, sector, status) VALUES ('ENZO', 'Morenzo Abadi Perkasa Tbk.', '2020-09-14', 'D231', 'D23', 'IDXNONCYC', (SELECT id FROM attribute WHERE type = 'STOCK_STATUS' AND code = 'LISTED')) ON CONFLICT DO NOTHING;</v>
      </c>
    </row>
    <row r="302" spans="1:18" x14ac:dyDescent="0.2">
      <c r="A302" t="s">
        <v>1851</v>
      </c>
      <c r="B302" t="s">
        <v>3560</v>
      </c>
      <c r="C302" s="1">
        <v>44013</v>
      </c>
      <c r="D302" s="1"/>
      <c r="E302" t="s">
        <v>1852</v>
      </c>
      <c r="F302" t="s">
        <v>12</v>
      </c>
      <c r="G302" t="s">
        <v>3489</v>
      </c>
      <c r="H302" t="s">
        <v>1851</v>
      </c>
      <c r="I302" t="s">
        <v>2815</v>
      </c>
      <c r="K302" t="s">
        <v>2778</v>
      </c>
      <c r="L302" t="s">
        <v>2779</v>
      </c>
      <c r="M302" t="str">
        <f t="shared" si="8"/>
        <v>B13</v>
      </c>
      <c r="N302" t="s">
        <v>2812</v>
      </c>
      <c r="O302" t="s">
        <v>2813</v>
      </c>
      <c r="P302" t="s">
        <v>2813</v>
      </c>
      <c r="R302" t="str">
        <f t="shared" si="9"/>
        <v>INSERT INTO stock (ticker, name, listing_date, sub_industry, industry, sector, status) VALUES ('EPAC', 'Megalestari Epack Sentosaraya Tbk.', '2020-07-01', 'B131', 'B13', 'IDXBASIC', (SELECT id FROM attribute WHERE type = 'STOCK_STATUS' AND code = 'LISTED')) ON CONFLICT DO NOTHING;</v>
      </c>
    </row>
    <row r="303" spans="1:18" x14ac:dyDescent="0.2">
      <c r="A303" t="s">
        <v>464</v>
      </c>
      <c r="B303" t="s">
        <v>3561</v>
      </c>
      <c r="C303" s="1">
        <v>34547</v>
      </c>
      <c r="D303" s="1"/>
      <c r="E303" t="s">
        <v>466</v>
      </c>
      <c r="F303" t="s">
        <v>28</v>
      </c>
      <c r="G303" t="s">
        <v>3489</v>
      </c>
      <c r="H303" t="s">
        <v>464</v>
      </c>
      <c r="I303" t="s">
        <v>465</v>
      </c>
      <c r="K303" t="s">
        <v>2945</v>
      </c>
      <c r="L303" t="s">
        <v>2946</v>
      </c>
      <c r="M303" t="str">
        <f t="shared" si="8"/>
        <v>D11</v>
      </c>
      <c r="N303" t="s">
        <v>2947</v>
      </c>
      <c r="O303" t="s">
        <v>2946</v>
      </c>
      <c r="P303" t="s">
        <v>2948</v>
      </c>
      <c r="R303" t="str">
        <f t="shared" si="9"/>
        <v>INSERT INTO stock (ticker, name, listing_date, sub_industry, industry, sector, status) VALUES ('EPMT', 'Enseval Putera Megatrading Tbk.', '1994-08-01', 'D111', 'D11', 'IDXNONCYC', (SELECT id FROM attribute WHERE type = 'STOCK_STATUS' AND code = 'LISTED')) ON CONFLICT DO NOTHING;</v>
      </c>
    </row>
    <row r="304" spans="1:18" x14ac:dyDescent="0.2">
      <c r="A304" t="s">
        <v>467</v>
      </c>
      <c r="B304" t="s">
        <v>468</v>
      </c>
      <c r="C304" s="1">
        <v>40891</v>
      </c>
      <c r="D304" s="1"/>
      <c r="E304" t="s">
        <v>469</v>
      </c>
      <c r="F304" t="s">
        <v>8</v>
      </c>
      <c r="G304" t="s">
        <v>3489</v>
      </c>
      <c r="H304" t="s">
        <v>467</v>
      </c>
      <c r="I304" t="s">
        <v>3185</v>
      </c>
      <c r="K304" t="s">
        <v>3039</v>
      </c>
      <c r="L304" t="s">
        <v>3168</v>
      </c>
      <c r="M304" t="str">
        <f t="shared" si="8"/>
        <v>E74</v>
      </c>
      <c r="N304" t="s">
        <v>3183</v>
      </c>
      <c r="O304" t="s">
        <v>3177</v>
      </c>
      <c r="P304" t="s">
        <v>3184</v>
      </c>
      <c r="R304" t="str">
        <f t="shared" si="9"/>
        <v>INSERT INTO stock (ticker, name, listing_date, sub_industry, industry, sector, status) VALUES ('ERAA', 'Erajaya Swasembada Tbk.', '2011-12-14', 'E742', 'E74', 'IDXCYCLIC', (SELECT id FROM attribute WHERE type = 'STOCK_STATUS' AND code = 'LISTED')) ON CONFLICT DO NOTHING;</v>
      </c>
    </row>
    <row r="305" spans="1:18" x14ac:dyDescent="0.2">
      <c r="A305" t="s">
        <v>2354</v>
      </c>
      <c r="B305" t="s">
        <v>2355</v>
      </c>
      <c r="C305" s="1">
        <v>45146</v>
      </c>
      <c r="D305" s="1"/>
      <c r="E305" t="s">
        <v>2356</v>
      </c>
      <c r="F305" t="s">
        <v>8</v>
      </c>
      <c r="G305" t="s">
        <v>3489</v>
      </c>
      <c r="H305" t="s">
        <v>2354</v>
      </c>
      <c r="I305" t="s">
        <v>3758</v>
      </c>
      <c r="K305" t="s">
        <v>3039</v>
      </c>
      <c r="L305" t="s">
        <v>3168</v>
      </c>
      <c r="M305" t="str">
        <f t="shared" si="8"/>
        <v>E74</v>
      </c>
      <c r="N305" t="s">
        <v>3183</v>
      </c>
      <c r="O305" t="s">
        <v>3177</v>
      </c>
      <c r="P305" t="s">
        <v>3184</v>
      </c>
      <c r="R305" t="str">
        <f t="shared" si="9"/>
        <v>INSERT INTO stock (ticker, name, listing_date, sub_industry, industry, sector, status) VALUES ('ERAL', 'Sinar Eka Selaras Tbk.', '2023-08-08', 'E742', 'E74', 'IDXCYCLIC', (SELECT id FROM attribute WHERE type = 'STOCK_STATUS' AND code = 'LISTED')) ON CONFLICT DO NOTHING;</v>
      </c>
    </row>
    <row r="306" spans="1:18" x14ac:dyDescent="0.2">
      <c r="A306" t="s">
        <v>470</v>
      </c>
      <c r="B306" t="s">
        <v>471</v>
      </c>
      <c r="C306" s="1">
        <v>33106</v>
      </c>
      <c r="D306" s="1"/>
      <c r="E306" t="s">
        <v>472</v>
      </c>
      <c r="F306" t="s">
        <v>28</v>
      </c>
      <c r="G306" t="s">
        <v>3489</v>
      </c>
      <c r="H306" t="s">
        <v>470</v>
      </c>
      <c r="I306" t="s">
        <v>3076</v>
      </c>
      <c r="K306" t="s">
        <v>3039</v>
      </c>
      <c r="L306" t="s">
        <v>3077</v>
      </c>
      <c r="M306" t="str">
        <f t="shared" si="8"/>
        <v>E41</v>
      </c>
      <c r="N306" t="s">
        <v>3078</v>
      </c>
      <c r="O306" t="s">
        <v>3077</v>
      </c>
      <c r="P306" t="s">
        <v>3079</v>
      </c>
      <c r="R306" t="str">
        <f t="shared" si="9"/>
        <v>INSERT INTO stock (ticker, name, listing_date, sub_industry, industry, sector, status) VALUES ('ERTX', 'Eratex Djaja Tbk.', '1990-08-21', 'E411', 'E41', 'IDXCYCLIC', (SELECT id FROM attribute WHERE type = 'STOCK_STATUS' AND code = 'LISTED')) ON CONFLICT DO NOTHING;</v>
      </c>
    </row>
    <row r="307" spans="1:18" x14ac:dyDescent="0.2">
      <c r="A307" t="s">
        <v>1762</v>
      </c>
      <c r="B307" t="s">
        <v>1763</v>
      </c>
      <c r="C307" s="1">
        <v>43783</v>
      </c>
      <c r="D307" s="1"/>
      <c r="E307" t="s">
        <v>1764</v>
      </c>
      <c r="F307" t="s">
        <v>28</v>
      </c>
      <c r="G307" t="s">
        <v>3489</v>
      </c>
      <c r="H307" t="s">
        <v>1762</v>
      </c>
      <c r="I307" t="s">
        <v>2816</v>
      </c>
      <c r="K307" t="s">
        <v>2778</v>
      </c>
      <c r="L307" t="s">
        <v>2779</v>
      </c>
      <c r="M307" t="str">
        <f t="shared" si="8"/>
        <v>B13</v>
      </c>
      <c r="N307" t="s">
        <v>2812</v>
      </c>
      <c r="O307" t="s">
        <v>2813</v>
      </c>
      <c r="P307" t="s">
        <v>2813</v>
      </c>
      <c r="R307" t="str">
        <f t="shared" si="9"/>
        <v>INSERT INTO stock (ticker, name, listing_date, sub_industry, industry, sector, status) VALUES ('ESIP', 'Sinergi Inti Plastindo Tbk.', '2019-11-14', 'B131', 'B13', 'IDXBASIC', (SELECT id FROM attribute WHERE type = 'STOCK_STATUS' AND code = 'LISTED')) ON CONFLICT DO NOTHING;</v>
      </c>
    </row>
    <row r="308" spans="1:18" x14ac:dyDescent="0.2">
      <c r="A308" t="s">
        <v>473</v>
      </c>
      <c r="B308" t="s">
        <v>474</v>
      </c>
      <c r="C308" s="1">
        <v>40940</v>
      </c>
      <c r="D308" s="1"/>
      <c r="E308" t="s">
        <v>475</v>
      </c>
      <c r="F308" t="s">
        <v>8</v>
      </c>
      <c r="G308" t="s">
        <v>3489</v>
      </c>
      <c r="H308" t="s">
        <v>473</v>
      </c>
      <c r="I308" t="s">
        <v>474</v>
      </c>
      <c r="K308" t="s">
        <v>2778</v>
      </c>
      <c r="L308" t="s">
        <v>2779</v>
      </c>
      <c r="M308" t="str">
        <f t="shared" si="8"/>
        <v>B11</v>
      </c>
      <c r="N308" t="s">
        <v>2792</v>
      </c>
      <c r="O308" t="s">
        <v>2781</v>
      </c>
      <c r="P308" t="s">
        <v>2793</v>
      </c>
      <c r="R308" t="str">
        <f t="shared" si="9"/>
        <v>INSERT INTO stock (ticker, name, listing_date, sub_industry, industry, sector, status) VALUES ('ESSA', 'ESSA Industries Indonesia Tbk.', '2012-02-01', 'B113', 'B11', 'IDXBASIC', (SELECT id FROM attribute WHERE type = 'STOCK_STATUS' AND code = 'LISTED')) ON CONFLICT DO NOTHING;</v>
      </c>
    </row>
    <row r="309" spans="1:18" x14ac:dyDescent="0.2">
      <c r="A309" t="s">
        <v>2593</v>
      </c>
      <c r="B309" t="s">
        <v>2594</v>
      </c>
      <c r="C309" s="1">
        <v>43899</v>
      </c>
      <c r="D309" s="1"/>
      <c r="E309" t="s">
        <v>2595</v>
      </c>
      <c r="F309" t="s">
        <v>28</v>
      </c>
      <c r="G309" t="s">
        <v>3489</v>
      </c>
      <c r="H309" t="s">
        <v>2593</v>
      </c>
      <c r="I309" t="s">
        <v>3100</v>
      </c>
      <c r="K309" t="s">
        <v>3039</v>
      </c>
      <c r="L309" t="s">
        <v>3092</v>
      </c>
      <c r="M309" t="str">
        <f t="shared" si="8"/>
        <v>E51</v>
      </c>
      <c r="N309" t="s">
        <v>3093</v>
      </c>
      <c r="O309" t="s">
        <v>3094</v>
      </c>
      <c r="P309" t="s">
        <v>3095</v>
      </c>
      <c r="R309" t="str">
        <f t="shared" si="9"/>
        <v>INSERT INTO stock (ticker, name, listing_date, sub_industry, industry, sector, status) VALUES ('ESTA', 'Esta Multi Usaha Tbk.', '2020-03-09', 'E512', 'E51', 'IDXCYCLIC', (SELECT id FROM attribute WHERE type = 'STOCK_STATUS' AND code = 'LISTED')) ON CONFLICT DO NOTHING;</v>
      </c>
    </row>
    <row r="310" spans="1:18" x14ac:dyDescent="0.2">
      <c r="A310" t="s">
        <v>476</v>
      </c>
      <c r="B310" t="s">
        <v>477</v>
      </c>
      <c r="C310" s="1">
        <v>33890</v>
      </c>
      <c r="D310" s="1"/>
      <c r="E310" t="s">
        <v>478</v>
      </c>
      <c r="F310" t="s">
        <v>28</v>
      </c>
      <c r="G310" t="s">
        <v>3489</v>
      </c>
      <c r="H310" t="s">
        <v>476</v>
      </c>
      <c r="I310" t="s">
        <v>477</v>
      </c>
      <c r="K310" t="s">
        <v>3039</v>
      </c>
      <c r="L310" t="s">
        <v>3077</v>
      </c>
      <c r="M310" t="str">
        <f t="shared" si="8"/>
        <v>E41</v>
      </c>
      <c r="N310" t="s">
        <v>3078</v>
      </c>
      <c r="O310" t="s">
        <v>3077</v>
      </c>
      <c r="P310" t="s">
        <v>3079</v>
      </c>
      <c r="R310" t="str">
        <f t="shared" si="9"/>
        <v>INSERT INTO stock (ticker, name, listing_date, sub_industry, industry, sector, status) VALUES ('ESTI', 'Ever Shine Tex Tbk.', '1992-10-13', 'E411', 'E41', 'IDXCYCLIC', (SELECT id FROM attribute WHERE type = 'STOCK_STATUS' AND code = 'LISTED')) ON CONFLICT DO NOTHING;</v>
      </c>
    </row>
    <row r="311" spans="1:18" x14ac:dyDescent="0.2">
      <c r="A311" t="s">
        <v>479</v>
      </c>
      <c r="B311" t="s">
        <v>3562</v>
      </c>
      <c r="C311" s="1">
        <v>35566</v>
      </c>
      <c r="D311" s="1"/>
      <c r="E311" t="s">
        <v>481</v>
      </c>
      <c r="F311" t="s">
        <v>12</v>
      </c>
      <c r="G311" t="s">
        <v>3489</v>
      </c>
      <c r="H311" t="s">
        <v>479</v>
      </c>
      <c r="I311" t="s">
        <v>480</v>
      </c>
      <c r="K311" t="s">
        <v>2701</v>
      </c>
      <c r="L311" t="s">
        <v>2772</v>
      </c>
      <c r="M311" t="str">
        <f t="shared" si="8"/>
        <v>A22</v>
      </c>
      <c r="N311" t="s">
        <v>2776</v>
      </c>
      <c r="O311" t="s">
        <v>2777</v>
      </c>
      <c r="P311" t="s">
        <v>2777</v>
      </c>
      <c r="R311" t="str">
        <f t="shared" si="9"/>
        <v>INSERT INTO stock (ticker, name, listing_date, sub_industry, industry, sector, status) VALUES ('ETWA', 'Eterindo Wahanatama Tbk.', '1997-05-16', 'A221', 'A22', 'IDXENERGY', (SELECT id FROM attribute WHERE type = 'STOCK_STATUS' AND code = 'LISTED')) ON CONFLICT DO NOTHING;</v>
      </c>
    </row>
    <row r="312" spans="1:18" x14ac:dyDescent="0.2">
      <c r="A312" t="s">
        <v>2156</v>
      </c>
      <c r="B312" t="s">
        <v>2157</v>
      </c>
      <c r="C312" s="1">
        <v>44781</v>
      </c>
      <c r="D312" s="1"/>
      <c r="E312" t="s">
        <v>2158</v>
      </c>
      <c r="F312" t="s">
        <v>1847</v>
      </c>
      <c r="G312" t="s">
        <v>3489</v>
      </c>
      <c r="H312" t="s">
        <v>2156</v>
      </c>
      <c r="I312" t="s">
        <v>3759</v>
      </c>
      <c r="K312" t="s">
        <v>2945</v>
      </c>
      <c r="L312" t="s">
        <v>3032</v>
      </c>
      <c r="M312" t="str">
        <f t="shared" si="8"/>
        <v>D42</v>
      </c>
      <c r="N312" t="s">
        <v>3033</v>
      </c>
      <c r="O312" t="s">
        <v>3034</v>
      </c>
      <c r="P312" t="s">
        <v>3034</v>
      </c>
      <c r="R312" t="str">
        <f t="shared" si="9"/>
        <v>INSERT INTO stock (ticker, name, listing_date, sub_industry, industry, sector, status) VALUES ('EURO', 'Estee Gold Feet Tbk.', '2022-08-08', 'D421', 'D42', 'IDXNONCYC', (SELECT id FROM attribute WHERE type = 'STOCK_STATUS' AND code = 'LISTED')) ON CONFLICT DO NOTHING;</v>
      </c>
    </row>
    <row r="313" spans="1:18" x14ac:dyDescent="0.2">
      <c r="A313" t="s">
        <v>482</v>
      </c>
      <c r="B313" t="s">
        <v>483</v>
      </c>
      <c r="C313" s="1">
        <v>38624</v>
      </c>
      <c r="D313" s="1"/>
      <c r="E313" t="s">
        <v>484</v>
      </c>
      <c r="F313" t="s">
        <v>8</v>
      </c>
      <c r="G313" t="s">
        <v>3489</v>
      </c>
      <c r="H313" t="s">
        <v>482</v>
      </c>
      <c r="I313" t="s">
        <v>483</v>
      </c>
      <c r="K313" t="s">
        <v>3418</v>
      </c>
      <c r="L313" t="s">
        <v>3439</v>
      </c>
      <c r="M313" t="str">
        <f t="shared" si="8"/>
        <v>J32</v>
      </c>
      <c r="N313" t="s">
        <v>3449</v>
      </c>
      <c r="O313" t="s">
        <v>3450</v>
      </c>
      <c r="P313" t="s">
        <v>3450</v>
      </c>
      <c r="R313" t="str">
        <f t="shared" si="9"/>
        <v>INSERT INTO stock (ticker, name, listing_date, sub_industry, industry, sector, status) VALUES ('EXCL', 'XLSMART Telecom Sejahtera Tbk.', '2005-09-29', 'J321', 'J32', 'IDXINFRA', (SELECT id FROM attribute WHERE type = 'STOCK_STATUS' AND code = 'LISTED')) ON CONFLICT DO NOTHING;</v>
      </c>
    </row>
    <row r="314" spans="1:18" x14ac:dyDescent="0.2">
      <c r="A314" t="s">
        <v>2646</v>
      </c>
      <c r="B314" t="s">
        <v>2647</v>
      </c>
      <c r="C314" s="1">
        <v>44200</v>
      </c>
      <c r="D314" s="1"/>
      <c r="E314" t="s">
        <v>2648</v>
      </c>
      <c r="F314" t="s">
        <v>28</v>
      </c>
      <c r="G314" t="s">
        <v>3489</v>
      </c>
      <c r="H314" t="s">
        <v>2646</v>
      </c>
      <c r="I314" t="s">
        <v>3760</v>
      </c>
      <c r="K314" t="s">
        <v>2945</v>
      </c>
      <c r="L314" t="s">
        <v>2961</v>
      </c>
      <c r="M314" t="str">
        <f t="shared" si="8"/>
        <v>D23</v>
      </c>
      <c r="N314" t="s">
        <v>3013</v>
      </c>
      <c r="O314" t="s">
        <v>2999</v>
      </c>
      <c r="P314" t="s">
        <v>3014</v>
      </c>
      <c r="R314" t="str">
        <f t="shared" si="9"/>
        <v>INSERT INTO stock (ticker, name, listing_date, sub_industry, industry, sector, status) VALUES ('FAPA', 'FAP Agri Tbk.', '2021-01-04', 'D232', 'D23', 'IDXNONCYC', (SELECT id FROM attribute WHERE type = 'STOCK_STATUS' AND code = 'LISTED')) ON CONFLICT DO NOTHING;</v>
      </c>
    </row>
    <row r="315" spans="1:18" x14ac:dyDescent="0.2">
      <c r="A315" t="s">
        <v>485</v>
      </c>
      <c r="B315" t="s">
        <v>486</v>
      </c>
      <c r="C315" s="1">
        <v>34100</v>
      </c>
      <c r="D315" s="1"/>
      <c r="E315" t="s">
        <v>487</v>
      </c>
      <c r="F315" t="s">
        <v>28</v>
      </c>
      <c r="G315" t="s">
        <v>3489</v>
      </c>
      <c r="H315" t="s">
        <v>485</v>
      </c>
      <c r="I315" t="s">
        <v>3134</v>
      </c>
      <c r="K315" t="s">
        <v>3039</v>
      </c>
      <c r="L315" t="s">
        <v>3092</v>
      </c>
      <c r="M315" t="str">
        <f t="shared" si="8"/>
        <v>E51</v>
      </c>
      <c r="N315" t="s">
        <v>3129</v>
      </c>
      <c r="O315" t="s">
        <v>3094</v>
      </c>
      <c r="P315" t="s">
        <v>3130</v>
      </c>
      <c r="R315" t="str">
        <f t="shared" si="9"/>
        <v>INSERT INTO stock (ticker, name, listing_date, sub_industry, industry, sector, status) VALUES ('FAST', 'Fast Food Indonesia Tbk.', '1993-05-11', 'E515', 'E51', 'IDXCYCLIC', (SELECT id FROM attribute WHERE type = 'STOCK_STATUS' AND code = 'LISTED')) ON CONFLICT DO NOTHING;</v>
      </c>
    </row>
    <row r="316" spans="1:18" x14ac:dyDescent="0.2">
      <c r="A316" t="s">
        <v>488</v>
      </c>
      <c r="B316" t="s">
        <v>489</v>
      </c>
      <c r="C316" s="1">
        <v>34687</v>
      </c>
      <c r="D316" s="1"/>
      <c r="E316" t="s">
        <v>490</v>
      </c>
      <c r="F316" t="s">
        <v>12</v>
      </c>
      <c r="G316" t="s">
        <v>3489</v>
      </c>
      <c r="H316" t="s">
        <v>488</v>
      </c>
      <c r="I316" t="s">
        <v>2817</v>
      </c>
      <c r="K316" t="s">
        <v>2778</v>
      </c>
      <c r="L316" t="s">
        <v>2779</v>
      </c>
      <c r="M316" t="str">
        <f t="shared" si="8"/>
        <v>B13</v>
      </c>
      <c r="N316" t="s">
        <v>2812</v>
      </c>
      <c r="O316" t="s">
        <v>2813</v>
      </c>
      <c r="P316" t="s">
        <v>2813</v>
      </c>
      <c r="R316" t="str">
        <f t="shared" si="9"/>
        <v>INSERT INTO stock (ticker, name, listing_date, sub_industry, industry, sector, status) VALUES ('FASW', 'Fajar Surya Wisesa Tbk.', '1994-12-19', 'B131', 'B13', 'IDXBASIC', (SELECT id FROM attribute WHERE type = 'STOCK_STATUS' AND code = 'LISTED')) ON CONFLICT DO NOTHING;</v>
      </c>
    </row>
    <row r="317" spans="1:18" x14ac:dyDescent="0.2">
      <c r="A317" t="s">
        <v>1568</v>
      </c>
      <c r="B317" t="s">
        <v>1569</v>
      </c>
      <c r="C317" s="1">
        <v>43319</v>
      </c>
      <c r="D317" s="1"/>
      <c r="E317" t="s">
        <v>1570</v>
      </c>
      <c r="F317" t="s">
        <v>8</v>
      </c>
      <c r="G317" t="s">
        <v>3489</v>
      </c>
      <c r="H317" t="s">
        <v>1568</v>
      </c>
      <c r="I317" t="s">
        <v>3761</v>
      </c>
      <c r="K317" t="s">
        <v>3039</v>
      </c>
      <c r="L317" t="s">
        <v>3145</v>
      </c>
      <c r="M317" t="str">
        <f t="shared" si="8"/>
        <v>E62</v>
      </c>
      <c r="N317" t="s">
        <v>3166</v>
      </c>
      <c r="O317" t="s">
        <v>3167</v>
      </c>
      <c r="P317" t="s">
        <v>3167</v>
      </c>
      <c r="R317" t="str">
        <f t="shared" si="9"/>
        <v>INSERT INTO stock (ticker, name, listing_date, sub_industry, industry, sector, status) VALUES ('FILM', 'MD Entertainment Tbk.', '2018-08-07', 'E621', 'E62', 'IDXCYCLIC', (SELECT id FROM attribute WHERE type = 'STOCK_STATUS' AND code = 'LISTED')) ON CONFLICT DO NOTHING;</v>
      </c>
    </row>
    <row r="318" spans="1:18" x14ac:dyDescent="0.2">
      <c r="A318" t="s">
        <v>1933</v>
      </c>
      <c r="B318" t="s">
        <v>1934</v>
      </c>
      <c r="C318" s="1">
        <v>44295</v>
      </c>
      <c r="D318" s="1"/>
      <c r="E318" t="s">
        <v>1935</v>
      </c>
      <c r="F318" t="s">
        <v>12</v>
      </c>
      <c r="G318" t="s">
        <v>3489</v>
      </c>
      <c r="H318" t="s">
        <v>1933</v>
      </c>
      <c r="I318" t="s">
        <v>3435</v>
      </c>
      <c r="K318" t="s">
        <v>3418</v>
      </c>
      <c r="L318" t="s">
        <v>3432</v>
      </c>
      <c r="M318" t="str">
        <f t="shared" si="8"/>
        <v>J21</v>
      </c>
      <c r="N318" t="s">
        <v>3433</v>
      </c>
      <c r="O318" t="s">
        <v>3432</v>
      </c>
      <c r="P318" t="s">
        <v>3432</v>
      </c>
      <c r="R318" t="str">
        <f t="shared" si="9"/>
        <v>INSERT INTO stock (ticker, name, listing_date, sub_industry, industry, sector, status) VALUES ('FIMP', 'Fimperkasa Utama Tbk.', '2021-04-09', 'J211', 'J21', 'IDXINFRA', (SELECT id FROM attribute WHERE type = 'STOCK_STATUS' AND code = 'LISTED')) ON CONFLICT DO NOTHING;</v>
      </c>
    </row>
    <row r="319" spans="1:18" x14ac:dyDescent="0.2">
      <c r="A319" t="s">
        <v>1410</v>
      </c>
      <c r="B319" t="s">
        <v>1411</v>
      </c>
      <c r="C319" s="1">
        <v>42895</v>
      </c>
      <c r="D319" s="1"/>
      <c r="E319" t="s">
        <v>1412</v>
      </c>
      <c r="F319" t="s">
        <v>28</v>
      </c>
      <c r="G319" t="s">
        <v>3489</v>
      </c>
      <c r="H319" t="s">
        <v>1410</v>
      </c>
      <c r="I319" t="s">
        <v>2750</v>
      </c>
      <c r="K319" t="s">
        <v>2701</v>
      </c>
      <c r="L319" t="s">
        <v>2702</v>
      </c>
      <c r="M319" t="str">
        <f t="shared" si="8"/>
        <v>A12</v>
      </c>
      <c r="N319" t="s">
        <v>2742</v>
      </c>
      <c r="O319" t="s">
        <v>2724</v>
      </c>
      <c r="P319" t="s">
        <v>2743</v>
      </c>
      <c r="R319" t="str">
        <f t="shared" si="9"/>
        <v>INSERT INTO stock (ticker, name, listing_date, sub_industry, industry, sector, status) VALUES ('FIRE', 'Alfa Energi Investama Tbk.', '2017-06-09', 'A122', 'A12', 'IDXENERGY', (SELECT id FROM attribute WHERE type = 'STOCK_STATUS' AND code = 'LISTED')) ON CONFLICT DO NOTHING;</v>
      </c>
    </row>
    <row r="320" spans="1:18" x14ac:dyDescent="0.2">
      <c r="A320" t="s">
        <v>491</v>
      </c>
      <c r="B320" t="s">
        <v>492</v>
      </c>
      <c r="C320" s="1">
        <v>37274</v>
      </c>
      <c r="D320" s="1"/>
      <c r="E320" t="s">
        <v>493</v>
      </c>
      <c r="F320" t="s">
        <v>28</v>
      </c>
      <c r="G320" t="s">
        <v>3489</v>
      </c>
      <c r="H320" t="s">
        <v>491</v>
      </c>
      <c r="I320" t="s">
        <v>3017</v>
      </c>
      <c r="K320" t="s">
        <v>2945</v>
      </c>
      <c r="L320" t="s">
        <v>2961</v>
      </c>
      <c r="M320" t="str">
        <f t="shared" si="8"/>
        <v>D23</v>
      </c>
      <c r="N320" t="s">
        <v>3013</v>
      </c>
      <c r="O320" t="s">
        <v>2999</v>
      </c>
      <c r="P320" t="s">
        <v>3014</v>
      </c>
      <c r="R320" t="str">
        <f t="shared" si="9"/>
        <v>INSERT INTO stock (ticker, name, listing_date, sub_industry, industry, sector, status) VALUES ('FISH', 'FKS Multi Agro Tbk.', '2002-01-18', 'D232', 'D23', 'IDXNONCYC', (SELECT id FROM attribute WHERE type = 'STOCK_STATUS' AND code = 'LISTED')) ON CONFLICT DO NOTHING;</v>
      </c>
    </row>
    <row r="321" spans="1:18" x14ac:dyDescent="0.2">
      <c r="A321" t="s">
        <v>1675</v>
      </c>
      <c r="B321" t="s">
        <v>1676</v>
      </c>
      <c r="C321" s="1">
        <v>43627</v>
      </c>
      <c r="D321" s="1"/>
      <c r="E321" t="s">
        <v>1677</v>
      </c>
      <c r="F321" t="s">
        <v>28</v>
      </c>
      <c r="G321" t="s">
        <v>3489</v>
      </c>
      <c r="H321" t="s">
        <v>1675</v>
      </c>
      <c r="I321" t="s">
        <v>3101</v>
      </c>
      <c r="K321" t="s">
        <v>3039</v>
      </c>
      <c r="L321" t="s">
        <v>3092</v>
      </c>
      <c r="M321" t="str">
        <f t="shared" si="8"/>
        <v>E51</v>
      </c>
      <c r="N321" t="s">
        <v>3093</v>
      </c>
      <c r="O321" t="s">
        <v>3094</v>
      </c>
      <c r="P321" t="s">
        <v>3095</v>
      </c>
      <c r="R321" t="str">
        <f t="shared" si="9"/>
        <v>INSERT INTO stock (ticker, name, listing_date, sub_industry, industry, sector, status) VALUES ('FITT', 'Hotel Fitra International Tbk.', '2019-06-11', 'E512', 'E51', 'IDXCYCLIC', (SELECT id FROM attribute WHERE type = 'STOCK_STATUS' AND code = 'LISTED')) ON CONFLICT DO NOTHING;</v>
      </c>
    </row>
    <row r="322" spans="1:18" x14ac:dyDescent="0.2">
      <c r="A322" t="s">
        <v>1972</v>
      </c>
      <c r="B322" t="s">
        <v>1973</v>
      </c>
      <c r="C322" s="1">
        <v>44385</v>
      </c>
      <c r="D322" s="1"/>
      <c r="E322" t="s">
        <v>1876</v>
      </c>
      <c r="F322" t="s">
        <v>1847</v>
      </c>
      <c r="G322" t="s">
        <v>3489</v>
      </c>
      <c r="H322" t="s">
        <v>1972</v>
      </c>
      <c r="I322" t="s">
        <v>3035</v>
      </c>
      <c r="K322" t="s">
        <v>2945</v>
      </c>
      <c r="L322" t="s">
        <v>3032</v>
      </c>
      <c r="M322" t="str">
        <f t="shared" ref="M322:M385" si="10">LEFT(N322, 3)</f>
        <v>D42</v>
      </c>
      <c r="N322" t="s">
        <v>3033</v>
      </c>
      <c r="O322" t="s">
        <v>3034</v>
      </c>
      <c r="P322" t="s">
        <v>3034</v>
      </c>
      <c r="R322" t="str">
        <f t="shared" si="9"/>
        <v>INSERT INTO stock (ticker, name, listing_date, sub_industry, industry, sector, status) VALUES ('FLMC', 'Falmaco Nonwoven Industri Tbk.', '2021-07-08', 'D421', 'D42', 'IDXNONCYC', (SELECT id FROM attribute WHERE type = 'STOCK_STATUS' AND code = 'LISTED')) ON CONFLICT DO NOTHING;</v>
      </c>
    </row>
    <row r="323" spans="1:18" x14ac:dyDescent="0.2">
      <c r="A323" t="s">
        <v>494</v>
      </c>
      <c r="B323" t="s">
        <v>3563</v>
      </c>
      <c r="C323" s="1">
        <v>36707</v>
      </c>
      <c r="D323" s="1"/>
      <c r="E323" t="s">
        <v>496</v>
      </c>
      <c r="F323" t="s">
        <v>28</v>
      </c>
      <c r="G323" t="s">
        <v>3489</v>
      </c>
      <c r="H323" t="s">
        <v>494</v>
      </c>
      <c r="I323" t="s">
        <v>495</v>
      </c>
      <c r="K323" t="s">
        <v>3306</v>
      </c>
      <c r="L323" t="s">
        <v>3307</v>
      </c>
      <c r="M323" t="str">
        <f t="shared" si="10"/>
        <v>H11</v>
      </c>
      <c r="N323" t="s">
        <v>3308</v>
      </c>
      <c r="O323" t="s">
        <v>3309</v>
      </c>
      <c r="P323" t="s">
        <v>3310</v>
      </c>
      <c r="R323" t="str">
        <f t="shared" ref="R323:R386" si="11">CONCATENATE($R$1, A323, "', '", B323, "', '", TEXT(C323, "YYYY-MM-DD"), "', '", N323, "', '", M323, "', '", K323, "', ", $S$1, ") ON CONFLICT DO NOTHING;")</f>
        <v>INSERT INTO stock (ticker, name, listing_date, sub_industry, industry, sector, status) VALUES ('FMII', 'Fortune Mate Indonesia Tbk.', '2000-06-30', 'H111', 'H11', 'IDXPROPERT', (SELECT id FROM attribute WHERE type = 'STOCK_STATUS' AND code = 'LISTED')) ON CONFLICT DO NOTHING;</v>
      </c>
    </row>
    <row r="324" spans="1:18" x14ac:dyDescent="0.2">
      <c r="A324" t="s">
        <v>2342</v>
      </c>
      <c r="B324" t="s">
        <v>2343</v>
      </c>
      <c r="C324" s="1">
        <v>45145</v>
      </c>
      <c r="D324" s="1"/>
      <c r="E324" t="s">
        <v>2344</v>
      </c>
      <c r="F324" t="s">
        <v>28</v>
      </c>
      <c r="G324" t="s">
        <v>3489</v>
      </c>
      <c r="H324" t="s">
        <v>2342</v>
      </c>
      <c r="I324" t="s">
        <v>2343</v>
      </c>
      <c r="K324" t="s">
        <v>2874</v>
      </c>
      <c r="L324" t="s">
        <v>2939</v>
      </c>
      <c r="M324" t="str">
        <f t="shared" si="10"/>
        <v>C31</v>
      </c>
      <c r="N324" t="s">
        <v>2940</v>
      </c>
      <c r="O324" t="s">
        <v>2939</v>
      </c>
      <c r="P324" t="s">
        <v>2939</v>
      </c>
      <c r="R324" t="str">
        <f t="shared" si="11"/>
        <v>INSERT INTO stock (ticker, name, listing_date, sub_industry, industry, sector, status) VALUES ('FOLK', 'Multi Garam Utama Tbk.', '2023-08-07', 'C311', 'C31', 'IDXINDUST', (SELECT id FROM attribute WHERE type = 'STOCK_STATUS' AND code = 'LISTED')) ON CONFLICT DO NOTHING;</v>
      </c>
    </row>
    <row r="325" spans="1:18" x14ac:dyDescent="0.2">
      <c r="A325" t="s">
        <v>1641</v>
      </c>
      <c r="B325" t="s">
        <v>1642</v>
      </c>
      <c r="C325" s="1">
        <v>43473</v>
      </c>
      <c r="D325" s="1"/>
      <c r="E325" t="s">
        <v>1504</v>
      </c>
      <c r="F325" t="s">
        <v>12</v>
      </c>
      <c r="G325" t="s">
        <v>3489</v>
      </c>
      <c r="H325" t="s">
        <v>1641</v>
      </c>
      <c r="I325" t="s">
        <v>2982</v>
      </c>
      <c r="K325" t="s">
        <v>2945</v>
      </c>
      <c r="L325" t="s">
        <v>2961</v>
      </c>
      <c r="M325" t="str">
        <f t="shared" si="10"/>
        <v>D22</v>
      </c>
      <c r="N325" t="s">
        <v>2978</v>
      </c>
      <c r="O325" t="s">
        <v>2973</v>
      </c>
      <c r="P325" t="s">
        <v>2973</v>
      </c>
      <c r="R325" t="str">
        <f t="shared" si="11"/>
        <v>INSERT INTO stock (ticker, name, listing_date, sub_industry, industry, sector, status) VALUES ('FOOD', 'Sentra Food Indonesia Tbk.', '2019-01-08', 'D222', 'D22', 'IDXNONCYC', (SELECT id FROM attribute WHERE type = 'STOCK_STATUS' AND code = 'LISTED')) ON CONFLICT DO NOTHING;</v>
      </c>
    </row>
    <row r="326" spans="1:18" x14ac:dyDescent="0.2">
      <c r="A326" t="s">
        <v>2575</v>
      </c>
      <c r="B326" t="s">
        <v>2576</v>
      </c>
      <c r="C326" s="1">
        <v>45761</v>
      </c>
      <c r="D326" s="1"/>
      <c r="E326" t="s">
        <v>2577</v>
      </c>
      <c r="F326" t="s">
        <v>28</v>
      </c>
      <c r="G326" t="s">
        <v>3489</v>
      </c>
      <c r="H326" t="s">
        <v>2575</v>
      </c>
      <c r="I326" t="s">
        <v>3762</v>
      </c>
      <c r="K326" t="s">
        <v>2945</v>
      </c>
      <c r="L326" t="s">
        <v>2961</v>
      </c>
      <c r="M326" t="str">
        <f t="shared" si="10"/>
        <v>D21</v>
      </c>
      <c r="N326" t="s">
        <v>2968</v>
      </c>
      <c r="O326" t="s">
        <v>2963</v>
      </c>
      <c r="P326" t="s">
        <v>2969</v>
      </c>
      <c r="R326" t="str">
        <f t="shared" si="11"/>
        <v>INSERT INTO stock (ticker, name, listing_date, sub_industry, industry, sector, status) VALUES ('FORE', 'Fore Kopi Indonesia Tbk.', '2025-04-14', 'D212', 'D21', 'IDXNONCYC', (SELECT id FROM attribute WHERE type = 'STOCK_STATUS' AND code = 'LISTED')) ON CONFLICT DO NOTHING;</v>
      </c>
    </row>
    <row r="327" spans="1:18" x14ac:dyDescent="0.2">
      <c r="A327" t="s">
        <v>497</v>
      </c>
      <c r="B327" t="s">
        <v>3564</v>
      </c>
      <c r="C327" s="1">
        <v>37273</v>
      </c>
      <c r="D327" s="1"/>
      <c r="E327" t="s">
        <v>499</v>
      </c>
      <c r="F327" t="s">
        <v>28</v>
      </c>
      <c r="G327" t="s">
        <v>3489</v>
      </c>
      <c r="H327" t="s">
        <v>497</v>
      </c>
      <c r="I327" t="s">
        <v>498</v>
      </c>
      <c r="K327" t="s">
        <v>3039</v>
      </c>
      <c r="L327" t="s">
        <v>3145</v>
      </c>
      <c r="M327" t="str">
        <f t="shared" si="10"/>
        <v>E61</v>
      </c>
      <c r="N327" t="s">
        <v>3146</v>
      </c>
      <c r="O327" t="s">
        <v>3147</v>
      </c>
      <c r="P327" t="s">
        <v>3148</v>
      </c>
      <c r="R327" t="str">
        <f t="shared" si="11"/>
        <v>INSERT INTO stock (ticker, name, listing_date, sub_industry, industry, sector, status) VALUES ('FORU', 'Fortune Indonesia Tbk.', '2002-01-17', 'E611', 'E61', 'IDXCYCLIC', (SELECT id FROM attribute WHERE type = 'STOCK_STATUS' AND code = 'LISTED')) ON CONFLICT DO NOTHING;</v>
      </c>
    </row>
    <row r="328" spans="1:18" x14ac:dyDescent="0.2">
      <c r="A328" t="s">
        <v>500</v>
      </c>
      <c r="B328" t="s">
        <v>501</v>
      </c>
      <c r="C328" s="1">
        <v>37336</v>
      </c>
      <c r="D328" s="1"/>
      <c r="E328" t="s">
        <v>502</v>
      </c>
      <c r="F328" t="s">
        <v>28</v>
      </c>
      <c r="G328" t="s">
        <v>3489</v>
      </c>
      <c r="H328" t="s">
        <v>500</v>
      </c>
      <c r="I328" t="s">
        <v>2784</v>
      </c>
      <c r="K328" t="s">
        <v>2778</v>
      </c>
      <c r="L328" t="s">
        <v>2779</v>
      </c>
      <c r="M328" t="str">
        <f t="shared" si="10"/>
        <v>B11</v>
      </c>
      <c r="N328" t="s">
        <v>2780</v>
      </c>
      <c r="O328" t="s">
        <v>2781</v>
      </c>
      <c r="P328" t="s">
        <v>2782</v>
      </c>
      <c r="R328" t="str">
        <f t="shared" si="11"/>
        <v>INSERT INTO stock (ticker, name, listing_date, sub_industry, industry, sector, status) VALUES ('FPNI', 'Lotte Chemical Titan Tbk.', '2002-03-21', 'B111', 'B11', 'IDXBASIC', (SELECT id FROM attribute WHERE type = 'STOCK_STATUS' AND code = 'LISTED')) ON CONFLICT DO NOTHING;</v>
      </c>
    </row>
    <row r="329" spans="1:18" x14ac:dyDescent="0.2">
      <c r="A329" t="s">
        <v>3452</v>
      </c>
      <c r="B329" t="s">
        <v>3565</v>
      </c>
      <c r="C329" s="1">
        <v>39050</v>
      </c>
      <c r="D329" s="1">
        <v>45764</v>
      </c>
      <c r="F329" t="s">
        <v>8</v>
      </c>
      <c r="G329" t="s">
        <v>3490</v>
      </c>
      <c r="H329" t="s">
        <v>3452</v>
      </c>
      <c r="I329" t="s">
        <v>3453</v>
      </c>
      <c r="K329" t="s">
        <v>3418</v>
      </c>
      <c r="L329" t="s">
        <v>3439</v>
      </c>
      <c r="M329" t="str">
        <f t="shared" si="10"/>
        <v>J32</v>
      </c>
      <c r="N329" t="s">
        <v>3449</v>
      </c>
      <c r="O329" t="s">
        <v>3450</v>
      </c>
      <c r="P329" t="s">
        <v>3450</v>
      </c>
      <c r="R329" t="str">
        <f t="shared" si="11"/>
        <v>INSERT INTO stock (ticker, name, listing_date, sub_industry, industry, sector, status) VALUES ('FREN', 'Smartfren Telecom Tbk.', '2006-11-29', 'J321', 'J32', 'IDXINFRA', (SELECT id FROM attribute WHERE type = 'STOCK_STATUS' AND code = 'LISTED')) ON CONFLICT DO NOTHING;</v>
      </c>
    </row>
    <row r="330" spans="1:18" x14ac:dyDescent="0.2">
      <c r="A330" t="s">
        <v>1712</v>
      </c>
      <c r="B330" t="s">
        <v>1713</v>
      </c>
      <c r="C330" s="1">
        <v>43655</v>
      </c>
      <c r="D330" s="1"/>
      <c r="E330" t="s">
        <v>155</v>
      </c>
      <c r="F330" t="s">
        <v>28</v>
      </c>
      <c r="G330" t="s">
        <v>3489</v>
      </c>
      <c r="H330" t="s">
        <v>1712</v>
      </c>
      <c r="I330" t="s">
        <v>3245</v>
      </c>
      <c r="K330" t="s">
        <v>3224</v>
      </c>
      <c r="L330" t="s">
        <v>3238</v>
      </c>
      <c r="M330" t="str">
        <f t="shared" si="10"/>
        <v>G21</v>
      </c>
      <c r="N330" t="s">
        <v>3239</v>
      </c>
      <c r="O330" t="s">
        <v>3240</v>
      </c>
      <c r="P330" t="s">
        <v>3240</v>
      </c>
      <c r="R330" t="str">
        <f t="shared" si="11"/>
        <v>INSERT INTO stock (ticker, name, listing_date, sub_industry, industry, sector, status) VALUES ('FUJI', 'Fuji Finance Indonesia Tbk.', '2019-07-09', 'G211', 'G21', 'IDXFINANCE', (SELECT id FROM attribute WHERE type = 'STOCK_STATUS' AND code = 'LISTED')) ON CONFLICT DO NOTHING;</v>
      </c>
    </row>
    <row r="331" spans="1:18" x14ac:dyDescent="0.2">
      <c r="A331" s="3" t="s">
        <v>2269</v>
      </c>
      <c r="B331" s="3" t="s">
        <v>2270</v>
      </c>
      <c r="C331" s="4">
        <v>44984</v>
      </c>
      <c r="D331" s="4"/>
      <c r="E331" s="3" t="s">
        <v>2271</v>
      </c>
      <c r="F331" s="3" t="s">
        <v>28</v>
      </c>
      <c r="G331" s="3" t="s">
        <v>3489</v>
      </c>
      <c r="H331" s="3" t="s">
        <v>2269</v>
      </c>
      <c r="I331" s="3" t="s">
        <v>2270</v>
      </c>
      <c r="J331" s="3"/>
      <c r="K331" s="3" t="s">
        <v>2701</v>
      </c>
      <c r="L331" s="3" t="s">
        <v>2772</v>
      </c>
      <c r="M331" s="3" t="str">
        <f t="shared" si="10"/>
        <v>A22</v>
      </c>
      <c r="N331" s="3" t="s">
        <v>2776</v>
      </c>
      <c r="O331" s="3" t="s">
        <v>2777</v>
      </c>
      <c r="P331" s="3" t="s">
        <v>2777</v>
      </c>
      <c r="R331" t="str">
        <f t="shared" si="11"/>
        <v>INSERT INTO stock (ticker, name, listing_date, sub_industry, industry, sector, status) VALUES ('FUTR', 'Futura Energi Global Tbk.', '2023-02-27', 'A221', 'A22', 'IDXENERGY', (SELECT id FROM attribute WHERE type = 'STOCK_STATUS' AND code = 'LISTED')) ON CONFLICT DO NOTHING;</v>
      </c>
    </row>
    <row r="332" spans="1:18" x14ac:dyDescent="0.2">
      <c r="A332" t="s">
        <v>2244</v>
      </c>
      <c r="B332" t="s">
        <v>2245</v>
      </c>
      <c r="C332" s="1">
        <v>44958</v>
      </c>
      <c r="D332" s="1"/>
      <c r="E332" t="s">
        <v>2246</v>
      </c>
      <c r="F332" t="s">
        <v>28</v>
      </c>
      <c r="G332" t="s">
        <v>3489</v>
      </c>
      <c r="H332" t="s">
        <v>2244</v>
      </c>
      <c r="I332" t="s">
        <v>3763</v>
      </c>
      <c r="K332" t="s">
        <v>2701</v>
      </c>
      <c r="L332" t="s">
        <v>2702</v>
      </c>
      <c r="M332" t="str">
        <f t="shared" si="10"/>
        <v>A11</v>
      </c>
      <c r="N332" t="s">
        <v>2703</v>
      </c>
      <c r="O332" t="s">
        <v>2704</v>
      </c>
      <c r="P332" t="s">
        <v>2705</v>
      </c>
      <c r="R332" t="str">
        <f t="shared" si="11"/>
        <v>INSERT INTO stock (ticker, name, listing_date, sub_industry, industry, sector, status) VALUES ('FWCT', 'Wijaya Cahaya Timber Tbk.', '2023-02-01', 'A111', 'A11', 'IDXENERGY', (SELECT id FROM attribute WHERE type = 'STOCK_STATUS' AND code = 'LISTED')) ON CONFLICT DO NOTHING;</v>
      </c>
    </row>
    <row r="333" spans="1:18" x14ac:dyDescent="0.2">
      <c r="A333" t="s">
        <v>503</v>
      </c>
      <c r="B333" t="s">
        <v>504</v>
      </c>
      <c r="C333" s="1">
        <v>41101</v>
      </c>
      <c r="D333" s="1"/>
      <c r="E333" t="s">
        <v>505</v>
      </c>
      <c r="F333" t="s">
        <v>12</v>
      </c>
      <c r="G333" t="s">
        <v>3489</v>
      </c>
      <c r="H333" t="s">
        <v>503</v>
      </c>
      <c r="I333" t="s">
        <v>3337</v>
      </c>
      <c r="K333" t="s">
        <v>3306</v>
      </c>
      <c r="L333" t="s">
        <v>3307</v>
      </c>
      <c r="M333" t="str">
        <f t="shared" si="10"/>
        <v>H11</v>
      </c>
      <c r="N333" t="s">
        <v>3308</v>
      </c>
      <c r="O333" t="s">
        <v>3309</v>
      </c>
      <c r="P333" t="s">
        <v>3310</v>
      </c>
      <c r="R333" t="str">
        <f t="shared" si="11"/>
        <v>INSERT INTO stock (ticker, name, listing_date, sub_industry, industry, sector, status) VALUES ('GAMA', 'Aksara Global Development Tbk.', '2012-07-11', 'H111', 'H11', 'IDXPROPERT', (SELECT id FROM attribute WHERE type = 'STOCK_STATUS' AND code = 'LISTED')) ON CONFLICT DO NOTHING;</v>
      </c>
    </row>
    <row r="334" spans="1:18" x14ac:dyDescent="0.2">
      <c r="A334" t="s">
        <v>506</v>
      </c>
      <c r="B334" t="s">
        <v>507</v>
      </c>
      <c r="C334" s="1">
        <v>40170</v>
      </c>
      <c r="D334" s="1"/>
      <c r="E334" t="s">
        <v>508</v>
      </c>
      <c r="F334" t="s">
        <v>28</v>
      </c>
      <c r="G334" t="s">
        <v>3489</v>
      </c>
      <c r="H334" t="s">
        <v>506</v>
      </c>
      <c r="I334" t="s">
        <v>2843</v>
      </c>
      <c r="K334" t="s">
        <v>2778</v>
      </c>
      <c r="L334" t="s">
        <v>2779</v>
      </c>
      <c r="M334" t="str">
        <f t="shared" si="10"/>
        <v>B14</v>
      </c>
      <c r="N334" t="s">
        <v>2839</v>
      </c>
      <c r="O334" t="s">
        <v>2824</v>
      </c>
      <c r="P334" t="s">
        <v>2840</v>
      </c>
      <c r="R334" t="str">
        <f t="shared" si="11"/>
        <v>INSERT INTO stock (ticker, name, listing_date, sub_industry, industry, sector, status) VALUES ('GDST', 'Gunawan Dianjaya Steel Tbk.', '2009-12-23', 'B144', 'B14', 'IDXBASIC', (SELECT id FROM attribute WHERE type = 'STOCK_STATUS' AND code = 'LISTED')) ON CONFLICT DO NOTHING;</v>
      </c>
    </row>
    <row r="335" spans="1:18" x14ac:dyDescent="0.2">
      <c r="A335" t="s">
        <v>509</v>
      </c>
      <c r="B335" t="s">
        <v>510</v>
      </c>
      <c r="C335" s="1">
        <v>29577</v>
      </c>
      <c r="D335" s="1"/>
      <c r="E335" t="s">
        <v>511</v>
      </c>
      <c r="F335" t="s">
        <v>28</v>
      </c>
      <c r="G335" t="s">
        <v>3489</v>
      </c>
      <c r="H335" t="s">
        <v>509</v>
      </c>
      <c r="I335" t="s">
        <v>3052</v>
      </c>
      <c r="K335" t="s">
        <v>3039</v>
      </c>
      <c r="L335" t="s">
        <v>3040</v>
      </c>
      <c r="M335" t="str">
        <f t="shared" si="10"/>
        <v>E11</v>
      </c>
      <c r="N335" t="s">
        <v>3050</v>
      </c>
      <c r="O335" t="s">
        <v>3042</v>
      </c>
      <c r="P335" t="s">
        <v>3051</v>
      </c>
      <c r="R335" t="str">
        <f t="shared" si="11"/>
        <v>INSERT INTO stock (ticker, name, listing_date, sub_industry, industry, sector, status) VALUES ('GDYR', 'Goodyear Indonesia Tbk.', '1980-12-22', 'E112', 'E11', 'IDXCYCLIC', (SELECT id FROM attribute WHERE type = 'STOCK_STATUS' AND code = 'LISTED')) ON CONFLICT DO NOTHING;</v>
      </c>
    </row>
    <row r="336" spans="1:18" x14ac:dyDescent="0.2">
      <c r="A336" t="s">
        <v>512</v>
      </c>
      <c r="B336" t="s">
        <v>513</v>
      </c>
      <c r="C336" s="1">
        <v>37480</v>
      </c>
      <c r="D336" s="1"/>
      <c r="E336" t="s">
        <v>514</v>
      </c>
      <c r="F336" t="s">
        <v>28</v>
      </c>
      <c r="G336" t="s">
        <v>3489</v>
      </c>
      <c r="H336" t="s">
        <v>512</v>
      </c>
      <c r="I336" t="s">
        <v>3059</v>
      </c>
      <c r="K336" t="s">
        <v>3039</v>
      </c>
      <c r="L336" t="s">
        <v>3055</v>
      </c>
      <c r="M336" t="str">
        <f t="shared" si="10"/>
        <v>E21</v>
      </c>
      <c r="N336" t="s">
        <v>3056</v>
      </c>
      <c r="O336" t="s">
        <v>3055</v>
      </c>
      <c r="P336" t="s">
        <v>3057</v>
      </c>
      <c r="R336" t="str">
        <f t="shared" si="11"/>
        <v>INSERT INTO stock (ticker, name, listing_date, sub_industry, industry, sector, status) VALUES ('GEMA', 'Gema Grahasarana Tbk.', '2002-08-12', 'E211', 'E21', 'IDXCYCLIC', (SELECT id FROM attribute WHERE type = 'STOCK_STATUS' AND code = 'LISTED')) ON CONFLICT DO NOTHING;</v>
      </c>
    </row>
    <row r="337" spans="1:18" x14ac:dyDescent="0.2">
      <c r="A337" t="s">
        <v>515</v>
      </c>
      <c r="B337" t="s">
        <v>516</v>
      </c>
      <c r="C337" s="1">
        <v>40864</v>
      </c>
      <c r="D337" s="1"/>
      <c r="E337" t="s">
        <v>517</v>
      </c>
      <c r="F337" t="s">
        <v>8</v>
      </c>
      <c r="G337" t="s">
        <v>3489</v>
      </c>
      <c r="H337" t="s">
        <v>515</v>
      </c>
      <c r="I337" t="s">
        <v>2732</v>
      </c>
      <c r="K337" t="s">
        <v>2701</v>
      </c>
      <c r="L337" t="s">
        <v>2702</v>
      </c>
      <c r="M337" t="str">
        <f t="shared" si="10"/>
        <v>A12</v>
      </c>
      <c r="N337" t="s">
        <v>2723</v>
      </c>
      <c r="O337" t="s">
        <v>2724</v>
      </c>
      <c r="P337" t="s">
        <v>2725</v>
      </c>
      <c r="R337" t="str">
        <f t="shared" si="11"/>
        <v>INSERT INTO stock (ticker, name, listing_date, sub_industry, industry, sector, status) VALUES ('GEMS', 'Golden Energy Mines Tbk.', '2011-11-17', 'A121', 'A12', 'IDXENERGY', (SELECT id FROM attribute WHERE type = 'STOCK_STATUS' AND code = 'LISTED')) ON CONFLICT DO NOTHING;</v>
      </c>
    </row>
    <row r="338" spans="1:18" x14ac:dyDescent="0.2">
      <c r="A338" t="s">
        <v>518</v>
      </c>
      <c r="B338" t="s">
        <v>519</v>
      </c>
      <c r="C338" s="1">
        <v>33112</v>
      </c>
      <c r="D338" s="1"/>
      <c r="E338" t="s">
        <v>520</v>
      </c>
      <c r="F338" t="s">
        <v>8</v>
      </c>
      <c r="G338" t="s">
        <v>3489</v>
      </c>
      <c r="H338" t="s">
        <v>518</v>
      </c>
      <c r="I338" t="s">
        <v>3028</v>
      </c>
      <c r="K338" t="s">
        <v>2945</v>
      </c>
      <c r="L338" t="s">
        <v>3029</v>
      </c>
      <c r="M338" t="str">
        <f t="shared" si="10"/>
        <v>D31</v>
      </c>
      <c r="N338" t="s">
        <v>3030</v>
      </c>
      <c r="O338" t="s">
        <v>3029</v>
      </c>
      <c r="P338" t="s">
        <v>3029</v>
      </c>
      <c r="R338" t="str">
        <f t="shared" si="11"/>
        <v>INSERT INTO stock (ticker, name, listing_date, sub_industry, industry, sector, status) VALUES ('GGRM', 'Gudang Garam Tbk.', '1990-08-27', 'D311', 'D31', 'IDXNONCYC', (SELECT id FROM attribute WHERE type = 'STOCK_STATUS' AND code = 'LISTED')) ON CONFLICT DO NOTHING;</v>
      </c>
    </row>
    <row r="339" spans="1:18" x14ac:dyDescent="0.2">
      <c r="A339" t="s">
        <v>1738</v>
      </c>
      <c r="B339" t="s">
        <v>1739</v>
      </c>
      <c r="C339" s="1">
        <v>43727</v>
      </c>
      <c r="D339" s="1"/>
      <c r="E339" t="s">
        <v>1740</v>
      </c>
      <c r="F339" t="s">
        <v>28</v>
      </c>
      <c r="G339" t="s">
        <v>3489</v>
      </c>
      <c r="H339" t="s">
        <v>1738</v>
      </c>
      <c r="I339" t="s">
        <v>2844</v>
      </c>
      <c r="K339" t="s">
        <v>2778</v>
      </c>
      <c r="L339" t="s">
        <v>2779</v>
      </c>
      <c r="M339" t="str">
        <f t="shared" si="10"/>
        <v>B14</v>
      </c>
      <c r="N339" t="s">
        <v>2839</v>
      </c>
      <c r="O339" t="s">
        <v>2824</v>
      </c>
      <c r="P339" t="s">
        <v>2840</v>
      </c>
      <c r="R339" t="str">
        <f t="shared" si="11"/>
        <v>INSERT INTO stock (ticker, name, listing_date, sub_industry, industry, sector, status) VALUES ('GGRP', 'Gunung Raja Paksi Tbk.', '2019-09-19', 'B144', 'B14', 'IDXBASIC', (SELECT id FROM attribute WHERE type = 'STOCK_STATUS' AND code = 'LISTED')) ON CONFLICT DO NOTHING;</v>
      </c>
    </row>
    <row r="340" spans="1:18" x14ac:dyDescent="0.2">
      <c r="A340" t="s">
        <v>1505</v>
      </c>
      <c r="B340" t="s">
        <v>3566</v>
      </c>
      <c r="C340" s="1">
        <v>43199</v>
      </c>
      <c r="D340" s="1"/>
      <c r="E340" t="s">
        <v>1506</v>
      </c>
      <c r="F340" t="s">
        <v>28</v>
      </c>
      <c r="G340" t="s">
        <v>3489</v>
      </c>
      <c r="H340" t="s">
        <v>1505</v>
      </c>
      <c r="I340" t="s">
        <v>3764</v>
      </c>
      <c r="K340" t="s">
        <v>3418</v>
      </c>
      <c r="L340" t="s">
        <v>3439</v>
      </c>
      <c r="M340" t="str">
        <f t="shared" si="10"/>
        <v>J32</v>
      </c>
      <c r="N340" t="s">
        <v>3449</v>
      </c>
      <c r="O340" t="s">
        <v>3450</v>
      </c>
      <c r="P340" t="s">
        <v>3450</v>
      </c>
      <c r="R340" t="str">
        <f t="shared" si="11"/>
        <v>INSERT INTO stock (ticker, name, listing_date, sub_industry, industry, sector, status) VALUES ('GHON', 'Gihon Telekomunikasi Indonesia Tbk.', '2018-04-09', 'J321', 'J32', 'IDXINFRA', (SELECT id FROM attribute WHERE type = 'STOCK_STATUS' AND code = 'LISTED')) ON CONFLICT DO NOTHING;</v>
      </c>
    </row>
    <row r="341" spans="1:18" x14ac:dyDescent="0.2">
      <c r="A341" t="s">
        <v>521</v>
      </c>
      <c r="B341" t="s">
        <v>3567</v>
      </c>
      <c r="C341" s="1">
        <v>40585</v>
      </c>
      <c r="D341" s="1"/>
      <c r="E341" t="s">
        <v>523</v>
      </c>
      <c r="F341" t="s">
        <v>28</v>
      </c>
      <c r="G341" t="s">
        <v>3489</v>
      </c>
      <c r="H341" t="s">
        <v>521</v>
      </c>
      <c r="I341" t="s">
        <v>522</v>
      </c>
      <c r="K341" t="s">
        <v>3470</v>
      </c>
      <c r="L341" t="s">
        <v>3471</v>
      </c>
      <c r="M341" t="str">
        <f t="shared" si="10"/>
        <v>K11</v>
      </c>
      <c r="N341" t="s">
        <v>3472</v>
      </c>
      <c r="O341" t="s">
        <v>3473</v>
      </c>
      <c r="P341" t="s">
        <v>3473</v>
      </c>
      <c r="R341" t="str">
        <f t="shared" si="11"/>
        <v>INSERT INTO stock (ticker, name, listing_date, sub_industry, industry, sector, status) VALUES ('GIAA', 'Garuda Indonesia (Persero) Tbk.', '2011-02-11', 'K111', 'K11', 'IDXTRANS', (SELECT id FROM attribute WHERE type = 'STOCK_STATUS' AND code = 'LISTED')) ON CONFLICT DO NOTHING;</v>
      </c>
    </row>
    <row r="342" spans="1:18" x14ac:dyDescent="0.2">
      <c r="A342" t="s">
        <v>524</v>
      </c>
      <c r="B342" t="s">
        <v>525</v>
      </c>
      <c r="C342" s="1">
        <v>33001</v>
      </c>
      <c r="D342" s="1"/>
      <c r="E342" t="s">
        <v>526</v>
      </c>
      <c r="F342" t="s">
        <v>8</v>
      </c>
      <c r="G342" t="s">
        <v>3489</v>
      </c>
      <c r="H342" t="s">
        <v>524</v>
      </c>
      <c r="I342" t="s">
        <v>3053</v>
      </c>
      <c r="K342" t="s">
        <v>3039</v>
      </c>
      <c r="L342" t="s">
        <v>3040</v>
      </c>
      <c r="M342" t="str">
        <f t="shared" si="10"/>
        <v>E11</v>
      </c>
      <c r="N342" t="s">
        <v>3050</v>
      </c>
      <c r="O342" t="s">
        <v>3042</v>
      </c>
      <c r="P342" t="s">
        <v>3051</v>
      </c>
      <c r="R342" t="str">
        <f t="shared" si="11"/>
        <v>INSERT INTO stock (ticker, name, listing_date, sub_industry, industry, sector, status) VALUES ('GJTL', 'Gajah Tunggal Tbk.', '1990-05-08', 'E112', 'E11', 'IDXCYCLIC', (SELECT id FROM attribute WHERE type = 'STOCK_STATUS' AND code = 'LISTED')) ON CONFLICT DO NOTHING;</v>
      </c>
    </row>
    <row r="343" spans="1:18" x14ac:dyDescent="0.2">
      <c r="A343" t="s">
        <v>527</v>
      </c>
      <c r="B343" t="s">
        <v>528</v>
      </c>
      <c r="C343" s="1">
        <v>41100</v>
      </c>
      <c r="D343" s="1"/>
      <c r="E343" t="s">
        <v>529</v>
      </c>
      <c r="F343" t="s">
        <v>12</v>
      </c>
      <c r="G343" t="s">
        <v>3489</v>
      </c>
      <c r="H343" t="s">
        <v>527</v>
      </c>
      <c r="I343" t="s">
        <v>3186</v>
      </c>
      <c r="K343" t="s">
        <v>3039</v>
      </c>
      <c r="L343" t="s">
        <v>3168</v>
      </c>
      <c r="M343" t="str">
        <f t="shared" si="10"/>
        <v>E74</v>
      </c>
      <c r="N343" t="s">
        <v>3183</v>
      </c>
      <c r="O343" t="s">
        <v>3177</v>
      </c>
      <c r="P343" t="s">
        <v>3184</v>
      </c>
      <c r="R343" t="str">
        <f t="shared" si="11"/>
        <v>INSERT INTO stock (ticker, name, listing_date, sub_industry, industry, sector, status) VALUES ('GLOB', 'Globe Kita Terang Tbk.', '2012-07-10', 'E742', 'E74', 'IDXCYCLIC', (SELECT id FROM attribute WHERE type = 'STOCK_STATUS' AND code = 'LISTED')) ON CONFLICT DO NOTHING;</v>
      </c>
    </row>
    <row r="344" spans="1:18" x14ac:dyDescent="0.2">
      <c r="A344" t="s">
        <v>1790</v>
      </c>
      <c r="B344" t="s">
        <v>1791</v>
      </c>
      <c r="C344" s="1">
        <v>43822</v>
      </c>
      <c r="D344" s="1"/>
      <c r="E344" t="s">
        <v>1792</v>
      </c>
      <c r="F344" t="s">
        <v>28</v>
      </c>
      <c r="G344" t="s">
        <v>3489</v>
      </c>
      <c r="H344" t="s">
        <v>1790</v>
      </c>
      <c r="I344" t="s">
        <v>3417</v>
      </c>
      <c r="K344" t="s">
        <v>3381</v>
      </c>
      <c r="L344" t="s">
        <v>3406</v>
      </c>
      <c r="M344" t="str">
        <f t="shared" si="10"/>
        <v>I23</v>
      </c>
      <c r="N344" t="s">
        <v>3414</v>
      </c>
      <c r="O344" t="s">
        <v>3415</v>
      </c>
      <c r="P344" t="s">
        <v>3416</v>
      </c>
      <c r="R344" t="str">
        <f t="shared" si="11"/>
        <v>INSERT INTO stock (ticker, name, listing_date, sub_industry, industry, sector, status) VALUES ('GLVA', 'Galva Technologies Tbk.', '2019-12-23', 'I231', 'I23', 'IDXTECHNO', (SELECT id FROM attribute WHERE type = 'STOCK_STATUS' AND code = 'LISTED')) ON CONFLICT DO NOTHING;</v>
      </c>
    </row>
    <row r="345" spans="1:18" x14ac:dyDescent="0.2">
      <c r="A345" t="s">
        <v>1455</v>
      </c>
      <c r="B345" t="s">
        <v>3568</v>
      </c>
      <c r="C345" s="1">
        <v>43018</v>
      </c>
      <c r="D345" s="1"/>
      <c r="E345" t="s">
        <v>1456</v>
      </c>
      <c r="F345" t="s">
        <v>28</v>
      </c>
      <c r="G345" t="s">
        <v>3489</v>
      </c>
      <c r="H345" t="s">
        <v>1455</v>
      </c>
      <c r="I345" t="s">
        <v>3423</v>
      </c>
      <c r="K345" t="s">
        <v>3418</v>
      </c>
      <c r="L345" t="s">
        <v>3419</v>
      </c>
      <c r="M345" t="str">
        <f t="shared" si="10"/>
        <v>J11</v>
      </c>
      <c r="N345" t="s">
        <v>3420</v>
      </c>
      <c r="O345" t="s">
        <v>3421</v>
      </c>
      <c r="P345" t="s">
        <v>3422</v>
      </c>
      <c r="R345" t="str">
        <f t="shared" si="11"/>
        <v>INSERT INTO stock (ticker, name, listing_date, sub_industry, industry, sector, status) VALUES ('GMFI', 'Garuda Maintenance Facility Aero Asia Tbk.', '2017-10-10', 'J111', 'J11', 'IDXINFRA', (SELECT id FROM attribute WHERE type = 'STOCK_STATUS' AND code = 'LISTED')) ON CONFLICT DO NOTHING;</v>
      </c>
    </row>
    <row r="346" spans="1:18" x14ac:dyDescent="0.2">
      <c r="A346" t="s">
        <v>530</v>
      </c>
      <c r="B346" t="s">
        <v>3569</v>
      </c>
      <c r="C346" s="1">
        <v>36871</v>
      </c>
      <c r="D346" s="1"/>
      <c r="E346" t="s">
        <v>531</v>
      </c>
      <c r="F346" t="s">
        <v>28</v>
      </c>
      <c r="G346" t="s">
        <v>3489</v>
      </c>
      <c r="H346" t="s">
        <v>530</v>
      </c>
      <c r="I346" t="s">
        <v>3338</v>
      </c>
      <c r="K346" t="s">
        <v>3306</v>
      </c>
      <c r="L346" t="s">
        <v>3307</v>
      </c>
      <c r="M346" t="str">
        <f t="shared" si="10"/>
        <v>H11</v>
      </c>
      <c r="N346" t="s">
        <v>3308</v>
      </c>
      <c r="O346" t="s">
        <v>3309</v>
      </c>
      <c r="P346" t="s">
        <v>3310</v>
      </c>
      <c r="R346" t="str">
        <f t="shared" si="11"/>
        <v>INSERT INTO stock (ticker, name, listing_date, sub_industry, industry, sector, status) VALUES ('GMTD', 'Gowa Makassar Tourism Development Tbk.', '2000-12-11', 'H111', 'H11', 'IDXPROPERT', (SELECT id FROM attribute WHERE type = 'STOCK_STATUS' AND code = 'LISTED')) ON CONFLICT DO NOTHING;</v>
      </c>
    </row>
    <row r="347" spans="1:18" x14ac:dyDescent="0.2">
      <c r="A347" t="s">
        <v>532</v>
      </c>
      <c r="B347" t="s">
        <v>3570</v>
      </c>
      <c r="C347" s="1">
        <v>40366</v>
      </c>
      <c r="D347" s="1"/>
      <c r="E347" t="s">
        <v>533</v>
      </c>
      <c r="F347" t="s">
        <v>28</v>
      </c>
      <c r="G347" t="s">
        <v>3489</v>
      </c>
      <c r="H347" t="s">
        <v>532</v>
      </c>
      <c r="I347" t="s">
        <v>3570</v>
      </c>
      <c r="K347" t="s">
        <v>3418</v>
      </c>
      <c r="L347" t="s">
        <v>3439</v>
      </c>
      <c r="M347" t="str">
        <f t="shared" si="10"/>
        <v>J32</v>
      </c>
      <c r="N347" t="s">
        <v>3449</v>
      </c>
      <c r="O347" t="s">
        <v>3450</v>
      </c>
      <c r="P347" t="s">
        <v>3450</v>
      </c>
      <c r="R347" t="str">
        <f t="shared" si="11"/>
        <v>INSERT INTO stock (ticker, name, listing_date, sub_industry, industry, sector, status) VALUES ('GOLD', 'Visi Telekomunikasi Infrastruktur Tbk.', '2010-07-07', 'J321', 'J32', 'IDXINFRA', (SELECT id FROM attribute WHERE type = 'STOCK_STATUS' AND code = 'LISTED')) ON CONFLICT DO NOTHING;</v>
      </c>
    </row>
    <row r="348" spans="1:18" x14ac:dyDescent="0.2">
      <c r="A348" t="s">
        <v>2471</v>
      </c>
      <c r="B348" t="s">
        <v>2472</v>
      </c>
      <c r="C348" s="1">
        <v>45481</v>
      </c>
      <c r="D348" s="1"/>
      <c r="E348" t="s">
        <v>2473</v>
      </c>
      <c r="F348" t="s">
        <v>8</v>
      </c>
      <c r="G348" t="s">
        <v>3489</v>
      </c>
      <c r="H348" t="s">
        <v>2471</v>
      </c>
      <c r="I348" t="s">
        <v>3765</v>
      </c>
      <c r="K348" t="s">
        <v>3039</v>
      </c>
      <c r="L348" t="s">
        <v>3092</v>
      </c>
      <c r="M348" t="str">
        <f t="shared" si="10"/>
        <v>E51</v>
      </c>
      <c r="N348" t="s">
        <v>3124</v>
      </c>
      <c r="O348" t="s">
        <v>3094</v>
      </c>
      <c r="P348" t="s">
        <v>3125</v>
      </c>
      <c r="R348" t="str">
        <f t="shared" si="11"/>
        <v>INSERT INTO stock (ticker, name, listing_date, sub_industry, industry, sector, status) VALUES ('GOLF', 'Intra Golflink Resorts Tbk.', '2024-07-08', 'E514', 'E51', 'IDXCYCLIC', (SELECT id FROM attribute WHERE type = 'STOCK_STATUS' AND code = 'LISTED')) ON CONFLICT DO NOTHING;</v>
      </c>
    </row>
    <row r="349" spans="1:18" x14ac:dyDescent="0.2">
      <c r="A349" t="s">
        <v>534</v>
      </c>
      <c r="B349" t="s">
        <v>535</v>
      </c>
      <c r="C349" s="1">
        <v>41996</v>
      </c>
      <c r="D349" s="1"/>
      <c r="E349" t="s">
        <v>536</v>
      </c>
      <c r="F349" t="s">
        <v>12</v>
      </c>
      <c r="G349" t="s">
        <v>3489</v>
      </c>
      <c r="H349" t="s">
        <v>534</v>
      </c>
      <c r="I349" t="s">
        <v>3766</v>
      </c>
      <c r="K349" t="s">
        <v>2945</v>
      </c>
      <c r="L349" t="s">
        <v>2961</v>
      </c>
      <c r="M349" t="str">
        <f t="shared" si="10"/>
        <v>D23</v>
      </c>
      <c r="N349" t="s">
        <v>3013</v>
      </c>
      <c r="O349" t="s">
        <v>2999</v>
      </c>
      <c r="P349" t="s">
        <v>3014</v>
      </c>
      <c r="R349" t="str">
        <f t="shared" si="11"/>
        <v>INSERT INTO stock (ticker, name, listing_date, sub_industry, industry, sector, status) VALUES ('GOLL', 'Golden Plantation Tbk.', '2014-12-23', 'D232', 'D23', 'IDXNONCYC', (SELECT id FROM attribute WHERE type = 'STOCK_STATUS' AND code = 'LISTED')) ON CONFLICT DO NOTHING;</v>
      </c>
    </row>
    <row r="350" spans="1:18" x14ac:dyDescent="0.2">
      <c r="A350" t="s">
        <v>1604</v>
      </c>
      <c r="B350" t="s">
        <v>3571</v>
      </c>
      <c r="C350" s="1">
        <v>43383</v>
      </c>
      <c r="D350" s="1"/>
      <c r="E350" t="s">
        <v>1605</v>
      </c>
      <c r="F350" t="s">
        <v>8</v>
      </c>
      <c r="G350" t="s">
        <v>3489</v>
      </c>
      <c r="H350" t="s">
        <v>1604</v>
      </c>
      <c r="I350" t="s">
        <v>2983</v>
      </c>
      <c r="K350" t="s">
        <v>2945</v>
      </c>
      <c r="L350" t="s">
        <v>2961</v>
      </c>
      <c r="M350" t="str">
        <f t="shared" si="10"/>
        <v>D22</v>
      </c>
      <c r="N350" t="s">
        <v>2978</v>
      </c>
      <c r="O350" t="s">
        <v>2973</v>
      </c>
      <c r="P350" t="s">
        <v>2973</v>
      </c>
      <c r="R350" t="str">
        <f t="shared" si="11"/>
        <v>INSERT INTO stock (ticker, name, listing_date, sub_industry, industry, sector, status) VALUES ('GOOD', 'Garudafood Putra Putri Jaya Tbk.', '2018-10-10', 'D222', 'D22', 'IDXNONCYC', (SELECT id FROM attribute WHERE type = 'STOCK_STATUS' AND code = 'LISTED')) ON CONFLICT DO NOTHING;</v>
      </c>
    </row>
    <row r="351" spans="1:18" x14ac:dyDescent="0.2">
      <c r="A351" t="s">
        <v>2097</v>
      </c>
      <c r="B351" t="s">
        <v>2098</v>
      </c>
      <c r="C351" s="1">
        <v>44662</v>
      </c>
      <c r="D351" s="1"/>
      <c r="E351" t="s">
        <v>2099</v>
      </c>
      <c r="F351" t="s">
        <v>1983</v>
      </c>
      <c r="G351" t="s">
        <v>3489</v>
      </c>
      <c r="H351" t="s">
        <v>2097</v>
      </c>
      <c r="I351" t="s">
        <v>2098</v>
      </c>
      <c r="K351" t="s">
        <v>3381</v>
      </c>
      <c r="L351" t="s">
        <v>3382</v>
      </c>
      <c r="M351" t="str">
        <f t="shared" si="10"/>
        <v>I13</v>
      </c>
      <c r="N351" t="s">
        <v>3402</v>
      </c>
      <c r="O351" t="s">
        <v>3403</v>
      </c>
      <c r="P351" t="s">
        <v>3403</v>
      </c>
      <c r="R351" t="str">
        <f t="shared" si="11"/>
        <v>INSERT INTO stock (ticker, name, listing_date, sub_industry, industry, sector, status) VALUES ('GOTO', 'GoTo Gojek Tokopedia Tbk.', '2022-04-11', 'I131', 'I13', 'IDXTECHNO', (SELECT id FROM attribute WHERE type = 'STOCK_STATUS' AND code = 'LISTED')) ON CONFLICT DO NOTHING;</v>
      </c>
    </row>
    <row r="352" spans="1:18" x14ac:dyDescent="0.2">
      <c r="A352" t="s">
        <v>537</v>
      </c>
      <c r="B352" t="s">
        <v>538</v>
      </c>
      <c r="C352" s="1">
        <v>39365</v>
      </c>
      <c r="D352" s="1"/>
      <c r="E352" t="s">
        <v>539</v>
      </c>
      <c r="F352" t="s">
        <v>28</v>
      </c>
      <c r="G352" t="s">
        <v>3489</v>
      </c>
      <c r="H352" t="s">
        <v>537</v>
      </c>
      <c r="I352" t="s">
        <v>3339</v>
      </c>
      <c r="K352" t="s">
        <v>3306</v>
      </c>
      <c r="L352" t="s">
        <v>3307</v>
      </c>
      <c r="M352" t="str">
        <f t="shared" si="10"/>
        <v>H11</v>
      </c>
      <c r="N352" t="s">
        <v>3308</v>
      </c>
      <c r="O352" t="s">
        <v>3309</v>
      </c>
      <c r="P352" t="s">
        <v>3310</v>
      </c>
      <c r="R352" t="str">
        <f t="shared" si="11"/>
        <v>INSERT INTO stock (ticker, name, listing_date, sub_industry, industry, sector, status) VALUES ('GPRA', 'Perdana Gapuraprima Tbk.', '2007-10-10', 'H111', 'H11', 'IDXPROPERT', (SELECT id FROM attribute WHERE type = 'STOCK_STATUS' AND code = 'LISTED')) ON CONFLICT DO NOTHING;</v>
      </c>
    </row>
    <row r="353" spans="1:18" x14ac:dyDescent="0.2">
      <c r="A353" t="s">
        <v>1989</v>
      </c>
      <c r="B353" t="s">
        <v>1990</v>
      </c>
      <c r="C353" s="1">
        <v>44445</v>
      </c>
      <c r="D353" s="1"/>
      <c r="E353" t="s">
        <v>1991</v>
      </c>
      <c r="F353" t="s">
        <v>28</v>
      </c>
      <c r="G353" t="s">
        <v>3489</v>
      </c>
      <c r="H353" t="s">
        <v>1989</v>
      </c>
      <c r="I353" t="s">
        <v>2909</v>
      </c>
      <c r="K353" t="s">
        <v>2874</v>
      </c>
      <c r="L353" t="s">
        <v>2875</v>
      </c>
      <c r="M353" t="str">
        <f t="shared" si="10"/>
        <v>C14</v>
      </c>
      <c r="N353" t="s">
        <v>2907</v>
      </c>
      <c r="O353" t="s">
        <v>2899</v>
      </c>
      <c r="P353" t="s">
        <v>2908</v>
      </c>
      <c r="R353" t="str">
        <f t="shared" si="11"/>
        <v>INSERT INTO stock (ticker, name, listing_date, sub_industry, industry, sector, status) VALUES ('GPSO', 'Geoprima Solusi Tbk.', '2021-09-06', 'C143', 'C14', 'IDXINDUST', (SELECT id FROM attribute WHERE type = 'STOCK_STATUS' AND code = 'LISTED')) ON CONFLICT DO NOTHING;</v>
      </c>
    </row>
    <row r="354" spans="1:18" x14ac:dyDescent="0.2">
      <c r="A354" t="s">
        <v>2348</v>
      </c>
      <c r="B354" t="s">
        <v>3572</v>
      </c>
      <c r="C354" s="1">
        <v>45146</v>
      </c>
      <c r="D354" s="1"/>
      <c r="E354" t="s">
        <v>2350</v>
      </c>
      <c r="F354" t="s">
        <v>28</v>
      </c>
      <c r="G354" t="s">
        <v>3489</v>
      </c>
      <c r="H354" t="s">
        <v>2348</v>
      </c>
      <c r="I354" t="s">
        <v>2349</v>
      </c>
      <c r="K354" t="s">
        <v>3306</v>
      </c>
      <c r="L354" t="s">
        <v>3307</v>
      </c>
      <c r="M354" t="str">
        <f t="shared" si="10"/>
        <v>H11</v>
      </c>
      <c r="N354" t="s">
        <v>3308</v>
      </c>
      <c r="O354" t="s">
        <v>3309</v>
      </c>
      <c r="P354" t="s">
        <v>3310</v>
      </c>
      <c r="R354" t="str">
        <f t="shared" si="11"/>
        <v>INSERT INTO stock (ticker, name, listing_date, sub_industry, industry, sector, status) VALUES ('GRIA', 'Ingria Pratama Capitalindo Tbk.', '2023-08-08', 'H111', 'H11', 'IDXPROPERT', (SELECT id FROM attribute WHERE type = 'STOCK_STATUS' AND code = 'LISTED')) ON CONFLICT DO NOTHING;</v>
      </c>
    </row>
    <row r="355" spans="1:18" x14ac:dyDescent="0.2">
      <c r="A355" t="s">
        <v>2417</v>
      </c>
      <c r="B355" t="s">
        <v>2418</v>
      </c>
      <c r="C355" s="1">
        <v>45308</v>
      </c>
      <c r="D355" s="1"/>
      <c r="E355" t="s">
        <v>355</v>
      </c>
      <c r="F355" t="s">
        <v>28</v>
      </c>
      <c r="G355" t="s">
        <v>3489</v>
      </c>
      <c r="H355" t="s">
        <v>2417</v>
      </c>
      <c r="I355" t="s">
        <v>2418</v>
      </c>
      <c r="K355" t="s">
        <v>3039</v>
      </c>
      <c r="L355" t="s">
        <v>3092</v>
      </c>
      <c r="M355" t="str">
        <f t="shared" si="10"/>
        <v>E51</v>
      </c>
      <c r="N355" t="s">
        <v>3093</v>
      </c>
      <c r="O355" t="s">
        <v>3094</v>
      </c>
      <c r="P355" t="s">
        <v>3095</v>
      </c>
      <c r="R355" t="str">
        <f t="shared" si="11"/>
        <v>INSERT INTO stock (ticker, name, listing_date, sub_industry, industry, sector, status) VALUES ('GRPH', 'Griptha Putra Persada Tbk.', '2024-01-17', 'E512', 'E51', 'IDXCYCLIC', (SELECT id FROM attribute WHERE type = 'STOCK_STATUS' AND code = 'LISTED')) ON CONFLICT DO NOTHING;</v>
      </c>
    </row>
    <row r="356" spans="1:18" x14ac:dyDescent="0.2">
      <c r="A356" t="s">
        <v>2324</v>
      </c>
      <c r="B356" t="s">
        <v>2325</v>
      </c>
      <c r="C356" s="1">
        <v>45117</v>
      </c>
      <c r="D356" s="1"/>
      <c r="E356" t="s">
        <v>2326</v>
      </c>
      <c r="F356" t="s">
        <v>1847</v>
      </c>
      <c r="G356" t="s">
        <v>3489</v>
      </c>
      <c r="H356" t="s">
        <v>2324</v>
      </c>
      <c r="I356" t="s">
        <v>2325</v>
      </c>
      <c r="K356" t="s">
        <v>2945</v>
      </c>
      <c r="L356" t="s">
        <v>2961</v>
      </c>
      <c r="M356" t="str">
        <f t="shared" si="10"/>
        <v>D21</v>
      </c>
      <c r="N356" t="s">
        <v>2968</v>
      </c>
      <c r="O356" t="s">
        <v>2963</v>
      </c>
      <c r="P356" t="s">
        <v>2969</v>
      </c>
      <c r="R356" t="str">
        <f t="shared" si="11"/>
        <v>INSERT INTO stock (ticker, name, listing_date, sub_industry, industry, sector, status) VALUES ('GRPM', 'Graha Prima Mentari Tbk.', '2023-07-10', 'D212', 'D21', 'IDXNONCYC', (SELECT id FROM attribute WHERE type = 'STOCK_STATUS' AND code = 'LISTED')) ON CONFLICT DO NOTHING;</v>
      </c>
    </row>
    <row r="357" spans="1:18" x14ac:dyDescent="0.2">
      <c r="A357" t="s">
        <v>540</v>
      </c>
      <c r="B357" t="s">
        <v>3573</v>
      </c>
      <c r="C357" s="1">
        <v>32804</v>
      </c>
      <c r="D357" s="1"/>
      <c r="E357" t="s">
        <v>541</v>
      </c>
      <c r="F357" t="s">
        <v>28</v>
      </c>
      <c r="G357" t="s">
        <v>3489</v>
      </c>
      <c r="H357" t="s">
        <v>540</v>
      </c>
      <c r="I357" t="s">
        <v>3295</v>
      </c>
      <c r="K357" t="s">
        <v>3224</v>
      </c>
      <c r="L357" t="s">
        <v>3289</v>
      </c>
      <c r="M357" t="str">
        <f t="shared" si="10"/>
        <v>G51</v>
      </c>
      <c r="N357" t="s">
        <v>3290</v>
      </c>
      <c r="O357" t="s">
        <v>3289</v>
      </c>
      <c r="P357" t="s">
        <v>3291</v>
      </c>
      <c r="R357" t="str">
        <f t="shared" si="11"/>
        <v>INSERT INTO stock (ticker, name, listing_date, sub_industry, industry, sector, status) VALUES ('GSMF', 'Equity Development Investment Tbk.', '1989-10-23', 'G511', 'G51', 'IDXFINANCE', (SELECT id FROM attribute WHERE type = 'STOCK_STATUS' AND code = 'LISTED')) ON CONFLICT DO NOTHING;</v>
      </c>
    </row>
    <row r="358" spans="1:18" x14ac:dyDescent="0.2">
      <c r="A358" t="s">
        <v>542</v>
      </c>
      <c r="B358" t="s">
        <v>3574</v>
      </c>
      <c r="C358" s="1">
        <v>40003</v>
      </c>
      <c r="D358" s="1"/>
      <c r="E358" t="s">
        <v>544</v>
      </c>
      <c r="F358" t="s">
        <v>28</v>
      </c>
      <c r="G358" t="s">
        <v>3489</v>
      </c>
      <c r="H358" t="s">
        <v>542</v>
      </c>
      <c r="I358" t="s">
        <v>543</v>
      </c>
      <c r="K358" t="s">
        <v>2701</v>
      </c>
      <c r="L358" t="s">
        <v>2702</v>
      </c>
      <c r="M358" t="str">
        <f t="shared" si="10"/>
        <v>A12</v>
      </c>
      <c r="N358" t="s">
        <v>2723</v>
      </c>
      <c r="O358" t="s">
        <v>2724</v>
      </c>
      <c r="P358" t="s">
        <v>2725</v>
      </c>
      <c r="R358" t="str">
        <f t="shared" si="11"/>
        <v>INSERT INTO stock (ticker, name, listing_date, sub_industry, industry, sector, status) VALUES ('GTBO', 'Garda Tujuh Buana Tbk.', '2009-07-09', 'A121', 'A12', 'IDXENERGY', (SELECT id FROM attribute WHERE type = 'STOCK_STATUS' AND code = 'LISTED')) ON CONFLICT DO NOTHING;</v>
      </c>
    </row>
    <row r="359" spans="1:18" x14ac:dyDescent="0.2">
      <c r="A359" t="s">
        <v>2292</v>
      </c>
      <c r="B359" t="s">
        <v>2293</v>
      </c>
      <c r="C359" s="1">
        <v>45015</v>
      </c>
      <c r="D359" s="1"/>
      <c r="E359" t="s">
        <v>2294</v>
      </c>
      <c r="F359" t="s">
        <v>28</v>
      </c>
      <c r="G359" t="s">
        <v>3489</v>
      </c>
      <c r="H359" t="s">
        <v>2292</v>
      </c>
      <c r="I359" t="s">
        <v>3767</v>
      </c>
      <c r="K359" t="s">
        <v>3470</v>
      </c>
      <c r="L359" t="s">
        <v>3481</v>
      </c>
      <c r="M359" t="str">
        <f t="shared" si="10"/>
        <v>K21</v>
      </c>
      <c r="N359" t="s">
        <v>3482</v>
      </c>
      <c r="O359" t="s">
        <v>3481</v>
      </c>
      <c r="P359" t="s">
        <v>3481</v>
      </c>
      <c r="R359" t="str">
        <f t="shared" si="11"/>
        <v>INSERT INTO stock (ticker, name, listing_date, sub_industry, industry, sector, status) VALUES ('GTRA', 'Grahaprima Suksesmandiri Tbk.', '2023-03-30', 'K211', 'K21', 'IDXTRANS', (SELECT id FROM attribute WHERE type = 'STOCK_STATUS' AND code = 'LISTED')) ON CONFLICT DO NOTHING;</v>
      </c>
    </row>
    <row r="360" spans="1:18" x14ac:dyDescent="0.2">
      <c r="A360" t="s">
        <v>2007</v>
      </c>
      <c r="B360" t="s">
        <v>2008</v>
      </c>
      <c r="C360" s="1">
        <v>44447</v>
      </c>
      <c r="D360" s="1"/>
      <c r="E360" t="s">
        <v>2009</v>
      </c>
      <c r="F360" t="s">
        <v>8</v>
      </c>
      <c r="G360" t="s">
        <v>3489</v>
      </c>
      <c r="H360" t="s">
        <v>2007</v>
      </c>
      <c r="I360" t="s">
        <v>2713</v>
      </c>
      <c r="K360" t="s">
        <v>2701</v>
      </c>
      <c r="L360" t="s">
        <v>2702</v>
      </c>
      <c r="M360" t="str">
        <f t="shared" si="10"/>
        <v>A11</v>
      </c>
      <c r="N360" t="s">
        <v>2710</v>
      </c>
      <c r="O360" t="s">
        <v>2704</v>
      </c>
      <c r="P360" t="s">
        <v>2711</v>
      </c>
      <c r="R360" t="str">
        <f t="shared" si="11"/>
        <v>INSERT INTO stock (ticker, name, listing_date, sub_industry, industry, sector, status) VALUES ('GTSI', 'GTS Internasional Tbk.', '2021-09-08', 'A112', 'A11', 'IDXENERGY', (SELECT id FROM attribute WHERE type = 'STOCK_STATUS' AND code = 'LISTED')) ON CONFLICT DO NOTHING;</v>
      </c>
    </row>
    <row r="361" spans="1:18" x14ac:dyDescent="0.2">
      <c r="A361" t="s">
        <v>2140</v>
      </c>
      <c r="B361" t="s">
        <v>2141</v>
      </c>
      <c r="C361" s="1">
        <v>44776</v>
      </c>
      <c r="D361" s="1"/>
      <c r="E361" t="s">
        <v>2142</v>
      </c>
      <c r="F361" t="s">
        <v>28</v>
      </c>
      <c r="G361" t="s">
        <v>3489</v>
      </c>
      <c r="H361" t="s">
        <v>2140</v>
      </c>
      <c r="I361" t="s">
        <v>3768</v>
      </c>
      <c r="K361" t="s">
        <v>2945</v>
      </c>
      <c r="L361" t="s">
        <v>2961</v>
      </c>
      <c r="M361" t="str">
        <f t="shared" si="10"/>
        <v>D22</v>
      </c>
      <c r="N361" t="s">
        <v>2978</v>
      </c>
      <c r="O361" t="s">
        <v>2973</v>
      </c>
      <c r="P361" t="s">
        <v>2973</v>
      </c>
      <c r="R361" t="str">
        <f t="shared" si="11"/>
        <v>INSERT INTO stock (ticker, name, listing_date, sub_industry, industry, sector, status) VALUES ('GULA', 'Aman Agrindo Tbk.', '2022-08-03', 'D222', 'D22', 'IDXNONCYC', (SELECT id FROM attribute WHERE type = 'STOCK_STATUS' AND code = 'LISTED')) ON CONFLICT DO NOTHING;</v>
      </c>
    </row>
    <row r="362" spans="1:18" x14ac:dyDescent="0.2">
      <c r="A362" t="s">
        <v>2480</v>
      </c>
      <c r="B362" t="s">
        <v>2481</v>
      </c>
      <c r="C362" s="1">
        <v>45482</v>
      </c>
      <c r="D362" s="1"/>
      <c r="E362" t="s">
        <v>544</v>
      </c>
      <c r="F362" t="s">
        <v>28</v>
      </c>
      <c r="G362" t="s">
        <v>3489</v>
      </c>
      <c r="H362" t="s">
        <v>2480</v>
      </c>
      <c r="I362" t="s">
        <v>3769</v>
      </c>
      <c r="K362" t="s">
        <v>2945</v>
      </c>
      <c r="L362" t="s">
        <v>2961</v>
      </c>
      <c r="M362" t="str">
        <f t="shared" si="10"/>
        <v>D23</v>
      </c>
      <c r="N362" t="s">
        <v>3013</v>
      </c>
      <c r="O362" t="s">
        <v>2999</v>
      </c>
      <c r="P362" t="s">
        <v>3014</v>
      </c>
      <c r="R362" t="str">
        <f t="shared" si="11"/>
        <v>INSERT INTO stock (ticker, name, listing_date, sub_industry, industry, sector, status) VALUES ('GUNA', 'Gunanusa Eramandiri Tbk.', '2024-07-09', 'D232', 'D23', 'IDXNONCYC', (SELECT id FROM attribute WHERE type = 'STOCK_STATUS' AND code = 'LISTED')) ON CONFLICT DO NOTHING;</v>
      </c>
    </row>
    <row r="363" spans="1:18" x14ac:dyDescent="0.2">
      <c r="A363" t="s">
        <v>545</v>
      </c>
      <c r="B363" t="s">
        <v>546</v>
      </c>
      <c r="C363" s="1">
        <v>40900</v>
      </c>
      <c r="D363" s="1"/>
      <c r="E363" t="s">
        <v>547</v>
      </c>
      <c r="F363" t="s">
        <v>8</v>
      </c>
      <c r="G363" t="s">
        <v>3489</v>
      </c>
      <c r="H363" t="s">
        <v>545</v>
      </c>
      <c r="I363" t="s">
        <v>3340</v>
      </c>
      <c r="K363" t="s">
        <v>3306</v>
      </c>
      <c r="L363" t="s">
        <v>3307</v>
      </c>
      <c r="M363" t="str">
        <f t="shared" si="10"/>
        <v>H11</v>
      </c>
      <c r="N363" t="s">
        <v>3308</v>
      </c>
      <c r="O363" t="s">
        <v>3309</v>
      </c>
      <c r="P363" t="s">
        <v>3310</v>
      </c>
      <c r="R363" t="str">
        <f t="shared" si="11"/>
        <v>INSERT INTO stock (ticker, name, listing_date, sub_industry, industry, sector, status) VALUES ('GWSA', 'Greenwood Sejahtera Tbk.', '2011-12-23', 'H111', 'H11', 'IDXPROPERT', (SELECT id FROM attribute WHERE type = 'STOCK_STATUS' AND code = 'LISTED')) ON CONFLICT DO NOTHING;</v>
      </c>
    </row>
    <row r="364" spans="1:18" x14ac:dyDescent="0.2">
      <c r="A364" t="s">
        <v>548</v>
      </c>
      <c r="B364" t="s">
        <v>549</v>
      </c>
      <c r="C364" s="1">
        <v>39583</v>
      </c>
      <c r="D364" s="1"/>
      <c r="E364" t="s">
        <v>550</v>
      </c>
      <c r="F364" t="s">
        <v>28</v>
      </c>
      <c r="G364" t="s">
        <v>3489</v>
      </c>
      <c r="H364" t="s">
        <v>548</v>
      </c>
      <c r="I364" t="s">
        <v>3018</v>
      </c>
      <c r="K364" t="s">
        <v>2945</v>
      </c>
      <c r="L364" t="s">
        <v>2961</v>
      </c>
      <c r="M364" t="str">
        <f t="shared" si="10"/>
        <v>D23</v>
      </c>
      <c r="N364" t="s">
        <v>3013</v>
      </c>
      <c r="O364" t="s">
        <v>2999</v>
      </c>
      <c r="P364" t="s">
        <v>3014</v>
      </c>
      <c r="R364" t="str">
        <f t="shared" si="11"/>
        <v>INSERT INTO stock (ticker, name, listing_date, sub_industry, industry, sector, status) VALUES ('GZCO', 'Gozco Plantations Tbk.', '2008-05-15', 'D232', 'D23', 'IDXNONCYC', (SELECT id FROM attribute WHERE type = 'STOCK_STATUS' AND code = 'LISTED')) ON CONFLICT DO NOTHING;</v>
      </c>
    </row>
    <row r="365" spans="1:18" x14ac:dyDescent="0.2">
      <c r="A365" t="s">
        <v>551</v>
      </c>
      <c r="B365" t="s">
        <v>552</v>
      </c>
      <c r="C365" s="1">
        <v>38089</v>
      </c>
      <c r="D365" s="1"/>
      <c r="E365" t="s">
        <v>553</v>
      </c>
      <c r="F365" t="s">
        <v>12</v>
      </c>
      <c r="G365" t="s">
        <v>3489</v>
      </c>
      <c r="H365" t="s">
        <v>551</v>
      </c>
      <c r="I365" t="s">
        <v>3466</v>
      </c>
      <c r="K365" t="s">
        <v>3418</v>
      </c>
      <c r="L365" t="s">
        <v>3458</v>
      </c>
      <c r="M365" t="str">
        <f t="shared" si="10"/>
        <v>J42</v>
      </c>
      <c r="N365" t="s">
        <v>3467</v>
      </c>
      <c r="O365" t="s">
        <v>3468</v>
      </c>
      <c r="P365" t="s">
        <v>3468</v>
      </c>
      <c r="R365" t="str">
        <f t="shared" si="11"/>
        <v>INSERT INTO stock (ticker, name, listing_date, sub_industry, industry, sector, status) VALUES ('HADE', 'Himalaya Energi Perkasa Tbk.', '2004-04-12', 'J421', 'J42', 'IDXINFRA', (SELECT id FROM attribute WHERE type = 'STOCK_STATUS' AND code = 'LISTED')) ON CONFLICT DO NOTHING;</v>
      </c>
    </row>
    <row r="366" spans="1:18" x14ac:dyDescent="0.2">
      <c r="A366" t="s">
        <v>1984</v>
      </c>
      <c r="B366" t="s">
        <v>3575</v>
      </c>
      <c r="C366" s="1">
        <v>44440</v>
      </c>
      <c r="D366" s="1"/>
      <c r="E366" t="s">
        <v>1985</v>
      </c>
      <c r="F366" t="s">
        <v>28</v>
      </c>
      <c r="G366" t="s">
        <v>3489</v>
      </c>
      <c r="H366" t="s">
        <v>1984</v>
      </c>
      <c r="I366" t="s">
        <v>3483</v>
      </c>
      <c r="K366" t="s">
        <v>3470</v>
      </c>
      <c r="L366" t="s">
        <v>3481</v>
      </c>
      <c r="M366" t="str">
        <f t="shared" si="10"/>
        <v>K21</v>
      </c>
      <c r="N366" t="s">
        <v>3482</v>
      </c>
      <c r="O366" t="s">
        <v>3481</v>
      </c>
      <c r="P366" t="s">
        <v>3481</v>
      </c>
      <c r="R366" t="str">
        <f t="shared" si="11"/>
        <v>INSERT INTO stock (ticker, name, listing_date, sub_industry, industry, sector, status) VALUES ('HAIS', 'Hasnur Internasional Shipping Tbk.', '2021-09-01', 'K211', 'K21', 'IDXTRANS', (SELECT id FROM attribute WHERE type = 'STOCK_STATUS' AND code = 'LISTED')) ON CONFLICT DO NOTHING;</v>
      </c>
    </row>
    <row r="367" spans="1:18" x14ac:dyDescent="0.2">
      <c r="A367" t="s">
        <v>2295</v>
      </c>
      <c r="B367" t="s">
        <v>2296</v>
      </c>
      <c r="C367" s="1">
        <v>45021</v>
      </c>
      <c r="D367" s="1"/>
      <c r="E367" t="s">
        <v>2297</v>
      </c>
      <c r="F367" t="s">
        <v>1847</v>
      </c>
      <c r="G367" t="s">
        <v>3489</v>
      </c>
      <c r="H367" t="s">
        <v>2295</v>
      </c>
      <c r="I367" t="s">
        <v>3770</v>
      </c>
      <c r="K367" t="s">
        <v>3039</v>
      </c>
      <c r="L367" t="s">
        <v>3092</v>
      </c>
      <c r="M367" t="str">
        <f t="shared" si="10"/>
        <v>E51</v>
      </c>
      <c r="N367" t="s">
        <v>3120</v>
      </c>
      <c r="O367" t="s">
        <v>3094</v>
      </c>
      <c r="P367" t="s">
        <v>3121</v>
      </c>
      <c r="R367" t="str">
        <f t="shared" si="11"/>
        <v>INSERT INTO stock (ticker, name, listing_date, sub_industry, industry, sector, status) VALUES ('HAJJ', 'Arsy Buana Travelindo Tbk.', '2023-04-05', 'E513', 'E51', 'IDXCYCLIC', (SELECT id FROM attribute WHERE type = 'STOCK_STATUS' AND code = 'LISTED')) ON CONFLICT DO NOTHING;</v>
      </c>
    </row>
    <row r="368" spans="1:18" x14ac:dyDescent="0.2">
      <c r="A368" t="s">
        <v>2261</v>
      </c>
      <c r="B368" t="s">
        <v>2262</v>
      </c>
      <c r="C368" s="1">
        <v>44965</v>
      </c>
      <c r="D368" s="1"/>
      <c r="E368" t="s">
        <v>2263</v>
      </c>
      <c r="F368" t="s">
        <v>28</v>
      </c>
      <c r="G368" t="s">
        <v>3489</v>
      </c>
      <c r="H368" t="s">
        <v>2261</v>
      </c>
      <c r="I368" t="s">
        <v>3771</v>
      </c>
      <c r="K368" t="s">
        <v>3199</v>
      </c>
      <c r="L368" t="s">
        <v>3200</v>
      </c>
      <c r="M368" t="str">
        <f t="shared" si="10"/>
        <v>F11</v>
      </c>
      <c r="N368" t="s">
        <v>3201</v>
      </c>
      <c r="O368" t="s">
        <v>3202</v>
      </c>
      <c r="P368" t="s">
        <v>3203</v>
      </c>
      <c r="R368" t="str">
        <f t="shared" si="11"/>
        <v>INSERT INTO stock (ticker, name, listing_date, sub_industry, industry, sector, status) VALUES ('HALO', 'Haloni Jane Tbk.', '2023-02-08', 'F112', 'F11', 'IDXHEALTH', (SELECT id FROM attribute WHERE type = 'STOCK_STATUS' AND code = 'LISTED')) ON CONFLICT DO NOTHING;</v>
      </c>
    </row>
    <row r="369" spans="1:18" x14ac:dyDescent="0.2">
      <c r="A369" t="s">
        <v>2134</v>
      </c>
      <c r="B369" t="s">
        <v>2135</v>
      </c>
      <c r="C369" s="1">
        <v>44768</v>
      </c>
      <c r="D369" s="1"/>
      <c r="E369" t="s">
        <v>2136</v>
      </c>
      <c r="F369" t="s">
        <v>8</v>
      </c>
      <c r="G369" t="s">
        <v>3489</v>
      </c>
      <c r="H369" t="s">
        <v>2134</v>
      </c>
      <c r="I369" t="s">
        <v>3772</v>
      </c>
      <c r="K369" t="s">
        <v>3470</v>
      </c>
      <c r="L369" t="s">
        <v>3481</v>
      </c>
      <c r="M369" t="str">
        <f t="shared" si="10"/>
        <v>K21</v>
      </c>
      <c r="N369" t="s">
        <v>3482</v>
      </c>
      <c r="O369" t="s">
        <v>3481</v>
      </c>
      <c r="P369" t="s">
        <v>3481</v>
      </c>
      <c r="R369" t="str">
        <f t="shared" si="11"/>
        <v>INSERT INTO stock (ticker, name, listing_date, sub_industry, industry, sector, status) VALUES ('HATM', 'Habco Trans Maritima Tbk.', '2022-07-26', 'K211', 'K21', 'IDXTRANS', (SELECT id FROM attribute WHERE type = 'STOCK_STATUS' AND code = 'LISTED')) ON CONFLICT DO NOTHING;</v>
      </c>
    </row>
    <row r="370" spans="1:18" x14ac:dyDescent="0.2">
      <c r="A370" t="s">
        <v>2345</v>
      </c>
      <c r="B370" t="s">
        <v>2346</v>
      </c>
      <c r="C370" s="1">
        <v>45145</v>
      </c>
      <c r="D370" s="1"/>
      <c r="E370" t="s">
        <v>2347</v>
      </c>
      <c r="F370" t="s">
        <v>1847</v>
      </c>
      <c r="G370" t="s">
        <v>3489</v>
      </c>
      <c r="H370" t="s">
        <v>2345</v>
      </c>
      <c r="I370" t="s">
        <v>3773</v>
      </c>
      <c r="K370" t="s">
        <v>3306</v>
      </c>
      <c r="L370" t="s">
        <v>3307</v>
      </c>
      <c r="M370" t="str">
        <f t="shared" si="10"/>
        <v>H11</v>
      </c>
      <c r="N370" t="s">
        <v>3308</v>
      </c>
      <c r="O370" t="s">
        <v>3309</v>
      </c>
      <c r="P370" t="s">
        <v>3310</v>
      </c>
      <c r="R370" t="str">
        <f t="shared" si="11"/>
        <v>INSERT INTO stock (ticker, name, listing_date, sub_industry, industry, sector, status) VALUES ('HBAT', 'Minahasa Membangun Hebat Tbk.', '2023-08-07', 'H111', 'H11', 'IDXPROPERT', (SELECT id FROM attribute WHERE type = 'STOCK_STATUS' AND code = 'LISTED')) ON CONFLICT DO NOTHING;</v>
      </c>
    </row>
    <row r="371" spans="1:18" x14ac:dyDescent="0.2">
      <c r="A371" t="s">
        <v>554</v>
      </c>
      <c r="B371" t="s">
        <v>555</v>
      </c>
      <c r="C371" s="1">
        <v>40673</v>
      </c>
      <c r="D371" s="1"/>
      <c r="E371" t="s">
        <v>556</v>
      </c>
      <c r="F371" t="s">
        <v>28</v>
      </c>
      <c r="G371" t="s">
        <v>3489</v>
      </c>
      <c r="H371" t="s">
        <v>554</v>
      </c>
      <c r="I371" t="s">
        <v>3246</v>
      </c>
      <c r="K371" t="s">
        <v>3224</v>
      </c>
      <c r="L371" t="s">
        <v>3238</v>
      </c>
      <c r="M371" t="str">
        <f t="shared" si="10"/>
        <v>G21</v>
      </c>
      <c r="N371" t="s">
        <v>3239</v>
      </c>
      <c r="O371" t="s">
        <v>3240</v>
      </c>
      <c r="P371" t="s">
        <v>3240</v>
      </c>
      <c r="R371" t="str">
        <f t="shared" si="11"/>
        <v>INSERT INTO stock (ticker, name, listing_date, sub_industry, industry, sector, status) VALUES ('HDFA', 'Radana Bhaskara Finance Tbk.', '2011-05-10', 'G211', 'G21', 'IDXFINANCE', (SELECT id FROM attribute WHERE type = 'STOCK_STATUS' AND code = 'LISTED')) ON CONFLICT DO NOTHING;</v>
      </c>
    </row>
    <row r="372" spans="1:18" x14ac:dyDescent="0.2">
      <c r="A372" t="s">
        <v>1726</v>
      </c>
      <c r="B372" t="s">
        <v>1727</v>
      </c>
      <c r="C372" s="1">
        <v>43658</v>
      </c>
      <c r="D372" s="1"/>
      <c r="E372" t="s">
        <v>1728</v>
      </c>
      <c r="F372" t="s">
        <v>28</v>
      </c>
      <c r="G372" t="s">
        <v>3489</v>
      </c>
      <c r="H372" t="s">
        <v>1726</v>
      </c>
      <c r="I372" t="s">
        <v>3388</v>
      </c>
      <c r="K372" t="s">
        <v>3381</v>
      </c>
      <c r="L372" t="s">
        <v>3382</v>
      </c>
      <c r="M372" t="str">
        <f t="shared" si="10"/>
        <v>I11</v>
      </c>
      <c r="N372" t="s">
        <v>3383</v>
      </c>
      <c r="O372" t="s">
        <v>3384</v>
      </c>
      <c r="P372" t="s">
        <v>3384</v>
      </c>
      <c r="R372" t="str">
        <f t="shared" si="11"/>
        <v>INSERT INTO stock (ticker, name, listing_date, sub_industry, industry, sector, status) VALUES ('HDIT', 'Hensel Davest Indonesia Tbk.', '2019-07-12', 'I111', 'I11', 'IDXTECHNO', (SELECT id FROM attribute WHERE type = 'STOCK_STATUS' AND code = 'LISTED')) ON CONFLICT DO NOTHING;</v>
      </c>
    </row>
    <row r="373" spans="1:18" x14ac:dyDescent="0.2">
      <c r="A373" t="s">
        <v>1524</v>
      </c>
      <c r="B373" t="s">
        <v>1525</v>
      </c>
      <c r="C373" s="1">
        <v>43236</v>
      </c>
      <c r="D373" s="1"/>
      <c r="E373" t="s">
        <v>1526</v>
      </c>
      <c r="F373" t="s">
        <v>8</v>
      </c>
      <c r="G373" t="s">
        <v>3489</v>
      </c>
      <c r="H373" t="s">
        <v>1524</v>
      </c>
      <c r="I373" t="s">
        <v>1525</v>
      </c>
      <c r="K373" t="s">
        <v>3199</v>
      </c>
      <c r="L373" t="s">
        <v>3200</v>
      </c>
      <c r="M373" t="str">
        <f t="shared" si="10"/>
        <v>F12</v>
      </c>
      <c r="N373" t="s">
        <v>3206</v>
      </c>
      <c r="O373" t="s">
        <v>3207</v>
      </c>
      <c r="P373" t="s">
        <v>3207</v>
      </c>
      <c r="R373" t="str">
        <f t="shared" si="11"/>
        <v>INSERT INTO stock (ticker, name, listing_date, sub_industry, industry, sector, status) VALUES ('HEAL', 'Medikaloka Hermina Tbk.', '2018-05-16', 'F121', 'F12', 'IDXHEALTH', (SELECT id FROM attribute WHERE type = 'STOCK_STATUS' AND code = 'LISTED')) ON CONFLICT DO NOTHING;</v>
      </c>
    </row>
    <row r="374" spans="1:18" x14ac:dyDescent="0.2">
      <c r="A374" t="s">
        <v>1496</v>
      </c>
      <c r="B374" t="s">
        <v>1497</v>
      </c>
      <c r="C374" s="1">
        <v>43186</v>
      </c>
      <c r="D374" s="1"/>
      <c r="E374" t="s">
        <v>1498</v>
      </c>
      <c r="F374" t="s">
        <v>28</v>
      </c>
      <c r="G374" t="s">
        <v>3489</v>
      </c>
      <c r="H374" t="s">
        <v>1496</v>
      </c>
      <c r="I374" t="s">
        <v>3474</v>
      </c>
      <c r="K374" t="s">
        <v>3470</v>
      </c>
      <c r="L374" t="s">
        <v>3471</v>
      </c>
      <c r="M374" t="str">
        <f t="shared" si="10"/>
        <v>K11</v>
      </c>
      <c r="N374" t="s">
        <v>3472</v>
      </c>
      <c r="O374" t="s">
        <v>3473</v>
      </c>
      <c r="P374" t="s">
        <v>3473</v>
      </c>
      <c r="R374" t="str">
        <f t="shared" si="11"/>
        <v>INSERT INTO stock (ticker, name, listing_date, sub_industry, industry, sector, status) VALUES ('HELI', 'Jaya Trishindo Tbk.', '2018-03-27', 'K111', 'K11', 'IDXTRANS', (SELECT id FROM attribute WHERE type = 'STOCK_STATUS' AND code = 'LISTED')) ON CONFLICT DO NOTHING;</v>
      </c>
    </row>
    <row r="375" spans="1:18" x14ac:dyDescent="0.2">
      <c r="A375" t="s">
        <v>557</v>
      </c>
      <c r="B375" t="s">
        <v>558</v>
      </c>
      <c r="C375" s="1">
        <v>32741</v>
      </c>
      <c r="D375" s="1"/>
      <c r="E375" t="s">
        <v>559</v>
      </c>
      <c r="F375" t="s">
        <v>28</v>
      </c>
      <c r="G375" t="s">
        <v>3489</v>
      </c>
      <c r="H375" t="s">
        <v>557</v>
      </c>
      <c r="I375" t="s">
        <v>3774</v>
      </c>
      <c r="K375" t="s">
        <v>2945</v>
      </c>
      <c r="L375" t="s">
        <v>2946</v>
      </c>
      <c r="M375" t="str">
        <f t="shared" si="10"/>
        <v>D11</v>
      </c>
      <c r="N375" t="s">
        <v>2956</v>
      </c>
      <c r="O375" t="s">
        <v>2946</v>
      </c>
      <c r="P375" t="s">
        <v>2957</v>
      </c>
      <c r="R375" t="str">
        <f t="shared" si="11"/>
        <v>INSERT INTO stock (ticker, name, listing_date, sub_industry, industry, sector, status) VALUES ('HERO', 'DFI Retail Nusantara Tbk.', '1989-08-21', 'D113', 'D11', 'IDXNONCYC', (SELECT id FROM attribute WHERE type = 'STOCK_STATUS' AND code = 'LISTED')) ON CONFLICT DO NOTHING;</v>
      </c>
    </row>
    <row r="376" spans="1:18" x14ac:dyDescent="0.2">
      <c r="A376" t="s">
        <v>560</v>
      </c>
      <c r="B376" t="s">
        <v>561</v>
      </c>
      <c r="C376" s="1">
        <v>34743</v>
      </c>
      <c r="D376" s="1"/>
      <c r="E376" t="s">
        <v>562</v>
      </c>
      <c r="F376" t="s">
        <v>8</v>
      </c>
      <c r="G376" t="s">
        <v>3489</v>
      </c>
      <c r="H376" t="s">
        <v>560</v>
      </c>
      <c r="I376" t="s">
        <v>2897</v>
      </c>
      <c r="K376" t="s">
        <v>2874</v>
      </c>
      <c r="L376" t="s">
        <v>2875</v>
      </c>
      <c r="M376" t="str">
        <f t="shared" si="10"/>
        <v>C14</v>
      </c>
      <c r="N376" t="s">
        <v>2898</v>
      </c>
      <c r="O376" t="s">
        <v>2899</v>
      </c>
      <c r="P376" t="s">
        <v>2900</v>
      </c>
      <c r="R376" t="str">
        <f t="shared" si="11"/>
        <v>INSERT INTO stock (ticker, name, listing_date, sub_industry, industry, sector, status) VALUES ('HEXA', 'Hexindo Adiperkasa Tbk.', '1995-02-13', 'C141', 'C14', 'IDXINDUST', (SELECT id FROM attribute WHERE type = 'STOCK_STATUS' AND code = 'LISTED')) ON CONFLICT DO NOTHING;</v>
      </c>
    </row>
    <row r="377" spans="1:18" x14ac:dyDescent="0.2">
      <c r="A377" t="s">
        <v>2520</v>
      </c>
      <c r="B377" t="s">
        <v>2521</v>
      </c>
      <c r="C377" s="1">
        <v>45666</v>
      </c>
      <c r="D377" s="1"/>
      <c r="E377" t="s">
        <v>2522</v>
      </c>
      <c r="F377" t="s">
        <v>28</v>
      </c>
      <c r="G377" t="s">
        <v>3489</v>
      </c>
      <c r="H377" t="s">
        <v>2520</v>
      </c>
      <c r="I377" t="s">
        <v>3775</v>
      </c>
      <c r="K377" t="s">
        <v>3418</v>
      </c>
      <c r="L377" t="s">
        <v>3458</v>
      </c>
      <c r="M377" t="str">
        <f t="shared" si="10"/>
        <v>J41</v>
      </c>
      <c r="N377" t="s">
        <v>3459</v>
      </c>
      <c r="O377" t="s">
        <v>3460</v>
      </c>
      <c r="P377" t="s">
        <v>3460</v>
      </c>
      <c r="R377" t="str">
        <f t="shared" si="11"/>
        <v>INSERT INTO stock (ticker, name, listing_date, sub_industry, industry, sector, status) VALUES ('HGII', 'Hero Global Investment Tbk.', '2025-01-09', 'J411', 'J41', 'IDXINFRA', (SELECT id FROM attribute WHERE type = 'STOCK_STATUS' AND code = 'LISTED')) ON CONFLICT DO NOTHING;</v>
      </c>
    </row>
    <row r="378" spans="1:18" x14ac:dyDescent="0.2">
      <c r="A378" t="s">
        <v>2272</v>
      </c>
      <c r="B378" t="s">
        <v>2273</v>
      </c>
      <c r="C378" s="1">
        <v>44986</v>
      </c>
      <c r="D378" s="1"/>
      <c r="E378" t="s">
        <v>2274</v>
      </c>
      <c r="F378" t="s">
        <v>12</v>
      </c>
      <c r="G378" t="s">
        <v>3489</v>
      </c>
      <c r="H378" t="s">
        <v>2272</v>
      </c>
      <c r="I378" t="s">
        <v>3776</v>
      </c>
      <c r="K378" t="s">
        <v>2701</v>
      </c>
      <c r="L378" t="s">
        <v>2702</v>
      </c>
      <c r="M378" t="str">
        <f t="shared" si="10"/>
        <v>A13</v>
      </c>
      <c r="N378" t="s">
        <v>2763</v>
      </c>
      <c r="O378" t="s">
        <v>2760</v>
      </c>
      <c r="P378" t="s">
        <v>2764</v>
      </c>
      <c r="R378" t="str">
        <f t="shared" si="11"/>
        <v>INSERT INTO stock (ticker, name, listing_date, sub_industry, industry, sector, status) VALUES ('HILL', 'Hillcon Tbk.', '2023-03-01', 'A132', 'A13', 'IDXENERGY', (SELECT id FROM attribute WHERE type = 'STOCK_STATUS' AND code = 'LISTED')) ON CONFLICT DO NOTHING;</v>
      </c>
    </row>
    <row r="379" spans="1:18" x14ac:dyDescent="0.2">
      <c r="A379" t="s">
        <v>563</v>
      </c>
      <c r="B379" t="s">
        <v>3576</v>
      </c>
      <c r="C379" s="1">
        <v>35779</v>
      </c>
      <c r="D379" s="1"/>
      <c r="E379" t="s">
        <v>564</v>
      </c>
      <c r="F379" t="s">
        <v>12</v>
      </c>
      <c r="G379" t="s">
        <v>3489</v>
      </c>
      <c r="H379" t="s">
        <v>563</v>
      </c>
      <c r="I379" t="s">
        <v>2714</v>
      </c>
      <c r="K379" t="s">
        <v>2701</v>
      </c>
      <c r="L379" t="s">
        <v>2702</v>
      </c>
      <c r="M379" t="str">
        <f t="shared" si="10"/>
        <v>A11</v>
      </c>
      <c r="N379" t="s">
        <v>2710</v>
      </c>
      <c r="O379" t="s">
        <v>2704</v>
      </c>
      <c r="P379" t="s">
        <v>2711</v>
      </c>
      <c r="R379" t="str">
        <f t="shared" si="11"/>
        <v>INSERT INTO stock (ticker, name, listing_date, sub_industry, industry, sector, status) VALUES ('HITS', 'Humpuss Intermoda Transportasi Tbk.', '1997-12-15', 'A112', 'A11', 'IDXENERGY', (SELECT id FROM attribute WHERE type = 'STOCK_STATUS' AND code = 'LISTED')) ON CONFLICT DO NOTHING;</v>
      </c>
    </row>
    <row r="380" spans="1:18" x14ac:dyDescent="0.2">
      <c r="A380" t="s">
        <v>1595</v>
      </c>
      <c r="B380" t="s">
        <v>1596</v>
      </c>
      <c r="C380" s="1">
        <v>43382</v>
      </c>
      <c r="D380" s="1"/>
      <c r="E380" t="s">
        <v>1597</v>
      </c>
      <c r="F380" t="s">
        <v>12</v>
      </c>
      <c r="G380" t="s">
        <v>3489</v>
      </c>
      <c r="H380" t="s">
        <v>1595</v>
      </c>
      <c r="I380" t="s">
        <v>2828</v>
      </c>
      <c r="K380" t="s">
        <v>2778</v>
      </c>
      <c r="L380" t="s">
        <v>2779</v>
      </c>
      <c r="M380" t="str">
        <f t="shared" si="10"/>
        <v>B14</v>
      </c>
      <c r="N380" t="s">
        <v>2823</v>
      </c>
      <c r="O380" t="s">
        <v>2824</v>
      </c>
      <c r="P380" t="s">
        <v>2825</v>
      </c>
      <c r="R380" t="str">
        <f t="shared" si="11"/>
        <v>INSERT INTO stock (ticker, name, listing_date, sub_industry, industry, sector, status) VALUES ('HKMU', 'HK Metals Utama Tbk.', '2018-10-09', 'B141', 'B14', 'IDXBASIC', (SELECT id FROM attribute WHERE type = 'STOCK_STATUS' AND code = 'LISTED')) ON CONFLICT DO NOTHING;</v>
      </c>
    </row>
    <row r="381" spans="1:18" x14ac:dyDescent="0.2">
      <c r="A381" t="s">
        <v>565</v>
      </c>
      <c r="B381" t="s">
        <v>566</v>
      </c>
      <c r="C381" s="1">
        <v>33100</v>
      </c>
      <c r="D381" s="1"/>
      <c r="E381" t="s">
        <v>567</v>
      </c>
      <c r="F381" t="s">
        <v>8</v>
      </c>
      <c r="G381" t="s">
        <v>3489</v>
      </c>
      <c r="H381" t="s">
        <v>565</v>
      </c>
      <c r="I381" t="s">
        <v>566</v>
      </c>
      <c r="K381" t="s">
        <v>2945</v>
      </c>
      <c r="L381" t="s">
        <v>3029</v>
      </c>
      <c r="M381" t="str">
        <f t="shared" si="10"/>
        <v>D31</v>
      </c>
      <c r="N381" t="s">
        <v>3030</v>
      </c>
      <c r="O381" t="s">
        <v>3029</v>
      </c>
      <c r="P381" t="s">
        <v>3029</v>
      </c>
      <c r="R381" t="str">
        <f t="shared" si="11"/>
        <v>INSERT INTO stock (ticker, name, listing_date, sub_industry, industry, sector, status) VALUES ('HMSP', 'H.M. Sampoerna Tbk.', '1990-08-15', 'D311', 'D31', 'IDXNONCYC', (SELECT id FROM attribute WHERE type = 'STOCK_STATUS' AND code = 'LISTED')) ON CONFLICT DO NOTHING;</v>
      </c>
    </row>
    <row r="382" spans="1:18" x14ac:dyDescent="0.2">
      <c r="A382" t="s">
        <v>1434</v>
      </c>
      <c r="B382" t="s">
        <v>1435</v>
      </c>
      <c r="C382" s="1">
        <v>42908</v>
      </c>
      <c r="D382" s="1"/>
      <c r="E382" t="s">
        <v>1436</v>
      </c>
      <c r="F382" t="s">
        <v>28</v>
      </c>
      <c r="G382" t="s">
        <v>3489</v>
      </c>
      <c r="H382" t="s">
        <v>1434</v>
      </c>
      <c r="I382" t="s">
        <v>2984</v>
      </c>
      <c r="K382" t="s">
        <v>2945</v>
      </c>
      <c r="L382" t="s">
        <v>2961</v>
      </c>
      <c r="M382" t="str">
        <f t="shared" si="10"/>
        <v>D22</v>
      </c>
      <c r="N382" t="s">
        <v>2978</v>
      </c>
      <c r="O382" t="s">
        <v>2973</v>
      </c>
      <c r="P382" t="s">
        <v>2973</v>
      </c>
      <c r="R382" t="str">
        <f t="shared" si="11"/>
        <v>INSERT INTO stock (ticker, name, listing_date, sub_industry, industry, sector, status) VALUES ('HOKI', 'Buyung Poetra Sembada Tbk.', '2017-06-22', 'D222', 'D22', 'IDXNONCYC', (SELECT id FROM attribute WHERE type = 'STOCK_STATUS' AND code = 'LISTED')) ON CONFLICT DO NOTHING;</v>
      </c>
    </row>
    <row r="383" spans="1:18" x14ac:dyDescent="0.2">
      <c r="A383" t="s">
        <v>568</v>
      </c>
      <c r="B383" t="s">
        <v>569</v>
      </c>
      <c r="C383" s="1">
        <v>39646</v>
      </c>
      <c r="D383" s="1"/>
      <c r="E383" t="s">
        <v>570</v>
      </c>
      <c r="F383" t="s">
        <v>12</v>
      </c>
      <c r="G383" t="s">
        <v>3489</v>
      </c>
      <c r="H383" t="s">
        <v>568</v>
      </c>
      <c r="I383" t="s">
        <v>3102</v>
      </c>
      <c r="K383" t="s">
        <v>3039</v>
      </c>
      <c r="L383" t="s">
        <v>3092</v>
      </c>
      <c r="M383" t="str">
        <f t="shared" si="10"/>
        <v>E51</v>
      </c>
      <c r="N383" t="s">
        <v>3093</v>
      </c>
      <c r="O383" t="s">
        <v>3094</v>
      </c>
      <c r="P383" t="s">
        <v>3095</v>
      </c>
      <c r="R383" t="str">
        <f t="shared" si="11"/>
        <v>INSERT INTO stock (ticker, name, listing_date, sub_industry, industry, sector, status) VALUES ('HOME', 'Hotel Mandarine Regency Tbk.', '2008-07-17', 'E512', 'E51', 'IDXCYCLIC', (SELECT id FROM attribute WHERE type = 'STOCK_STATUS' AND code = 'LISTED')) ON CONFLICT DO NOTHING;</v>
      </c>
    </row>
    <row r="384" spans="1:18" x14ac:dyDescent="0.2">
      <c r="A384" t="s">
        <v>1888</v>
      </c>
      <c r="B384" t="s">
        <v>1889</v>
      </c>
      <c r="C384" s="1">
        <v>44084</v>
      </c>
      <c r="D384" s="1"/>
      <c r="E384" t="s">
        <v>1890</v>
      </c>
      <c r="F384" t="s">
        <v>28</v>
      </c>
      <c r="G384" t="s">
        <v>3489</v>
      </c>
      <c r="H384" t="s">
        <v>1888</v>
      </c>
      <c r="I384" t="s">
        <v>3341</v>
      </c>
      <c r="K384" t="s">
        <v>3306</v>
      </c>
      <c r="L384" t="s">
        <v>3307</v>
      </c>
      <c r="M384" t="str">
        <f t="shared" si="10"/>
        <v>H11</v>
      </c>
      <c r="N384" t="s">
        <v>3308</v>
      </c>
      <c r="O384" t="s">
        <v>3309</v>
      </c>
      <c r="P384" t="s">
        <v>3310</v>
      </c>
      <c r="R384" t="str">
        <f t="shared" si="11"/>
        <v>INSERT INTO stock (ticker, name, listing_date, sub_industry, industry, sector, status) VALUES ('HOMI', 'Grand House Mulia Tbk.', '2020-09-10', 'H111', 'H11', 'IDXPROPERT', (SELECT id FROM attribute WHERE type = 'STOCK_STATUS' AND code = 'LISTED')) ON CONFLICT DO NOTHING;</v>
      </c>
    </row>
    <row r="385" spans="1:18" x14ac:dyDescent="0.2">
      <c r="A385" t="s">
        <v>1948</v>
      </c>
      <c r="B385" t="s">
        <v>1949</v>
      </c>
      <c r="C385" s="1">
        <v>44340</v>
      </c>
      <c r="D385" s="1"/>
      <c r="E385" t="s">
        <v>1950</v>
      </c>
      <c r="F385" t="s">
        <v>28</v>
      </c>
      <c r="G385" t="s">
        <v>3489</v>
      </c>
      <c r="H385" t="s">
        <v>1948</v>
      </c>
      <c r="I385" t="s">
        <v>2901</v>
      </c>
      <c r="K385" t="s">
        <v>2874</v>
      </c>
      <c r="L385" t="s">
        <v>2875</v>
      </c>
      <c r="M385" t="str">
        <f t="shared" si="10"/>
        <v>C14</v>
      </c>
      <c r="N385" t="s">
        <v>2898</v>
      </c>
      <c r="O385" t="s">
        <v>2899</v>
      </c>
      <c r="P385" t="s">
        <v>2900</v>
      </c>
      <c r="R385" t="str">
        <f t="shared" si="11"/>
        <v>INSERT INTO stock (ticker, name, listing_date, sub_industry, industry, sector, status) VALUES ('HOPE', 'Harapan Duta Pertiwi Tbk.', '2021-05-24', 'C141', 'C14', 'IDXINDUST', (SELECT id FROM attribute WHERE type = 'STOCK_STATUS' AND code = 'LISTED')) ON CONFLICT DO NOTHING;</v>
      </c>
    </row>
    <row r="386" spans="1:18" x14ac:dyDescent="0.2">
      <c r="A386" t="s">
        <v>571</v>
      </c>
      <c r="B386" t="s">
        <v>572</v>
      </c>
      <c r="C386" s="1">
        <v>41284</v>
      </c>
      <c r="D386" s="1"/>
      <c r="E386" t="s">
        <v>573</v>
      </c>
      <c r="F386" t="s">
        <v>12</v>
      </c>
      <c r="G386" t="s">
        <v>3489</v>
      </c>
      <c r="H386" t="s">
        <v>571</v>
      </c>
      <c r="I386" t="s">
        <v>3103</v>
      </c>
      <c r="K386" t="s">
        <v>3039</v>
      </c>
      <c r="L386" t="s">
        <v>3092</v>
      </c>
      <c r="M386" t="str">
        <f t="shared" ref="M386:M449" si="12">LEFT(N386, 3)</f>
        <v>E51</v>
      </c>
      <c r="N386" t="s">
        <v>3093</v>
      </c>
      <c r="O386" t="s">
        <v>3094</v>
      </c>
      <c r="P386" t="s">
        <v>3095</v>
      </c>
      <c r="R386" t="str">
        <f t="shared" si="11"/>
        <v>INSERT INTO stock (ticker, name, listing_date, sub_industry, industry, sector, status) VALUES ('HOTL', 'Saraswati Griya Lestari Tbk.', '2013-01-10', 'E512', 'E51', 'IDXCYCLIC', (SELECT id FROM attribute WHERE type = 'STOCK_STATUS' AND code = 'LISTED')) ON CONFLICT DO NOTHING;</v>
      </c>
    </row>
    <row r="387" spans="1:18" x14ac:dyDescent="0.2">
      <c r="A387" t="s">
        <v>1666</v>
      </c>
      <c r="B387" t="s">
        <v>1667</v>
      </c>
      <c r="C387" s="1">
        <v>43567</v>
      </c>
      <c r="D387" s="1"/>
      <c r="E387" t="s">
        <v>1668</v>
      </c>
      <c r="F387" t="s">
        <v>12</v>
      </c>
      <c r="G387" t="s">
        <v>3489</v>
      </c>
      <c r="H387" t="s">
        <v>1666</v>
      </c>
      <c r="I387" t="s">
        <v>3104</v>
      </c>
      <c r="K387" t="s">
        <v>3039</v>
      </c>
      <c r="L387" t="s">
        <v>3092</v>
      </c>
      <c r="M387" t="str">
        <f t="shared" si="12"/>
        <v>E51</v>
      </c>
      <c r="N387" t="s">
        <v>3093</v>
      </c>
      <c r="O387" t="s">
        <v>3094</v>
      </c>
      <c r="P387" t="s">
        <v>3095</v>
      </c>
      <c r="R387" t="str">
        <f t="shared" ref="R387:R450" si="13">CONCATENATE($R$1, A387, "', '", B387, "', '", TEXT(C387, "YYYY-MM-DD"), "', '", N387, "', '", M387, "', '", K387, "', ", $S$1, ") ON CONFLICT DO NOTHING;")</f>
        <v>INSERT INTO stock (ticker, name, listing_date, sub_industry, industry, sector, status) VALUES ('HRME', 'Menteng Heritage Realty Tbk.', '2019-04-12', 'E512', 'E51', 'IDXCYCLIC', (SELECT id FROM attribute WHERE type = 'STOCK_STATUS' AND code = 'LISTED')) ON CONFLICT DO NOTHING;</v>
      </c>
    </row>
    <row r="388" spans="1:18" x14ac:dyDescent="0.2">
      <c r="A388" t="s">
        <v>1428</v>
      </c>
      <c r="B388" t="s">
        <v>1429</v>
      </c>
      <c r="C388" s="1">
        <v>42907</v>
      </c>
      <c r="D388" s="1"/>
      <c r="E388" t="s">
        <v>1430</v>
      </c>
      <c r="F388" t="s">
        <v>8</v>
      </c>
      <c r="G388" t="s">
        <v>3489</v>
      </c>
      <c r="H388" t="s">
        <v>1428</v>
      </c>
      <c r="I388" t="s">
        <v>3080</v>
      </c>
      <c r="K388" t="s">
        <v>3039</v>
      </c>
      <c r="L388" t="s">
        <v>3077</v>
      </c>
      <c r="M388" t="str">
        <f t="shared" si="12"/>
        <v>E41</v>
      </c>
      <c r="N388" t="s">
        <v>3078</v>
      </c>
      <c r="O388" t="s">
        <v>3077</v>
      </c>
      <c r="P388" t="s">
        <v>3079</v>
      </c>
      <c r="R388" t="str">
        <f t="shared" si="13"/>
        <v>INSERT INTO stock (ticker, name, listing_date, sub_industry, industry, sector, status) VALUES ('HRTA', 'Hartadinata Abadi Tbk.', '2017-06-21', 'E411', 'E41', 'IDXCYCLIC', (SELECT id FROM attribute WHERE type = 'STOCK_STATUS' AND code = 'LISTED')) ON CONFLICT DO NOTHING;</v>
      </c>
    </row>
    <row r="389" spans="1:18" x14ac:dyDescent="0.2">
      <c r="A389" t="s">
        <v>574</v>
      </c>
      <c r="B389" t="s">
        <v>575</v>
      </c>
      <c r="C389" s="1">
        <v>40457</v>
      </c>
      <c r="D389" s="1"/>
      <c r="E389" t="s">
        <v>576</v>
      </c>
      <c r="F389" t="s">
        <v>8</v>
      </c>
      <c r="G389" t="s">
        <v>3489</v>
      </c>
      <c r="H389" t="s">
        <v>574</v>
      </c>
      <c r="I389" t="s">
        <v>2733</v>
      </c>
      <c r="K389" t="s">
        <v>2701</v>
      </c>
      <c r="L389" t="s">
        <v>2702</v>
      </c>
      <c r="M389" t="str">
        <f t="shared" si="12"/>
        <v>A12</v>
      </c>
      <c r="N389" t="s">
        <v>2723</v>
      </c>
      <c r="O389" t="s">
        <v>2724</v>
      </c>
      <c r="P389" t="s">
        <v>2725</v>
      </c>
      <c r="R389" t="str">
        <f t="shared" si="13"/>
        <v>INSERT INTO stock (ticker, name, listing_date, sub_industry, industry, sector, status) VALUES ('HRUM', 'Harum Energy Tbk.', '2010-10-06', 'A121', 'A12', 'IDXENERGY', (SELECT id FROM attribute WHERE type = 'STOCK_STATUS' AND code = 'LISTED')) ON CONFLICT DO NOTHING;</v>
      </c>
    </row>
    <row r="390" spans="1:18" x14ac:dyDescent="0.2">
      <c r="A390" t="s">
        <v>2365</v>
      </c>
      <c r="B390" t="s">
        <v>3577</v>
      </c>
      <c r="C390" s="1">
        <v>45147</v>
      </c>
      <c r="D390" s="1"/>
      <c r="E390" t="s">
        <v>2366</v>
      </c>
      <c r="F390" t="s">
        <v>28</v>
      </c>
      <c r="G390" t="s">
        <v>3489</v>
      </c>
      <c r="H390" t="s">
        <v>2365</v>
      </c>
      <c r="I390" t="s">
        <v>3777</v>
      </c>
      <c r="K390" t="s">
        <v>2701</v>
      </c>
      <c r="L390" t="s">
        <v>2702</v>
      </c>
      <c r="M390" t="str">
        <f t="shared" si="12"/>
        <v>A11</v>
      </c>
      <c r="N390" t="s">
        <v>2710</v>
      </c>
      <c r="O390" t="s">
        <v>2704</v>
      </c>
      <c r="P390" t="s">
        <v>2711</v>
      </c>
      <c r="R390" t="str">
        <f t="shared" si="13"/>
        <v>INSERT INTO stock (ticker, name, listing_date, sub_industry, industry, sector, status) VALUES ('HUMI', 'Humpuss Maritim Internasional Tbk.', '2023-08-09', 'A112', 'A11', 'IDXENERGY', (SELECT id FROM attribute WHERE type = 'STOCK_STATUS' AND code = 'LISTED')) ON CONFLICT DO NOTHING;</v>
      </c>
    </row>
    <row r="391" spans="1:18" x14ac:dyDescent="0.2">
      <c r="A391" t="s">
        <v>2441</v>
      </c>
      <c r="B391" t="s">
        <v>2442</v>
      </c>
      <c r="C391" s="1">
        <v>45335</v>
      </c>
      <c r="D391" s="1"/>
      <c r="E391" t="s">
        <v>2443</v>
      </c>
      <c r="F391" t="s">
        <v>28</v>
      </c>
      <c r="G391" t="s">
        <v>3489</v>
      </c>
      <c r="H391" t="s">
        <v>2441</v>
      </c>
      <c r="I391" t="s">
        <v>2442</v>
      </c>
      <c r="K391" t="s">
        <v>2874</v>
      </c>
      <c r="L391" t="s">
        <v>2910</v>
      </c>
      <c r="M391" t="str">
        <f t="shared" si="12"/>
        <v>C22</v>
      </c>
      <c r="N391" t="s">
        <v>2918</v>
      </c>
      <c r="O391" t="s">
        <v>2916</v>
      </c>
      <c r="P391" t="s">
        <v>2919</v>
      </c>
      <c r="R391" t="str">
        <f t="shared" si="13"/>
        <v>INSERT INTO stock (ticker, name, listing_date, sub_industry, industry, sector, status) VALUES ('HYGN', 'Ecocare Indo Pasifik Tbk.', '2024-02-13', 'C222', 'C22', 'IDXINDUST', (SELECT id FROM attribute WHERE type = 'STOCK_STATUS' AND code = 'LISTED')) ON CONFLICT DO NOTHING;</v>
      </c>
    </row>
    <row r="392" spans="1:18" x14ac:dyDescent="0.2">
      <c r="A392" t="s">
        <v>577</v>
      </c>
      <c r="B392" t="s">
        <v>578</v>
      </c>
      <c r="C392" s="1">
        <v>38973</v>
      </c>
      <c r="D392" s="1"/>
      <c r="E392" t="s">
        <v>579</v>
      </c>
      <c r="F392" t="s">
        <v>28</v>
      </c>
      <c r="G392" t="s">
        <v>3489</v>
      </c>
      <c r="H392" t="s">
        <v>577</v>
      </c>
      <c r="I392" t="s">
        <v>3475</v>
      </c>
      <c r="K392" t="s">
        <v>3470</v>
      </c>
      <c r="L392" t="s">
        <v>3471</v>
      </c>
      <c r="M392" t="str">
        <f t="shared" si="12"/>
        <v>K11</v>
      </c>
      <c r="N392" t="s">
        <v>3472</v>
      </c>
      <c r="O392" t="s">
        <v>3473</v>
      </c>
      <c r="P392" t="s">
        <v>3473</v>
      </c>
      <c r="R392" t="str">
        <f t="shared" si="13"/>
        <v>INSERT INTO stock (ticker, name, listing_date, sub_industry, industry, sector, status) VALUES ('IATA', 'MNC Energy Investments Tbk.', '2006-09-13', 'K111', 'K11', 'IDXTRANS', (SELECT id FROM attribute WHERE type = 'STOCK_STATUS' AND code = 'LISTED')) ON CONFLICT DO NOTHING;</v>
      </c>
    </row>
    <row r="393" spans="1:18" x14ac:dyDescent="0.2">
      <c r="A393" s="3" t="s">
        <v>580</v>
      </c>
      <c r="B393" s="3" t="s">
        <v>581</v>
      </c>
      <c r="C393" s="4">
        <v>41995</v>
      </c>
      <c r="D393" s="4"/>
      <c r="E393" s="3" t="s">
        <v>582</v>
      </c>
      <c r="F393" s="3" t="s">
        <v>12</v>
      </c>
      <c r="G393" s="3" t="s">
        <v>3489</v>
      </c>
      <c r="H393" s="3" t="s">
        <v>580</v>
      </c>
      <c r="I393" s="3" t="s">
        <v>581</v>
      </c>
      <c r="J393" s="3"/>
      <c r="K393" s="3" t="s">
        <v>3224</v>
      </c>
      <c r="L393" s="3" t="s">
        <v>3238</v>
      </c>
      <c r="M393" s="3" t="str">
        <f t="shared" si="12"/>
        <v>G21</v>
      </c>
      <c r="N393" s="3" t="s">
        <v>3239</v>
      </c>
      <c r="O393" s="3" t="s">
        <v>3240</v>
      </c>
      <c r="P393" s="3" t="s">
        <v>3240</v>
      </c>
      <c r="R393" t="str">
        <f t="shared" si="13"/>
        <v>INSERT INTO stock (ticker, name, listing_date, sub_industry, industry, sector, status) VALUES ('IBFN', 'Intan Baru Prana Tbk.', '2014-12-22', 'G211', 'G21', 'IDXFINANCE', (SELECT id FROM attribute WHERE type = 'STOCK_STATUS' AND code = 'LISTED')) ON CONFLICT DO NOTHING;</v>
      </c>
    </row>
    <row r="394" spans="1:18" x14ac:dyDescent="0.2">
      <c r="A394" t="s">
        <v>2109</v>
      </c>
      <c r="B394" t="s">
        <v>2110</v>
      </c>
      <c r="C394" s="1">
        <v>44676</v>
      </c>
      <c r="D394" s="1"/>
      <c r="E394" t="s">
        <v>2111</v>
      </c>
      <c r="F394" t="s">
        <v>1847</v>
      </c>
      <c r="G394" t="s">
        <v>3489</v>
      </c>
      <c r="H394" t="s">
        <v>2109</v>
      </c>
      <c r="I394" t="s">
        <v>3778</v>
      </c>
      <c r="K394" t="s">
        <v>2945</v>
      </c>
      <c r="L394" t="s">
        <v>2961</v>
      </c>
      <c r="M394" t="str">
        <f t="shared" si="12"/>
        <v>D23</v>
      </c>
      <c r="N394" t="s">
        <v>3013</v>
      </c>
      <c r="O394" t="s">
        <v>2999</v>
      </c>
      <c r="P394" t="s">
        <v>3014</v>
      </c>
      <c r="R394" t="str">
        <f t="shared" si="13"/>
        <v>INSERT INTO stock (ticker, name, listing_date, sub_industry, industry, sector, status) VALUES ('IBOS', 'Indo Boga Sukses Tbk.', '2022-04-25', 'D232', 'D23', 'IDXNONCYC', (SELECT id FROM attribute WHERE type = 'STOCK_STATUS' AND code = 'LISTED')) ON CONFLICT DO NOTHING;</v>
      </c>
    </row>
    <row r="395" spans="1:18" x14ac:dyDescent="0.2">
      <c r="A395" t="s">
        <v>583</v>
      </c>
      <c r="B395" t="s">
        <v>584</v>
      </c>
      <c r="C395" s="1">
        <v>41152</v>
      </c>
      <c r="D395" s="1"/>
      <c r="E395" t="s">
        <v>585</v>
      </c>
      <c r="F395" t="s">
        <v>12</v>
      </c>
      <c r="G395" t="s">
        <v>3489</v>
      </c>
      <c r="H395" t="s">
        <v>583</v>
      </c>
      <c r="I395" t="s">
        <v>3454</v>
      </c>
      <c r="K395" t="s">
        <v>3418</v>
      </c>
      <c r="L395" t="s">
        <v>3439</v>
      </c>
      <c r="M395" t="str">
        <f t="shared" si="12"/>
        <v>J32</v>
      </c>
      <c r="N395" t="s">
        <v>3449</v>
      </c>
      <c r="O395" t="s">
        <v>3450</v>
      </c>
      <c r="P395" t="s">
        <v>3450</v>
      </c>
      <c r="R395" t="str">
        <f t="shared" si="13"/>
        <v>INSERT INTO stock (ticker, name, listing_date, sub_industry, industry, sector, status) VALUES ('IBST', 'Inti Bangun Sejahtera Tbk.', '2012-08-31', 'J321', 'J32', 'IDXINFRA', (SELECT id FROM attribute WHERE type = 'STOCK_STATUS' AND code = 'LISTED')) ON CONFLICT DO NOTHING;</v>
      </c>
    </row>
    <row r="396" spans="1:18" x14ac:dyDescent="0.2">
      <c r="A396" t="s">
        <v>586</v>
      </c>
      <c r="B396" t="s">
        <v>3578</v>
      </c>
      <c r="C396" s="1">
        <v>40458</v>
      </c>
      <c r="D396" s="1"/>
      <c r="E396" t="s">
        <v>588</v>
      </c>
      <c r="F396" t="s">
        <v>8</v>
      </c>
      <c r="G396" t="s">
        <v>3489</v>
      </c>
      <c r="H396" t="s">
        <v>586</v>
      </c>
      <c r="I396" t="s">
        <v>587</v>
      </c>
      <c r="K396" t="s">
        <v>2945</v>
      </c>
      <c r="L396" t="s">
        <v>2961</v>
      </c>
      <c r="M396" t="str">
        <f t="shared" si="12"/>
        <v>D22</v>
      </c>
      <c r="N396" t="s">
        <v>2978</v>
      </c>
      <c r="O396" t="s">
        <v>2973</v>
      </c>
      <c r="P396" t="s">
        <v>2973</v>
      </c>
      <c r="R396" t="str">
        <f t="shared" si="13"/>
        <v>INSERT INTO stock (ticker, name, listing_date, sub_industry, industry, sector, status) VALUES ('ICBP', 'Indofood CBP Sukses Makmur Tbk.', '2010-10-07', 'D222', 'D22', 'IDXNONCYC', (SELECT id FROM attribute WHERE type = 'STOCK_STATUS' AND code = 'LISTED')) ON CONFLICT DO NOTHING;</v>
      </c>
    </row>
    <row r="397" spans="1:18" x14ac:dyDescent="0.2">
      <c r="A397" t="s">
        <v>589</v>
      </c>
      <c r="B397" t="s">
        <v>590</v>
      </c>
      <c r="C397" s="1">
        <v>38541</v>
      </c>
      <c r="D397" s="1"/>
      <c r="E397" t="s">
        <v>591</v>
      </c>
      <c r="F397" t="s">
        <v>28</v>
      </c>
      <c r="G397" t="s">
        <v>3489</v>
      </c>
      <c r="H397" t="s">
        <v>589</v>
      </c>
      <c r="I397" t="s">
        <v>2930</v>
      </c>
      <c r="K397" t="s">
        <v>2874</v>
      </c>
      <c r="L397" t="s">
        <v>2910</v>
      </c>
      <c r="M397" t="str">
        <f t="shared" si="12"/>
        <v>C22</v>
      </c>
      <c r="N397" t="s">
        <v>2927</v>
      </c>
      <c r="O397" t="s">
        <v>2916</v>
      </c>
      <c r="P397" t="s">
        <v>2928</v>
      </c>
      <c r="R397" t="str">
        <f t="shared" si="13"/>
        <v>INSERT INTO stock (ticker, name, listing_date, sub_industry, industry, sector, status) VALUES ('ICON', 'Island Concepts Indonesia Tbk.', '2005-07-08', 'C224', 'C22', 'IDXINDUST', (SELECT id FROM attribute WHERE type = 'STOCK_STATUS' AND code = 'LISTED')) ON CONFLICT DO NOTHING;</v>
      </c>
    </row>
    <row r="398" spans="1:18" x14ac:dyDescent="0.2">
      <c r="A398" t="s">
        <v>2010</v>
      </c>
      <c r="B398" t="s">
        <v>2011</v>
      </c>
      <c r="C398" s="1">
        <v>44448</v>
      </c>
      <c r="D398" s="1"/>
      <c r="E398" t="s">
        <v>2012</v>
      </c>
      <c r="F398" t="s">
        <v>1847</v>
      </c>
      <c r="G398" t="s">
        <v>3489</v>
      </c>
      <c r="H398" t="s">
        <v>2010</v>
      </c>
      <c r="I398" t="s">
        <v>3142</v>
      </c>
      <c r="K398" t="s">
        <v>3039</v>
      </c>
      <c r="L398" t="s">
        <v>3092</v>
      </c>
      <c r="M398" t="str">
        <f t="shared" si="12"/>
        <v>E52</v>
      </c>
      <c r="N398" t="s">
        <v>3139</v>
      </c>
      <c r="O398" t="s">
        <v>3140</v>
      </c>
      <c r="P398" t="s">
        <v>3141</v>
      </c>
      <c r="R398" t="str">
        <f t="shared" si="13"/>
        <v>INSERT INTO stock (ticker, name, listing_date, sub_industry, industry, sector, status) VALUES ('IDEA', 'Idea Indonesia Akademi Tbk.', '2021-09-09', 'E521', 'E52', 'IDXCYCLIC', (SELECT id FROM attribute WHERE type = 'STOCK_STATUS' AND code = 'LISTED')) ON CONFLICT DO NOTHING;</v>
      </c>
    </row>
    <row r="399" spans="1:18" x14ac:dyDescent="0.2">
      <c r="A399" t="s">
        <v>1353</v>
      </c>
      <c r="B399" t="s">
        <v>1354</v>
      </c>
      <c r="C399" s="1">
        <v>42348</v>
      </c>
      <c r="D399" s="1"/>
      <c r="E399" t="s">
        <v>1355</v>
      </c>
      <c r="F399" t="s">
        <v>28</v>
      </c>
      <c r="G399" t="s">
        <v>3489</v>
      </c>
      <c r="H399" t="s">
        <v>1353</v>
      </c>
      <c r="I399" t="s">
        <v>1354</v>
      </c>
      <c r="K399" t="s">
        <v>3418</v>
      </c>
      <c r="L399" t="s">
        <v>3432</v>
      </c>
      <c r="M399" t="str">
        <f t="shared" si="12"/>
        <v>J21</v>
      </c>
      <c r="N399" t="s">
        <v>3433</v>
      </c>
      <c r="O399" t="s">
        <v>3432</v>
      </c>
      <c r="P399" t="s">
        <v>3432</v>
      </c>
      <c r="R399" t="str">
        <f t="shared" si="13"/>
        <v>INSERT INTO stock (ticker, name, listing_date, sub_industry, industry, sector, status) VALUES ('IDPR', 'Indonesia Pondasi Raya Tbk.', '2015-12-10', 'J211', 'J21', 'IDXINFRA', (SELECT id FROM attribute WHERE type = 'STOCK_STATUS' AND code = 'LISTED')) ON CONFLICT DO NOTHING;</v>
      </c>
    </row>
    <row r="400" spans="1:18" x14ac:dyDescent="0.2">
      <c r="A400" t="s">
        <v>1782</v>
      </c>
      <c r="B400" t="s">
        <v>3579</v>
      </c>
      <c r="C400" s="1">
        <v>43809</v>
      </c>
      <c r="D400" s="1"/>
      <c r="E400" t="s">
        <v>1783</v>
      </c>
      <c r="F400" t="s">
        <v>28</v>
      </c>
      <c r="G400" t="s">
        <v>3489</v>
      </c>
      <c r="H400" t="s">
        <v>1782</v>
      </c>
      <c r="I400" t="s">
        <v>2859</v>
      </c>
      <c r="K400" t="s">
        <v>2778</v>
      </c>
      <c r="L400" t="s">
        <v>2779</v>
      </c>
      <c r="M400" t="str">
        <f t="shared" si="12"/>
        <v>B15</v>
      </c>
      <c r="N400" t="s">
        <v>2860</v>
      </c>
      <c r="O400" t="s">
        <v>2861</v>
      </c>
      <c r="P400" t="s">
        <v>2862</v>
      </c>
      <c r="R400" t="str">
        <f t="shared" si="13"/>
        <v>INSERT INTO stock (ticker, name, listing_date, sub_industry, industry, sector, status) VALUES ('IFII', 'Indonesia Fibreboard Industry Tbk.', '2019-12-10', 'B151', 'B15', 'IDXBASIC', (SELECT id FROM attribute WHERE type = 'STOCK_STATUS' AND code = 'LISTED')) ON CONFLICT DO NOTHING;</v>
      </c>
    </row>
    <row r="401" spans="1:18" x14ac:dyDescent="0.2">
      <c r="A401" t="s">
        <v>1776</v>
      </c>
      <c r="B401" t="s">
        <v>1777</v>
      </c>
      <c r="C401" s="1">
        <v>43804</v>
      </c>
      <c r="D401" s="1"/>
      <c r="E401" t="s">
        <v>1778</v>
      </c>
      <c r="F401" t="s">
        <v>12</v>
      </c>
      <c r="G401" t="s">
        <v>3489</v>
      </c>
      <c r="H401" t="s">
        <v>1776</v>
      </c>
      <c r="I401" t="s">
        <v>2852</v>
      </c>
      <c r="K401" t="s">
        <v>2778</v>
      </c>
      <c r="L401" t="s">
        <v>2779</v>
      </c>
      <c r="M401" t="str">
        <f t="shared" si="12"/>
        <v>B14</v>
      </c>
      <c r="N401" t="s">
        <v>2848</v>
      </c>
      <c r="O401" t="s">
        <v>2824</v>
      </c>
      <c r="P401" t="s">
        <v>2849</v>
      </c>
      <c r="R401" t="str">
        <f t="shared" si="13"/>
        <v>INSERT INTO stock (ticker, name, listing_date, sub_industry, industry, sector, status) VALUES ('IFSH', 'Ifishdeco Tbk.', '2019-12-05', 'B146', 'B14', 'IDXBASIC', (SELECT id FROM attribute WHERE type = 'STOCK_STATUS' AND code = 'LISTED')) ON CONFLICT DO NOTHING;</v>
      </c>
    </row>
    <row r="402" spans="1:18" x14ac:dyDescent="0.2">
      <c r="A402" t="s">
        <v>592</v>
      </c>
      <c r="B402" t="s">
        <v>3580</v>
      </c>
      <c r="C402" s="1">
        <v>33182</v>
      </c>
      <c r="D402" s="1"/>
      <c r="E402" t="s">
        <v>594</v>
      </c>
      <c r="F402" t="s">
        <v>28</v>
      </c>
      <c r="G402" t="s">
        <v>3489</v>
      </c>
      <c r="H402" t="s">
        <v>592</v>
      </c>
      <c r="I402" t="s">
        <v>593</v>
      </c>
      <c r="K402" t="s">
        <v>2778</v>
      </c>
      <c r="L402" t="s">
        <v>2779</v>
      </c>
      <c r="M402" t="str">
        <f t="shared" si="12"/>
        <v>B13</v>
      </c>
      <c r="N402" t="s">
        <v>2812</v>
      </c>
      <c r="O402" t="s">
        <v>2813</v>
      </c>
      <c r="P402" t="s">
        <v>2813</v>
      </c>
      <c r="R402" t="str">
        <f t="shared" si="13"/>
        <v>INSERT INTO stock (ticker, name, listing_date, sub_industry, industry, sector, status) VALUES ('IGAR', 'Champion Pacific Indonesia Tbk.', '1990-11-05', 'B131', 'B13', 'IDXBASIC', (SELECT id FROM attribute WHERE type = 'STOCK_STATUS' AND code = 'LISTED')) ON CONFLICT DO NOTHING;</v>
      </c>
    </row>
    <row r="403" spans="1:18" x14ac:dyDescent="0.2">
      <c r="A403" t="s">
        <v>595</v>
      </c>
      <c r="B403" t="s">
        <v>3581</v>
      </c>
      <c r="C403" s="1">
        <v>37543</v>
      </c>
      <c r="D403" s="1"/>
      <c r="E403" t="s">
        <v>597</v>
      </c>
      <c r="F403" t="s">
        <v>12</v>
      </c>
      <c r="G403" t="s">
        <v>3489</v>
      </c>
      <c r="H403" t="s">
        <v>595</v>
      </c>
      <c r="I403" t="s">
        <v>596</v>
      </c>
      <c r="K403" t="s">
        <v>3039</v>
      </c>
      <c r="L403" t="s">
        <v>3071</v>
      </c>
      <c r="M403" t="str">
        <f t="shared" si="12"/>
        <v>E32</v>
      </c>
      <c r="N403" t="s">
        <v>3074</v>
      </c>
      <c r="O403" t="s">
        <v>3075</v>
      </c>
      <c r="P403" t="s">
        <v>3075</v>
      </c>
      <c r="R403" t="str">
        <f t="shared" si="13"/>
        <v>INSERT INTO stock (ticker, name, listing_date, sub_industry, industry, sector, status) VALUES ('IIKP', 'Inti Agri Resources Tbk.', '2002-10-14', 'E321', 'E32', 'IDXCYCLIC', (SELECT id FROM attribute WHERE type = 'STOCK_STATUS' AND code = 'LISTED')) ON CONFLICT DO NOTHING;</v>
      </c>
    </row>
    <row r="404" spans="1:18" x14ac:dyDescent="0.2">
      <c r="A404" t="s">
        <v>598</v>
      </c>
      <c r="B404" t="s">
        <v>3582</v>
      </c>
      <c r="C404" s="1">
        <v>35585</v>
      </c>
      <c r="D404" s="1"/>
      <c r="E404" t="s">
        <v>599</v>
      </c>
      <c r="F404" t="s">
        <v>12</v>
      </c>
      <c r="G404" t="s">
        <v>3489</v>
      </c>
      <c r="H404" t="s">
        <v>598</v>
      </c>
      <c r="I404" t="s">
        <v>3105</v>
      </c>
      <c r="K404" t="s">
        <v>3039</v>
      </c>
      <c r="L404" t="s">
        <v>3092</v>
      </c>
      <c r="M404" t="str">
        <f t="shared" si="12"/>
        <v>E51</v>
      </c>
      <c r="N404" t="s">
        <v>3093</v>
      </c>
      <c r="O404" t="s">
        <v>3094</v>
      </c>
      <c r="P404" t="s">
        <v>3095</v>
      </c>
      <c r="R404" t="str">
        <f t="shared" si="13"/>
        <v>INSERT INTO stock (ticker, name, listing_date, sub_industry, industry, sector, status) VALUES ('IKAI', 'Intikeramik Alamasri Industri Tbk.', '1997-06-04', 'E512', 'E51', 'IDXCYCLIC', (SELECT id FROM attribute WHERE type = 'STOCK_STATUS' AND code = 'LISTED')) ON CONFLICT DO NOTHING;</v>
      </c>
    </row>
    <row r="405" spans="1:18" x14ac:dyDescent="0.2">
      <c r="A405" t="s">
        <v>1822</v>
      </c>
      <c r="B405" t="s">
        <v>1823</v>
      </c>
      <c r="C405" s="1">
        <v>43873</v>
      </c>
      <c r="D405" s="1"/>
      <c r="E405" t="s">
        <v>1824</v>
      </c>
      <c r="F405" t="s">
        <v>28</v>
      </c>
      <c r="G405" t="s">
        <v>3489</v>
      </c>
      <c r="H405" t="s">
        <v>1822</v>
      </c>
      <c r="I405" t="s">
        <v>3006</v>
      </c>
      <c r="K405" t="s">
        <v>2945</v>
      </c>
      <c r="L405" t="s">
        <v>2961</v>
      </c>
      <c r="M405" t="str">
        <f t="shared" si="12"/>
        <v>D23</v>
      </c>
      <c r="N405" t="s">
        <v>2998</v>
      </c>
      <c r="O405" t="s">
        <v>2999</v>
      </c>
      <c r="P405" t="s">
        <v>3000</v>
      </c>
      <c r="R405" t="str">
        <f t="shared" si="13"/>
        <v>INSERT INTO stock (ticker, name, listing_date, sub_industry, industry, sector, status) VALUES ('IKAN', 'Era Mandiri Cemerlang Tbk.', '2020-02-12', 'D231', 'D23', 'IDXNONCYC', (SELECT id FROM attribute WHERE type = 'STOCK_STATUS' AND code = 'LISTED')) ON CONFLICT DO NOTHING;</v>
      </c>
    </row>
    <row r="406" spans="1:18" x14ac:dyDescent="0.2">
      <c r="A406" t="s">
        <v>600</v>
      </c>
      <c r="B406" t="s">
        <v>601</v>
      </c>
      <c r="C406" s="1">
        <v>33259</v>
      </c>
      <c r="D406" s="1"/>
      <c r="E406" t="s">
        <v>602</v>
      </c>
      <c r="F406" t="s">
        <v>28</v>
      </c>
      <c r="G406" t="s">
        <v>3489</v>
      </c>
      <c r="H406" t="s">
        <v>600</v>
      </c>
      <c r="I406" t="s">
        <v>2891</v>
      </c>
      <c r="K406" t="s">
        <v>2874</v>
      </c>
      <c r="L406" t="s">
        <v>2875</v>
      </c>
      <c r="M406" t="str">
        <f t="shared" si="12"/>
        <v>C13</v>
      </c>
      <c r="N406" t="s">
        <v>2888</v>
      </c>
      <c r="O406" t="s">
        <v>2889</v>
      </c>
      <c r="P406" t="s">
        <v>2890</v>
      </c>
      <c r="R406" t="str">
        <f t="shared" si="13"/>
        <v>INSERT INTO stock (ticker, name, listing_date, sub_industry, industry, sector, status) VALUES ('IKBI', 'Sumi Indo Kabel Tbk.', '1991-01-21', 'C131', 'C13', 'IDXINDUST', (SELECT id FROM attribute WHERE type = 'STOCK_STATUS' AND code = 'LISTED')) ON CONFLICT DO NOTHING;</v>
      </c>
    </row>
    <row r="407" spans="1:18" x14ac:dyDescent="0.2">
      <c r="A407" t="s">
        <v>2407</v>
      </c>
      <c r="B407" t="s">
        <v>2408</v>
      </c>
      <c r="C407" s="1">
        <v>45238</v>
      </c>
      <c r="D407" s="1"/>
      <c r="E407" t="s">
        <v>2409</v>
      </c>
      <c r="F407" t="s">
        <v>28</v>
      </c>
      <c r="G407" t="s">
        <v>3489</v>
      </c>
      <c r="H407" t="s">
        <v>2407</v>
      </c>
      <c r="I407" t="s">
        <v>2408</v>
      </c>
      <c r="K407" t="s">
        <v>3199</v>
      </c>
      <c r="L407" t="s">
        <v>3212</v>
      </c>
      <c r="M407" t="str">
        <f t="shared" si="12"/>
        <v>F21</v>
      </c>
      <c r="N407" t="s">
        <v>3213</v>
      </c>
      <c r="O407" t="s">
        <v>3214</v>
      </c>
      <c r="P407" t="s">
        <v>3214</v>
      </c>
      <c r="R407" t="str">
        <f t="shared" si="13"/>
        <v>INSERT INTO stock (ticker, name, listing_date, sub_industry, industry, sector, status) VALUES ('IKPM', 'Ikapharmindo Putramas Tbk.', '2023-11-08', 'F211', 'F21', 'IDXHEALTH', (SELECT id FROM attribute WHERE type = 'STOCK_STATUS' AND code = 'LISTED')) ON CONFLICT DO NOTHING;</v>
      </c>
    </row>
    <row r="408" spans="1:18" x14ac:dyDescent="0.2">
      <c r="A408" t="s">
        <v>603</v>
      </c>
      <c r="B408" t="s">
        <v>3583</v>
      </c>
      <c r="C408" s="1">
        <v>34288</v>
      </c>
      <c r="D408" s="1"/>
      <c r="E408" t="s">
        <v>604</v>
      </c>
      <c r="F408" t="s">
        <v>8</v>
      </c>
      <c r="G408" t="s">
        <v>3489</v>
      </c>
      <c r="H408" t="s">
        <v>603</v>
      </c>
      <c r="I408" t="s">
        <v>3198</v>
      </c>
      <c r="K408" t="s">
        <v>3039</v>
      </c>
      <c r="L408" t="s">
        <v>3168</v>
      </c>
      <c r="M408" t="str">
        <f t="shared" si="12"/>
        <v>E74</v>
      </c>
      <c r="N408" t="s">
        <v>3196</v>
      </c>
      <c r="O408" t="s">
        <v>3177</v>
      </c>
      <c r="P408" t="s">
        <v>3197</v>
      </c>
      <c r="R408" t="str">
        <f t="shared" si="13"/>
        <v>INSERT INTO stock (ticker, name, listing_date, sub_industry, industry, sector, status) VALUES ('IMAS', 'Indomobil Sukses Internasional Tbk.', '1993-11-15', 'E745', 'E74', 'IDXCYCLIC', (SELECT id FROM attribute WHERE type = 'STOCK_STATUS' AND code = 'LISTED')) ON CONFLICT DO NOTHING;</v>
      </c>
    </row>
    <row r="409" spans="1:18" x14ac:dyDescent="0.2">
      <c r="A409" t="s">
        <v>605</v>
      </c>
      <c r="B409" t="s">
        <v>606</v>
      </c>
      <c r="C409" s="1">
        <v>41618</v>
      </c>
      <c r="D409" s="1"/>
      <c r="E409" t="s">
        <v>607</v>
      </c>
      <c r="F409" t="s">
        <v>28</v>
      </c>
      <c r="G409" t="s">
        <v>3489</v>
      </c>
      <c r="H409" t="s">
        <v>605</v>
      </c>
      <c r="I409" t="s">
        <v>3247</v>
      </c>
      <c r="K409" t="s">
        <v>3224</v>
      </c>
      <c r="L409" t="s">
        <v>3238</v>
      </c>
      <c r="M409" t="str">
        <f t="shared" si="12"/>
        <v>G21</v>
      </c>
      <c r="N409" t="s">
        <v>3239</v>
      </c>
      <c r="O409" t="s">
        <v>3240</v>
      </c>
      <c r="P409" t="s">
        <v>3240</v>
      </c>
      <c r="R409" t="str">
        <f t="shared" si="13"/>
        <v>INSERT INTO stock (ticker, name, listing_date, sub_industry, industry, sector, status) VALUES ('IMJS', 'Indomobil Multi Jasa Tbk.', '2013-12-10', 'G211', 'G21', 'IDXFINANCE', (SELECT id FROM attribute WHERE type = 'STOCK_STATUS' AND code = 'LISTED')) ON CONFLICT DO NOTHING;</v>
      </c>
    </row>
    <row r="410" spans="1:18" x14ac:dyDescent="0.2">
      <c r="A410" t="s">
        <v>608</v>
      </c>
      <c r="B410" t="s">
        <v>609</v>
      </c>
      <c r="C410" s="1">
        <v>41990</v>
      </c>
      <c r="D410" s="1"/>
      <c r="E410" t="s">
        <v>610</v>
      </c>
      <c r="F410" t="s">
        <v>8</v>
      </c>
      <c r="G410" t="s">
        <v>3489</v>
      </c>
      <c r="H410" t="s">
        <v>608</v>
      </c>
      <c r="I410" t="s">
        <v>2881</v>
      </c>
      <c r="K410" t="s">
        <v>2874</v>
      </c>
      <c r="L410" t="s">
        <v>2875</v>
      </c>
      <c r="M410" t="str">
        <f t="shared" si="12"/>
        <v>C12</v>
      </c>
      <c r="N410" t="s">
        <v>2876</v>
      </c>
      <c r="O410" t="s">
        <v>2877</v>
      </c>
      <c r="P410" t="s">
        <v>2877</v>
      </c>
      <c r="R410" t="str">
        <f t="shared" si="13"/>
        <v>INSERT INTO stock (ticker, name, listing_date, sub_industry, industry, sector, status) VALUES ('IMPC', 'Impack Pratama Industri Tbk.', '2014-12-17', 'C121', 'C12', 'IDXINDUST', (SELECT id FROM attribute WHERE type = 'STOCK_STATUS' AND code = 'LISTED')) ON CONFLICT DO NOTHING;</v>
      </c>
    </row>
    <row r="411" spans="1:18" x14ac:dyDescent="0.2">
      <c r="A411" t="s">
        <v>611</v>
      </c>
      <c r="B411" t="s">
        <v>612</v>
      </c>
      <c r="C411" s="1">
        <v>36998</v>
      </c>
      <c r="D411" s="1"/>
      <c r="E411" t="s">
        <v>613</v>
      </c>
      <c r="F411" t="s">
        <v>12</v>
      </c>
      <c r="G411" t="s">
        <v>3489</v>
      </c>
      <c r="H411" t="s">
        <v>611</v>
      </c>
      <c r="I411" t="s">
        <v>3215</v>
      </c>
      <c r="K411" t="s">
        <v>3199</v>
      </c>
      <c r="L411" t="s">
        <v>3212</v>
      </c>
      <c r="M411" t="str">
        <f t="shared" si="12"/>
        <v>F21</v>
      </c>
      <c r="N411" t="s">
        <v>3213</v>
      </c>
      <c r="O411" t="s">
        <v>3214</v>
      </c>
      <c r="P411" t="s">
        <v>3214</v>
      </c>
      <c r="R411" t="str">
        <f t="shared" si="13"/>
        <v>INSERT INTO stock (ticker, name, listing_date, sub_industry, industry, sector, status) VALUES ('INAF', 'Indofarma Tbk.', '2001-04-17', 'F211', 'F21', 'IDXHEALTH', (SELECT id FROM attribute WHERE type = 'STOCK_STATUS' AND code = 'LISTED')) ON CONFLICT DO NOTHING;</v>
      </c>
    </row>
    <row r="412" spans="1:18" x14ac:dyDescent="0.2">
      <c r="A412" t="s">
        <v>614</v>
      </c>
      <c r="B412" t="s">
        <v>615</v>
      </c>
      <c r="C412" s="1">
        <v>34673</v>
      </c>
      <c r="D412" s="1"/>
      <c r="E412" t="s">
        <v>616</v>
      </c>
      <c r="F412" t="s">
        <v>28</v>
      </c>
      <c r="G412" t="s">
        <v>3489</v>
      </c>
      <c r="H412" t="s">
        <v>614</v>
      </c>
      <c r="I412" t="s">
        <v>2829</v>
      </c>
      <c r="K412" t="s">
        <v>2778</v>
      </c>
      <c r="L412" t="s">
        <v>2779</v>
      </c>
      <c r="M412" t="str">
        <f t="shared" si="12"/>
        <v>B14</v>
      </c>
      <c r="N412" t="s">
        <v>2823</v>
      </c>
      <c r="O412" t="s">
        <v>2824</v>
      </c>
      <c r="P412" t="s">
        <v>2825</v>
      </c>
      <c r="R412" t="str">
        <f t="shared" si="13"/>
        <v>INSERT INTO stock (ticker, name, listing_date, sub_industry, industry, sector, status) VALUES ('INAI', 'Indal Aluminium Industry Tbk.', '1994-12-05', 'B141', 'B14', 'IDXBASIC', (SELECT id FROM attribute WHERE type = 'STOCK_STATUS' AND code = 'LISTED')) ON CONFLICT DO NOTHING;</v>
      </c>
    </row>
    <row r="413" spans="1:18" x14ac:dyDescent="0.2">
      <c r="A413" t="s">
        <v>1375</v>
      </c>
      <c r="B413" t="s">
        <v>1376</v>
      </c>
      <c r="C413" s="1">
        <v>42619</v>
      </c>
      <c r="D413" s="1"/>
      <c r="E413" t="s">
        <v>1377</v>
      </c>
      <c r="F413" t="s">
        <v>28</v>
      </c>
      <c r="G413" t="s">
        <v>3489</v>
      </c>
      <c r="H413" t="s">
        <v>1375</v>
      </c>
      <c r="I413" t="s">
        <v>1376</v>
      </c>
      <c r="K413" t="s">
        <v>2778</v>
      </c>
      <c r="L413" t="s">
        <v>2779</v>
      </c>
      <c r="M413" t="str">
        <f t="shared" si="12"/>
        <v>B15</v>
      </c>
      <c r="N413" t="s">
        <v>2871</v>
      </c>
      <c r="O413" t="s">
        <v>2861</v>
      </c>
      <c r="P413" t="s">
        <v>2872</v>
      </c>
      <c r="R413" t="str">
        <f t="shared" si="13"/>
        <v>INSERT INTO stock (ticker, name, listing_date, sub_industry, industry, sector, status) VALUES ('INCF', 'Indo Komoditi Korpora Tbk.', '2016-09-06', 'B153', 'B15', 'IDXBASIC', (SELECT id FROM attribute WHERE type = 'STOCK_STATUS' AND code = 'LISTED')) ON CONFLICT DO NOTHING;</v>
      </c>
    </row>
    <row r="414" spans="1:18" x14ac:dyDescent="0.2">
      <c r="A414" t="s">
        <v>617</v>
      </c>
      <c r="B414" t="s">
        <v>3584</v>
      </c>
      <c r="C414" s="1">
        <v>33078</v>
      </c>
      <c r="D414" s="1"/>
      <c r="E414" t="s">
        <v>619</v>
      </c>
      <c r="F414" t="s">
        <v>28</v>
      </c>
      <c r="G414" t="s">
        <v>3489</v>
      </c>
      <c r="H414" t="s">
        <v>617</v>
      </c>
      <c r="I414" t="s">
        <v>618</v>
      </c>
      <c r="K414" t="s">
        <v>2778</v>
      </c>
      <c r="L414" t="s">
        <v>2779</v>
      </c>
      <c r="M414" t="str">
        <f t="shared" si="12"/>
        <v>B11</v>
      </c>
      <c r="N414" t="s">
        <v>2780</v>
      </c>
      <c r="O414" t="s">
        <v>2781</v>
      </c>
      <c r="P414" t="s">
        <v>2782</v>
      </c>
      <c r="R414" t="str">
        <f t="shared" si="13"/>
        <v>INSERT INTO stock (ticker, name, listing_date, sub_industry, industry, sector, status) VALUES ('INCI', 'Intanwijaya Internasional Tbk.', '1990-07-24', 'B111', 'B11', 'IDXBASIC', (SELECT id FROM attribute WHERE type = 'STOCK_STATUS' AND code = 'LISTED')) ON CONFLICT DO NOTHING;</v>
      </c>
    </row>
    <row r="415" spans="1:18" x14ac:dyDescent="0.2">
      <c r="A415" t="s">
        <v>620</v>
      </c>
      <c r="B415" t="s">
        <v>621</v>
      </c>
      <c r="C415" s="1">
        <v>33009</v>
      </c>
      <c r="D415" s="1"/>
      <c r="E415" t="s">
        <v>622</v>
      </c>
      <c r="F415" t="s">
        <v>8</v>
      </c>
      <c r="G415" t="s">
        <v>3489</v>
      </c>
      <c r="H415" t="s">
        <v>620</v>
      </c>
      <c r="I415" t="s">
        <v>2853</v>
      </c>
      <c r="K415" t="s">
        <v>2778</v>
      </c>
      <c r="L415" t="s">
        <v>2779</v>
      </c>
      <c r="M415" t="str">
        <f t="shared" si="12"/>
        <v>B14</v>
      </c>
      <c r="N415" t="s">
        <v>2848</v>
      </c>
      <c r="O415" t="s">
        <v>2824</v>
      </c>
      <c r="P415" t="s">
        <v>2849</v>
      </c>
      <c r="R415" t="str">
        <f t="shared" si="13"/>
        <v>INSERT INTO stock (ticker, name, listing_date, sub_industry, industry, sector, status) VALUES ('INCO', 'Vale Indonesia Tbk.', '1990-05-16', 'B146', 'B14', 'IDXBASIC', (SELECT id FROM attribute WHERE type = 'STOCK_STATUS' AND code = 'LISTED')) ON CONFLICT DO NOTHING;</v>
      </c>
    </row>
    <row r="416" spans="1:18" x14ac:dyDescent="0.2">
      <c r="A416" t="s">
        <v>623</v>
      </c>
      <c r="B416" t="s">
        <v>624</v>
      </c>
      <c r="C416" s="1">
        <v>34529</v>
      </c>
      <c r="D416" s="1"/>
      <c r="E416" t="s">
        <v>625</v>
      </c>
      <c r="F416" t="s">
        <v>8</v>
      </c>
      <c r="G416" t="s">
        <v>3489</v>
      </c>
      <c r="H416" t="s">
        <v>623</v>
      </c>
      <c r="I416" t="s">
        <v>2985</v>
      </c>
      <c r="K416" t="s">
        <v>2945</v>
      </c>
      <c r="L416" t="s">
        <v>2961</v>
      </c>
      <c r="M416" t="str">
        <f t="shared" si="12"/>
        <v>D22</v>
      </c>
      <c r="N416" t="s">
        <v>2978</v>
      </c>
      <c r="O416" t="s">
        <v>2973</v>
      </c>
      <c r="P416" t="s">
        <v>2973</v>
      </c>
      <c r="R416" t="str">
        <f t="shared" si="13"/>
        <v>INSERT INTO stock (ticker, name, listing_date, sub_industry, industry, sector, status) VALUES ('INDF', 'Indofood Sukses Makmur Tbk.', '1994-07-14', 'D222', 'D22', 'IDXNONCYC', (SELECT id FROM attribute WHERE type = 'STOCK_STATUS' AND code = 'LISTED')) ON CONFLICT DO NOTHING;</v>
      </c>
    </row>
    <row r="417" spans="1:18" x14ac:dyDescent="0.2">
      <c r="A417" t="s">
        <v>1802</v>
      </c>
      <c r="B417" t="s">
        <v>1803</v>
      </c>
      <c r="C417" s="1">
        <v>43843</v>
      </c>
      <c r="D417" s="1"/>
      <c r="E417" t="s">
        <v>1804</v>
      </c>
      <c r="F417" t="s">
        <v>28</v>
      </c>
      <c r="G417" t="s">
        <v>3489</v>
      </c>
      <c r="H417" t="s">
        <v>1802</v>
      </c>
      <c r="I417" t="s">
        <v>3779</v>
      </c>
      <c r="K417" t="s">
        <v>3306</v>
      </c>
      <c r="L417" t="s">
        <v>3307</v>
      </c>
      <c r="M417" t="str">
        <f t="shared" si="12"/>
        <v>H11</v>
      </c>
      <c r="N417" t="s">
        <v>3379</v>
      </c>
      <c r="O417" t="s">
        <v>3309</v>
      </c>
      <c r="P417" t="s">
        <v>3380</v>
      </c>
      <c r="R417" t="str">
        <f t="shared" si="13"/>
        <v>INSERT INTO stock (ticker, name, listing_date, sub_industry, industry, sector, status) VALUES ('INDO', 'Royalindo Investa Wijaya Tbk.', '2020-01-13', 'H112', 'H11', 'IDXPROPERT', (SELECT id FROM attribute WHERE type = 'STOCK_STATUS' AND code = 'LISTED')) ON CONFLICT DO NOTHING;</v>
      </c>
    </row>
    <row r="418" spans="1:18" x14ac:dyDescent="0.2">
      <c r="A418" t="s">
        <v>626</v>
      </c>
      <c r="B418" t="s">
        <v>3890</v>
      </c>
      <c r="C418" s="1">
        <v>33088</v>
      </c>
      <c r="D418" s="1"/>
      <c r="E418" t="s">
        <v>627</v>
      </c>
      <c r="F418" t="s">
        <v>28</v>
      </c>
      <c r="G418" t="s">
        <v>3489</v>
      </c>
      <c r="H418" t="s">
        <v>626</v>
      </c>
      <c r="I418" t="s">
        <v>3090</v>
      </c>
      <c r="K418" t="s">
        <v>3039</v>
      </c>
      <c r="L418" t="s">
        <v>3077</v>
      </c>
      <c r="M418" t="str">
        <f t="shared" si="12"/>
        <v>E41</v>
      </c>
      <c r="N418" t="s">
        <v>3088</v>
      </c>
      <c r="O418" t="s">
        <v>3077</v>
      </c>
      <c r="P418" t="s">
        <v>3089</v>
      </c>
      <c r="R418" t="str">
        <f t="shared" si="13"/>
        <v>INSERT INTO stock (ticker, name, listing_date, sub_industry, industry, sector, status) VALUES ('INDR', 'Indorama Synthetics Tbk.', '1990-08-03', 'E413', 'E41', 'IDXCYCLIC', (SELECT id FROM attribute WHERE type = 'STOCK_STATUS' AND code = 'LISTED')) ON CONFLICT DO NOTHING;</v>
      </c>
    </row>
    <row r="419" spans="1:18" x14ac:dyDescent="0.2">
      <c r="A419" t="s">
        <v>628</v>
      </c>
      <c r="B419" t="s">
        <v>629</v>
      </c>
      <c r="C419" s="1">
        <v>33095</v>
      </c>
      <c r="D419" s="1"/>
      <c r="E419" t="s">
        <v>630</v>
      </c>
      <c r="F419" t="s">
        <v>28</v>
      </c>
      <c r="G419" t="s">
        <v>3489</v>
      </c>
      <c r="H419" t="s">
        <v>628</v>
      </c>
      <c r="I419" t="s">
        <v>3047</v>
      </c>
      <c r="K419" t="s">
        <v>3039</v>
      </c>
      <c r="L419" t="s">
        <v>3040</v>
      </c>
      <c r="M419" t="str">
        <f t="shared" si="12"/>
        <v>E11</v>
      </c>
      <c r="N419" t="s">
        <v>3041</v>
      </c>
      <c r="O419" t="s">
        <v>3042</v>
      </c>
      <c r="P419" t="s">
        <v>3043</v>
      </c>
      <c r="R419" t="str">
        <f t="shared" si="13"/>
        <v>INSERT INTO stock (ticker, name, listing_date, sub_industry, industry, sector, status) VALUES ('INDS', 'Indospring Tbk.', '1990-08-10', 'E111', 'E11', 'IDXCYCLIC', (SELECT id FROM attribute WHERE type = 'STOCK_STATUS' AND code = 'LISTED')) ON CONFLICT DO NOTHING;</v>
      </c>
    </row>
    <row r="420" spans="1:18" x14ac:dyDescent="0.2">
      <c r="A420" t="s">
        <v>631</v>
      </c>
      <c r="B420" t="s">
        <v>3585</v>
      </c>
      <c r="C420" s="1">
        <v>37028</v>
      </c>
      <c r="D420" s="1"/>
      <c r="E420" t="s">
        <v>633</v>
      </c>
      <c r="F420" t="s">
        <v>28</v>
      </c>
      <c r="G420" t="s">
        <v>3489</v>
      </c>
      <c r="H420" t="s">
        <v>631</v>
      </c>
      <c r="I420" t="s">
        <v>632</v>
      </c>
      <c r="K420" t="s">
        <v>2874</v>
      </c>
      <c r="L420" t="s">
        <v>2910</v>
      </c>
      <c r="M420" t="str">
        <f t="shared" si="12"/>
        <v>C23</v>
      </c>
      <c r="N420" t="s">
        <v>2936</v>
      </c>
      <c r="O420" t="s">
        <v>2933</v>
      </c>
      <c r="P420" t="s">
        <v>2937</v>
      </c>
      <c r="R420" t="str">
        <f t="shared" si="13"/>
        <v>INSERT INTO stock (ticker, name, listing_date, sub_industry, industry, sector, status) VALUES ('INDX', 'Tanah Laut Tbk.', '2001-05-17', 'C232', 'C23', 'IDXINDUST', (SELECT id FROM attribute WHERE type = 'STOCK_STATUS' AND code = 'LISTED')) ON CONFLICT DO NOTHING;</v>
      </c>
    </row>
    <row r="421" spans="1:18" x14ac:dyDescent="0.2">
      <c r="A421" t="s">
        <v>634</v>
      </c>
      <c r="B421" t="s">
        <v>635</v>
      </c>
      <c r="C421" s="1">
        <v>39610</v>
      </c>
      <c r="D421" s="1"/>
      <c r="E421" t="s">
        <v>636</v>
      </c>
      <c r="F421" t="s">
        <v>8</v>
      </c>
      <c r="G421" t="s">
        <v>3489</v>
      </c>
      <c r="H421" t="s">
        <v>634</v>
      </c>
      <c r="I421" t="s">
        <v>2734</v>
      </c>
      <c r="K421" t="s">
        <v>2701</v>
      </c>
      <c r="L421" t="s">
        <v>2702</v>
      </c>
      <c r="M421" t="str">
        <f t="shared" si="12"/>
        <v>A12</v>
      </c>
      <c r="N421" t="s">
        <v>2723</v>
      </c>
      <c r="O421" t="s">
        <v>2724</v>
      </c>
      <c r="P421" t="s">
        <v>2725</v>
      </c>
      <c r="R421" t="str">
        <f t="shared" si="13"/>
        <v>INSERT INTO stock (ticker, name, listing_date, sub_industry, industry, sector, status) VALUES ('INDY', 'Indika Energy Tbk.', '2008-06-11', 'A121', 'A12', 'IDXENERGY', (SELECT id FROM attribute WHERE type = 'STOCK_STATUS' AND code = 'LISTED')) ON CONFLICT DO NOTHING;</v>
      </c>
    </row>
    <row r="422" spans="1:18" x14ac:dyDescent="0.2">
      <c r="A422" t="s">
        <v>2333</v>
      </c>
      <c r="B422" t="s">
        <v>3586</v>
      </c>
      <c r="C422" s="1">
        <v>45131</v>
      </c>
      <c r="D422" s="1"/>
      <c r="E422" t="s">
        <v>2334</v>
      </c>
      <c r="F422" t="s">
        <v>28</v>
      </c>
      <c r="G422" t="s">
        <v>3489</v>
      </c>
      <c r="H422" t="s">
        <v>2333</v>
      </c>
      <c r="I422" t="s">
        <v>3586</v>
      </c>
      <c r="K422" t="s">
        <v>3418</v>
      </c>
      <c r="L422" t="s">
        <v>3439</v>
      </c>
      <c r="M422" t="str">
        <f t="shared" si="12"/>
        <v>J31</v>
      </c>
      <c r="N422" t="s">
        <v>3440</v>
      </c>
      <c r="O422" t="s">
        <v>3441</v>
      </c>
      <c r="P422" t="s">
        <v>3442</v>
      </c>
      <c r="R422" t="str">
        <f t="shared" si="13"/>
        <v>INSERT INTO stock (ticker, name, listing_date, sub_industry, industry, sector, status) VALUES ('INET', 'Sinergi Inti Andalan Prima Tbk.', '2023-07-24', 'J311', 'J31', 'IDXINFRA', (SELECT id FROM attribute WHERE type = 'STOCK_STATUS' AND code = 'LISTED')) ON CONFLICT DO NOTHING;</v>
      </c>
    </row>
    <row r="423" spans="1:18" x14ac:dyDescent="0.2">
      <c r="A423" t="s">
        <v>637</v>
      </c>
      <c r="B423" t="s">
        <v>638</v>
      </c>
      <c r="C423" s="1">
        <v>33070</v>
      </c>
      <c r="D423" s="1"/>
      <c r="E423" t="s">
        <v>639</v>
      </c>
      <c r="F423" t="s">
        <v>8</v>
      </c>
      <c r="G423" t="s">
        <v>3489</v>
      </c>
      <c r="H423" t="s">
        <v>637</v>
      </c>
      <c r="I423" t="s">
        <v>2865</v>
      </c>
      <c r="K423" t="s">
        <v>2778</v>
      </c>
      <c r="L423" t="s">
        <v>2779</v>
      </c>
      <c r="M423" t="str">
        <f t="shared" si="12"/>
        <v>B15</v>
      </c>
      <c r="N423" t="s">
        <v>2866</v>
      </c>
      <c r="O423" t="s">
        <v>2861</v>
      </c>
      <c r="P423" t="s">
        <v>2867</v>
      </c>
      <c r="R423" t="str">
        <f t="shared" si="13"/>
        <v>INSERT INTO stock (ticker, name, listing_date, sub_industry, industry, sector, status) VALUES ('INKP', 'Indah Kiat Pulp &amp; Paper Tbk.', '1990-07-16', 'B152', 'B15', 'IDXBASIC', (SELECT id FROM attribute WHERE type = 'STOCK_STATUS' AND code = 'LISTED')) ON CONFLICT DO NOTHING;</v>
      </c>
    </row>
    <row r="424" spans="1:18" x14ac:dyDescent="0.2">
      <c r="A424" t="s">
        <v>1717</v>
      </c>
      <c r="B424" t="s">
        <v>1718</v>
      </c>
      <c r="C424" s="1">
        <v>43656</v>
      </c>
      <c r="D424" s="1"/>
      <c r="E424" t="s">
        <v>1719</v>
      </c>
      <c r="F424" t="s">
        <v>28</v>
      </c>
      <c r="G424" t="s">
        <v>3489</v>
      </c>
      <c r="H424" t="s">
        <v>1717</v>
      </c>
      <c r="I424" t="s">
        <v>1718</v>
      </c>
      <c r="K424" t="s">
        <v>3039</v>
      </c>
      <c r="L424" t="s">
        <v>3077</v>
      </c>
      <c r="M424" t="str">
        <f t="shared" si="12"/>
        <v>E41</v>
      </c>
      <c r="N424" t="s">
        <v>3088</v>
      </c>
      <c r="O424" t="s">
        <v>3077</v>
      </c>
      <c r="P424" t="s">
        <v>3089</v>
      </c>
      <c r="R424" t="str">
        <f t="shared" si="13"/>
        <v>INSERT INTO stock (ticker, name, listing_date, sub_industry, industry, sector, status) VALUES ('INOV', 'Inocycle Technology Group Tbk.', '2019-07-10', 'E413', 'E41', 'IDXCYCLIC', (SELECT id FROM attribute WHERE type = 'STOCK_STATUS' AND code = 'LISTED')) ON CONFLICT DO NOTHING;</v>
      </c>
    </row>
    <row r="425" spans="1:18" x14ac:dyDescent="0.2">
      <c r="A425" t="s">
        <v>640</v>
      </c>
      <c r="B425" t="s">
        <v>3587</v>
      </c>
      <c r="C425" s="1">
        <v>33108</v>
      </c>
      <c r="D425" s="1"/>
      <c r="E425" t="s">
        <v>641</v>
      </c>
      <c r="F425" t="s">
        <v>8</v>
      </c>
      <c r="G425" t="s">
        <v>3489</v>
      </c>
      <c r="H425" t="s">
        <v>640</v>
      </c>
      <c r="I425" t="s">
        <v>3234</v>
      </c>
      <c r="K425" t="s">
        <v>3224</v>
      </c>
      <c r="L425" t="s">
        <v>3225</v>
      </c>
      <c r="M425" t="str">
        <f t="shared" si="12"/>
        <v>G11</v>
      </c>
      <c r="N425" t="s">
        <v>3226</v>
      </c>
      <c r="O425" t="s">
        <v>3225</v>
      </c>
      <c r="P425" t="s">
        <v>3225</v>
      </c>
      <c r="R425" t="str">
        <f t="shared" si="13"/>
        <v>INSERT INTO stock (ticker, name, listing_date, sub_industry, industry, sector, status) VALUES ('INPC', 'Bank Artha Graha Internasional Tbk.', '1990-08-23', 'G111', 'G11', 'IDXFINANCE', (SELECT id FROM attribute WHERE type = 'STOCK_STATUS' AND code = 'LISTED')) ON CONFLICT DO NOTHING;</v>
      </c>
    </row>
    <row r="426" spans="1:18" x14ac:dyDescent="0.2">
      <c r="A426" t="s">
        <v>642</v>
      </c>
      <c r="B426" t="s">
        <v>3588</v>
      </c>
      <c r="C426" s="1">
        <v>37998</v>
      </c>
      <c r="D426" s="1"/>
      <c r="E426" t="s">
        <v>643</v>
      </c>
      <c r="F426" t="s">
        <v>28</v>
      </c>
      <c r="G426" t="s">
        <v>3489</v>
      </c>
      <c r="H426" t="s">
        <v>642</v>
      </c>
      <c r="I426" t="s">
        <v>3342</v>
      </c>
      <c r="K426" t="s">
        <v>3306</v>
      </c>
      <c r="L426" t="s">
        <v>3307</v>
      </c>
      <c r="M426" t="str">
        <f t="shared" si="12"/>
        <v>H11</v>
      </c>
      <c r="N426" t="s">
        <v>3308</v>
      </c>
      <c r="O426" t="s">
        <v>3309</v>
      </c>
      <c r="P426" t="s">
        <v>3310</v>
      </c>
      <c r="R426" t="str">
        <f t="shared" si="13"/>
        <v>INSERT INTO stock (ticker, name, listing_date, sub_industry, industry, sector, status) VALUES ('INPP', 'Indonesian Paradise Property Tbk.', '2004-01-12', 'H111', 'H11', 'IDXPROPERT', (SELECT id FROM attribute WHERE type = 'STOCK_STATUS' AND code = 'LISTED')) ON CONFLICT DO NOTHING;</v>
      </c>
    </row>
    <row r="427" spans="1:18" x14ac:dyDescent="0.2">
      <c r="A427" t="s">
        <v>1502</v>
      </c>
      <c r="B427" t="s">
        <v>1503</v>
      </c>
      <c r="C427" s="1">
        <v>43196</v>
      </c>
      <c r="D427" s="1"/>
      <c r="E427" t="s">
        <v>1504</v>
      </c>
      <c r="F427" t="s">
        <v>12</v>
      </c>
      <c r="G427" t="s">
        <v>3489</v>
      </c>
      <c r="H427" t="s">
        <v>1502</v>
      </c>
      <c r="I427" t="s">
        <v>2715</v>
      </c>
      <c r="K427" t="s">
        <v>2701</v>
      </c>
      <c r="L427" t="s">
        <v>2702</v>
      </c>
      <c r="M427" t="str">
        <f t="shared" si="12"/>
        <v>A11</v>
      </c>
      <c r="N427" t="s">
        <v>2710</v>
      </c>
      <c r="O427" t="s">
        <v>2704</v>
      </c>
      <c r="P427" t="s">
        <v>2711</v>
      </c>
      <c r="R427" t="str">
        <f t="shared" si="13"/>
        <v>INSERT INTO stock (ticker, name, listing_date, sub_industry, industry, sector, status) VALUES ('INPS', 'Indah Prakasa Sentosa Tbk.', '2018-04-06', 'A112', 'A11', 'IDXENERGY', (SELECT id FROM attribute WHERE type = 'STOCK_STATUS' AND code = 'LISTED')) ON CONFLICT DO NOTHING;</v>
      </c>
    </row>
    <row r="428" spans="1:18" x14ac:dyDescent="0.2">
      <c r="A428" t="s">
        <v>644</v>
      </c>
      <c r="B428" t="s">
        <v>645</v>
      </c>
      <c r="C428" s="1">
        <v>33042</v>
      </c>
      <c r="D428" s="1"/>
      <c r="E428" t="s">
        <v>646</v>
      </c>
      <c r="F428" t="s">
        <v>28</v>
      </c>
      <c r="G428" t="s">
        <v>3489</v>
      </c>
      <c r="H428" t="s">
        <v>644</v>
      </c>
      <c r="I428" t="s">
        <v>645</v>
      </c>
      <c r="K428" t="s">
        <v>2778</v>
      </c>
      <c r="L428" t="s">
        <v>2779</v>
      </c>
      <c r="M428" t="str">
        <f t="shared" si="12"/>
        <v>B15</v>
      </c>
      <c r="N428" t="s">
        <v>2866</v>
      </c>
      <c r="O428" t="s">
        <v>2861</v>
      </c>
      <c r="P428" t="s">
        <v>2867</v>
      </c>
      <c r="R428" t="str">
        <f t="shared" si="13"/>
        <v>INSERT INTO stock (ticker, name, listing_date, sub_industry, industry, sector, status) VALUES ('INRU', 'Toba Pulp Lestari Tbk.', '1990-06-18', 'B152', 'B15', 'IDXBASIC', (SELECT id FROM attribute WHERE type = 'STOCK_STATUS' AND code = 'LISTED')) ON CONFLICT DO NOTHING;</v>
      </c>
    </row>
    <row r="429" spans="1:18" x14ac:dyDescent="0.2">
      <c r="A429" t="s">
        <v>647</v>
      </c>
      <c r="B429" t="s">
        <v>648</v>
      </c>
      <c r="C429" s="1">
        <v>34204</v>
      </c>
      <c r="D429" s="1"/>
      <c r="E429" t="s">
        <v>649</v>
      </c>
      <c r="F429" t="s">
        <v>12</v>
      </c>
      <c r="G429" t="s">
        <v>3489</v>
      </c>
      <c r="H429" t="s">
        <v>647</v>
      </c>
      <c r="I429" t="s">
        <v>2902</v>
      </c>
      <c r="K429" t="s">
        <v>2874</v>
      </c>
      <c r="L429" t="s">
        <v>2875</v>
      </c>
      <c r="M429" t="str">
        <f t="shared" si="12"/>
        <v>C14</v>
      </c>
      <c r="N429" t="s">
        <v>2898</v>
      </c>
      <c r="O429" t="s">
        <v>2899</v>
      </c>
      <c r="P429" t="s">
        <v>2900</v>
      </c>
      <c r="R429" t="str">
        <f t="shared" si="13"/>
        <v>INSERT INTO stock (ticker, name, listing_date, sub_industry, industry, sector, status) VALUES ('INTA', 'Intraco Penta Tbk.', '1993-08-23', 'C141', 'C14', 'IDXINDUST', (SELECT id FROM attribute WHERE type = 'STOCK_STATUS' AND code = 'LISTED')) ON CONFLICT DO NOTHING;</v>
      </c>
    </row>
    <row r="430" spans="1:18" x14ac:dyDescent="0.2">
      <c r="A430" t="s">
        <v>650</v>
      </c>
      <c r="B430" t="s">
        <v>3589</v>
      </c>
      <c r="C430" s="1">
        <v>32860</v>
      </c>
      <c r="D430" s="1"/>
      <c r="E430" t="s">
        <v>652</v>
      </c>
      <c r="F430" t="s">
        <v>28</v>
      </c>
      <c r="G430" t="s">
        <v>3489</v>
      </c>
      <c r="H430" t="s">
        <v>650</v>
      </c>
      <c r="I430" t="s">
        <v>651</v>
      </c>
      <c r="K430" t="s">
        <v>2778</v>
      </c>
      <c r="L430" t="s">
        <v>2779</v>
      </c>
      <c r="M430" t="str">
        <f t="shared" si="12"/>
        <v>B15</v>
      </c>
      <c r="N430" t="s">
        <v>2866</v>
      </c>
      <c r="O430" t="s">
        <v>2861</v>
      </c>
      <c r="P430" t="s">
        <v>2867</v>
      </c>
      <c r="R430" t="str">
        <f t="shared" si="13"/>
        <v>INSERT INTO stock (ticker, name, listing_date, sub_industry, industry, sector, status) VALUES ('INTD', 'Inter Delta Tbk.', '1989-12-18', 'B152', 'B15', 'IDXBASIC', (SELECT id FROM attribute WHERE type = 'STOCK_STATUS' AND code = 'LISTED')) ON CONFLICT DO NOTHING;</v>
      </c>
    </row>
    <row r="431" spans="1:18" x14ac:dyDescent="0.2">
      <c r="A431" t="s">
        <v>653</v>
      </c>
      <c r="B431" t="s">
        <v>3590</v>
      </c>
      <c r="C431" s="1">
        <v>32847</v>
      </c>
      <c r="D431" s="1"/>
      <c r="E431" t="s">
        <v>654</v>
      </c>
      <c r="F431" t="s">
        <v>8</v>
      </c>
      <c r="G431" t="s">
        <v>3489</v>
      </c>
      <c r="H431" t="s">
        <v>653</v>
      </c>
      <c r="I431" t="s">
        <v>2805</v>
      </c>
      <c r="K431" t="s">
        <v>2778</v>
      </c>
      <c r="L431" t="s">
        <v>2779</v>
      </c>
      <c r="M431" t="str">
        <f t="shared" si="12"/>
        <v>B12</v>
      </c>
      <c r="N431" t="s">
        <v>2801</v>
      </c>
      <c r="O431" t="s">
        <v>2802</v>
      </c>
      <c r="P431" t="s">
        <v>2802</v>
      </c>
      <c r="R431" t="str">
        <f t="shared" si="13"/>
        <v>INSERT INTO stock (ticker, name, listing_date, sub_industry, industry, sector, status) VALUES ('INTP', 'Indocement Tunggal Prakarsa Tbk.', '1989-12-05', 'B121', 'B12', 'IDXBASIC', (SELECT id FROM attribute WHERE type = 'STOCK_STATUS' AND code = 'LISTED')) ON CONFLICT DO NOTHING;</v>
      </c>
    </row>
    <row r="432" spans="1:18" x14ac:dyDescent="0.2">
      <c r="A432" t="s">
        <v>2378</v>
      </c>
      <c r="B432" t="s">
        <v>2379</v>
      </c>
      <c r="C432" s="1">
        <v>45205</v>
      </c>
      <c r="D432" s="1"/>
      <c r="E432" t="s">
        <v>2380</v>
      </c>
      <c r="F432" t="s">
        <v>28</v>
      </c>
      <c r="G432" t="s">
        <v>3489</v>
      </c>
      <c r="H432" t="s">
        <v>2378</v>
      </c>
      <c r="I432" t="s">
        <v>3780</v>
      </c>
      <c r="K432" t="s">
        <v>3381</v>
      </c>
      <c r="L432" t="s">
        <v>3406</v>
      </c>
      <c r="M432" t="str">
        <f t="shared" si="12"/>
        <v>I23</v>
      </c>
      <c r="N432" t="s">
        <v>3414</v>
      </c>
      <c r="O432" t="s">
        <v>3415</v>
      </c>
      <c r="P432" t="s">
        <v>3416</v>
      </c>
      <c r="R432" t="str">
        <f t="shared" si="13"/>
        <v>INSERT INTO stock (ticker, name, listing_date, sub_industry, industry, sector, status) VALUES ('IOTF', 'Sumber Sinergi Makmur Tbk.', '2023-10-06', 'I231', 'I23', 'IDXTECHNO', (SELECT id FROM attribute WHERE type = 'STOCK_STATUS' AND code = 'LISTED')) ON CONFLICT DO NOTHING;</v>
      </c>
    </row>
    <row r="433" spans="1:18" x14ac:dyDescent="0.2">
      <c r="A433" t="s">
        <v>1963</v>
      </c>
      <c r="B433" t="s">
        <v>1964</v>
      </c>
      <c r="C433" s="1">
        <v>44377</v>
      </c>
      <c r="D433" s="1"/>
      <c r="E433" t="s">
        <v>1965</v>
      </c>
      <c r="F433" t="s">
        <v>1847</v>
      </c>
      <c r="G433" t="s">
        <v>3489</v>
      </c>
      <c r="H433" t="s">
        <v>1963</v>
      </c>
      <c r="I433" t="s">
        <v>3343</v>
      </c>
      <c r="K433" t="s">
        <v>3306</v>
      </c>
      <c r="L433" t="s">
        <v>3307</v>
      </c>
      <c r="M433" t="str">
        <f t="shared" si="12"/>
        <v>H11</v>
      </c>
      <c r="N433" t="s">
        <v>3308</v>
      </c>
      <c r="O433" t="s">
        <v>3309</v>
      </c>
      <c r="P433" t="s">
        <v>3310</v>
      </c>
      <c r="R433" t="str">
        <f t="shared" si="13"/>
        <v>INSERT INTO stock (ticker, name, listing_date, sub_industry, industry, sector, status) VALUES ('IPAC', 'Era Graharealty Tbk.', '2021-06-30', 'H111', 'H11', 'IDXPROPERT', (SELECT id FROM attribute WHERE type = 'STOCK_STATUS' AND code = 'LISTED')) ON CONFLICT DO NOTHING;</v>
      </c>
    </row>
    <row r="434" spans="1:18" x14ac:dyDescent="0.2">
      <c r="A434" t="s">
        <v>1549</v>
      </c>
      <c r="B434" t="s">
        <v>3591</v>
      </c>
      <c r="C434" s="1">
        <v>43290</v>
      </c>
      <c r="D434" s="1"/>
      <c r="E434" t="s">
        <v>1550</v>
      </c>
      <c r="F434" t="s">
        <v>8</v>
      </c>
      <c r="G434" t="s">
        <v>3489</v>
      </c>
      <c r="H434" t="s">
        <v>1549</v>
      </c>
      <c r="I434" t="s">
        <v>3591</v>
      </c>
      <c r="K434" t="s">
        <v>3418</v>
      </c>
      <c r="L434" t="s">
        <v>3419</v>
      </c>
      <c r="M434" t="str">
        <f t="shared" si="12"/>
        <v>J11</v>
      </c>
      <c r="N434" t="s">
        <v>3429</v>
      </c>
      <c r="O434" t="s">
        <v>3421</v>
      </c>
      <c r="P434" t="s">
        <v>3430</v>
      </c>
      <c r="R434" t="str">
        <f t="shared" si="13"/>
        <v>INSERT INTO stock (ticker, name, listing_date, sub_industry, industry, sector, status) VALUES ('IPCC', 'Indonesia Kendaraan Terminal Tbk.', '2018-07-09', 'J113', 'J11', 'IDXINFRA', (SELECT id FROM attribute WHERE type = 'STOCK_STATUS' AND code = 'LISTED')) ON CONFLICT DO NOTHING;</v>
      </c>
    </row>
    <row r="435" spans="1:18" x14ac:dyDescent="0.2">
      <c r="A435" t="s">
        <v>1486</v>
      </c>
      <c r="B435" t="s">
        <v>1487</v>
      </c>
      <c r="C435" s="1">
        <v>43091</v>
      </c>
      <c r="D435" s="1"/>
      <c r="E435" t="s">
        <v>1488</v>
      </c>
      <c r="F435" t="s">
        <v>8</v>
      </c>
      <c r="G435" t="s">
        <v>3489</v>
      </c>
      <c r="H435" t="s">
        <v>1486</v>
      </c>
      <c r="I435" t="s">
        <v>1487</v>
      </c>
      <c r="K435" t="s">
        <v>3418</v>
      </c>
      <c r="L435" t="s">
        <v>3419</v>
      </c>
      <c r="M435" t="str">
        <f t="shared" si="12"/>
        <v>J11</v>
      </c>
      <c r="N435" t="s">
        <v>3429</v>
      </c>
      <c r="O435" t="s">
        <v>3421</v>
      </c>
      <c r="P435" t="s">
        <v>3430</v>
      </c>
      <c r="R435" t="str">
        <f t="shared" si="13"/>
        <v>INSERT INTO stock (ticker, name, listing_date, sub_industry, industry, sector, status) VALUES ('IPCM', 'Jasa Armada Indonesia Tbk.', '2017-12-22', 'J113', 'J11', 'IDXINFRA', (SELECT id FROM attribute WHERE type = 'STOCK_STATUS' AND code = 'LISTED')) ON CONFLICT DO NOTHING;</v>
      </c>
    </row>
    <row r="436" spans="1:18" x14ac:dyDescent="0.2">
      <c r="A436" t="s">
        <v>655</v>
      </c>
      <c r="B436" t="s">
        <v>3592</v>
      </c>
      <c r="C436" s="1">
        <v>40368</v>
      </c>
      <c r="D436" s="1"/>
      <c r="E436" t="s">
        <v>657</v>
      </c>
      <c r="F436" t="s">
        <v>28</v>
      </c>
      <c r="G436" t="s">
        <v>3489</v>
      </c>
      <c r="H436" t="s">
        <v>655</v>
      </c>
      <c r="I436" t="s">
        <v>656</v>
      </c>
      <c r="K436" t="s">
        <v>2778</v>
      </c>
      <c r="L436" t="s">
        <v>2779</v>
      </c>
      <c r="M436" t="str">
        <f t="shared" si="12"/>
        <v>B13</v>
      </c>
      <c r="N436" t="s">
        <v>2812</v>
      </c>
      <c r="O436" t="s">
        <v>2813</v>
      </c>
      <c r="P436" t="s">
        <v>2813</v>
      </c>
      <c r="R436" t="str">
        <f t="shared" si="13"/>
        <v>INSERT INTO stock (ticker, name, listing_date, sub_industry, industry, sector, status) VALUES ('IPOL', 'Indopoly Swakarsa Industry Tbk.', '2010-07-09', 'B131', 'B13', 'IDXBASIC', (SELECT id FROM attribute WHERE type = 'STOCK_STATUS' AND code = 'LISTED')) ON CONFLICT DO NOTHING;</v>
      </c>
    </row>
    <row r="437" spans="1:18" x14ac:dyDescent="0.2">
      <c r="A437" t="s">
        <v>2049</v>
      </c>
      <c r="B437" t="s">
        <v>2050</v>
      </c>
      <c r="C437" s="1">
        <v>44539</v>
      </c>
      <c r="D437" s="1"/>
      <c r="E437" t="s">
        <v>2051</v>
      </c>
      <c r="F437" t="s">
        <v>12</v>
      </c>
      <c r="G437" t="s">
        <v>3489</v>
      </c>
      <c r="H437" t="s">
        <v>2049</v>
      </c>
      <c r="I437" t="s">
        <v>3019</v>
      </c>
      <c r="K437" t="s">
        <v>2945</v>
      </c>
      <c r="L437" t="s">
        <v>2961</v>
      </c>
      <c r="M437" t="str">
        <f t="shared" si="12"/>
        <v>D23</v>
      </c>
      <c r="N437" t="s">
        <v>3013</v>
      </c>
      <c r="O437" t="s">
        <v>2999</v>
      </c>
      <c r="P437" t="s">
        <v>3014</v>
      </c>
      <c r="R437" t="str">
        <f t="shared" si="13"/>
        <v>INSERT INTO stock (ticker, name, listing_date, sub_industry, industry, sector, status) VALUES ('IPPE', 'Indo Pureco Pratama Tbk.', '2021-12-09', 'D232', 'D23', 'IDXNONCYC', (SELECT id FROM attribute WHERE type = 'STOCK_STATUS' AND code = 'LISTED')) ON CONFLICT DO NOTHING;</v>
      </c>
    </row>
    <row r="438" spans="1:18" x14ac:dyDescent="0.2">
      <c r="A438" t="s">
        <v>1700</v>
      </c>
      <c r="B438" t="s">
        <v>1701</v>
      </c>
      <c r="C438" s="1">
        <v>43654</v>
      </c>
      <c r="D438" s="1"/>
      <c r="E438" t="s">
        <v>1702</v>
      </c>
      <c r="F438" t="s">
        <v>12</v>
      </c>
      <c r="G438" t="s">
        <v>3489</v>
      </c>
      <c r="H438" t="s">
        <v>1700</v>
      </c>
      <c r="I438" t="s">
        <v>3157</v>
      </c>
      <c r="K438" t="s">
        <v>3039</v>
      </c>
      <c r="L438" t="s">
        <v>3145</v>
      </c>
      <c r="M438" t="str">
        <f t="shared" si="12"/>
        <v>E61</v>
      </c>
      <c r="N438" t="s">
        <v>3158</v>
      </c>
      <c r="O438" t="s">
        <v>3147</v>
      </c>
      <c r="P438" t="s">
        <v>3159</v>
      </c>
      <c r="R438" t="str">
        <f t="shared" si="13"/>
        <v>INSERT INTO stock (ticker, name, listing_date, sub_industry, industry, sector, status) VALUES ('IPTV', 'MNC Vision Networks Tbk.', '2019-07-08', 'E613', 'E61', 'IDXCYCLIC', (SELECT id FROM attribute WHERE type = 'STOCK_STATUS' AND code = 'LISTED')) ON CONFLICT DO NOTHING;</v>
      </c>
    </row>
    <row r="439" spans="1:18" x14ac:dyDescent="0.2">
      <c r="A439" t="s">
        <v>1751</v>
      </c>
      <c r="B439" t="s">
        <v>1752</v>
      </c>
      <c r="C439" s="1">
        <v>43753</v>
      </c>
      <c r="D439" s="1"/>
      <c r="E439" t="s">
        <v>514</v>
      </c>
      <c r="F439" t="s">
        <v>28</v>
      </c>
      <c r="G439" t="s">
        <v>3489</v>
      </c>
      <c r="H439" t="s">
        <v>1751</v>
      </c>
      <c r="I439" t="s">
        <v>3204</v>
      </c>
      <c r="K439" t="s">
        <v>3199</v>
      </c>
      <c r="L439" t="s">
        <v>3200</v>
      </c>
      <c r="M439" t="str">
        <f t="shared" si="12"/>
        <v>F11</v>
      </c>
      <c r="N439" t="s">
        <v>3201</v>
      </c>
      <c r="O439" t="s">
        <v>3202</v>
      </c>
      <c r="P439" t="s">
        <v>3203</v>
      </c>
      <c r="R439" t="str">
        <f t="shared" si="13"/>
        <v>INSERT INTO stock (ticker, name, listing_date, sub_industry, industry, sector, status) VALUES ('IRRA', 'Itama Ranoraya Tbk.', '2019-10-15', 'F112', 'F11', 'IDXHEALTH', (SELECT id FROM attribute WHERE type = 'STOCK_STATUS' AND code = 'LISTED')) ON CONFLICT DO NOTHING;</v>
      </c>
    </row>
    <row r="440" spans="1:18" x14ac:dyDescent="0.2">
      <c r="A440" t="s">
        <v>2250</v>
      </c>
      <c r="B440" t="s">
        <v>2251</v>
      </c>
      <c r="C440" s="1">
        <v>44964</v>
      </c>
      <c r="D440" s="1"/>
      <c r="E440" t="s">
        <v>2252</v>
      </c>
      <c r="F440" t="s">
        <v>28</v>
      </c>
      <c r="G440" t="s">
        <v>3489</v>
      </c>
      <c r="H440" t="s">
        <v>2250</v>
      </c>
      <c r="I440" t="s">
        <v>2251</v>
      </c>
      <c r="K440" t="s">
        <v>3381</v>
      </c>
      <c r="L440" t="s">
        <v>3382</v>
      </c>
      <c r="M440" t="str">
        <f t="shared" si="12"/>
        <v>I13</v>
      </c>
      <c r="N440" t="s">
        <v>3402</v>
      </c>
      <c r="O440" t="s">
        <v>3403</v>
      </c>
      <c r="P440" t="s">
        <v>3403</v>
      </c>
      <c r="R440" t="str">
        <f t="shared" si="13"/>
        <v>INSERT INTO stock (ticker, name, listing_date, sub_industry, industry, sector, status) VALUES ('IRSX', 'Folago Global Nusantara Tbk.', '2023-02-07', 'I131', 'I13', 'IDXTECHNO', (SELECT id FROM attribute WHERE type = 'STOCK_STATUS' AND code = 'LISTED')) ON CONFLICT DO NOTHING;</v>
      </c>
    </row>
    <row r="441" spans="1:18" x14ac:dyDescent="0.2">
      <c r="A441" t="s">
        <v>2211</v>
      </c>
      <c r="B441" t="s">
        <v>2212</v>
      </c>
      <c r="C441" s="1">
        <v>44904</v>
      </c>
      <c r="D441" s="1"/>
      <c r="E441" t="s">
        <v>2213</v>
      </c>
      <c r="F441" t="s">
        <v>1847</v>
      </c>
      <c r="G441" t="s">
        <v>3489</v>
      </c>
      <c r="H441" t="s">
        <v>2211</v>
      </c>
      <c r="I441" t="s">
        <v>2212</v>
      </c>
      <c r="K441" t="s">
        <v>3039</v>
      </c>
      <c r="L441" t="s">
        <v>3040</v>
      </c>
      <c r="M441" t="str">
        <f t="shared" si="12"/>
        <v>E11</v>
      </c>
      <c r="N441" t="s">
        <v>3041</v>
      </c>
      <c r="O441" t="s">
        <v>3042</v>
      </c>
      <c r="P441" t="s">
        <v>3043</v>
      </c>
      <c r="R441" t="str">
        <f t="shared" si="13"/>
        <v>INSERT INTO stock (ticker, name, listing_date, sub_industry, industry, sector, status) VALUES ('ISAP', 'Isra Presisi Indonesia Tbk.', '2022-12-09', 'E111', 'E11', 'IDXCYCLIC', (SELECT id FROM attribute WHERE type = 'STOCK_STATUS' AND code = 'LISTED')) ON CONFLICT DO NOTHING;</v>
      </c>
    </row>
    <row r="442" spans="1:18" x14ac:dyDescent="0.2">
      <c r="A442" t="s">
        <v>658</v>
      </c>
      <c r="B442" t="s">
        <v>659</v>
      </c>
      <c r="C442" s="1">
        <v>34626</v>
      </c>
      <c r="D442" s="1"/>
      <c r="E442" t="s">
        <v>660</v>
      </c>
      <c r="F442" t="s">
        <v>8</v>
      </c>
      <c r="G442" t="s">
        <v>3489</v>
      </c>
      <c r="H442" t="s">
        <v>658</v>
      </c>
      <c r="I442" t="s">
        <v>3781</v>
      </c>
      <c r="K442" t="s">
        <v>3418</v>
      </c>
      <c r="L442" t="s">
        <v>3439</v>
      </c>
      <c r="M442" t="str">
        <f t="shared" si="12"/>
        <v>J32</v>
      </c>
      <c r="N442" t="s">
        <v>3449</v>
      </c>
      <c r="O442" t="s">
        <v>3450</v>
      </c>
      <c r="P442" t="s">
        <v>3450</v>
      </c>
      <c r="R442" t="str">
        <f t="shared" si="13"/>
        <v>INSERT INTO stock (ticker, name, listing_date, sub_industry, industry, sector, status) VALUES ('ISAT', 'Indosat Tbk.', '1994-10-19', 'J321', 'J32', 'IDXINFRA', (SELECT id FROM attribute WHERE type = 'STOCK_STATUS' AND code = 'LISTED')) ON CONFLICT DO NOTHING;</v>
      </c>
    </row>
    <row r="443" spans="1:18" x14ac:dyDescent="0.2">
      <c r="A443" t="s">
        <v>2474</v>
      </c>
      <c r="B443" t="s">
        <v>2475</v>
      </c>
      <c r="C443" s="1">
        <v>45481</v>
      </c>
      <c r="D443" s="1"/>
      <c r="E443" t="s">
        <v>2476</v>
      </c>
      <c r="F443" t="s">
        <v>28</v>
      </c>
      <c r="G443" t="s">
        <v>3489</v>
      </c>
      <c r="H443" t="s">
        <v>2474</v>
      </c>
      <c r="I443" t="s">
        <v>3782</v>
      </c>
      <c r="K443" t="s">
        <v>2945</v>
      </c>
      <c r="L443" t="s">
        <v>2961</v>
      </c>
      <c r="M443" t="str">
        <f t="shared" si="12"/>
        <v>D23</v>
      </c>
      <c r="N443" t="s">
        <v>2998</v>
      </c>
      <c r="O443" t="s">
        <v>2999</v>
      </c>
      <c r="P443" t="s">
        <v>3000</v>
      </c>
      <c r="R443" t="str">
        <f t="shared" si="13"/>
        <v>INSERT INTO stock (ticker, name, listing_date, sub_industry, industry, sector, status) VALUES ('ISEA', 'Indo American Seafoods Tbk.', '2024-07-08', 'D231', 'D23', 'IDXNONCYC', (SELECT id FROM attribute WHERE type = 'STOCK_STATUS' AND code = 'LISTED')) ON CONFLICT DO NOTHING;</v>
      </c>
    </row>
    <row r="444" spans="1:18" x14ac:dyDescent="0.2">
      <c r="A444" t="s">
        <v>661</v>
      </c>
      <c r="B444" t="s">
        <v>3593</v>
      </c>
      <c r="C444" s="1">
        <v>41327</v>
      </c>
      <c r="D444" s="1"/>
      <c r="E444" t="s">
        <v>662</v>
      </c>
      <c r="F444" t="s">
        <v>8</v>
      </c>
      <c r="G444" t="s">
        <v>3489</v>
      </c>
      <c r="H444" t="s">
        <v>661</v>
      </c>
      <c r="I444" t="s">
        <v>2845</v>
      </c>
      <c r="K444" t="s">
        <v>2778</v>
      </c>
      <c r="L444" t="s">
        <v>2779</v>
      </c>
      <c r="M444" t="str">
        <f t="shared" si="12"/>
        <v>B14</v>
      </c>
      <c r="N444" t="s">
        <v>2839</v>
      </c>
      <c r="O444" t="s">
        <v>2824</v>
      </c>
      <c r="P444" t="s">
        <v>2840</v>
      </c>
      <c r="R444" t="str">
        <f t="shared" si="13"/>
        <v>INSERT INTO stock (ticker, name, listing_date, sub_industry, industry, sector, status) VALUES ('ISSP', 'Steel Pipe Industry of Indonesia Tbk.', '2013-02-22', 'B144', 'B14', 'IDXBASIC', (SELECT id FROM attribute WHERE type = 'STOCK_STATUS' AND code = 'LISTED')) ON CONFLICT DO NOTHING;</v>
      </c>
    </row>
    <row r="445" spans="1:18" x14ac:dyDescent="0.2">
      <c r="A445" t="s">
        <v>1694</v>
      </c>
      <c r="B445" t="s">
        <v>1695</v>
      </c>
      <c r="C445" s="1">
        <v>43650</v>
      </c>
      <c r="D445" s="1"/>
      <c r="E445" t="s">
        <v>1696</v>
      </c>
      <c r="F445" t="s">
        <v>28</v>
      </c>
      <c r="G445" t="s">
        <v>3489</v>
      </c>
      <c r="H445" t="s">
        <v>1694</v>
      </c>
      <c r="I445" t="s">
        <v>1695</v>
      </c>
      <c r="K445" t="s">
        <v>2945</v>
      </c>
      <c r="L445" t="s">
        <v>3029</v>
      </c>
      <c r="M445" t="str">
        <f t="shared" si="12"/>
        <v>D31</v>
      </c>
      <c r="N445" t="s">
        <v>3030</v>
      </c>
      <c r="O445" t="s">
        <v>3029</v>
      </c>
      <c r="P445" t="s">
        <v>3029</v>
      </c>
      <c r="R445" t="str">
        <f t="shared" si="13"/>
        <v>INSERT INTO stock (ticker, name, listing_date, sub_industry, industry, sector, status) VALUES ('ITIC', 'Indonesian Tobacco Tbk.', '2019-07-04', 'D311', 'D31', 'IDXNONCYC', (SELECT id FROM attribute WHERE type = 'STOCK_STATUS' AND code = 'LISTED')) ON CONFLICT DO NOTHING;</v>
      </c>
    </row>
    <row r="446" spans="1:18" x14ac:dyDescent="0.2">
      <c r="A446" t="s">
        <v>663</v>
      </c>
      <c r="B446" t="s">
        <v>664</v>
      </c>
      <c r="C446" s="1">
        <v>33217</v>
      </c>
      <c r="D446" s="1"/>
      <c r="E446" t="s">
        <v>665</v>
      </c>
      <c r="F446" t="s">
        <v>28</v>
      </c>
      <c r="G446" t="s">
        <v>3489</v>
      </c>
      <c r="H446" t="s">
        <v>663</v>
      </c>
      <c r="I446" t="s">
        <v>2765</v>
      </c>
      <c r="K446" t="s">
        <v>2701</v>
      </c>
      <c r="L446" t="s">
        <v>2702</v>
      </c>
      <c r="M446" t="str">
        <f t="shared" si="12"/>
        <v>A13</v>
      </c>
      <c r="N446" t="s">
        <v>2763</v>
      </c>
      <c r="O446" t="s">
        <v>2760</v>
      </c>
      <c r="P446" t="s">
        <v>2764</v>
      </c>
      <c r="R446" t="str">
        <f t="shared" si="13"/>
        <v>INSERT INTO stock (ticker, name, listing_date, sub_industry, industry, sector, status) VALUES ('ITMA', 'Sumber Energi Andalan Tbk.', '1990-12-10', 'A132', 'A13', 'IDXENERGY', (SELECT id FROM attribute WHERE type = 'STOCK_STATUS' AND code = 'LISTED')) ON CONFLICT DO NOTHING;</v>
      </c>
    </row>
    <row r="447" spans="1:18" x14ac:dyDescent="0.2">
      <c r="A447" t="s">
        <v>666</v>
      </c>
      <c r="B447" t="s">
        <v>667</v>
      </c>
      <c r="C447" s="1">
        <v>39434</v>
      </c>
      <c r="D447" s="1"/>
      <c r="E447" t="s">
        <v>668</v>
      </c>
      <c r="F447" t="s">
        <v>8</v>
      </c>
      <c r="G447" t="s">
        <v>3489</v>
      </c>
      <c r="H447" t="s">
        <v>666</v>
      </c>
      <c r="I447" t="s">
        <v>2735</v>
      </c>
      <c r="K447" t="s">
        <v>2701</v>
      </c>
      <c r="L447" t="s">
        <v>2702</v>
      </c>
      <c r="M447" t="str">
        <f t="shared" si="12"/>
        <v>A12</v>
      </c>
      <c r="N447" t="s">
        <v>2723</v>
      </c>
      <c r="O447" t="s">
        <v>2724</v>
      </c>
      <c r="P447" t="s">
        <v>2725</v>
      </c>
      <c r="R447" t="str">
        <f t="shared" si="13"/>
        <v>INSERT INTO stock (ticker, name, listing_date, sub_industry, industry, sector, status) VALUES ('ITMG', 'Indo Tambangraya Megah Tbk.', '2007-12-18', 'A121', 'A12', 'IDXENERGY', (SELECT id FROM attribute WHERE type = 'STOCK_STATUS' AND code = 'LISTED')) ON CONFLICT DO NOTHING;</v>
      </c>
    </row>
    <row r="448" spans="1:18" x14ac:dyDescent="0.2">
      <c r="A448" t="s">
        <v>2143</v>
      </c>
      <c r="B448" t="s">
        <v>2144</v>
      </c>
      <c r="C448" s="1">
        <v>44777</v>
      </c>
      <c r="D448" s="1"/>
      <c r="E448" t="s">
        <v>2145</v>
      </c>
      <c r="F448" t="s">
        <v>8</v>
      </c>
      <c r="G448" t="s">
        <v>3489</v>
      </c>
      <c r="H448" t="s">
        <v>2143</v>
      </c>
      <c r="I448" t="s">
        <v>3783</v>
      </c>
      <c r="K448" t="s">
        <v>2945</v>
      </c>
      <c r="L448" t="s">
        <v>2961</v>
      </c>
      <c r="M448" t="str">
        <f t="shared" si="12"/>
        <v>D23</v>
      </c>
      <c r="N448" t="s">
        <v>3013</v>
      </c>
      <c r="O448" t="s">
        <v>2999</v>
      </c>
      <c r="P448" t="s">
        <v>3014</v>
      </c>
      <c r="R448" t="str">
        <f t="shared" si="13"/>
        <v>INSERT INTO stock (ticker, name, listing_date, sub_industry, industry, sector, status) VALUES ('JARR', 'Jhonlin Agro Raya Tbk.', '2022-08-04', 'D232', 'D23', 'IDXNONCYC', (SELECT id FROM attribute WHERE type = 'STOCK_STATUS' AND code = 'LISTED')) ON CONFLICT DO NOTHING;</v>
      </c>
    </row>
    <row r="449" spans="1:18" x14ac:dyDescent="0.2">
      <c r="A449" t="s">
        <v>1672</v>
      </c>
      <c r="B449" t="s">
        <v>1673</v>
      </c>
      <c r="C449" s="1">
        <v>43601</v>
      </c>
      <c r="D449" s="1"/>
      <c r="E449" t="s">
        <v>1674</v>
      </c>
      <c r="F449" t="s">
        <v>28</v>
      </c>
      <c r="G449" t="s">
        <v>3489</v>
      </c>
      <c r="H449" t="s">
        <v>1672</v>
      </c>
      <c r="I449" t="s">
        <v>3443</v>
      </c>
      <c r="K449" t="s">
        <v>3418</v>
      </c>
      <c r="L449" t="s">
        <v>3439</v>
      </c>
      <c r="M449" t="str">
        <f t="shared" si="12"/>
        <v>J31</v>
      </c>
      <c r="N449" t="s">
        <v>3440</v>
      </c>
      <c r="O449" t="s">
        <v>3441</v>
      </c>
      <c r="P449" t="s">
        <v>3442</v>
      </c>
      <c r="R449" t="str">
        <f t="shared" si="13"/>
        <v>INSERT INTO stock (ticker, name, listing_date, sub_industry, industry, sector, status) VALUES ('JAST', 'Jasnita Telekomindo Tbk.', '2019-05-16', 'J311', 'J31', 'IDXINFRA', (SELECT id FROM attribute WHERE type = 'STOCK_STATUS' AND code = 'LISTED')) ON CONFLICT DO NOTHING;</v>
      </c>
    </row>
    <row r="450" spans="1:18" x14ac:dyDescent="0.2">
      <c r="A450" t="s">
        <v>2298</v>
      </c>
      <c r="B450" t="s">
        <v>3594</v>
      </c>
      <c r="C450" s="1">
        <v>45054</v>
      </c>
      <c r="D450" s="1"/>
      <c r="E450" t="s">
        <v>2299</v>
      </c>
      <c r="F450" t="s">
        <v>28</v>
      </c>
      <c r="G450" t="s">
        <v>3489</v>
      </c>
      <c r="H450" t="s">
        <v>2298</v>
      </c>
      <c r="I450" t="s">
        <v>3594</v>
      </c>
      <c r="K450" t="s">
        <v>3381</v>
      </c>
      <c r="L450" t="s">
        <v>3382</v>
      </c>
      <c r="M450" t="str">
        <f t="shared" ref="M450:M513" si="14">LEFT(N450, 3)</f>
        <v>I11</v>
      </c>
      <c r="N450" t="s">
        <v>3383</v>
      </c>
      <c r="O450" t="s">
        <v>3384</v>
      </c>
      <c r="P450" t="s">
        <v>3384</v>
      </c>
      <c r="R450" t="str">
        <f t="shared" si="13"/>
        <v>INSERT INTO stock (ticker, name, listing_date, sub_industry, industry, sector, status) VALUES ('JATI', 'Informasi Teknologi Indonesia Tbk.', '2023-05-08', 'I111', 'I11', 'IDXTECHNO', (SELECT id FROM attribute WHERE type = 'STOCK_STATUS' AND code = 'LISTED')) ON CONFLICT DO NOTHING;</v>
      </c>
    </row>
    <row r="451" spans="1:18" x14ac:dyDescent="0.2">
      <c r="A451" t="s">
        <v>669</v>
      </c>
      <c r="B451" t="s">
        <v>670</v>
      </c>
      <c r="C451" s="1">
        <v>40693</v>
      </c>
      <c r="D451" s="1"/>
      <c r="E451" t="s">
        <v>671</v>
      </c>
      <c r="F451" t="s">
        <v>28</v>
      </c>
      <c r="G451" t="s">
        <v>3489</v>
      </c>
      <c r="H451" t="s">
        <v>669</v>
      </c>
      <c r="I451" t="s">
        <v>3020</v>
      </c>
      <c r="K451" t="s">
        <v>2945</v>
      </c>
      <c r="L451" t="s">
        <v>2961</v>
      </c>
      <c r="M451" t="str">
        <f t="shared" si="14"/>
        <v>D23</v>
      </c>
      <c r="N451" t="s">
        <v>3013</v>
      </c>
      <c r="O451" t="s">
        <v>2999</v>
      </c>
      <c r="P451" t="s">
        <v>3014</v>
      </c>
      <c r="R451" t="str">
        <f t="shared" ref="R451:R514" si="15">CONCATENATE($R$1, A451, "', '", B451, "', '", TEXT(C451, "YYYY-MM-DD"), "', '", N451, "', '", M451, "', '", K451, "', ", $S$1, ") ON CONFLICT DO NOTHING;")</f>
        <v>INSERT INTO stock (ticker, name, listing_date, sub_industry, industry, sector, status) VALUES ('JAWA', 'Jaya Agra Wattie Tbk.', '2011-05-30', 'D232', 'D23', 'IDXNONCYC', (SELECT id FROM attribute WHERE type = 'STOCK_STATUS' AND code = 'LISTED')) ON CONFLICT DO NOTHING;</v>
      </c>
    </row>
    <row r="452" spans="1:18" x14ac:dyDescent="0.2">
      <c r="A452" t="s">
        <v>1654</v>
      </c>
      <c r="B452" t="s">
        <v>1655</v>
      </c>
      <c r="C452" s="1">
        <v>43517</v>
      </c>
      <c r="D452" s="1"/>
      <c r="E452" t="s">
        <v>1656</v>
      </c>
      <c r="F452" t="s">
        <v>28</v>
      </c>
      <c r="G452" t="s">
        <v>3489</v>
      </c>
      <c r="H452" t="s">
        <v>1654</v>
      </c>
      <c r="I452" t="s">
        <v>1655</v>
      </c>
      <c r="K452" t="s">
        <v>3470</v>
      </c>
      <c r="L452" t="s">
        <v>3481</v>
      </c>
      <c r="M452" t="str">
        <f t="shared" si="14"/>
        <v>K21</v>
      </c>
      <c r="N452" t="s">
        <v>3482</v>
      </c>
      <c r="O452" t="s">
        <v>3481</v>
      </c>
      <c r="P452" t="s">
        <v>3481</v>
      </c>
      <c r="R452" t="str">
        <f t="shared" si="15"/>
        <v>INSERT INTO stock (ticker, name, listing_date, sub_industry, industry, sector, status) VALUES ('JAYA', 'Armada Berjaya Trans Tbk.', '2019-02-21', 'K211', 'K21', 'IDXTRANS', (SELECT id FROM attribute WHERE type = 'STOCK_STATUS' AND code = 'LISTED')) ON CONFLICT DO NOTHING;</v>
      </c>
    </row>
    <row r="453" spans="1:18" x14ac:dyDescent="0.2">
      <c r="A453" t="s">
        <v>672</v>
      </c>
      <c r="B453" t="s">
        <v>673</v>
      </c>
      <c r="C453" s="1">
        <v>33926</v>
      </c>
      <c r="D453" s="1"/>
      <c r="E453" t="s">
        <v>674</v>
      </c>
      <c r="F453" t="s">
        <v>28</v>
      </c>
      <c r="G453" t="s">
        <v>3489</v>
      </c>
      <c r="H453" t="s">
        <v>672</v>
      </c>
      <c r="I453" t="s">
        <v>2892</v>
      </c>
      <c r="K453" t="s">
        <v>2874</v>
      </c>
      <c r="L453" t="s">
        <v>2875</v>
      </c>
      <c r="M453" t="str">
        <f t="shared" si="14"/>
        <v>C13</v>
      </c>
      <c r="N453" t="s">
        <v>2888</v>
      </c>
      <c r="O453" t="s">
        <v>2889</v>
      </c>
      <c r="P453" t="s">
        <v>2890</v>
      </c>
      <c r="R453" t="str">
        <f t="shared" si="15"/>
        <v>INSERT INTO stock (ticker, name, listing_date, sub_industry, industry, sector, status) VALUES ('JECC', 'Jembo Cable Company Tbk.', '1992-11-18', 'C131', 'C13', 'IDXINDUST', (SELECT id FROM attribute WHERE type = 'STOCK_STATUS' AND code = 'LISTED')) ON CONFLICT DO NOTHING;</v>
      </c>
    </row>
    <row r="454" spans="1:18" x14ac:dyDescent="0.2">
      <c r="A454" t="s">
        <v>1356</v>
      </c>
      <c r="B454" t="s">
        <v>3595</v>
      </c>
      <c r="C454" s="1">
        <v>42550</v>
      </c>
      <c r="D454" s="1"/>
      <c r="E454" t="s">
        <v>1357</v>
      </c>
      <c r="F454" t="s">
        <v>12</v>
      </c>
      <c r="G454" t="s">
        <v>3489</v>
      </c>
      <c r="H454" t="s">
        <v>1356</v>
      </c>
      <c r="I454" t="s">
        <v>3127</v>
      </c>
      <c r="K454" t="s">
        <v>3039</v>
      </c>
      <c r="L454" t="s">
        <v>3092</v>
      </c>
      <c r="M454" t="str">
        <f t="shared" si="14"/>
        <v>E51</v>
      </c>
      <c r="N454" t="s">
        <v>3124</v>
      </c>
      <c r="O454" t="s">
        <v>3094</v>
      </c>
      <c r="P454" t="s">
        <v>3125</v>
      </c>
      <c r="R454" t="str">
        <f t="shared" si="15"/>
        <v>INSERT INTO stock (ticker, name, listing_date, sub_industry, industry, sector, status) VALUES ('JGLE', 'Graha Andrasentra Propertindo Tbk.', '2016-06-29', 'E514', 'E51', 'IDXCYCLIC', (SELECT id FROM attribute WHERE type = 'STOCK_STATUS' AND code = 'LISTED')) ON CONFLICT DO NOTHING;</v>
      </c>
    </row>
    <row r="455" spans="1:18" x14ac:dyDescent="0.2">
      <c r="A455" t="s">
        <v>675</v>
      </c>
      <c r="B455" t="s">
        <v>3596</v>
      </c>
      <c r="C455" s="1">
        <v>30741</v>
      </c>
      <c r="D455" s="1"/>
      <c r="E455" t="s">
        <v>676</v>
      </c>
      <c r="F455" t="s">
        <v>28</v>
      </c>
      <c r="G455" t="s">
        <v>3489</v>
      </c>
      <c r="H455" t="s">
        <v>675</v>
      </c>
      <c r="I455" t="s">
        <v>3106</v>
      </c>
      <c r="K455" t="s">
        <v>3039</v>
      </c>
      <c r="L455" t="s">
        <v>3092</v>
      </c>
      <c r="M455" t="str">
        <f t="shared" si="14"/>
        <v>E51</v>
      </c>
      <c r="N455" t="s">
        <v>3093</v>
      </c>
      <c r="O455" t="s">
        <v>3094</v>
      </c>
      <c r="P455" t="s">
        <v>3095</v>
      </c>
      <c r="R455" t="str">
        <f t="shared" si="15"/>
        <v>INSERT INTO stock (ticker, name, listing_date, sub_industry, industry, sector, status) VALUES ('JIHD', 'Jakarta International Hotels &amp; Development Tbk.', '1984-02-29', 'E512', 'E51', 'IDXCYCLIC', (SELECT id FROM attribute WHERE type = 'STOCK_STATUS' AND code = 'LISTED')) ON CONFLICT DO NOTHING;</v>
      </c>
    </row>
    <row r="456" spans="1:18" x14ac:dyDescent="0.2">
      <c r="A456" t="s">
        <v>677</v>
      </c>
      <c r="B456" t="s">
        <v>3597</v>
      </c>
      <c r="C456" s="1">
        <v>39420</v>
      </c>
      <c r="D456" s="1"/>
      <c r="E456" t="s">
        <v>678</v>
      </c>
      <c r="F456" t="s">
        <v>8</v>
      </c>
      <c r="G456" t="s">
        <v>3489</v>
      </c>
      <c r="H456" t="s">
        <v>677</v>
      </c>
      <c r="I456" t="s">
        <v>3436</v>
      </c>
      <c r="K456" t="s">
        <v>3418</v>
      </c>
      <c r="L456" t="s">
        <v>3432</v>
      </c>
      <c r="M456" t="str">
        <f t="shared" si="14"/>
        <v>J21</v>
      </c>
      <c r="N456" t="s">
        <v>3433</v>
      </c>
      <c r="O456" t="s">
        <v>3432</v>
      </c>
      <c r="P456" t="s">
        <v>3432</v>
      </c>
      <c r="R456" t="str">
        <f t="shared" si="15"/>
        <v>INSERT INTO stock (ticker, name, listing_date, sub_industry, industry, sector, status) VALUES ('JKON', 'Jaya Konstruksi Manggala Pratama Tbk.', '2007-12-04', 'J211', 'J21', 'IDXINFRA', (SELECT id FROM attribute WHERE type = 'STOCK_STATUS' AND code = 'LISTED')) ON CONFLICT DO NOTHING;</v>
      </c>
    </row>
    <row r="457" spans="1:18" x14ac:dyDescent="0.2">
      <c r="A457" t="s">
        <v>1482</v>
      </c>
      <c r="B457" t="s">
        <v>3598</v>
      </c>
      <c r="C457" s="1">
        <v>43087</v>
      </c>
      <c r="D457" s="1"/>
      <c r="E457" t="s">
        <v>355</v>
      </c>
      <c r="F457" t="s">
        <v>28</v>
      </c>
      <c r="G457" t="s">
        <v>3489</v>
      </c>
      <c r="H457" t="s">
        <v>1482</v>
      </c>
      <c r="I457" t="s">
        <v>3282</v>
      </c>
      <c r="K457" t="s">
        <v>3224</v>
      </c>
      <c r="L457" t="s">
        <v>3264</v>
      </c>
      <c r="M457" t="str">
        <f t="shared" si="14"/>
        <v>G41</v>
      </c>
      <c r="N457" t="s">
        <v>3280</v>
      </c>
      <c r="O457" t="s">
        <v>3264</v>
      </c>
      <c r="P457" t="s">
        <v>3281</v>
      </c>
      <c r="R457" t="str">
        <f t="shared" si="15"/>
        <v>INSERT INTO stock (ticker, name, listing_date, sub_industry, industry, sector, status) VALUES ('JMAS', 'Asuransi Jiwa Syariah Jasa Mitra Abadi Tbk.', '2017-12-18', 'G413', 'G41', 'IDXFINANCE', (SELECT id FROM attribute WHERE type = 'STOCK_STATUS' AND code = 'LISTED')) ON CONFLICT DO NOTHING;</v>
      </c>
    </row>
    <row r="458" spans="1:18" x14ac:dyDescent="0.2">
      <c r="A458" t="s">
        <v>679</v>
      </c>
      <c r="B458" t="s">
        <v>680</v>
      </c>
      <c r="C458" s="1">
        <v>32804</v>
      </c>
      <c r="D458" s="1"/>
      <c r="E458" t="s">
        <v>681</v>
      </c>
      <c r="F458" t="s">
        <v>8</v>
      </c>
      <c r="G458" t="s">
        <v>3489</v>
      </c>
      <c r="H458" t="s">
        <v>679</v>
      </c>
      <c r="I458" t="s">
        <v>3007</v>
      </c>
      <c r="K458" t="s">
        <v>2945</v>
      </c>
      <c r="L458" t="s">
        <v>2961</v>
      </c>
      <c r="M458" t="str">
        <f t="shared" si="14"/>
        <v>D23</v>
      </c>
      <c r="N458" t="s">
        <v>2998</v>
      </c>
      <c r="O458" t="s">
        <v>2999</v>
      </c>
      <c r="P458" t="s">
        <v>3000</v>
      </c>
      <c r="R458" t="str">
        <f t="shared" si="15"/>
        <v>INSERT INTO stock (ticker, name, listing_date, sub_industry, industry, sector, status) VALUES ('JPFA', 'Japfa Comfeed Indonesia Tbk.', '1989-10-23', 'D231', 'D23', 'IDXNONCYC', (SELECT id FROM attribute WHERE type = 'STOCK_STATUS' AND code = 'LISTED')) ON CONFLICT DO NOTHING;</v>
      </c>
    </row>
    <row r="459" spans="1:18" x14ac:dyDescent="0.2">
      <c r="A459" t="s">
        <v>682</v>
      </c>
      <c r="B459" t="s">
        <v>683</v>
      </c>
      <c r="C459" s="1">
        <v>34514</v>
      </c>
      <c r="D459" s="1"/>
      <c r="E459" t="s">
        <v>684</v>
      </c>
      <c r="F459" t="s">
        <v>8</v>
      </c>
      <c r="G459" t="s">
        <v>3489</v>
      </c>
      <c r="H459" t="s">
        <v>682</v>
      </c>
      <c r="I459" t="s">
        <v>3344</v>
      </c>
      <c r="K459" t="s">
        <v>3306</v>
      </c>
      <c r="L459" t="s">
        <v>3307</v>
      </c>
      <c r="M459" t="str">
        <f t="shared" si="14"/>
        <v>H11</v>
      </c>
      <c r="N459" t="s">
        <v>3308</v>
      </c>
      <c r="O459" t="s">
        <v>3309</v>
      </c>
      <c r="P459" t="s">
        <v>3310</v>
      </c>
      <c r="R459" t="str">
        <f t="shared" si="15"/>
        <v>INSERT INTO stock (ticker, name, listing_date, sub_industry, industry, sector, status) VALUES ('JRPT', 'Jaya Real Property Tbk.', '1994-06-29', 'H111', 'H11', 'IDXPROPERT', (SELECT id FROM attribute WHERE type = 'STOCK_STATUS' AND code = 'LISTED')) ON CONFLICT DO NOTHING;</v>
      </c>
    </row>
    <row r="460" spans="1:18" x14ac:dyDescent="0.2">
      <c r="A460" t="s">
        <v>1499</v>
      </c>
      <c r="B460" t="s">
        <v>1500</v>
      </c>
      <c r="C460" s="1">
        <v>43187</v>
      </c>
      <c r="D460" s="1"/>
      <c r="E460" t="s">
        <v>1501</v>
      </c>
      <c r="F460" t="s">
        <v>12</v>
      </c>
      <c r="G460" t="s">
        <v>3489</v>
      </c>
      <c r="H460" t="s">
        <v>1499</v>
      </c>
      <c r="I460" t="s">
        <v>2771</v>
      </c>
      <c r="K460" t="s">
        <v>2701</v>
      </c>
      <c r="L460" t="s">
        <v>2772</v>
      </c>
      <c r="M460" t="str">
        <f t="shared" si="14"/>
        <v>A21</v>
      </c>
      <c r="N460" t="s">
        <v>2773</v>
      </c>
      <c r="O460" t="s">
        <v>2774</v>
      </c>
      <c r="P460" t="s">
        <v>2774</v>
      </c>
      <c r="R460" t="str">
        <f t="shared" si="15"/>
        <v>INSERT INTO stock (ticker, name, listing_date, sub_industry, industry, sector, status) VALUES ('JSKY', 'Sky Energy Indonesia Tbk.', '2018-03-28', 'A211', 'A21', 'IDXENERGY', (SELECT id FROM attribute WHERE type = 'STOCK_STATUS' AND code = 'LISTED')) ON CONFLICT DO NOTHING;</v>
      </c>
    </row>
    <row r="461" spans="1:18" x14ac:dyDescent="0.2">
      <c r="A461" t="s">
        <v>685</v>
      </c>
      <c r="B461" t="s">
        <v>686</v>
      </c>
      <c r="C461" s="1">
        <v>39398</v>
      </c>
      <c r="D461" s="1"/>
      <c r="E461" t="s">
        <v>687</v>
      </c>
      <c r="F461" t="s">
        <v>8</v>
      </c>
      <c r="G461" t="s">
        <v>3489</v>
      </c>
      <c r="H461" t="s">
        <v>685</v>
      </c>
      <c r="I461" t="s">
        <v>3427</v>
      </c>
      <c r="K461" t="s">
        <v>3418</v>
      </c>
      <c r="L461" t="s">
        <v>3419</v>
      </c>
      <c r="M461" t="str">
        <f t="shared" si="14"/>
        <v>J11</v>
      </c>
      <c r="N461" t="s">
        <v>3425</v>
      </c>
      <c r="O461" t="s">
        <v>3421</v>
      </c>
      <c r="P461" t="s">
        <v>3426</v>
      </c>
      <c r="R461" t="str">
        <f t="shared" si="15"/>
        <v>INSERT INTO stock (ticker, name, listing_date, sub_industry, industry, sector, status) VALUES ('JSMR', 'Jasa Marga (Persero) Tbk.', '2007-11-12', 'J112', 'J11', 'IDXINFRA', (SELECT id FROM attribute WHERE type = 'STOCK_STATUS' AND code = 'LISTED')) ON CONFLICT DO NOTHING;</v>
      </c>
    </row>
    <row r="462" spans="1:18" x14ac:dyDescent="0.2">
      <c r="A462" t="s">
        <v>688</v>
      </c>
      <c r="B462" t="s">
        <v>3599</v>
      </c>
      <c r="C462" s="1">
        <v>35807</v>
      </c>
      <c r="D462" s="1"/>
      <c r="E462" t="s">
        <v>689</v>
      </c>
      <c r="F462" t="s">
        <v>28</v>
      </c>
      <c r="G462" t="s">
        <v>3489</v>
      </c>
      <c r="H462" t="s">
        <v>688</v>
      </c>
      <c r="I462" t="s">
        <v>3107</v>
      </c>
      <c r="K462" t="s">
        <v>3039</v>
      </c>
      <c r="L462" t="s">
        <v>3092</v>
      </c>
      <c r="M462" t="str">
        <f t="shared" si="14"/>
        <v>E51</v>
      </c>
      <c r="N462" t="s">
        <v>3093</v>
      </c>
      <c r="O462" t="s">
        <v>3094</v>
      </c>
      <c r="P462" t="s">
        <v>3095</v>
      </c>
      <c r="R462" t="str">
        <f t="shared" si="15"/>
        <v>INSERT INTO stock (ticker, name, listing_date, sub_industry, industry, sector, status) VALUES ('JSPT', 'Jakarta Setiabudi Internasional Tbk.', '1998-01-12', 'E512', 'E51', 'IDXCYCLIC', (SELECT id FROM attribute WHERE type = 'STOCK_STATUS' AND code = 'LISTED')) ON CONFLICT DO NOTHING;</v>
      </c>
    </row>
    <row r="463" spans="1:18" x14ac:dyDescent="0.2">
      <c r="A463" t="s">
        <v>690</v>
      </c>
      <c r="B463" t="s">
        <v>691</v>
      </c>
      <c r="C463" s="1">
        <v>37362</v>
      </c>
      <c r="D463" s="1"/>
      <c r="E463" t="s">
        <v>692</v>
      </c>
      <c r="F463" t="s">
        <v>8</v>
      </c>
      <c r="G463" t="s">
        <v>3489</v>
      </c>
      <c r="H463" t="s">
        <v>690</v>
      </c>
      <c r="I463" t="s">
        <v>2914</v>
      </c>
      <c r="K463" t="s">
        <v>2874</v>
      </c>
      <c r="L463" t="s">
        <v>2910</v>
      </c>
      <c r="M463" t="str">
        <f t="shared" si="14"/>
        <v>C22</v>
      </c>
      <c r="N463" t="s">
        <v>2915</v>
      </c>
      <c r="O463" t="s">
        <v>2916</v>
      </c>
      <c r="P463" t="s">
        <v>2917</v>
      </c>
      <c r="R463" t="str">
        <f t="shared" si="15"/>
        <v>INSERT INTO stock (ticker, name, listing_date, sub_industry, industry, sector, status) VALUES ('JTPE', 'Jasuindo Tiga Perkasa Tbk.', '2002-04-16', 'C221', 'C22', 'IDXINDUST', (SELECT id FROM attribute WHERE type = 'STOCK_STATUS' AND code = 'LISTED')) ON CONFLICT DO NOTHING;</v>
      </c>
    </row>
    <row r="464" spans="1:18" x14ac:dyDescent="0.2">
      <c r="A464" t="s">
        <v>693</v>
      </c>
      <c r="B464" t="s">
        <v>694</v>
      </c>
      <c r="C464" s="1">
        <v>37076</v>
      </c>
      <c r="D464" s="1"/>
      <c r="E464" t="s">
        <v>695</v>
      </c>
      <c r="F464" t="s">
        <v>28</v>
      </c>
      <c r="G464" t="s">
        <v>3489</v>
      </c>
      <c r="H464" t="s">
        <v>693</v>
      </c>
      <c r="I464" t="s">
        <v>3216</v>
      </c>
      <c r="K464" t="s">
        <v>3199</v>
      </c>
      <c r="L464" t="s">
        <v>3212</v>
      </c>
      <c r="M464" t="str">
        <f t="shared" si="14"/>
        <v>F21</v>
      </c>
      <c r="N464" t="s">
        <v>3213</v>
      </c>
      <c r="O464" t="s">
        <v>3214</v>
      </c>
      <c r="P464" t="s">
        <v>3214</v>
      </c>
      <c r="R464" t="str">
        <f t="shared" si="15"/>
        <v>INSERT INTO stock (ticker, name, listing_date, sub_industry, industry, sector, status) VALUES ('KAEF', 'Kimia Farma Tbk.', '2001-07-04', 'F211', 'F21', 'IDXHEALTH', (SELECT id FROM attribute WHERE type = 'STOCK_STATUS' AND code = 'LISTED')) ON CONFLICT DO NOTHING;</v>
      </c>
    </row>
    <row r="465" spans="1:18" x14ac:dyDescent="0.2">
      <c r="A465" t="s">
        <v>2569</v>
      </c>
      <c r="B465" t="s">
        <v>2570</v>
      </c>
      <c r="C465" s="1">
        <v>45726</v>
      </c>
      <c r="D465" s="1"/>
      <c r="E465" t="s">
        <v>2571</v>
      </c>
      <c r="F465" t="s">
        <v>28</v>
      </c>
      <c r="G465" t="s">
        <v>3489</v>
      </c>
      <c r="H465" t="s">
        <v>2569</v>
      </c>
      <c r="I465" t="s">
        <v>3784</v>
      </c>
      <c r="K465" t="s">
        <v>3039</v>
      </c>
      <c r="L465" t="s">
        <v>3040</v>
      </c>
      <c r="M465" t="str">
        <f t="shared" si="14"/>
        <v>E11</v>
      </c>
      <c r="N465" t="s">
        <v>3041</v>
      </c>
      <c r="O465" t="s">
        <v>3042</v>
      </c>
      <c r="P465" t="s">
        <v>3043</v>
      </c>
      <c r="R465" t="str">
        <f t="shared" si="15"/>
        <v>INSERT INTO stock (ticker, name, listing_date, sub_industry, industry, sector, status) VALUES ('KAQI', 'Jantra Grupo Indonesia Tbk.', '2025-03-10', 'E111', 'E11', 'IDXCYCLIC', (SELECT id FROM attribute WHERE type = 'STOCK_STATUS' AND code = 'LISTED')) ON CONFLICT DO NOTHING;</v>
      </c>
    </row>
    <row r="466" spans="1:18" x14ac:dyDescent="0.2">
      <c r="A466" t="s">
        <v>696</v>
      </c>
      <c r="B466" t="s">
        <v>697</v>
      </c>
      <c r="C466" s="1">
        <v>34688</v>
      </c>
      <c r="D466" s="1"/>
      <c r="E466" t="s">
        <v>698</v>
      </c>
      <c r="F466" t="s">
        <v>12</v>
      </c>
      <c r="G466" t="s">
        <v>3489</v>
      </c>
      <c r="H466" t="s">
        <v>696</v>
      </c>
      <c r="I466" t="s">
        <v>3431</v>
      </c>
      <c r="K466" t="s">
        <v>3418</v>
      </c>
      <c r="L466" t="s">
        <v>3419</v>
      </c>
      <c r="M466" t="str">
        <f t="shared" si="14"/>
        <v>J11</v>
      </c>
      <c r="N466" t="s">
        <v>3429</v>
      </c>
      <c r="O466" t="s">
        <v>3421</v>
      </c>
      <c r="P466" t="s">
        <v>3430</v>
      </c>
      <c r="R466" t="str">
        <f t="shared" si="15"/>
        <v>INSERT INTO stock (ticker, name, listing_date, sub_industry, industry, sector, status) VALUES ('KARW', 'Meratus Jasa Prima Tbk.', '1994-12-20', 'J113', 'J11', 'IDXINFRA', (SELECT id FROM attribute WHERE type = 'STOCK_STATUS' AND code = 'LISTED')) ON CONFLICT DO NOTHING;</v>
      </c>
    </row>
    <row r="467" spans="1:18" x14ac:dyDescent="0.2">
      <c r="A467" t="s">
        <v>1691</v>
      </c>
      <c r="B467" t="s">
        <v>1692</v>
      </c>
      <c r="C467" s="1">
        <v>43650</v>
      </c>
      <c r="D467" s="1"/>
      <c r="E467" t="s">
        <v>1693</v>
      </c>
      <c r="F467" t="s">
        <v>12</v>
      </c>
      <c r="G467" t="s">
        <v>3489</v>
      </c>
      <c r="H467" t="s">
        <v>1691</v>
      </c>
      <c r="I467" t="s">
        <v>2863</v>
      </c>
      <c r="K467" t="s">
        <v>2778</v>
      </c>
      <c r="L467" t="s">
        <v>2779</v>
      </c>
      <c r="M467" t="str">
        <f t="shared" si="14"/>
        <v>B15</v>
      </c>
      <c r="N467" t="s">
        <v>2860</v>
      </c>
      <c r="O467" t="s">
        <v>2861</v>
      </c>
      <c r="P467" t="s">
        <v>2862</v>
      </c>
      <c r="R467" t="str">
        <f t="shared" si="15"/>
        <v>INSERT INTO stock (ticker, name, listing_date, sub_industry, industry, sector, status) VALUES ('KAYU', 'Darmi Bersaudara Tbk.', '2019-07-04', 'B151', 'B15', 'IDXBASIC', (SELECT id FROM attribute WHERE type = 'STOCK_STATUS' AND code = 'LISTED')) ON CONFLICT DO NOTHING;</v>
      </c>
    </row>
    <row r="468" spans="1:18" x14ac:dyDescent="0.2">
      <c r="A468" t="s">
        <v>1830</v>
      </c>
      <c r="B468" t="s">
        <v>1831</v>
      </c>
      <c r="C468" s="1">
        <v>43929</v>
      </c>
      <c r="D468" s="1"/>
      <c r="E468" t="s">
        <v>1832</v>
      </c>
      <c r="F468" t="s">
        <v>12</v>
      </c>
      <c r="G468" t="s">
        <v>3489</v>
      </c>
      <c r="H468" t="s">
        <v>1830</v>
      </c>
      <c r="I468" t="s">
        <v>3345</v>
      </c>
      <c r="K468" t="s">
        <v>3306</v>
      </c>
      <c r="L468" t="s">
        <v>3307</v>
      </c>
      <c r="M468" t="str">
        <f t="shared" si="14"/>
        <v>H11</v>
      </c>
      <c r="N468" t="s">
        <v>3308</v>
      </c>
      <c r="O468" t="s">
        <v>3309</v>
      </c>
      <c r="P468" t="s">
        <v>3310</v>
      </c>
      <c r="R468" t="str">
        <f t="shared" si="15"/>
        <v>INSERT INTO stock (ticker, name, listing_date, sub_industry, industry, sector, status) VALUES ('KBAG', 'Karya Bersama Anugerah Tbk.', '2020-04-08', 'H111', 'H11', 'IDXPROPERT', (SELECT id FROM attribute WHERE type = 'STOCK_STATUS' AND code = 'LISTED')) ON CONFLICT DO NOTHING;</v>
      </c>
    </row>
    <row r="469" spans="1:18" x14ac:dyDescent="0.2">
      <c r="A469" t="s">
        <v>699</v>
      </c>
      <c r="B469" t="s">
        <v>700</v>
      </c>
      <c r="C469" s="1">
        <v>33791</v>
      </c>
      <c r="D469" s="1"/>
      <c r="E469" t="s">
        <v>701</v>
      </c>
      <c r="F469" t="s">
        <v>8</v>
      </c>
      <c r="G469" t="s">
        <v>3489</v>
      </c>
      <c r="H469" t="s">
        <v>699</v>
      </c>
      <c r="I469" t="s">
        <v>2893</v>
      </c>
      <c r="K469" t="s">
        <v>2874</v>
      </c>
      <c r="L469" t="s">
        <v>2875</v>
      </c>
      <c r="M469" t="str">
        <f t="shared" si="14"/>
        <v>C13</v>
      </c>
      <c r="N469" t="s">
        <v>2888</v>
      </c>
      <c r="O469" t="s">
        <v>2889</v>
      </c>
      <c r="P469" t="s">
        <v>2890</v>
      </c>
      <c r="R469" t="str">
        <f t="shared" si="15"/>
        <v>INSERT INTO stock (ticker, name, listing_date, sub_industry, industry, sector, status) VALUES ('KBLI', 'KMI Wire &amp; Cable Tbk.', '1992-07-06', 'C131', 'C13', 'IDXINDUST', (SELECT id FROM attribute WHERE type = 'STOCK_STATUS' AND code = 'LISTED')) ON CONFLICT DO NOTHING;</v>
      </c>
    </row>
    <row r="470" spans="1:18" x14ac:dyDescent="0.2">
      <c r="A470" t="s">
        <v>702</v>
      </c>
      <c r="B470" t="s">
        <v>703</v>
      </c>
      <c r="C470" s="1">
        <v>33756</v>
      </c>
      <c r="D470" s="1"/>
      <c r="E470" t="s">
        <v>440</v>
      </c>
      <c r="F470" t="s">
        <v>28</v>
      </c>
      <c r="G470" t="s">
        <v>3489</v>
      </c>
      <c r="H470" t="s">
        <v>702</v>
      </c>
      <c r="I470" t="s">
        <v>2894</v>
      </c>
      <c r="K470" t="s">
        <v>2874</v>
      </c>
      <c r="L470" t="s">
        <v>2875</v>
      </c>
      <c r="M470" t="str">
        <f t="shared" si="14"/>
        <v>C13</v>
      </c>
      <c r="N470" t="s">
        <v>2888</v>
      </c>
      <c r="O470" t="s">
        <v>2889</v>
      </c>
      <c r="P470" t="s">
        <v>2890</v>
      </c>
      <c r="R470" t="str">
        <f t="shared" si="15"/>
        <v>INSERT INTO stock (ticker, name, listing_date, sub_industry, industry, sector, status) VALUES ('KBLM', 'Kabelindo Murni Tbk.', '1992-06-01', 'C131', 'C13', 'IDXINDUST', (SELECT id FROM attribute WHERE type = 'STOCK_STATUS' AND code = 'LISTED')) ON CONFLICT DO NOTHING;</v>
      </c>
    </row>
    <row r="471" spans="1:18" x14ac:dyDescent="0.2">
      <c r="A471" t="s">
        <v>704</v>
      </c>
      <c r="B471" t="s">
        <v>705</v>
      </c>
      <c r="C471" s="1">
        <v>36581</v>
      </c>
      <c r="D471" s="1"/>
      <c r="E471" t="s">
        <v>706</v>
      </c>
      <c r="F471" t="s">
        <v>28</v>
      </c>
      <c r="G471" t="s">
        <v>3489</v>
      </c>
      <c r="H471" t="s">
        <v>704</v>
      </c>
      <c r="I471" t="s">
        <v>3444</v>
      </c>
      <c r="K471" t="s">
        <v>3418</v>
      </c>
      <c r="L471" t="s">
        <v>3439</v>
      </c>
      <c r="M471" t="str">
        <f t="shared" si="14"/>
        <v>J31</v>
      </c>
      <c r="N471" t="s">
        <v>3440</v>
      </c>
      <c r="O471" t="s">
        <v>3441</v>
      </c>
      <c r="P471" t="s">
        <v>3442</v>
      </c>
      <c r="R471" t="str">
        <f t="shared" si="15"/>
        <v>INSERT INTO stock (ticker, name, listing_date, sub_industry, industry, sector, status) VALUES ('KBLV', 'First Media Tbk.', '2000-02-25', 'J311', 'J31', 'IDXINFRA', (SELECT id FROM attribute WHERE type = 'STOCK_STATUS' AND code = 'LISTED')) ON CONFLICT DO NOTHING;</v>
      </c>
    </row>
    <row r="472" spans="1:18" x14ac:dyDescent="0.2">
      <c r="A472" t="s">
        <v>707</v>
      </c>
      <c r="B472" t="s">
        <v>3600</v>
      </c>
      <c r="C472" s="1">
        <v>39640</v>
      </c>
      <c r="D472" s="1"/>
      <c r="E472" t="s">
        <v>708</v>
      </c>
      <c r="F472" t="s">
        <v>12</v>
      </c>
      <c r="G472" t="s">
        <v>3489</v>
      </c>
      <c r="H472" t="s">
        <v>707</v>
      </c>
      <c r="I472" t="s">
        <v>2868</v>
      </c>
      <c r="K472" t="s">
        <v>2778</v>
      </c>
      <c r="L472" t="s">
        <v>2779</v>
      </c>
      <c r="M472" t="str">
        <f t="shared" si="14"/>
        <v>B15</v>
      </c>
      <c r="N472" t="s">
        <v>2866</v>
      </c>
      <c r="O472" t="s">
        <v>2861</v>
      </c>
      <c r="P472" t="s">
        <v>2867</v>
      </c>
      <c r="R472" t="str">
        <f t="shared" si="15"/>
        <v>INSERT INTO stock (ticker, name, listing_date, sub_industry, industry, sector, status) VALUES ('KBRI', 'Kertas Basuki Rachmat Indonesia Tbk.', '2008-07-11', 'B152', 'B15', 'IDXBASIC', (SELECT id FROM attribute WHERE type = 'STOCK_STATUS' AND code = 'LISTED')) ON CONFLICT DO NOTHING;</v>
      </c>
    </row>
    <row r="473" spans="1:18" x14ac:dyDescent="0.2">
      <c r="A473" t="s">
        <v>709</v>
      </c>
      <c r="B473" t="s">
        <v>710</v>
      </c>
      <c r="C473" s="1">
        <v>35275</v>
      </c>
      <c r="D473" s="1"/>
      <c r="E473" t="s">
        <v>711</v>
      </c>
      <c r="F473" t="s">
        <v>28</v>
      </c>
      <c r="G473" t="s">
        <v>3489</v>
      </c>
      <c r="H473" t="s">
        <v>709</v>
      </c>
      <c r="I473" t="s">
        <v>2818</v>
      </c>
      <c r="K473" t="s">
        <v>2778</v>
      </c>
      <c r="L473" t="s">
        <v>2779</v>
      </c>
      <c r="M473" t="str">
        <f t="shared" si="14"/>
        <v>B13</v>
      </c>
      <c r="N473" t="s">
        <v>2812</v>
      </c>
      <c r="O473" t="s">
        <v>2813</v>
      </c>
      <c r="P473" t="s">
        <v>2813</v>
      </c>
      <c r="R473" t="str">
        <f t="shared" si="15"/>
        <v>INSERT INTO stock (ticker, name, listing_date, sub_industry, industry, sector, status) VALUES ('KDSI', 'Kedawung Setia Industrial Tbk.', '1996-07-29', 'B131', 'B13', 'IDXBASIC', (SELECT id FROM attribute WHERE type = 'STOCK_STATUS' AND code = 'LISTED')) ON CONFLICT DO NOTHING;</v>
      </c>
    </row>
    <row r="474" spans="1:18" x14ac:dyDescent="0.2">
      <c r="A474" t="s">
        <v>2196</v>
      </c>
      <c r="B474" t="s">
        <v>2197</v>
      </c>
      <c r="C474" s="1">
        <v>44874</v>
      </c>
      <c r="D474" s="1"/>
      <c r="E474" t="s">
        <v>2198</v>
      </c>
      <c r="F474" t="s">
        <v>28</v>
      </c>
      <c r="G474" t="s">
        <v>3489</v>
      </c>
      <c r="H474" t="s">
        <v>2196</v>
      </c>
      <c r="I474" t="s">
        <v>3785</v>
      </c>
      <c r="K474" t="s">
        <v>3039</v>
      </c>
      <c r="L474" t="s">
        <v>3092</v>
      </c>
      <c r="M474" t="str">
        <f t="shared" si="14"/>
        <v>E51</v>
      </c>
      <c r="N474" t="s">
        <v>3093</v>
      </c>
      <c r="O474" t="s">
        <v>3094</v>
      </c>
      <c r="P474" t="s">
        <v>3095</v>
      </c>
      <c r="R474" t="str">
        <f t="shared" si="15"/>
        <v>INSERT INTO stock (ticker, name, listing_date, sub_industry, industry, sector, status) VALUES ('KDTN', 'Puri Sentul Permai Tbk.', '2022-11-09', 'E512', 'E51', 'IDXCYCLIC', (SELECT id FROM attribute WHERE type = 'STOCK_STATUS' AND code = 'LISTED')) ON CONFLICT DO NOTHING;</v>
      </c>
    </row>
    <row r="475" spans="1:18" x14ac:dyDescent="0.2">
      <c r="A475" t="s">
        <v>1729</v>
      </c>
      <c r="B475" t="s">
        <v>1730</v>
      </c>
      <c r="C475" s="1">
        <v>43710</v>
      </c>
      <c r="D475" s="1"/>
      <c r="E475" t="s">
        <v>1731</v>
      </c>
      <c r="F475" t="s">
        <v>8</v>
      </c>
      <c r="G475" t="s">
        <v>3489</v>
      </c>
      <c r="H475" t="s">
        <v>1729</v>
      </c>
      <c r="I475" t="s">
        <v>3461</v>
      </c>
      <c r="K475" t="s">
        <v>3418</v>
      </c>
      <c r="L475" t="s">
        <v>3458</v>
      </c>
      <c r="M475" t="str">
        <f t="shared" si="14"/>
        <v>J41</v>
      </c>
      <c r="N475" t="s">
        <v>3459</v>
      </c>
      <c r="O475" t="s">
        <v>3460</v>
      </c>
      <c r="P475" t="s">
        <v>3460</v>
      </c>
      <c r="R475" t="str">
        <f t="shared" si="15"/>
        <v>INSERT INTO stock (ticker, name, listing_date, sub_industry, industry, sector, status) VALUES ('KEEN', 'Kencana Energi Lestari Tbk.', '2019-09-02', 'J411', 'J41', 'IDXINFRA', (SELECT id FROM attribute WHERE type = 'STOCK_STATUS' AND code = 'LISTED')) ON CONFLICT DO NOTHING;</v>
      </c>
    </row>
    <row r="476" spans="1:18" x14ac:dyDescent="0.2">
      <c r="A476" t="s">
        <v>1768</v>
      </c>
      <c r="B476" t="s">
        <v>1769</v>
      </c>
      <c r="C476" s="1">
        <v>43794</v>
      </c>
      <c r="D476" s="1"/>
      <c r="E476" t="s">
        <v>1770</v>
      </c>
      <c r="F476" t="s">
        <v>8</v>
      </c>
      <c r="G476" t="s">
        <v>3489</v>
      </c>
      <c r="H476" t="s">
        <v>1768</v>
      </c>
      <c r="I476" t="s">
        <v>2976</v>
      </c>
      <c r="K476" t="s">
        <v>2945</v>
      </c>
      <c r="L476" t="s">
        <v>2961</v>
      </c>
      <c r="M476" t="str">
        <f t="shared" si="14"/>
        <v>D22</v>
      </c>
      <c r="N476" t="s">
        <v>2972</v>
      </c>
      <c r="O476" t="s">
        <v>2973</v>
      </c>
      <c r="P476" t="s">
        <v>2974</v>
      </c>
      <c r="R476" t="str">
        <f t="shared" si="15"/>
        <v>INSERT INTO stock (ticker, name, listing_date, sub_industry, industry, sector, status) VALUES ('KEJU', 'Mulia Boga Raya Tbk.', '2019-11-25', 'D221', 'D22', 'IDXNONCYC', (SELECT id FROM attribute WHERE type = 'STOCK_STATUS' AND code = 'LISTED')) ON CONFLICT DO NOTHING;</v>
      </c>
    </row>
    <row r="477" spans="1:18" x14ac:dyDescent="0.2">
      <c r="A477" t="s">
        <v>2652</v>
      </c>
      <c r="B477" t="s">
        <v>2653</v>
      </c>
      <c r="C477" s="1">
        <v>44207</v>
      </c>
      <c r="D477" s="1"/>
      <c r="E477" t="s">
        <v>2654</v>
      </c>
      <c r="F477" t="s">
        <v>28</v>
      </c>
      <c r="G477" t="s">
        <v>3489</v>
      </c>
      <c r="H477" t="s">
        <v>2652</v>
      </c>
      <c r="I477" t="s">
        <v>2653</v>
      </c>
      <c r="K477" t="s">
        <v>3418</v>
      </c>
      <c r="L477" t="s">
        <v>3439</v>
      </c>
      <c r="M477" t="str">
        <f t="shared" si="14"/>
        <v>J31</v>
      </c>
      <c r="N477" t="s">
        <v>3440</v>
      </c>
      <c r="O477" t="s">
        <v>3441</v>
      </c>
      <c r="P477" t="s">
        <v>3442</v>
      </c>
      <c r="R477" t="str">
        <f t="shared" si="15"/>
        <v>INSERT INTO stock (ticker, name, listing_date, sub_industry, industry, sector, status) VALUES ('KETR', 'Ketrosden Triasmitra Tbk.', '2021-01-11', 'J311', 'J31', 'IDXINFRA', (SELECT id FROM attribute WHERE type = 'STOCK_STATUS' AND code = 'LISTED')) ON CONFLICT DO NOTHING;</v>
      </c>
    </row>
    <row r="478" spans="1:18" x14ac:dyDescent="0.2">
      <c r="A478" t="s">
        <v>712</v>
      </c>
      <c r="B478" t="s">
        <v>3601</v>
      </c>
      <c r="C478" s="1">
        <v>34676</v>
      </c>
      <c r="D478" s="1"/>
      <c r="E478" t="s">
        <v>713</v>
      </c>
      <c r="F478" t="s">
        <v>12</v>
      </c>
      <c r="G478" t="s">
        <v>3489</v>
      </c>
      <c r="H478" t="s">
        <v>712</v>
      </c>
      <c r="I478" t="s">
        <v>2882</v>
      </c>
      <c r="K478" t="s">
        <v>2874</v>
      </c>
      <c r="L478" t="s">
        <v>2875</v>
      </c>
      <c r="M478" t="str">
        <f t="shared" si="14"/>
        <v>C12</v>
      </c>
      <c r="N478" t="s">
        <v>2876</v>
      </c>
      <c r="O478" t="s">
        <v>2877</v>
      </c>
      <c r="P478" t="s">
        <v>2877</v>
      </c>
      <c r="R478" t="str">
        <f t="shared" si="15"/>
        <v>INSERT INTO stock (ticker, name, listing_date, sub_industry, industry, sector, status) VALUES ('KIAS', 'Keramika Indonesia Assosiasi Tbk.', '1994-12-08', 'C121', 'C12', 'IDXINDUST', (SELECT id FROM attribute WHERE type = 'STOCK_STATUS' AND code = 'LISTED')) ON CONFLICT DO NOTHING;</v>
      </c>
    </row>
    <row r="479" spans="1:18" x14ac:dyDescent="0.2">
      <c r="A479" t="s">
        <v>714</v>
      </c>
      <c r="B479" t="s">
        <v>3602</v>
      </c>
      <c r="C479" s="1">
        <v>34270</v>
      </c>
      <c r="D479" s="1"/>
      <c r="E479" t="s">
        <v>716</v>
      </c>
      <c r="F479" t="s">
        <v>28</v>
      </c>
      <c r="G479" t="s">
        <v>3489</v>
      </c>
      <c r="H479" t="s">
        <v>714</v>
      </c>
      <c r="I479" t="s">
        <v>715</v>
      </c>
      <c r="K479" t="s">
        <v>3039</v>
      </c>
      <c r="L479" t="s">
        <v>3055</v>
      </c>
      <c r="M479" t="str">
        <f t="shared" si="14"/>
        <v>E21</v>
      </c>
      <c r="N479" t="s">
        <v>3067</v>
      </c>
      <c r="O479" t="s">
        <v>3055</v>
      </c>
      <c r="P479" t="s">
        <v>3068</v>
      </c>
      <c r="R479" t="str">
        <f t="shared" si="15"/>
        <v>INSERT INTO stock (ticker, name, listing_date, sub_industry, industry, sector, status) VALUES ('KICI', 'Kedaung Indah Can Tbk.', '1993-10-28', 'E213', 'E21', 'IDXCYCLIC', (SELECT id FROM attribute WHERE type = 'STOCK_STATUS' AND code = 'LISTED')) ON CONFLICT DO NOTHING;</v>
      </c>
    </row>
    <row r="480" spans="1:18" x14ac:dyDescent="0.2">
      <c r="A480" t="s">
        <v>717</v>
      </c>
      <c r="B480" t="s">
        <v>718</v>
      </c>
      <c r="C480" s="1">
        <v>34709</v>
      </c>
      <c r="D480" s="1"/>
      <c r="E480" t="s">
        <v>719</v>
      </c>
      <c r="F480" t="s">
        <v>8</v>
      </c>
      <c r="G480" t="s">
        <v>3489</v>
      </c>
      <c r="H480" t="s">
        <v>717</v>
      </c>
      <c r="I480" t="s">
        <v>3346</v>
      </c>
      <c r="K480" t="s">
        <v>3306</v>
      </c>
      <c r="L480" t="s">
        <v>3307</v>
      </c>
      <c r="M480" t="str">
        <f t="shared" si="14"/>
        <v>H11</v>
      </c>
      <c r="N480" t="s">
        <v>3308</v>
      </c>
      <c r="O480" t="s">
        <v>3309</v>
      </c>
      <c r="P480" t="s">
        <v>3310</v>
      </c>
      <c r="R480" t="str">
        <f t="shared" si="15"/>
        <v>INSERT INTO stock (ticker, name, listing_date, sub_industry, industry, sector, status) VALUES ('KIJA', 'Kawasan Industri Jababeka Tbk.', '1995-01-10', 'H111', 'H11', 'IDXPROPERT', (SELECT id FROM attribute WHERE type = 'STOCK_STATUS' AND code = 'LISTED')) ON CONFLICT DO NOTHING;</v>
      </c>
    </row>
    <row r="481" spans="1:18" x14ac:dyDescent="0.2">
      <c r="A481" t="s">
        <v>2264</v>
      </c>
      <c r="B481" t="s">
        <v>2265</v>
      </c>
      <c r="C481" s="1">
        <v>44973</v>
      </c>
      <c r="D481" s="1"/>
      <c r="E481" t="s">
        <v>2266</v>
      </c>
      <c r="F481" t="s">
        <v>1847</v>
      </c>
      <c r="G481" t="s">
        <v>3489</v>
      </c>
      <c r="H481" t="s">
        <v>2264</v>
      </c>
      <c r="I481" t="s">
        <v>3786</v>
      </c>
      <c r="K481" t="s">
        <v>2874</v>
      </c>
      <c r="L481" t="s">
        <v>2910</v>
      </c>
      <c r="M481" t="str">
        <f t="shared" si="14"/>
        <v>C23</v>
      </c>
      <c r="N481" t="s">
        <v>2932</v>
      </c>
      <c r="O481" t="s">
        <v>2933</v>
      </c>
      <c r="P481" t="s">
        <v>2934</v>
      </c>
      <c r="R481" t="str">
        <f t="shared" si="15"/>
        <v>INSERT INTO stock (ticker, name, listing_date, sub_industry, industry, sector, status) VALUES ('KING', 'Hoffmen Cleanindo Tbk.', '2023-02-16', 'C231', 'C23', 'IDXINDUST', (SELECT id FROM attribute WHERE type = 'STOCK_STATUS' AND code = 'LISTED')) ON CONFLICT DO NOTHING;</v>
      </c>
    </row>
    <row r="482" spans="1:18" x14ac:dyDescent="0.2">
      <c r="A482" t="s">
        <v>1358</v>
      </c>
      <c r="B482" t="s">
        <v>1359</v>
      </c>
      <c r="C482" s="1">
        <v>42349</v>
      </c>
      <c r="D482" s="1"/>
      <c r="E482" t="s">
        <v>1360</v>
      </c>
      <c r="F482" t="s">
        <v>28</v>
      </c>
      <c r="G482" t="s">
        <v>3489</v>
      </c>
      <c r="H482" t="s">
        <v>1358</v>
      </c>
      <c r="I482" t="s">
        <v>3787</v>
      </c>
      <c r="K482" t="s">
        <v>2945</v>
      </c>
      <c r="L482" t="s">
        <v>3032</v>
      </c>
      <c r="M482" t="str">
        <f t="shared" si="14"/>
        <v>D42</v>
      </c>
      <c r="N482" t="s">
        <v>3033</v>
      </c>
      <c r="O482" t="s">
        <v>3034</v>
      </c>
      <c r="P482" t="s">
        <v>3034</v>
      </c>
      <c r="R482" t="str">
        <f t="shared" si="15"/>
        <v>INSERT INTO stock (ticker, name, listing_date, sub_industry, industry, sector, status) VALUES ('KINO', 'Kino Indonesia Tbk.', '2015-12-11', 'D421', 'D42', 'IDXNONCYC', (SELECT id FROM attribute WHERE type = 'STOCK_STATUS' AND code = 'LISTED')) ON CONFLICT DO NOTHING;</v>
      </c>
    </row>
    <row r="483" spans="1:18" x14ac:dyDescent="0.2">
      <c r="A483" t="s">
        <v>1452</v>
      </c>
      <c r="B483" t="s">
        <v>3603</v>
      </c>
      <c r="C483" s="1">
        <v>43013</v>
      </c>
      <c r="D483" s="1"/>
      <c r="E483" t="s">
        <v>1454</v>
      </c>
      <c r="F483" t="s">
        <v>28</v>
      </c>
      <c r="G483" t="s">
        <v>3489</v>
      </c>
      <c r="H483" t="s">
        <v>1452</v>
      </c>
      <c r="I483" t="s">
        <v>1453</v>
      </c>
      <c r="K483" t="s">
        <v>3381</v>
      </c>
      <c r="L483" t="s">
        <v>3382</v>
      </c>
      <c r="M483" t="str">
        <f t="shared" si="14"/>
        <v>I11</v>
      </c>
      <c r="N483" t="s">
        <v>3383</v>
      </c>
      <c r="O483" t="s">
        <v>3384</v>
      </c>
      <c r="P483" t="s">
        <v>3384</v>
      </c>
      <c r="R483" t="str">
        <f t="shared" si="15"/>
        <v>INSERT INTO stock (ticker, name, listing_date, sub_industry, industry, sector, status) VALUES ('KIOS', 'Kioson Komersial Indonesia Tbk.', '2017-10-05', 'I111', 'I11', 'IDXTECHNO', (SELECT id FROM attribute WHERE type = 'STOCK_STATUS' AND code = 'LISTED')) ON CONFLICT DO NOTHING;</v>
      </c>
    </row>
    <row r="484" spans="1:18" x14ac:dyDescent="0.2">
      <c r="A484" t="s">
        <v>1688</v>
      </c>
      <c r="B484" t="s">
        <v>1689</v>
      </c>
      <c r="C484" s="1">
        <v>43647</v>
      </c>
      <c r="D484" s="1"/>
      <c r="E484" t="s">
        <v>1690</v>
      </c>
      <c r="F484" t="s">
        <v>28</v>
      </c>
      <c r="G484" t="s">
        <v>3489</v>
      </c>
      <c r="H484" t="s">
        <v>1688</v>
      </c>
      <c r="I484" t="s">
        <v>1689</v>
      </c>
      <c r="K484" t="s">
        <v>3470</v>
      </c>
      <c r="L484" t="s">
        <v>3481</v>
      </c>
      <c r="M484" t="str">
        <f t="shared" si="14"/>
        <v>K21</v>
      </c>
      <c r="N484" t="s">
        <v>3482</v>
      </c>
      <c r="O484" t="s">
        <v>3481</v>
      </c>
      <c r="P484" t="s">
        <v>3481</v>
      </c>
      <c r="R484" t="str">
        <f t="shared" si="15"/>
        <v>INSERT INTO stock (ticker, name, listing_date, sub_industry, industry, sector, status) VALUES ('KJEN', 'Krida Jaringan Nusantara Tbk.', '2019-07-01', 'K211', 'K21', 'IDXTRANS', (SELECT id FROM attribute WHERE type = 'STOCK_STATUS' AND code = 'LISTED')) ON CONFLICT DO NOTHING;</v>
      </c>
    </row>
    <row r="485" spans="1:18" x14ac:dyDescent="0.2">
      <c r="A485" t="s">
        <v>2152</v>
      </c>
      <c r="B485" t="s">
        <v>2153</v>
      </c>
      <c r="C485" s="1">
        <v>44781</v>
      </c>
      <c r="D485" s="1"/>
      <c r="E485" t="s">
        <v>1792</v>
      </c>
      <c r="F485" t="s">
        <v>12</v>
      </c>
      <c r="G485" t="s">
        <v>3489</v>
      </c>
      <c r="H485" t="s">
        <v>2152</v>
      </c>
      <c r="I485" t="s">
        <v>3788</v>
      </c>
      <c r="K485" t="s">
        <v>2778</v>
      </c>
      <c r="L485" t="s">
        <v>2779</v>
      </c>
      <c r="M485" t="str">
        <f t="shared" si="14"/>
        <v>B11</v>
      </c>
      <c r="N485" t="s">
        <v>2780</v>
      </c>
      <c r="O485" t="s">
        <v>2781</v>
      </c>
      <c r="P485" t="s">
        <v>2782</v>
      </c>
      <c r="R485" t="str">
        <f t="shared" si="15"/>
        <v>INSERT INTO stock (ticker, name, listing_date, sub_industry, industry, sector, status) VALUES ('KKES', 'Kusuma Kemindo Sentosa Tbk.', '2022-08-08', 'B111', 'B11', 'IDXBASIC', (SELECT id FROM attribute WHERE type = 'STOCK_STATUS' AND code = 'LISTED')) ON CONFLICT DO NOTHING;</v>
      </c>
    </row>
    <row r="486" spans="1:18" x14ac:dyDescent="0.2">
      <c r="A486" t="s">
        <v>720</v>
      </c>
      <c r="B486" t="s">
        <v>721</v>
      </c>
      <c r="C486" s="1">
        <v>33420</v>
      </c>
      <c r="D486" s="1"/>
      <c r="E486" t="s">
        <v>722</v>
      </c>
      <c r="F486" t="s">
        <v>8</v>
      </c>
      <c r="G486" t="s">
        <v>3489</v>
      </c>
      <c r="H486" t="s">
        <v>720</v>
      </c>
      <c r="I486" t="s">
        <v>2736</v>
      </c>
      <c r="K486" t="s">
        <v>2701</v>
      </c>
      <c r="L486" t="s">
        <v>2702</v>
      </c>
      <c r="M486" t="str">
        <f t="shared" si="14"/>
        <v>A12</v>
      </c>
      <c r="N486" t="s">
        <v>2723</v>
      </c>
      <c r="O486" t="s">
        <v>2724</v>
      </c>
      <c r="P486" t="s">
        <v>2725</v>
      </c>
      <c r="R486" t="str">
        <f t="shared" si="15"/>
        <v>INSERT INTO stock (ticker, name, listing_date, sub_industry, industry, sector, status) VALUES ('KKGI', 'Resource Alam Indonesia Tbk.', '1991-07-01', 'A121', 'A12', 'IDXENERGY', (SELECT id FROM attribute WHERE type = 'STOCK_STATUS' AND code = 'LISTED')) ON CONFLICT DO NOTHING;</v>
      </c>
    </row>
    <row r="487" spans="1:18" x14ac:dyDescent="0.2">
      <c r="A487" t="s">
        <v>2308</v>
      </c>
      <c r="B487" t="s">
        <v>3604</v>
      </c>
      <c r="C487" s="1">
        <v>45089</v>
      </c>
      <c r="D487" s="1"/>
      <c r="E487" t="s">
        <v>2309</v>
      </c>
      <c r="F487" t="s">
        <v>28</v>
      </c>
      <c r="G487" t="s">
        <v>3489</v>
      </c>
      <c r="H487" t="s">
        <v>2308</v>
      </c>
      <c r="I487" t="s">
        <v>3789</v>
      </c>
      <c r="K487" t="s">
        <v>3470</v>
      </c>
      <c r="L487" t="s">
        <v>3481</v>
      </c>
      <c r="M487" t="str">
        <f t="shared" si="14"/>
        <v>K21</v>
      </c>
      <c r="N487" t="s">
        <v>3482</v>
      </c>
      <c r="O487" t="s">
        <v>3481</v>
      </c>
      <c r="P487" t="s">
        <v>3481</v>
      </c>
      <c r="R487" t="str">
        <f t="shared" si="15"/>
        <v>INSERT INTO stock (ticker, name, listing_date, sub_industry, industry, sector, status) VALUES ('KLAS', 'Pelayaran Kurnia Lautan Semesta Tbk.', '2023-06-12', 'K211', 'K21', 'IDXTRANS', (SELECT id FROM attribute WHERE type = 'STOCK_STATUS' AND code = 'LISTED')) ON CONFLICT DO NOTHING;</v>
      </c>
    </row>
    <row r="488" spans="1:18" x14ac:dyDescent="0.2">
      <c r="A488" t="s">
        <v>723</v>
      </c>
      <c r="B488" t="s">
        <v>724</v>
      </c>
      <c r="C488" s="1">
        <v>33449</v>
      </c>
      <c r="D488" s="1"/>
      <c r="E488" t="s">
        <v>725</v>
      </c>
      <c r="F488" t="s">
        <v>8</v>
      </c>
      <c r="G488" t="s">
        <v>3489</v>
      </c>
      <c r="H488" t="s">
        <v>723</v>
      </c>
      <c r="I488" t="s">
        <v>3217</v>
      </c>
      <c r="K488" t="s">
        <v>3199</v>
      </c>
      <c r="L488" t="s">
        <v>3212</v>
      </c>
      <c r="M488" t="str">
        <f t="shared" si="14"/>
        <v>F21</v>
      </c>
      <c r="N488" t="s">
        <v>3213</v>
      </c>
      <c r="O488" t="s">
        <v>3214</v>
      </c>
      <c r="P488" t="s">
        <v>3214</v>
      </c>
      <c r="R488" t="str">
        <f t="shared" si="15"/>
        <v>INSERT INTO stock (ticker, name, listing_date, sub_industry, industry, sector, status) VALUES ('KLBF', 'Kalbe Farma Tbk.', '1991-07-30', 'F211', 'F21', 'IDXHEALTH', (SELECT id FROM attribute WHERE type = 'STOCK_STATUS' AND code = 'LISTED')) ON CONFLICT DO NOTHING;</v>
      </c>
    </row>
    <row r="489" spans="1:18" x14ac:dyDescent="0.2">
      <c r="A489" t="s">
        <v>2159</v>
      </c>
      <c r="B489" t="s">
        <v>2160</v>
      </c>
      <c r="C489" s="1">
        <v>44782</v>
      </c>
      <c r="D489" s="1"/>
      <c r="E489" t="s">
        <v>2161</v>
      </c>
      <c r="F489" t="s">
        <v>1847</v>
      </c>
      <c r="G489" t="s">
        <v>3489</v>
      </c>
      <c r="H489" t="s">
        <v>2159</v>
      </c>
      <c r="I489" t="s">
        <v>3790</v>
      </c>
      <c r="K489" t="s">
        <v>3039</v>
      </c>
      <c r="L489" t="s">
        <v>3168</v>
      </c>
      <c r="M489" t="str">
        <f t="shared" si="14"/>
        <v>E74</v>
      </c>
      <c r="N489" t="s">
        <v>3190</v>
      </c>
      <c r="O489" t="s">
        <v>3177</v>
      </c>
      <c r="P489" t="s">
        <v>3191</v>
      </c>
      <c r="R489" t="str">
        <f t="shared" si="15"/>
        <v>INSERT INTO stock (ticker, name, listing_date, sub_industry, industry, sector, status) VALUES ('KLIN', 'Klinko Karya Imaji Tbk.', '2022-08-09', 'E743', 'E74', 'IDXCYCLIC', (SELECT id FROM attribute WHERE type = 'STOCK_STATUS' AND code = 'LISTED')) ON CONFLICT DO NOTHING;</v>
      </c>
    </row>
    <row r="490" spans="1:18" x14ac:dyDescent="0.2">
      <c r="A490" t="s">
        <v>1881</v>
      </c>
      <c r="B490" t="s">
        <v>1882</v>
      </c>
      <c r="C490" s="1">
        <v>44081</v>
      </c>
      <c r="D490" s="1"/>
      <c r="E490" t="s">
        <v>1274</v>
      </c>
      <c r="F490" t="s">
        <v>28</v>
      </c>
      <c r="G490" t="s">
        <v>3489</v>
      </c>
      <c r="H490" t="s">
        <v>1881</v>
      </c>
      <c r="I490" t="s">
        <v>2953</v>
      </c>
      <c r="K490" t="s">
        <v>2945</v>
      </c>
      <c r="L490" t="s">
        <v>2946</v>
      </c>
      <c r="M490" t="str">
        <f t="shared" si="14"/>
        <v>D11</v>
      </c>
      <c r="N490" t="s">
        <v>2950</v>
      </c>
      <c r="O490" t="s">
        <v>2946</v>
      </c>
      <c r="P490" t="s">
        <v>2951</v>
      </c>
      <c r="R490" t="str">
        <f t="shared" si="15"/>
        <v>INSERT INTO stock (ticker, name, listing_date, sub_industry, industry, sector, status) VALUES ('KMDS', 'Kurniamitra Duta Sentosa Tbk.', '2020-09-07', 'D112', 'D11', 'IDXNONCYC', (SELECT id FROM attribute WHERE type = 'STOCK_STATUS' AND code = 'LISTED')) ON CONFLICT DO NOTHING;</v>
      </c>
    </row>
    <row r="491" spans="1:18" x14ac:dyDescent="0.2">
      <c r="A491" t="s">
        <v>1416</v>
      </c>
      <c r="B491" t="s">
        <v>1417</v>
      </c>
      <c r="C491" s="1">
        <v>42905</v>
      </c>
      <c r="D491" s="1"/>
      <c r="E491" t="s">
        <v>1418</v>
      </c>
      <c r="F491" t="s">
        <v>28</v>
      </c>
      <c r="G491" t="s">
        <v>3489</v>
      </c>
      <c r="H491" t="s">
        <v>1416</v>
      </c>
      <c r="I491" t="s">
        <v>1417</v>
      </c>
      <c r="K491" t="s">
        <v>2778</v>
      </c>
      <c r="L491" t="s">
        <v>2779</v>
      </c>
      <c r="M491" t="str">
        <f t="shared" si="14"/>
        <v>B15</v>
      </c>
      <c r="N491" t="s">
        <v>2871</v>
      </c>
      <c r="O491" t="s">
        <v>2861</v>
      </c>
      <c r="P491" t="s">
        <v>2872</v>
      </c>
      <c r="R491" t="str">
        <f t="shared" si="15"/>
        <v>INSERT INTO stock (ticker, name, listing_date, sub_industry, industry, sector, status) VALUES ('KMTR', 'Kirana Megatara Tbk.', '2017-06-19', 'B153', 'B15', 'IDXBASIC', (SELECT id FROM attribute WHERE type = 'STOCK_STATUS' AND code = 'LISTED')) ON CONFLICT DO NOTHING;</v>
      </c>
    </row>
    <row r="492" spans="1:18" x14ac:dyDescent="0.2">
      <c r="A492" t="s">
        <v>726</v>
      </c>
      <c r="B492" t="s">
        <v>727</v>
      </c>
      <c r="C492" s="1">
        <v>41095</v>
      </c>
      <c r="D492" s="1"/>
      <c r="E492" t="s">
        <v>728</v>
      </c>
      <c r="F492" t="s">
        <v>28</v>
      </c>
      <c r="G492" t="s">
        <v>3489</v>
      </c>
      <c r="H492" t="s">
        <v>726</v>
      </c>
      <c r="I492" t="s">
        <v>2903</v>
      </c>
      <c r="K492" t="s">
        <v>2874</v>
      </c>
      <c r="L492" t="s">
        <v>2875</v>
      </c>
      <c r="M492" t="str">
        <f t="shared" si="14"/>
        <v>C14</v>
      </c>
      <c r="N492" t="s">
        <v>2898</v>
      </c>
      <c r="O492" t="s">
        <v>2899</v>
      </c>
      <c r="P492" t="s">
        <v>2900</v>
      </c>
      <c r="R492" t="str">
        <f t="shared" si="15"/>
        <v>INSERT INTO stock (ticker, name, listing_date, sub_industry, industry, sector, status) VALUES ('KOBX', 'Kobexindo Tractors Tbk.', '2012-07-05', 'C141', 'C14', 'IDXINDUST', (SELECT id FROM attribute WHERE type = 'STOCK_STATUS' AND code = 'LISTED')) ON CONFLICT DO NOTHING;</v>
      </c>
    </row>
    <row r="493" spans="1:18" x14ac:dyDescent="0.2">
      <c r="A493" t="s">
        <v>2381</v>
      </c>
      <c r="B493" t="s">
        <v>2382</v>
      </c>
      <c r="C493" s="1">
        <v>45206</v>
      </c>
      <c r="D493" s="1"/>
      <c r="E493" t="s">
        <v>2383</v>
      </c>
      <c r="F493" t="s">
        <v>28</v>
      </c>
      <c r="G493" t="s">
        <v>3489</v>
      </c>
      <c r="H493" t="s">
        <v>2381</v>
      </c>
      <c r="I493" t="s">
        <v>3791</v>
      </c>
      <c r="K493" t="s">
        <v>3306</v>
      </c>
      <c r="L493" t="s">
        <v>3307</v>
      </c>
      <c r="M493" t="str">
        <f t="shared" si="14"/>
        <v>H11</v>
      </c>
      <c r="N493" t="s">
        <v>3308</v>
      </c>
      <c r="O493" t="s">
        <v>3309</v>
      </c>
      <c r="P493" t="s">
        <v>3310</v>
      </c>
      <c r="R493" t="str">
        <f t="shared" si="15"/>
        <v>INSERT INTO stock (ticker, name, listing_date, sub_industry, industry, sector, status) VALUES ('KOCI', 'Kokoh Exa Nusantara Tbk.', '2023-10-07', 'H111', 'H11', 'IDXPROPERT', (SELECT id FROM attribute WHERE type = 'STOCK_STATUS' AND code = 'LISTED')) ON CONFLICT DO NOTHING;</v>
      </c>
    </row>
    <row r="494" spans="1:18" x14ac:dyDescent="0.2">
      <c r="A494" t="s">
        <v>729</v>
      </c>
      <c r="B494" t="s">
        <v>3605</v>
      </c>
      <c r="C494" s="1">
        <v>39547</v>
      </c>
      <c r="D494" s="1"/>
      <c r="E494" t="s">
        <v>731</v>
      </c>
      <c r="F494" t="s">
        <v>12</v>
      </c>
      <c r="G494" t="s">
        <v>3489</v>
      </c>
      <c r="H494" t="s">
        <v>729</v>
      </c>
      <c r="I494" t="s">
        <v>730</v>
      </c>
      <c r="K494" t="s">
        <v>2874</v>
      </c>
      <c r="L494" t="s">
        <v>2875</v>
      </c>
      <c r="M494" t="str">
        <f t="shared" si="14"/>
        <v>C12</v>
      </c>
      <c r="N494" t="s">
        <v>2876</v>
      </c>
      <c r="O494" t="s">
        <v>2877</v>
      </c>
      <c r="P494" t="s">
        <v>2877</v>
      </c>
      <c r="R494" t="str">
        <f t="shared" si="15"/>
        <v>INSERT INTO stock (ticker, name, listing_date, sub_industry, industry, sector, status) VALUES ('KOIN', 'Kokoh Inti Arebama Tbk.', '2008-04-09', 'C121', 'C12', 'IDXINDUST', (SELECT id FROM attribute WHERE type = 'STOCK_STATUS' AND code = 'LISTED')) ON CONFLICT DO NOTHING;</v>
      </c>
    </row>
    <row r="495" spans="1:18" x14ac:dyDescent="0.2">
      <c r="A495" t="s">
        <v>2393</v>
      </c>
      <c r="B495" t="s">
        <v>2394</v>
      </c>
      <c r="C495" s="1">
        <v>45210</v>
      </c>
      <c r="D495" s="1"/>
      <c r="E495" t="s">
        <v>2395</v>
      </c>
      <c r="F495" t="s">
        <v>28</v>
      </c>
      <c r="G495" t="s">
        <v>3489</v>
      </c>
      <c r="H495" t="s">
        <v>2393</v>
      </c>
      <c r="I495" t="s">
        <v>2394</v>
      </c>
      <c r="K495" t="s">
        <v>3418</v>
      </c>
      <c r="L495" t="s">
        <v>3432</v>
      </c>
      <c r="M495" t="str">
        <f t="shared" si="14"/>
        <v>J21</v>
      </c>
      <c r="N495" t="s">
        <v>3433</v>
      </c>
      <c r="O495" t="s">
        <v>3432</v>
      </c>
      <c r="P495" t="s">
        <v>3432</v>
      </c>
      <c r="R495" t="str">
        <f t="shared" si="15"/>
        <v>INSERT INTO stock (ticker, name, listing_date, sub_industry, industry, sector, status) VALUES ('KOKA', 'Koka Indonesia Tbk.', '2023-10-11', 'J211', 'J21', 'IDXINFRA', (SELECT id FROM attribute WHERE type = 'STOCK_STATUS' AND code = 'LISTED')) ON CONFLICT DO NOTHING;</v>
      </c>
    </row>
    <row r="496" spans="1:18" x14ac:dyDescent="0.2">
      <c r="A496" t="s">
        <v>732</v>
      </c>
      <c r="B496" t="s">
        <v>3606</v>
      </c>
      <c r="C496" s="1">
        <v>34933</v>
      </c>
      <c r="D496" s="1"/>
      <c r="E496" t="s">
        <v>734</v>
      </c>
      <c r="F496" t="s">
        <v>28</v>
      </c>
      <c r="G496" t="s">
        <v>3489</v>
      </c>
      <c r="H496" t="s">
        <v>732</v>
      </c>
      <c r="I496" t="s">
        <v>733</v>
      </c>
      <c r="K496" t="s">
        <v>2874</v>
      </c>
      <c r="L496" t="s">
        <v>2910</v>
      </c>
      <c r="M496" t="str">
        <f t="shared" si="14"/>
        <v>C22</v>
      </c>
      <c r="N496" t="s">
        <v>2921</v>
      </c>
      <c r="O496" t="s">
        <v>2916</v>
      </c>
      <c r="P496" t="s">
        <v>2922</v>
      </c>
      <c r="R496" t="str">
        <f t="shared" si="15"/>
        <v>INSERT INTO stock (ticker, name, listing_date, sub_industry, industry, sector, status) VALUES ('KONI', 'Perdana Bangun Pusaka Tbk.', '1995-08-22', 'C223', 'C22', 'IDXINDUST', (SELECT id FROM attribute WHERE type = 'STOCK_STATUS' AND code = 'LISTED')) ON CONFLICT DO NOTHING;</v>
      </c>
    </row>
    <row r="497" spans="1:18" x14ac:dyDescent="0.2">
      <c r="A497" t="s">
        <v>735</v>
      </c>
      <c r="B497" t="s">
        <v>736</v>
      </c>
      <c r="C497" s="1">
        <v>42128</v>
      </c>
      <c r="D497" s="1"/>
      <c r="E497" t="s">
        <v>737</v>
      </c>
      <c r="F497" t="s">
        <v>28</v>
      </c>
      <c r="G497" t="s">
        <v>3489</v>
      </c>
      <c r="H497" t="s">
        <v>735</v>
      </c>
      <c r="I497" t="s">
        <v>2716</v>
      </c>
      <c r="K497" t="s">
        <v>2701</v>
      </c>
      <c r="L497" t="s">
        <v>2702</v>
      </c>
      <c r="M497" t="str">
        <f t="shared" si="14"/>
        <v>A11</v>
      </c>
      <c r="N497" t="s">
        <v>2710</v>
      </c>
      <c r="O497" t="s">
        <v>2704</v>
      </c>
      <c r="P497" t="s">
        <v>2711</v>
      </c>
      <c r="R497" t="str">
        <f t="shared" si="15"/>
        <v>INSERT INTO stock (ticker, name, listing_date, sub_industry, industry, sector, status) VALUES ('KOPI', 'Mitra Energi Persada Tbk.', '2015-05-04', 'A112', 'A11', 'IDXENERGY', (SELECT id FROM attribute WHERE type = 'STOCK_STATUS' AND code = 'LISTED')) ON CONFLICT DO NOTHING;</v>
      </c>
    </row>
    <row r="498" spans="1:18" x14ac:dyDescent="0.2">
      <c r="A498" t="s">
        <v>1714</v>
      </c>
      <c r="B498" t="s">
        <v>1715</v>
      </c>
      <c r="C498" s="1">
        <v>43655</v>
      </c>
      <c r="D498" s="1"/>
      <c r="E498" t="s">
        <v>1716</v>
      </c>
      <c r="F498" t="s">
        <v>8</v>
      </c>
      <c r="G498" t="s">
        <v>3489</v>
      </c>
      <c r="H498" t="s">
        <v>1714</v>
      </c>
      <c r="I498" t="s">
        <v>3347</v>
      </c>
      <c r="K498" t="s">
        <v>3306</v>
      </c>
      <c r="L498" t="s">
        <v>3307</v>
      </c>
      <c r="M498" t="str">
        <f t="shared" si="14"/>
        <v>H11</v>
      </c>
      <c r="N498" t="s">
        <v>3308</v>
      </c>
      <c r="O498" t="s">
        <v>3309</v>
      </c>
      <c r="P498" t="s">
        <v>3310</v>
      </c>
      <c r="R498" t="str">
        <f t="shared" si="15"/>
        <v>INSERT INTO stock (ticker, name, listing_date, sub_industry, industry, sector, status) VALUES ('KOTA', 'DMS Propertindo Tbk.', '2019-07-09', 'H111', 'H11', 'IDXPROPERT', (SELECT id FROM attribute WHERE type = 'STOCK_STATUS' AND code = 'LISTED')) ON CONFLICT DO NOTHING;</v>
      </c>
    </row>
    <row r="499" spans="1:18" x14ac:dyDescent="0.2">
      <c r="A499" t="s">
        <v>738</v>
      </c>
      <c r="B499" t="s">
        <v>739</v>
      </c>
      <c r="C499" s="1">
        <v>36615</v>
      </c>
      <c r="D499" s="1"/>
      <c r="E499" t="s">
        <v>740</v>
      </c>
      <c r="F499" t="s">
        <v>8</v>
      </c>
      <c r="G499" t="s">
        <v>3489</v>
      </c>
      <c r="H499" t="s">
        <v>738</v>
      </c>
      <c r="I499" t="s">
        <v>739</v>
      </c>
      <c r="K499" t="s">
        <v>3039</v>
      </c>
      <c r="L499" t="s">
        <v>3092</v>
      </c>
      <c r="M499" t="str">
        <f t="shared" si="14"/>
        <v>E51</v>
      </c>
      <c r="N499" t="s">
        <v>3093</v>
      </c>
      <c r="O499" t="s">
        <v>3094</v>
      </c>
      <c r="P499" t="s">
        <v>3095</v>
      </c>
      <c r="R499" t="str">
        <f t="shared" si="15"/>
        <v>INSERT INTO stock (ticker, name, listing_date, sub_industry, industry, sector, status) VALUES ('KPIG', 'MNC Tourism Indonesia Tbk.', '2000-03-30', 'E512', 'E51', 'IDXCYCLIC', (SELECT id FROM attribute WHERE type = 'STOCK_STATUS' AND code = 'LISTED')) ON CONFLICT DO NOTHING;</v>
      </c>
    </row>
    <row r="500" spans="1:18" x14ac:dyDescent="0.2">
      <c r="A500" t="s">
        <v>741</v>
      </c>
      <c r="B500" t="s">
        <v>742</v>
      </c>
      <c r="C500" s="1">
        <v>40492</v>
      </c>
      <c r="D500" s="1"/>
      <c r="E500" t="s">
        <v>743</v>
      </c>
      <c r="F500" t="s">
        <v>28</v>
      </c>
      <c r="G500" t="s">
        <v>3489</v>
      </c>
      <c r="H500" t="s">
        <v>741</v>
      </c>
      <c r="I500" t="s">
        <v>2846</v>
      </c>
      <c r="K500" t="s">
        <v>2778</v>
      </c>
      <c r="L500" t="s">
        <v>2779</v>
      </c>
      <c r="M500" t="str">
        <f t="shared" si="14"/>
        <v>B14</v>
      </c>
      <c r="N500" t="s">
        <v>2839</v>
      </c>
      <c r="O500" t="s">
        <v>2824</v>
      </c>
      <c r="P500" t="s">
        <v>2840</v>
      </c>
      <c r="R500" t="str">
        <f t="shared" si="15"/>
        <v>INSERT INTO stock (ticker, name, listing_date, sub_industry, industry, sector, status) VALUES ('KRAS', 'Krakatau Steel (Persero) Tbk.', '2010-11-10', 'B144', 'B14', 'IDXBASIC', (SELECT id FROM attribute WHERE type = 'STOCK_STATUS' AND code = 'LISTED')) ON CONFLICT DO NOTHING;</v>
      </c>
    </row>
    <row r="501" spans="1:18" x14ac:dyDescent="0.2">
      <c r="A501" t="s">
        <v>744</v>
      </c>
      <c r="B501" t="s">
        <v>745</v>
      </c>
      <c r="C501" s="1">
        <v>37435</v>
      </c>
      <c r="D501" s="1"/>
      <c r="E501" t="s">
        <v>746</v>
      </c>
      <c r="F501" t="s">
        <v>12</v>
      </c>
      <c r="G501" t="s">
        <v>3489</v>
      </c>
      <c r="H501" t="s">
        <v>744</v>
      </c>
      <c r="I501" t="s">
        <v>745</v>
      </c>
      <c r="K501" t="s">
        <v>3381</v>
      </c>
      <c r="L501" t="s">
        <v>3382</v>
      </c>
      <c r="M501" t="str">
        <f t="shared" si="14"/>
        <v>I11</v>
      </c>
      <c r="N501" t="s">
        <v>3383</v>
      </c>
      <c r="O501" t="s">
        <v>3384</v>
      </c>
      <c r="P501" t="s">
        <v>3384</v>
      </c>
      <c r="R501" t="str">
        <f t="shared" si="15"/>
        <v>INSERT INTO stock (ticker, name, listing_date, sub_industry, industry, sector, status) VALUES ('KREN', 'Quantum Clovera Investama Tbk.', '2002-06-28', 'I111', 'I11', 'IDXTECHNO', (SELECT id FROM attribute WHERE type = 'STOCK_STATUS' AND code = 'LISTED')) ON CONFLICT DO NOTHING;</v>
      </c>
    </row>
    <row r="502" spans="1:18" x14ac:dyDescent="0.2">
      <c r="A502" t="s">
        <v>2131</v>
      </c>
      <c r="B502" t="s">
        <v>2132</v>
      </c>
      <c r="C502" s="1">
        <v>44767</v>
      </c>
      <c r="D502" s="1"/>
      <c r="E502" t="s">
        <v>2133</v>
      </c>
      <c r="F502" t="s">
        <v>28</v>
      </c>
      <c r="G502" t="s">
        <v>3489</v>
      </c>
      <c r="H502" t="s">
        <v>2131</v>
      </c>
      <c r="I502" t="s">
        <v>3792</v>
      </c>
      <c r="K502" t="s">
        <v>3418</v>
      </c>
      <c r="L502" t="s">
        <v>3432</v>
      </c>
      <c r="M502" t="str">
        <f t="shared" si="14"/>
        <v>J21</v>
      </c>
      <c r="N502" t="s">
        <v>3433</v>
      </c>
      <c r="O502" t="s">
        <v>3432</v>
      </c>
      <c r="P502" t="s">
        <v>3432</v>
      </c>
      <c r="R502" t="str">
        <f t="shared" si="15"/>
        <v>INSERT INTO stock (ticker, name, listing_date, sub_industry, industry, sector, status) VALUES ('KRYA', 'Bangun Karya Perkasa Jaya Tbk.', '2022-07-25', 'J211', 'J21', 'IDXINFRA', (SELECT id FROM attribute WHERE type = 'STOCK_STATUS' AND code = 'LISTED')) ON CONFLICT DO NOTHING;</v>
      </c>
    </row>
    <row r="503" spans="1:18" x14ac:dyDescent="0.2">
      <c r="A503" t="s">
        <v>2512</v>
      </c>
      <c r="B503" t="s">
        <v>3607</v>
      </c>
      <c r="C503" s="1">
        <v>45665</v>
      </c>
      <c r="D503" s="1"/>
      <c r="E503" t="s">
        <v>2513</v>
      </c>
      <c r="F503" t="s">
        <v>28</v>
      </c>
      <c r="G503" t="s">
        <v>3489</v>
      </c>
      <c r="H503" t="s">
        <v>2512</v>
      </c>
      <c r="I503" t="s">
        <v>3793</v>
      </c>
      <c r="K503" t="s">
        <v>3306</v>
      </c>
      <c r="L503" t="s">
        <v>3307</v>
      </c>
      <c r="M503" t="str">
        <f t="shared" si="14"/>
        <v>H11</v>
      </c>
      <c r="N503" t="s">
        <v>3308</v>
      </c>
      <c r="O503" t="s">
        <v>3309</v>
      </c>
      <c r="P503" t="s">
        <v>3310</v>
      </c>
      <c r="R503" t="str">
        <f t="shared" si="15"/>
        <v>INSERT INTO stock (ticker, name, listing_date, sub_industry, industry, sector, status) VALUES ('KSIX', 'Kentanix Supra International Tbk.', '2025-01-08', 'H111', 'H11', 'IDXPROPERT', (SELECT id FROM attribute WHERE type = 'STOCK_STATUS' AND code = 'LISTED')) ON CONFLICT DO NOTHING;</v>
      </c>
    </row>
    <row r="504" spans="1:18" x14ac:dyDescent="0.2">
      <c r="A504" t="s">
        <v>2013</v>
      </c>
      <c r="B504" t="s">
        <v>2014</v>
      </c>
      <c r="C504" s="1">
        <v>44494</v>
      </c>
      <c r="D504" s="1"/>
      <c r="E504" t="s">
        <v>2015</v>
      </c>
      <c r="F504" t="s">
        <v>28</v>
      </c>
      <c r="G504" t="s">
        <v>3489</v>
      </c>
      <c r="H504" t="s">
        <v>2013</v>
      </c>
      <c r="I504" t="s">
        <v>2883</v>
      </c>
      <c r="K504" t="s">
        <v>2874</v>
      </c>
      <c r="L504" t="s">
        <v>2875</v>
      </c>
      <c r="M504" t="str">
        <f t="shared" si="14"/>
        <v>C12</v>
      </c>
      <c r="N504" t="s">
        <v>2876</v>
      </c>
      <c r="O504" t="s">
        <v>2877</v>
      </c>
      <c r="P504" t="s">
        <v>2877</v>
      </c>
      <c r="R504" t="str">
        <f t="shared" si="15"/>
        <v>INSERT INTO stock (ticker, name, listing_date, sub_industry, industry, sector, status) VALUES ('KUAS', 'Ace Oldfields Tbk.', '2021-10-25', 'C121', 'C12', 'IDXINDUST', (SELECT id FROM attribute WHERE type = 'STOCK_STATUS' AND code = 'LISTED')) ON CONFLICT DO NOTHING;</v>
      </c>
    </row>
    <row r="505" spans="1:18" x14ac:dyDescent="0.2">
      <c r="A505" t="s">
        <v>1957</v>
      </c>
      <c r="B505" t="s">
        <v>1958</v>
      </c>
      <c r="C505" s="1">
        <v>44357</v>
      </c>
      <c r="D505" s="1"/>
      <c r="E505" t="s">
        <v>1959</v>
      </c>
      <c r="F505" t="s">
        <v>28</v>
      </c>
      <c r="G505" t="s">
        <v>3489</v>
      </c>
      <c r="H505" t="s">
        <v>1957</v>
      </c>
      <c r="I505" t="s">
        <v>3794</v>
      </c>
      <c r="K505" t="s">
        <v>2874</v>
      </c>
      <c r="L505" t="s">
        <v>2875</v>
      </c>
      <c r="M505" t="str">
        <f t="shared" si="14"/>
        <v>C14</v>
      </c>
      <c r="N505" t="s">
        <v>2907</v>
      </c>
      <c r="O505" t="s">
        <v>2899</v>
      </c>
      <c r="P505" t="s">
        <v>2908</v>
      </c>
      <c r="R505" t="str">
        <f t="shared" si="15"/>
        <v>INSERT INTO stock (ticker, name, listing_date, sub_industry, industry, sector, status) VALUES ('LABA', 'Green Power Group Tbk.', '2021-06-10', 'C143', 'C14', 'IDXINDUST', (SELECT id FROM attribute WHERE type = 'STOCK_STATUS' AND code = 'LISTED')) ON CONFLICT DO NOTHING;</v>
      </c>
    </row>
    <row r="506" spans="1:18" x14ac:dyDescent="0.2">
      <c r="A506" t="s">
        <v>2482</v>
      </c>
      <c r="B506" t="s">
        <v>2483</v>
      </c>
      <c r="C506" s="1">
        <v>45483</v>
      </c>
      <c r="D506" s="1"/>
      <c r="E506" t="s">
        <v>2484</v>
      </c>
      <c r="F506" t="s">
        <v>28</v>
      </c>
      <c r="G506" t="s">
        <v>3489</v>
      </c>
      <c r="H506" t="s">
        <v>2482</v>
      </c>
      <c r="I506" t="s">
        <v>3795</v>
      </c>
      <c r="K506" t="s">
        <v>3199</v>
      </c>
      <c r="L506" t="s">
        <v>3200</v>
      </c>
      <c r="M506" t="str">
        <f t="shared" si="14"/>
        <v>F11</v>
      </c>
      <c r="N506" t="s">
        <v>3201</v>
      </c>
      <c r="O506" t="s">
        <v>3202</v>
      </c>
      <c r="P506" t="s">
        <v>3203</v>
      </c>
      <c r="R506" t="str">
        <f t="shared" si="15"/>
        <v>INSERT INTO stock (ticker, name, listing_date, sub_industry, industry, sector, status) VALUES ('LABS', 'UBC Medical Indonesia Tbk.', '2024-07-10', 'F112', 'F11', 'IDXHEALTH', (SELECT id FROM attribute WHERE type = 'STOCK_STATUS' AND code = 'LISTED')) ON CONFLICT DO NOTHING;</v>
      </c>
    </row>
    <row r="507" spans="1:18" x14ac:dyDescent="0.2">
      <c r="A507" t="s">
        <v>2241</v>
      </c>
      <c r="B507" t="s">
        <v>2242</v>
      </c>
      <c r="C507" s="1">
        <v>44953</v>
      </c>
      <c r="D507" s="1"/>
      <c r="E507" t="s">
        <v>2243</v>
      </c>
      <c r="F507" t="s">
        <v>28</v>
      </c>
      <c r="G507" t="s">
        <v>3489</v>
      </c>
      <c r="H507" t="s">
        <v>2241</v>
      </c>
      <c r="I507" t="s">
        <v>3796</v>
      </c>
      <c r="K507" t="s">
        <v>3470</v>
      </c>
      <c r="L507" t="s">
        <v>3481</v>
      </c>
      <c r="M507" t="str">
        <f t="shared" si="14"/>
        <v>K21</v>
      </c>
      <c r="N507" t="s">
        <v>3482</v>
      </c>
      <c r="O507" t="s">
        <v>3481</v>
      </c>
      <c r="P507" t="s">
        <v>3481</v>
      </c>
      <c r="R507" t="str">
        <f t="shared" si="15"/>
        <v>INSERT INTO stock (ticker, name, listing_date, sub_industry, industry, sector, status) VALUES ('LAJU', 'Jasa Berdikari Logistics Tbk.', '2023-01-27', 'K211', 'K21', 'IDXTRANS', (SELECT id FROM attribute WHERE type = 'STOCK_STATUS' AND code = 'LISTED')) ON CONFLICT DO NOTHING;</v>
      </c>
    </row>
    <row r="508" spans="1:18" x14ac:dyDescent="0.2">
      <c r="A508" t="s">
        <v>1574</v>
      </c>
      <c r="B508" t="s">
        <v>1575</v>
      </c>
      <c r="C508" s="1">
        <v>43335</v>
      </c>
      <c r="D508" s="1"/>
      <c r="E508" t="s">
        <v>1576</v>
      </c>
      <c r="F508" t="s">
        <v>28</v>
      </c>
      <c r="G508" t="s">
        <v>3489</v>
      </c>
      <c r="H508" t="s">
        <v>1574</v>
      </c>
      <c r="I508" t="s">
        <v>3348</v>
      </c>
      <c r="K508" t="s">
        <v>3306</v>
      </c>
      <c r="L508" t="s">
        <v>3307</v>
      </c>
      <c r="M508" t="str">
        <f t="shared" si="14"/>
        <v>H11</v>
      </c>
      <c r="N508" t="s">
        <v>3308</v>
      </c>
      <c r="O508" t="s">
        <v>3309</v>
      </c>
      <c r="P508" t="s">
        <v>3310</v>
      </c>
      <c r="R508" t="str">
        <f t="shared" si="15"/>
        <v>INSERT INTO stock (ticker, name, listing_date, sub_industry, industry, sector, status) VALUES ('LAND', 'Trimitra Propertindo Tbk.', '2018-08-23', 'H111', 'H11', 'IDXPROPERT', (SELECT id FROM attribute WHERE type = 'STOCK_STATUS' AND code = 'LISTED')) ON CONFLICT DO NOTHING;</v>
      </c>
    </row>
    <row r="509" spans="1:18" x14ac:dyDescent="0.2">
      <c r="A509" t="s">
        <v>747</v>
      </c>
      <c r="B509" t="s">
        <v>748</v>
      </c>
      <c r="C509" s="1">
        <v>37089</v>
      </c>
      <c r="D509" s="1"/>
      <c r="E509" t="s">
        <v>749</v>
      </c>
      <c r="F509" t="s">
        <v>28</v>
      </c>
      <c r="G509" t="s">
        <v>3489</v>
      </c>
      <c r="H509" t="s">
        <v>747</v>
      </c>
      <c r="I509" t="s">
        <v>3462</v>
      </c>
      <c r="K509" t="s">
        <v>3418</v>
      </c>
      <c r="L509" t="s">
        <v>3458</v>
      </c>
      <c r="M509" t="str">
        <f t="shared" si="14"/>
        <v>J41</v>
      </c>
      <c r="N509" t="s">
        <v>3459</v>
      </c>
      <c r="O509" t="s">
        <v>3460</v>
      </c>
      <c r="P509" t="s">
        <v>3460</v>
      </c>
      <c r="R509" t="str">
        <f t="shared" si="15"/>
        <v>INSERT INTO stock (ticker, name, listing_date, sub_industry, industry, sector, status) VALUES ('LAPD', 'Leyand International Tbk.', '2001-07-17', 'J411', 'J41', 'IDXINFRA', (SELECT id FROM attribute WHERE type = 'STOCK_STATUS' AND code = 'LISTED')) ON CONFLICT DO NOTHING;</v>
      </c>
    </row>
    <row r="510" spans="1:18" x14ac:dyDescent="0.2">
      <c r="A510" t="s">
        <v>750</v>
      </c>
      <c r="B510" t="s">
        <v>751</v>
      </c>
      <c r="C510" s="1">
        <v>39276</v>
      </c>
      <c r="D510" s="1"/>
      <c r="E510" t="s">
        <v>752</v>
      </c>
      <c r="F510" t="s">
        <v>12</v>
      </c>
      <c r="G510" t="s">
        <v>3489</v>
      </c>
      <c r="H510" t="s">
        <v>750</v>
      </c>
      <c r="I510" t="s">
        <v>3349</v>
      </c>
      <c r="K510" t="s">
        <v>3306</v>
      </c>
      <c r="L510" t="s">
        <v>3307</v>
      </c>
      <c r="M510" t="str">
        <f t="shared" si="14"/>
        <v>H11</v>
      </c>
      <c r="N510" t="s">
        <v>3308</v>
      </c>
      <c r="O510" t="s">
        <v>3309</v>
      </c>
      <c r="P510" t="s">
        <v>3310</v>
      </c>
      <c r="R510" t="str">
        <f t="shared" si="15"/>
        <v>INSERT INTO stock (ticker, name, listing_date, sub_industry, industry, sector, status) VALUES ('LCGP', 'Eureka Prima Jakarta Tbk.', '2007-07-13', 'H111', 'H11', 'IDXPROPERT', (SELECT id FROM attribute WHERE type = 'STOCK_STATUS' AND code = 'LISTED')) ON CONFLICT DO NOTHING;</v>
      </c>
    </row>
    <row r="511" spans="1:18" x14ac:dyDescent="0.2">
      <c r="A511" t="s">
        <v>1492</v>
      </c>
      <c r="B511" t="s">
        <v>1493</v>
      </c>
      <c r="C511" s="1">
        <v>43116</v>
      </c>
      <c r="D511" s="1"/>
      <c r="E511" t="s">
        <v>355</v>
      </c>
      <c r="F511" t="s">
        <v>28</v>
      </c>
      <c r="G511" t="s">
        <v>3489</v>
      </c>
      <c r="H511" t="s">
        <v>1492</v>
      </c>
      <c r="I511" t="s">
        <v>3797</v>
      </c>
      <c r="K511" t="s">
        <v>3418</v>
      </c>
      <c r="L511" t="s">
        <v>3439</v>
      </c>
      <c r="M511" t="str">
        <f t="shared" si="14"/>
        <v>J32</v>
      </c>
      <c r="N511" t="s">
        <v>3449</v>
      </c>
      <c r="O511" t="s">
        <v>3450</v>
      </c>
      <c r="P511" t="s">
        <v>3450</v>
      </c>
      <c r="R511" t="str">
        <f t="shared" si="15"/>
        <v>INSERT INTO stock (ticker, name, listing_date, sub_industry, industry, sector, status) VALUES ('LCKM', 'LCK Global Kedaton Tbk.', '2018-01-16', 'J321', 'J32', 'IDXINFRA', (SELECT id FROM attribute WHERE type = 'STOCK_STATUS' AND code = 'LISTED')) ON CONFLICT DO NOTHING;</v>
      </c>
    </row>
    <row r="512" spans="1:18" x14ac:dyDescent="0.2">
      <c r="A512" t="s">
        <v>753</v>
      </c>
      <c r="B512" t="s">
        <v>754</v>
      </c>
      <c r="C512" s="1">
        <v>41619</v>
      </c>
      <c r="D512" s="1"/>
      <c r="E512" t="s">
        <v>755</v>
      </c>
      <c r="F512" t="s">
        <v>28</v>
      </c>
      <c r="G512" t="s">
        <v>3489</v>
      </c>
      <c r="H512" t="s">
        <v>753</v>
      </c>
      <c r="I512" t="s">
        <v>2717</v>
      </c>
      <c r="K512" t="s">
        <v>2701</v>
      </c>
      <c r="L512" t="s">
        <v>2702</v>
      </c>
      <c r="M512" t="str">
        <f t="shared" si="14"/>
        <v>A11</v>
      </c>
      <c r="N512" t="s">
        <v>2710</v>
      </c>
      <c r="O512" t="s">
        <v>2704</v>
      </c>
      <c r="P512" t="s">
        <v>2711</v>
      </c>
      <c r="R512" t="str">
        <f t="shared" si="15"/>
        <v>INSERT INTO stock (ticker, name, listing_date, sub_industry, industry, sector, status) VALUES ('LEAD', 'Logindo Samudramakmur Tbk.', '2013-12-11', 'A112', 'A11', 'IDXENERGY', (SELECT id FROM attribute WHERE type = 'STOCK_STATUS' AND code = 'LISTED')) ON CONFLICT DO NOTHING;</v>
      </c>
    </row>
    <row r="513" spans="1:18" x14ac:dyDescent="0.2">
      <c r="A513" t="s">
        <v>1930</v>
      </c>
      <c r="B513" t="s">
        <v>1931</v>
      </c>
      <c r="C513" s="1">
        <v>44293</v>
      </c>
      <c r="D513" s="1"/>
      <c r="E513" t="s">
        <v>1932</v>
      </c>
      <c r="F513" t="s">
        <v>1847</v>
      </c>
      <c r="G513" t="s">
        <v>3489</v>
      </c>
      <c r="H513" t="s">
        <v>1930</v>
      </c>
      <c r="I513" t="s">
        <v>3060</v>
      </c>
      <c r="K513" t="s">
        <v>3039</v>
      </c>
      <c r="L513" t="s">
        <v>3055</v>
      </c>
      <c r="M513" t="str">
        <f t="shared" si="14"/>
        <v>E21</v>
      </c>
      <c r="N513" t="s">
        <v>3056</v>
      </c>
      <c r="O513" t="s">
        <v>3055</v>
      </c>
      <c r="P513" t="s">
        <v>3057</v>
      </c>
      <c r="R513" t="str">
        <f t="shared" si="15"/>
        <v>INSERT INTO stock (ticker, name, listing_date, sub_industry, industry, sector, status) VALUES ('LFLO', 'Imago Mulia Persada Tbk.', '2021-04-07', 'E211', 'E21', 'IDXCYCLIC', (SELECT id FROM attribute WHERE type = 'STOCK_STATUS' AND code = 'LISTED')) ON CONFLICT DO NOTHING;</v>
      </c>
    </row>
    <row r="514" spans="1:18" x14ac:dyDescent="0.2">
      <c r="A514" t="s">
        <v>1710</v>
      </c>
      <c r="B514" t="s">
        <v>3608</v>
      </c>
      <c r="C514" s="1">
        <v>43655</v>
      </c>
      <c r="D514" s="1"/>
      <c r="E514" t="s">
        <v>1711</v>
      </c>
      <c r="F514" t="s">
        <v>28</v>
      </c>
      <c r="G514" t="s">
        <v>3489</v>
      </c>
      <c r="H514" t="s">
        <v>1710</v>
      </c>
      <c r="I514" t="s">
        <v>3283</v>
      </c>
      <c r="K514" t="s">
        <v>3224</v>
      </c>
      <c r="L514" t="s">
        <v>3264</v>
      </c>
      <c r="M514" t="str">
        <f t="shared" ref="M514:M577" si="16">LEFT(N514, 3)</f>
        <v>G41</v>
      </c>
      <c r="N514" t="s">
        <v>3280</v>
      </c>
      <c r="O514" t="s">
        <v>3264</v>
      </c>
      <c r="P514" t="s">
        <v>3281</v>
      </c>
      <c r="R514" t="str">
        <f t="shared" si="15"/>
        <v>INSERT INTO stock (ticker, name, listing_date, sub_industry, industry, sector, status) VALUES ('LIFE', 'Asuransi Jiwa Sinarmas MSIG Tbk.', '2019-07-09', 'G413', 'G41', 'IDXFINANCE', (SELECT id FROM attribute WHERE type = 'STOCK_STATUS' AND code = 'LISTED')) ON CONFLICT DO NOTHING;</v>
      </c>
    </row>
    <row r="515" spans="1:18" x14ac:dyDescent="0.2">
      <c r="A515" t="s">
        <v>756</v>
      </c>
      <c r="B515" t="s">
        <v>757</v>
      </c>
      <c r="C515" s="1">
        <v>41792</v>
      </c>
      <c r="D515" s="1"/>
      <c r="E515" t="s">
        <v>758</v>
      </c>
      <c r="F515" t="s">
        <v>28</v>
      </c>
      <c r="G515" t="s">
        <v>3489</v>
      </c>
      <c r="H515" t="s">
        <v>756</v>
      </c>
      <c r="I515" t="s">
        <v>3445</v>
      </c>
      <c r="K515" t="s">
        <v>3418</v>
      </c>
      <c r="L515" t="s">
        <v>3439</v>
      </c>
      <c r="M515" t="str">
        <f t="shared" si="16"/>
        <v>J31</v>
      </c>
      <c r="N515" t="s">
        <v>3440</v>
      </c>
      <c r="O515" t="s">
        <v>3441</v>
      </c>
      <c r="P515" t="s">
        <v>3442</v>
      </c>
      <c r="R515" t="str">
        <f t="shared" ref="R515:R578" si="17">CONCATENATE($R$1, A515, "', '", B515, "', '", TEXT(C515, "YYYY-MM-DD"), "', '", N515, "', '", M515, "', '", K515, "', ", $S$1, ") ON CONFLICT DO NOTHING;")</f>
        <v>INSERT INTO stock (ticker, name, listing_date, sub_industry, industry, sector, status) VALUES ('LINK', 'Link Net Tbk.', '2014-06-02', 'J311', 'J31', 'IDXINFRA', (SELECT id FROM attribute WHERE type = 'STOCK_STATUS' AND code = 'LISTED')) ON CONFLICT DO NOTHING;</v>
      </c>
    </row>
    <row r="516" spans="1:18" x14ac:dyDescent="0.2">
      <c r="A516" t="s">
        <v>759</v>
      </c>
      <c r="B516" t="s">
        <v>760</v>
      </c>
      <c r="C516" s="1">
        <v>34201</v>
      </c>
      <c r="D516" s="1"/>
      <c r="E516" t="s">
        <v>761</v>
      </c>
      <c r="F516" t="s">
        <v>28</v>
      </c>
      <c r="G516" t="s">
        <v>3489</v>
      </c>
      <c r="H516" t="s">
        <v>759</v>
      </c>
      <c r="I516" t="s">
        <v>2924</v>
      </c>
      <c r="K516" t="s">
        <v>2874</v>
      </c>
      <c r="L516" t="s">
        <v>2910</v>
      </c>
      <c r="M516" t="str">
        <f t="shared" si="16"/>
        <v>C22</v>
      </c>
      <c r="N516" t="s">
        <v>2921</v>
      </c>
      <c r="O516" t="s">
        <v>2916</v>
      </c>
      <c r="P516" t="s">
        <v>2922</v>
      </c>
      <c r="R516" t="str">
        <f t="shared" si="17"/>
        <v>INSERT INTO stock (ticker, name, listing_date, sub_industry, industry, sector, status) VALUES ('LION', 'Lion Metal Works Tbk.', '1993-08-20', 'C223', 'C22', 'IDXINDUST', (SELECT id FROM attribute WHERE type = 'STOCK_STATUS' AND code = 'LISTED')) ON CONFLICT DO NOTHING;</v>
      </c>
    </row>
    <row r="517" spans="1:18" x14ac:dyDescent="0.2">
      <c r="A517" t="s">
        <v>2438</v>
      </c>
      <c r="B517" t="s">
        <v>2439</v>
      </c>
      <c r="C517" s="1">
        <v>45334</v>
      </c>
      <c r="D517" s="1"/>
      <c r="E517" t="s">
        <v>2440</v>
      </c>
      <c r="F517" t="s">
        <v>28</v>
      </c>
      <c r="G517" t="s">
        <v>3489</v>
      </c>
      <c r="H517" t="s">
        <v>2438</v>
      </c>
      <c r="I517" t="s">
        <v>3798</v>
      </c>
      <c r="K517" t="s">
        <v>3039</v>
      </c>
      <c r="L517" t="s">
        <v>3055</v>
      </c>
      <c r="M517" t="str">
        <f t="shared" si="16"/>
        <v>E21</v>
      </c>
      <c r="N517" t="s">
        <v>3067</v>
      </c>
      <c r="O517" t="s">
        <v>3055</v>
      </c>
      <c r="P517" t="s">
        <v>3068</v>
      </c>
      <c r="R517" t="str">
        <f t="shared" si="17"/>
        <v>INSERT INTO stock (ticker, name, listing_date, sub_industry, industry, sector, status) VALUES ('LIVE', 'Homeco Victoria Makmur Tbk.', '2024-02-12', 'E213', 'E21', 'IDXCYCLIC', (SELECT id FROM attribute WHERE type = 'STOCK_STATUS' AND code = 'LISTED')) ON CONFLICT DO NOTHING;</v>
      </c>
    </row>
    <row r="518" spans="1:18" x14ac:dyDescent="0.2">
      <c r="A518" t="s">
        <v>762</v>
      </c>
      <c r="B518" t="s">
        <v>3609</v>
      </c>
      <c r="C518" s="1">
        <v>37253</v>
      </c>
      <c r="D518" s="1"/>
      <c r="E518" t="s">
        <v>764</v>
      </c>
      <c r="F518" t="s">
        <v>12</v>
      </c>
      <c r="G518" t="s">
        <v>3489</v>
      </c>
      <c r="H518" t="s">
        <v>762</v>
      </c>
      <c r="I518" t="s">
        <v>763</v>
      </c>
      <c r="K518" t="s">
        <v>3381</v>
      </c>
      <c r="L518" t="s">
        <v>3382</v>
      </c>
      <c r="M518" t="str">
        <f t="shared" si="16"/>
        <v>I12</v>
      </c>
      <c r="N518" t="s">
        <v>3393</v>
      </c>
      <c r="O518" t="s">
        <v>3394</v>
      </c>
      <c r="P518" t="s">
        <v>3394</v>
      </c>
      <c r="R518" t="str">
        <f t="shared" si="17"/>
        <v>INSERT INTO stock (ticker, name, listing_date, sub_industry, industry, sector, status) VALUES ('LMAS', 'Limas Indonesia Makmur Tbk.', '2001-12-28', 'I121', 'I12', 'IDXTECHNO', (SELECT id FROM attribute WHERE type = 'STOCK_STATUS' AND code = 'LISTED')) ON CONFLICT DO NOTHING;</v>
      </c>
    </row>
    <row r="519" spans="1:18" x14ac:dyDescent="0.2">
      <c r="A519" t="s">
        <v>2363</v>
      </c>
      <c r="B519" t="s">
        <v>3610</v>
      </c>
      <c r="C519" s="1">
        <v>45147</v>
      </c>
      <c r="D519" s="1"/>
      <c r="E519" t="s">
        <v>2364</v>
      </c>
      <c r="F519" t="s">
        <v>1847</v>
      </c>
      <c r="G519" t="s">
        <v>3489</v>
      </c>
      <c r="H519" t="s">
        <v>2363</v>
      </c>
      <c r="I519" t="s">
        <v>3610</v>
      </c>
      <c r="K519" t="s">
        <v>3039</v>
      </c>
      <c r="L519" t="s">
        <v>3040</v>
      </c>
      <c r="M519" t="str">
        <f t="shared" si="16"/>
        <v>E11</v>
      </c>
      <c r="N519" t="s">
        <v>3041</v>
      </c>
      <c r="O519" t="s">
        <v>3042</v>
      </c>
      <c r="P519" t="s">
        <v>3043</v>
      </c>
      <c r="R519" t="str">
        <f t="shared" si="17"/>
        <v>INSERT INTO stock (ticker, name, listing_date, sub_industry, industry, sector, status) VALUES ('LMAX', 'Lupromax Pelumas Indonesia Tbk.', '2023-08-09', 'E111', 'E11', 'IDXCYCLIC', (SELECT id FROM attribute WHERE type = 'STOCK_STATUS' AND code = 'LISTED')) ON CONFLICT DO NOTHING;</v>
      </c>
    </row>
    <row r="520" spans="1:18" x14ac:dyDescent="0.2">
      <c r="A520" t="s">
        <v>765</v>
      </c>
      <c r="B520" t="s">
        <v>766</v>
      </c>
      <c r="C520" s="1">
        <v>34624</v>
      </c>
      <c r="D520" s="1"/>
      <c r="E520" t="s">
        <v>767</v>
      </c>
      <c r="F520" t="s">
        <v>28</v>
      </c>
      <c r="G520" t="s">
        <v>3489</v>
      </c>
      <c r="H520" t="s">
        <v>765</v>
      </c>
      <c r="I520" t="s">
        <v>3069</v>
      </c>
      <c r="K520" t="s">
        <v>3039</v>
      </c>
      <c r="L520" t="s">
        <v>3055</v>
      </c>
      <c r="M520" t="str">
        <f t="shared" si="16"/>
        <v>E21</v>
      </c>
      <c r="N520" t="s">
        <v>3067</v>
      </c>
      <c r="O520" t="s">
        <v>3055</v>
      </c>
      <c r="P520" t="s">
        <v>3068</v>
      </c>
      <c r="R520" t="str">
        <f t="shared" si="17"/>
        <v>INSERT INTO stock (ticker, name, listing_date, sub_industry, industry, sector, status) VALUES ('LMPI', 'Langgeng Makmur Industri Tbk.', '1994-10-17', 'E213', 'E21', 'IDXCYCLIC', (SELECT id FROM attribute WHERE type = 'STOCK_STATUS' AND code = 'LISTED')) ON CONFLICT DO NOTHING;</v>
      </c>
    </row>
    <row r="521" spans="1:18" x14ac:dyDescent="0.2">
      <c r="A521" t="s">
        <v>768</v>
      </c>
      <c r="B521" t="s">
        <v>769</v>
      </c>
      <c r="C521" s="1">
        <v>33028</v>
      </c>
      <c r="D521" s="1"/>
      <c r="E521" t="s">
        <v>770</v>
      </c>
      <c r="F521" t="s">
        <v>12</v>
      </c>
      <c r="G521" t="s">
        <v>3489</v>
      </c>
      <c r="H521" t="s">
        <v>768</v>
      </c>
      <c r="I521" t="s">
        <v>2847</v>
      </c>
      <c r="K521" t="s">
        <v>2778</v>
      </c>
      <c r="L521" t="s">
        <v>2779</v>
      </c>
      <c r="M521" t="str">
        <f t="shared" si="16"/>
        <v>B14</v>
      </c>
      <c r="N521" t="s">
        <v>2839</v>
      </c>
      <c r="O521" t="s">
        <v>2824</v>
      </c>
      <c r="P521" t="s">
        <v>2840</v>
      </c>
      <c r="R521" t="str">
        <f t="shared" si="17"/>
        <v>INSERT INTO stock (ticker, name, listing_date, sub_industry, industry, sector, status) VALUES ('LMSH', 'Lionmesh Prima Tbk.', '1990-06-04', 'B144', 'B14', 'IDXBASIC', (SELECT id FROM attribute WHERE type = 'STOCK_STATUS' AND code = 'LISTED')) ON CONFLICT DO NOTHING;</v>
      </c>
    </row>
    <row r="522" spans="1:18" x14ac:dyDescent="0.2">
      <c r="A522" t="s">
        <v>2396</v>
      </c>
      <c r="B522" t="s">
        <v>3611</v>
      </c>
      <c r="C522" s="1">
        <v>45210</v>
      </c>
      <c r="D522" s="1"/>
      <c r="E522" t="s">
        <v>2397</v>
      </c>
      <c r="F522" t="s">
        <v>1847</v>
      </c>
      <c r="G522" t="s">
        <v>3489</v>
      </c>
      <c r="H522" t="s">
        <v>2396</v>
      </c>
      <c r="I522" t="s">
        <v>3799</v>
      </c>
      <c r="K522" t="s">
        <v>3470</v>
      </c>
      <c r="L522" t="s">
        <v>3481</v>
      </c>
      <c r="M522" t="str">
        <f t="shared" si="16"/>
        <v>K21</v>
      </c>
      <c r="N522" t="s">
        <v>3482</v>
      </c>
      <c r="O522" t="s">
        <v>3481</v>
      </c>
      <c r="P522" t="s">
        <v>3481</v>
      </c>
      <c r="R522" t="str">
        <f t="shared" si="17"/>
        <v>INSERT INTO stock (ticker, name, listing_date, sub_industry, industry, sector, status) VALUES ('LOPI', 'Logisticsplus International Tbk.', '2023-10-11', 'K211', 'K21', 'IDXTRANS', (SELECT id FROM attribute WHERE type = 'STOCK_STATUS' AND code = 'LISTED')) ON CONFLICT DO NOTHING;</v>
      </c>
    </row>
    <row r="523" spans="1:18" x14ac:dyDescent="0.2">
      <c r="A523" t="s">
        <v>771</v>
      </c>
      <c r="B523" t="s">
        <v>3612</v>
      </c>
      <c r="C523" s="1">
        <v>35635</v>
      </c>
      <c r="D523" s="1"/>
      <c r="E523" t="s">
        <v>773</v>
      </c>
      <c r="F523" t="s">
        <v>28</v>
      </c>
      <c r="G523" t="s">
        <v>3489</v>
      </c>
      <c r="H523" t="s">
        <v>771</v>
      </c>
      <c r="I523" t="s">
        <v>772</v>
      </c>
      <c r="K523" t="s">
        <v>3306</v>
      </c>
      <c r="L523" t="s">
        <v>3307</v>
      </c>
      <c r="M523" t="str">
        <f t="shared" si="16"/>
        <v>H11</v>
      </c>
      <c r="N523" t="s">
        <v>3308</v>
      </c>
      <c r="O523" t="s">
        <v>3309</v>
      </c>
      <c r="P523" t="s">
        <v>3310</v>
      </c>
      <c r="R523" t="str">
        <f t="shared" si="17"/>
        <v>INSERT INTO stock (ticker, name, listing_date, sub_industry, industry, sector, status) VALUES ('LPCK', 'Lippo Cikarang Tbk.', '1997-07-24', 'H111', 'H11', 'IDXPROPERT', (SELECT id FROM attribute WHERE type = 'STOCK_STATUS' AND code = 'LISTED')) ON CONFLICT DO NOTHING;</v>
      </c>
    </row>
    <row r="524" spans="1:18" x14ac:dyDescent="0.2">
      <c r="A524" t="s">
        <v>774</v>
      </c>
      <c r="B524" t="s">
        <v>775</v>
      </c>
      <c r="C524" s="1">
        <v>35633</v>
      </c>
      <c r="D524" s="1"/>
      <c r="E524" t="s">
        <v>227</v>
      </c>
      <c r="F524" t="s">
        <v>28</v>
      </c>
      <c r="G524" t="s">
        <v>3489</v>
      </c>
      <c r="H524" t="s">
        <v>774</v>
      </c>
      <c r="I524" t="s">
        <v>3274</v>
      </c>
      <c r="K524" t="s">
        <v>3224</v>
      </c>
      <c r="L524" t="s">
        <v>3264</v>
      </c>
      <c r="M524" t="str">
        <f t="shared" si="16"/>
        <v>G41</v>
      </c>
      <c r="N524" t="s">
        <v>3265</v>
      </c>
      <c r="O524" t="s">
        <v>3264</v>
      </c>
      <c r="P524" t="s">
        <v>3266</v>
      </c>
      <c r="R524" t="str">
        <f t="shared" si="17"/>
        <v>INSERT INTO stock (ticker, name, listing_date, sub_industry, industry, sector, status) VALUES ('LPGI', 'Lippo General Insurance Tbk.', '1997-07-22', 'G412', 'G41', 'IDXFINANCE', (SELECT id FROM attribute WHERE type = 'STOCK_STATUS' AND code = 'LISTED')) ON CONFLICT DO NOTHING;</v>
      </c>
    </row>
    <row r="525" spans="1:18" x14ac:dyDescent="0.2">
      <c r="A525" t="s">
        <v>776</v>
      </c>
      <c r="B525" t="s">
        <v>3613</v>
      </c>
      <c r="C525" s="1">
        <v>32909</v>
      </c>
      <c r="D525" s="1"/>
      <c r="E525" t="s">
        <v>778</v>
      </c>
      <c r="F525" t="s">
        <v>28</v>
      </c>
      <c r="G525" t="s">
        <v>3489</v>
      </c>
      <c r="H525" t="s">
        <v>776</v>
      </c>
      <c r="I525" t="s">
        <v>777</v>
      </c>
      <c r="K525" t="s">
        <v>3039</v>
      </c>
      <c r="L525" t="s">
        <v>3040</v>
      </c>
      <c r="M525" t="str">
        <f t="shared" si="16"/>
        <v>E11</v>
      </c>
      <c r="N525" t="s">
        <v>3041</v>
      </c>
      <c r="O525" t="s">
        <v>3042</v>
      </c>
      <c r="P525" t="s">
        <v>3043</v>
      </c>
      <c r="R525" t="str">
        <f t="shared" si="17"/>
        <v>INSERT INTO stock (ticker, name, listing_date, sub_industry, industry, sector, status) VALUES ('LPIN', 'Multi Prima Sejahtera Tbk.', '1990-02-05', 'E111', 'E11', 'IDXCYCLIC', (SELECT id FROM attribute WHERE type = 'STOCK_STATUS' AND code = 'LISTED')) ON CONFLICT DO NOTHING;</v>
      </c>
    </row>
    <row r="526" spans="1:18" x14ac:dyDescent="0.2">
      <c r="A526" t="s">
        <v>779</v>
      </c>
      <c r="B526" t="s">
        <v>780</v>
      </c>
      <c r="C526" s="1">
        <v>35244</v>
      </c>
      <c r="D526" s="1"/>
      <c r="E526" t="s">
        <v>781</v>
      </c>
      <c r="F526" t="s">
        <v>8</v>
      </c>
      <c r="G526" t="s">
        <v>3489</v>
      </c>
      <c r="H526" t="s">
        <v>779</v>
      </c>
      <c r="I526" t="s">
        <v>3350</v>
      </c>
      <c r="K526" t="s">
        <v>3306</v>
      </c>
      <c r="L526" t="s">
        <v>3307</v>
      </c>
      <c r="M526" t="str">
        <f t="shared" si="16"/>
        <v>H11</v>
      </c>
      <c r="N526" t="s">
        <v>3308</v>
      </c>
      <c r="O526" t="s">
        <v>3309</v>
      </c>
      <c r="P526" t="s">
        <v>3310</v>
      </c>
      <c r="R526" t="str">
        <f t="shared" si="17"/>
        <v>INSERT INTO stock (ticker, name, listing_date, sub_industry, industry, sector, status) VALUES ('LPKR', 'Lippo Karawaci Tbk.', '1996-06-28', 'H111', 'H11', 'IDXPROPERT', (SELECT id FROM attribute WHERE type = 'STOCK_STATUS' AND code = 'LISTED')) ON CONFLICT DO NOTHING;</v>
      </c>
    </row>
    <row r="527" spans="1:18" x14ac:dyDescent="0.2">
      <c r="A527" t="s">
        <v>782</v>
      </c>
      <c r="B527" t="s">
        <v>3614</v>
      </c>
      <c r="C527" s="1">
        <v>32804</v>
      </c>
      <c r="D527" s="1"/>
      <c r="E527" t="s">
        <v>784</v>
      </c>
      <c r="F527" t="s">
        <v>28</v>
      </c>
      <c r="G527" t="s">
        <v>3489</v>
      </c>
      <c r="H527" t="s">
        <v>782</v>
      </c>
      <c r="I527" t="s">
        <v>783</v>
      </c>
      <c r="K527" t="s">
        <v>3306</v>
      </c>
      <c r="L527" t="s">
        <v>3307</v>
      </c>
      <c r="M527" t="str">
        <f t="shared" si="16"/>
        <v>H11</v>
      </c>
      <c r="N527" t="s">
        <v>3308</v>
      </c>
      <c r="O527" t="s">
        <v>3309</v>
      </c>
      <c r="P527" t="s">
        <v>3310</v>
      </c>
      <c r="R527" t="str">
        <f t="shared" si="17"/>
        <v>INSERT INTO stock (ticker, name, listing_date, sub_industry, industry, sector, status) VALUES ('LPLI', 'Star Pacific Tbk.', '1989-10-23', 'H111', 'H11', 'IDXPROPERT', (SELECT id FROM attribute WHERE type = 'STOCK_STATUS' AND code = 'LISTED')) ON CONFLICT DO NOTHING;</v>
      </c>
    </row>
    <row r="528" spans="1:18" x14ac:dyDescent="0.2">
      <c r="A528" t="s">
        <v>785</v>
      </c>
      <c r="B528" t="s">
        <v>786</v>
      </c>
      <c r="C528" s="1">
        <v>32790</v>
      </c>
      <c r="D528" s="1"/>
      <c r="E528" t="s">
        <v>787</v>
      </c>
      <c r="F528" t="s">
        <v>8</v>
      </c>
      <c r="G528" t="s">
        <v>3489</v>
      </c>
      <c r="H528" t="s">
        <v>785</v>
      </c>
      <c r="I528" t="s">
        <v>3171</v>
      </c>
      <c r="K528" t="s">
        <v>3039</v>
      </c>
      <c r="L528" t="s">
        <v>3168</v>
      </c>
      <c r="M528" t="str">
        <f t="shared" si="16"/>
        <v>E73</v>
      </c>
      <c r="N528" t="s">
        <v>3172</v>
      </c>
      <c r="O528" t="s">
        <v>3173</v>
      </c>
      <c r="P528" t="s">
        <v>3173</v>
      </c>
      <c r="R528" t="str">
        <f t="shared" si="17"/>
        <v>INSERT INTO stock (ticker, name, listing_date, sub_industry, industry, sector, status) VALUES ('LPPF', 'Matahari Department Store Tbk.', '1989-10-09', 'E731', 'E73', 'IDXCYCLIC', (SELECT id FROM attribute WHERE type = 'STOCK_STATUS' AND code = 'LISTED')) ON CONFLICT DO NOTHING;</v>
      </c>
    </row>
    <row r="529" spans="1:18" x14ac:dyDescent="0.2">
      <c r="A529" t="s">
        <v>788</v>
      </c>
      <c r="B529" t="s">
        <v>789</v>
      </c>
      <c r="C529" s="1">
        <v>34421</v>
      </c>
      <c r="D529" s="1"/>
      <c r="E529" t="s">
        <v>790</v>
      </c>
      <c r="F529" t="s">
        <v>28</v>
      </c>
      <c r="G529" t="s">
        <v>3489</v>
      </c>
      <c r="H529" t="s">
        <v>788</v>
      </c>
      <c r="I529" t="s">
        <v>3800</v>
      </c>
      <c r="K529" t="s">
        <v>3224</v>
      </c>
      <c r="L529" t="s">
        <v>3289</v>
      </c>
      <c r="M529" t="str">
        <f t="shared" si="16"/>
        <v>G51</v>
      </c>
      <c r="N529" t="s">
        <v>3303</v>
      </c>
      <c r="O529" t="s">
        <v>3289</v>
      </c>
      <c r="P529" t="s">
        <v>3304</v>
      </c>
      <c r="R529" t="str">
        <f t="shared" si="17"/>
        <v>INSERT INTO stock (ticker, name, listing_date, sub_industry, industry, sector, status) VALUES ('LPPS', 'Lenox Pasifik Investama Tbk.', '1994-03-28', 'G512', 'G51', 'IDXFINANCE', (SELECT id FROM attribute WHERE type = 'STOCK_STATUS' AND code = 'LISTED')) ON CONFLICT DO NOTHING;</v>
      </c>
    </row>
    <row r="530" spans="1:18" x14ac:dyDescent="0.2">
      <c r="A530" t="s">
        <v>791</v>
      </c>
      <c r="B530" t="s">
        <v>792</v>
      </c>
      <c r="C530" s="1">
        <v>41744</v>
      </c>
      <c r="D530" s="1"/>
      <c r="E530" t="s">
        <v>793</v>
      </c>
      <c r="F530" t="s">
        <v>28</v>
      </c>
      <c r="G530" t="s">
        <v>3489</v>
      </c>
      <c r="H530" t="s">
        <v>791</v>
      </c>
      <c r="I530" t="s">
        <v>792</v>
      </c>
      <c r="K530" t="s">
        <v>3470</v>
      </c>
      <c r="L530" t="s">
        <v>3471</v>
      </c>
      <c r="M530" t="str">
        <f t="shared" si="16"/>
        <v>K13</v>
      </c>
      <c r="N530" t="s">
        <v>3477</v>
      </c>
      <c r="O530" t="s">
        <v>3478</v>
      </c>
      <c r="P530" t="s">
        <v>3479</v>
      </c>
      <c r="R530" t="str">
        <f t="shared" si="17"/>
        <v>INSERT INTO stock (ticker, name, listing_date, sub_industry, industry, sector, status) VALUES ('LRNA', 'Eka Sari Lorena Transport Tbk.', '2014-04-15', 'K132', 'K13', 'IDXTRANS', (SELECT id FROM attribute WHERE type = 'STOCK_STATUS' AND code = 'LISTED')) ON CONFLICT DO NOTHING;</v>
      </c>
    </row>
    <row r="531" spans="1:18" x14ac:dyDescent="0.2">
      <c r="A531" t="s">
        <v>794</v>
      </c>
      <c r="B531" t="s">
        <v>3615</v>
      </c>
      <c r="C531" s="1">
        <v>35251</v>
      </c>
      <c r="D531" s="1"/>
      <c r="E531" t="s">
        <v>795</v>
      </c>
      <c r="F531" t="s">
        <v>8</v>
      </c>
      <c r="G531" t="s">
        <v>3489</v>
      </c>
      <c r="H531" t="s">
        <v>794</v>
      </c>
      <c r="I531" t="s">
        <v>3021</v>
      </c>
      <c r="K531" t="s">
        <v>2945</v>
      </c>
      <c r="L531" t="s">
        <v>2961</v>
      </c>
      <c r="M531" t="str">
        <f t="shared" si="16"/>
        <v>D23</v>
      </c>
      <c r="N531" t="s">
        <v>3013</v>
      </c>
      <c r="O531" t="s">
        <v>2999</v>
      </c>
      <c r="P531" t="s">
        <v>3014</v>
      </c>
      <c r="R531" t="str">
        <f t="shared" si="17"/>
        <v>INSERT INTO stock (ticker, name, listing_date, sub_industry, industry, sector, status) VALUES ('LSIP', 'PP London Sumatra Indonesia Tbk.', '1996-07-05', 'D232', 'D23', 'IDXNONCYC', (SELECT id FROM attribute WHERE type = 'STOCK_STATUS' AND code = 'LISTED')) ON CONFLICT DO NOTHING;</v>
      </c>
    </row>
    <row r="532" spans="1:18" x14ac:dyDescent="0.2">
      <c r="A532" t="s">
        <v>796</v>
      </c>
      <c r="B532" t="s">
        <v>797</v>
      </c>
      <c r="C532" s="1">
        <v>35632</v>
      </c>
      <c r="D532" s="1"/>
      <c r="E532" t="s">
        <v>798</v>
      </c>
      <c r="F532" t="s">
        <v>8</v>
      </c>
      <c r="G532" t="s">
        <v>3489</v>
      </c>
      <c r="H532" t="s">
        <v>796</v>
      </c>
      <c r="I532" t="s">
        <v>2785</v>
      </c>
      <c r="K532" t="s">
        <v>2778</v>
      </c>
      <c r="L532" t="s">
        <v>2779</v>
      </c>
      <c r="M532" t="str">
        <f t="shared" si="16"/>
        <v>B11</v>
      </c>
      <c r="N532" t="s">
        <v>2780</v>
      </c>
      <c r="O532" t="s">
        <v>2781</v>
      </c>
      <c r="P532" t="s">
        <v>2782</v>
      </c>
      <c r="R532" t="str">
        <f t="shared" si="17"/>
        <v>INSERT INTO stock (ticker, name, listing_date, sub_industry, industry, sector, status) VALUES ('LTLS', 'Lautan Luas Tbk.', '1997-07-21', 'B111', 'B11', 'IDXBASIC', (SELECT id FROM attribute WHERE type = 'STOCK_STATUS' AND code = 'LISTED')) ON CONFLICT DO NOTHING;</v>
      </c>
    </row>
    <row r="533" spans="1:18" x14ac:dyDescent="0.2">
      <c r="A533" t="s">
        <v>1627</v>
      </c>
      <c r="B533" t="s">
        <v>1628</v>
      </c>
      <c r="C533" s="1">
        <v>43432</v>
      </c>
      <c r="D533" s="1"/>
      <c r="E533" t="s">
        <v>1629</v>
      </c>
      <c r="F533" t="s">
        <v>28</v>
      </c>
      <c r="G533" t="s">
        <v>3489</v>
      </c>
      <c r="H533" t="s">
        <v>1627</v>
      </c>
      <c r="I533" t="s">
        <v>3411</v>
      </c>
      <c r="K533" t="s">
        <v>3381</v>
      </c>
      <c r="L533" t="s">
        <v>3406</v>
      </c>
      <c r="M533" t="str">
        <f t="shared" si="16"/>
        <v>I22</v>
      </c>
      <c r="N533" t="s">
        <v>3409</v>
      </c>
      <c r="O533" t="s">
        <v>3410</v>
      </c>
      <c r="P533" t="s">
        <v>3410</v>
      </c>
      <c r="R533" t="str">
        <f t="shared" si="17"/>
        <v>INSERT INTO stock (ticker, name, listing_date, sub_industry, industry, sector, status) VALUES ('LUCK', 'Sentral Mitra Informatika Tbk.', '2018-11-28', 'I221', 'I22', 'IDXTECHNO', (SELECT id FROM attribute WHERE type = 'STOCK_STATUS' AND code = 'LISTED')) ON CONFLICT DO NOTHING;</v>
      </c>
    </row>
    <row r="534" spans="1:18" x14ac:dyDescent="0.2">
      <c r="A534" t="s">
        <v>1942</v>
      </c>
      <c r="B534" t="s">
        <v>1943</v>
      </c>
      <c r="C534" s="1">
        <v>44321</v>
      </c>
      <c r="D534" s="1"/>
      <c r="E534" t="s">
        <v>1944</v>
      </c>
      <c r="F534" t="s">
        <v>1847</v>
      </c>
      <c r="G534" t="s">
        <v>3489</v>
      </c>
      <c r="H534" t="s">
        <v>1942</v>
      </c>
      <c r="I534" t="s">
        <v>3135</v>
      </c>
      <c r="K534" t="s">
        <v>3039</v>
      </c>
      <c r="L534" t="s">
        <v>3092</v>
      </c>
      <c r="M534" t="str">
        <f t="shared" si="16"/>
        <v>E51</v>
      </c>
      <c r="N534" t="s">
        <v>3129</v>
      </c>
      <c r="O534" t="s">
        <v>3094</v>
      </c>
      <c r="P534" t="s">
        <v>3130</v>
      </c>
      <c r="R534" t="str">
        <f t="shared" si="17"/>
        <v>INSERT INTO stock (ticker, name, listing_date, sub_industry, industry, sector, status) VALUES ('LUCY', 'Lima Dua Lima Tiga Tbk.', '2021-05-05', 'E515', 'E51', 'IDXCYCLIC', (SELECT id FROM attribute WHERE type = 'STOCK_STATUS' AND code = 'LISTED')) ON CONFLICT DO NOTHING;</v>
      </c>
    </row>
    <row r="535" spans="1:18" x14ac:dyDescent="0.2">
      <c r="A535" t="s">
        <v>1431</v>
      </c>
      <c r="B535" t="s">
        <v>1432</v>
      </c>
      <c r="C535" s="1">
        <v>42908</v>
      </c>
      <c r="D535" s="1"/>
      <c r="E535" t="s">
        <v>1433</v>
      </c>
      <c r="F535" t="s">
        <v>12</v>
      </c>
      <c r="G535" t="s">
        <v>3489</v>
      </c>
      <c r="H535" t="s">
        <v>1431</v>
      </c>
      <c r="I535" t="s">
        <v>3108</v>
      </c>
      <c r="K535" t="s">
        <v>3039</v>
      </c>
      <c r="L535" t="s">
        <v>3092</v>
      </c>
      <c r="M535" t="str">
        <f t="shared" si="16"/>
        <v>E51</v>
      </c>
      <c r="N535" t="s">
        <v>3093</v>
      </c>
      <c r="O535" t="s">
        <v>3094</v>
      </c>
      <c r="P535" t="s">
        <v>3095</v>
      </c>
      <c r="R535" t="str">
        <f t="shared" si="17"/>
        <v>INSERT INTO stock (ticker, name, listing_date, sub_industry, industry, sector, status) VALUES ('MABA', 'Marga Abhinaya Abadi Tbk.', '2017-06-22', 'E512', 'E51', 'IDXCYCLIC', (SELECT id FROM attribute WHERE type = 'STOCK_STATUS' AND code = 'LISTED')) ON CONFLICT DO NOTHING;</v>
      </c>
    </row>
    <row r="536" spans="1:18" x14ac:dyDescent="0.2">
      <c r="A536" t="s">
        <v>799</v>
      </c>
      <c r="B536" t="s">
        <v>3616</v>
      </c>
      <c r="C536" s="1">
        <v>41290</v>
      </c>
      <c r="D536" s="1"/>
      <c r="E536" t="s">
        <v>800</v>
      </c>
      <c r="F536" t="s">
        <v>12</v>
      </c>
      <c r="G536" t="s">
        <v>3489</v>
      </c>
      <c r="H536" t="s">
        <v>799</v>
      </c>
      <c r="I536" t="s">
        <v>3022</v>
      </c>
      <c r="K536" t="s">
        <v>2945</v>
      </c>
      <c r="L536" t="s">
        <v>2961</v>
      </c>
      <c r="M536" t="str">
        <f t="shared" si="16"/>
        <v>D23</v>
      </c>
      <c r="N536" t="s">
        <v>3013</v>
      </c>
      <c r="O536" t="s">
        <v>2999</v>
      </c>
      <c r="P536" t="s">
        <v>3014</v>
      </c>
      <c r="R536" t="str">
        <f t="shared" si="17"/>
        <v>INSERT INTO stock (ticker, name, listing_date, sub_industry, industry, sector, status) VALUES ('MAGP', 'Multi Agro Gemilang Plantation Tbk.', '2013-01-16', 'D232', 'D23', 'IDXNONCYC', (SELECT id FROM attribute WHERE type = 'STOCK_STATUS' AND code = 'LISTED')) ON CONFLICT DO NOTHING;</v>
      </c>
    </row>
    <row r="537" spans="1:18" x14ac:dyDescent="0.2">
      <c r="A537" t="s">
        <v>2335</v>
      </c>
      <c r="B537" t="s">
        <v>3617</v>
      </c>
      <c r="C537" s="1">
        <v>45132</v>
      </c>
      <c r="D537" s="1"/>
      <c r="E537" t="s">
        <v>2337</v>
      </c>
      <c r="F537" t="s">
        <v>8</v>
      </c>
      <c r="G537" t="s">
        <v>3489</v>
      </c>
      <c r="H537" t="s">
        <v>2335</v>
      </c>
      <c r="I537" t="s">
        <v>2336</v>
      </c>
      <c r="K537" t="s">
        <v>2701</v>
      </c>
      <c r="L537" t="s">
        <v>2702</v>
      </c>
      <c r="M537" t="str">
        <f t="shared" si="16"/>
        <v>A12</v>
      </c>
      <c r="N537" t="s">
        <v>2742</v>
      </c>
      <c r="O537" t="s">
        <v>2724</v>
      </c>
      <c r="P537" t="s">
        <v>2743</v>
      </c>
      <c r="R537" t="str">
        <f t="shared" si="17"/>
        <v>INSERT INTO stock (ticker, name, listing_date, sub_industry, industry, sector, status) VALUES ('MAHA', 'Mandiri Herindo Adiperkasa Tbk.', '2023-07-25', 'A122', 'A12', 'IDXENERGY', (SELECT id FROM attribute WHERE type = 'STOCK_STATUS' AND code = 'LISTED')) ON CONFLICT DO NOTHING;</v>
      </c>
    </row>
    <row r="538" spans="1:18" x14ac:dyDescent="0.2">
      <c r="A538" t="s">
        <v>801</v>
      </c>
      <c r="B538" t="s">
        <v>802</v>
      </c>
      <c r="C538" s="1">
        <v>38758</v>
      </c>
      <c r="D538" s="1"/>
      <c r="E538" t="s">
        <v>803</v>
      </c>
      <c r="F538" t="s">
        <v>8</v>
      </c>
      <c r="G538" t="s">
        <v>3489</v>
      </c>
      <c r="H538" t="s">
        <v>801</v>
      </c>
      <c r="I538" t="s">
        <v>3008</v>
      </c>
      <c r="K538" t="s">
        <v>2945</v>
      </c>
      <c r="L538" t="s">
        <v>2961</v>
      </c>
      <c r="M538" t="str">
        <f t="shared" si="16"/>
        <v>D23</v>
      </c>
      <c r="N538" t="s">
        <v>2998</v>
      </c>
      <c r="O538" t="s">
        <v>2999</v>
      </c>
      <c r="P538" t="s">
        <v>3000</v>
      </c>
      <c r="R538" t="str">
        <f t="shared" si="17"/>
        <v>INSERT INTO stock (ticker, name, listing_date, sub_industry, industry, sector, status) VALUES ('MAIN', 'Malindo Feedmill Tbk.', '2006-02-10', 'D231', 'D23', 'IDXNONCYC', (SELECT id FROM attribute WHERE type = 'STOCK_STATUS' AND code = 'LISTED')) ON CONFLICT DO NOTHING;</v>
      </c>
    </row>
    <row r="539" spans="1:18" x14ac:dyDescent="0.2">
      <c r="A539" t="s">
        <v>2640</v>
      </c>
      <c r="B539" t="s">
        <v>2641</v>
      </c>
      <c r="C539" s="1">
        <v>45302</v>
      </c>
      <c r="D539" s="1"/>
      <c r="E539" t="s">
        <v>2642</v>
      </c>
      <c r="F539" t="s">
        <v>1847</v>
      </c>
      <c r="G539" t="s">
        <v>3489</v>
      </c>
      <c r="H539" t="s">
        <v>2640</v>
      </c>
      <c r="I539" t="s">
        <v>3801</v>
      </c>
      <c r="K539" t="s">
        <v>3418</v>
      </c>
      <c r="L539" t="s">
        <v>3432</v>
      </c>
      <c r="M539" t="str">
        <f t="shared" si="16"/>
        <v>J21</v>
      </c>
      <c r="N539" t="s">
        <v>3433</v>
      </c>
      <c r="O539" t="s">
        <v>3432</v>
      </c>
      <c r="P539" t="s">
        <v>3432</v>
      </c>
      <c r="R539" t="str">
        <f t="shared" si="17"/>
        <v>INSERT INTO stock (ticker, name, listing_date, sub_industry, industry, sector, status) VALUES ('MANG', 'Manggung Polahraya Tbk.', '2024-01-11', 'J211', 'J21', 'IDXINFRA', (SELECT id FROM attribute WHERE type = 'STOCK_STATUS' AND code = 'LISTED')) ON CONFLICT DO NOTHING;</v>
      </c>
    </row>
    <row r="540" spans="1:18" x14ac:dyDescent="0.2">
      <c r="A540" t="s">
        <v>1544</v>
      </c>
      <c r="B540" t="s">
        <v>1545</v>
      </c>
      <c r="C540" s="1">
        <v>43286</v>
      </c>
      <c r="D540" s="1"/>
      <c r="E540" t="s">
        <v>1546</v>
      </c>
      <c r="F540" t="s">
        <v>8</v>
      </c>
      <c r="G540" t="s">
        <v>3489</v>
      </c>
      <c r="H540" t="s">
        <v>1544</v>
      </c>
      <c r="I540" t="s">
        <v>3179</v>
      </c>
      <c r="K540" t="s">
        <v>3039</v>
      </c>
      <c r="L540" t="s">
        <v>3168</v>
      </c>
      <c r="M540" t="str">
        <f t="shared" si="16"/>
        <v>E74</v>
      </c>
      <c r="N540" t="s">
        <v>3176</v>
      </c>
      <c r="O540" t="s">
        <v>3177</v>
      </c>
      <c r="P540" t="s">
        <v>3178</v>
      </c>
      <c r="R540" t="str">
        <f t="shared" si="17"/>
        <v>INSERT INTO stock (ticker, name, listing_date, sub_industry, industry, sector, status) VALUES ('MAPA', 'Map Aktif Adiperkasa Tbk.', '2018-07-05', 'E741', 'E74', 'IDXCYCLIC', (SELECT id FROM attribute WHERE type = 'STOCK_STATUS' AND code = 'LISTED')) ON CONFLICT DO NOTHING;</v>
      </c>
    </row>
    <row r="541" spans="1:18" x14ac:dyDescent="0.2">
      <c r="A541" t="s">
        <v>1422</v>
      </c>
      <c r="B541" t="s">
        <v>1423</v>
      </c>
      <c r="C541" s="1">
        <v>42907</v>
      </c>
      <c r="D541" s="1"/>
      <c r="E541" t="s">
        <v>1424</v>
      </c>
      <c r="F541" t="s">
        <v>28</v>
      </c>
      <c r="G541" t="s">
        <v>3489</v>
      </c>
      <c r="H541" t="s">
        <v>1422</v>
      </c>
      <c r="I541" t="s">
        <v>3136</v>
      </c>
      <c r="K541" t="s">
        <v>3039</v>
      </c>
      <c r="L541" t="s">
        <v>3092</v>
      </c>
      <c r="M541" t="str">
        <f t="shared" si="16"/>
        <v>E51</v>
      </c>
      <c r="N541" t="s">
        <v>3129</v>
      </c>
      <c r="O541" t="s">
        <v>3094</v>
      </c>
      <c r="P541" t="s">
        <v>3130</v>
      </c>
      <c r="R541" t="str">
        <f t="shared" si="17"/>
        <v>INSERT INTO stock (ticker, name, listing_date, sub_industry, industry, sector, status) VALUES ('MAPB', 'MAP Boga Adiperkasa Tbk.', '2017-06-21', 'E515', 'E51', 'IDXCYCLIC', (SELECT id FROM attribute WHERE type = 'STOCK_STATUS' AND code = 'LISTED')) ON CONFLICT DO NOTHING;</v>
      </c>
    </row>
    <row r="542" spans="1:18" x14ac:dyDescent="0.2">
      <c r="A542" t="s">
        <v>804</v>
      </c>
      <c r="B542" t="s">
        <v>805</v>
      </c>
      <c r="C542" s="1">
        <v>38301</v>
      </c>
      <c r="D542" s="1"/>
      <c r="E542" t="s">
        <v>806</v>
      </c>
      <c r="F542" t="s">
        <v>8</v>
      </c>
      <c r="G542" t="s">
        <v>3489</v>
      </c>
      <c r="H542" t="s">
        <v>804</v>
      </c>
      <c r="I542" t="s">
        <v>3180</v>
      </c>
      <c r="K542" t="s">
        <v>3039</v>
      </c>
      <c r="L542" t="s">
        <v>3168</v>
      </c>
      <c r="M542" t="str">
        <f t="shared" si="16"/>
        <v>E74</v>
      </c>
      <c r="N542" t="s">
        <v>3176</v>
      </c>
      <c r="O542" t="s">
        <v>3177</v>
      </c>
      <c r="P542" t="s">
        <v>3178</v>
      </c>
      <c r="R542" t="str">
        <f t="shared" si="17"/>
        <v>INSERT INTO stock (ticker, name, listing_date, sub_industry, industry, sector, status) VALUES ('MAPI', 'Mitra Adiperkasa Tbk.', '2004-11-10', 'E741', 'E74', 'IDXCYCLIC', (SELECT id FROM attribute WHERE type = 'STOCK_STATUS' AND code = 'LISTED')) ON CONFLICT DO NOTHING;</v>
      </c>
    </row>
    <row r="543" spans="1:18" x14ac:dyDescent="0.2">
      <c r="A543" t="s">
        <v>1361</v>
      </c>
      <c r="B543" t="s">
        <v>1362</v>
      </c>
      <c r="C543" s="1">
        <v>42411</v>
      </c>
      <c r="D543" s="1"/>
      <c r="E543" t="s">
        <v>1363</v>
      </c>
      <c r="F543" t="s">
        <v>12</v>
      </c>
      <c r="G543" t="s">
        <v>3489</v>
      </c>
      <c r="H543" t="s">
        <v>1361</v>
      </c>
      <c r="I543" t="s">
        <v>3150</v>
      </c>
      <c r="K543" t="s">
        <v>3039</v>
      </c>
      <c r="L543" t="s">
        <v>3145</v>
      </c>
      <c r="M543" t="str">
        <f t="shared" si="16"/>
        <v>E61</v>
      </c>
      <c r="N543" t="s">
        <v>3151</v>
      </c>
      <c r="O543" t="s">
        <v>3147</v>
      </c>
      <c r="P543" t="s">
        <v>3152</v>
      </c>
      <c r="R543" t="str">
        <f t="shared" si="17"/>
        <v>INSERT INTO stock (ticker, name, listing_date, sub_industry, industry, sector, status) VALUES ('MARI', 'Mahaka Radio Integra Tbk.', '2016-02-11', 'E612', 'E61', 'IDXCYCLIC', (SELECT id FROM attribute WHERE type = 'STOCK_STATUS' AND code = 'LISTED')) ON CONFLICT DO NOTHING;</v>
      </c>
    </row>
    <row r="544" spans="1:18" x14ac:dyDescent="0.2">
      <c r="A544" t="s">
        <v>1440</v>
      </c>
      <c r="B544" t="s">
        <v>1441</v>
      </c>
      <c r="C544" s="1">
        <v>42928</v>
      </c>
      <c r="D544" s="1"/>
      <c r="E544" t="s">
        <v>1442</v>
      </c>
      <c r="F544" t="s">
        <v>8</v>
      </c>
      <c r="G544" t="s">
        <v>3489</v>
      </c>
      <c r="H544" t="s">
        <v>1440</v>
      </c>
      <c r="I544" t="s">
        <v>1441</v>
      </c>
      <c r="K544" t="s">
        <v>2874</v>
      </c>
      <c r="L544" t="s">
        <v>2875</v>
      </c>
      <c r="M544" t="str">
        <f t="shared" si="16"/>
        <v>C14</v>
      </c>
      <c r="N544" t="s">
        <v>2907</v>
      </c>
      <c r="O544" t="s">
        <v>2899</v>
      </c>
      <c r="P544" t="s">
        <v>2908</v>
      </c>
      <c r="R544" t="str">
        <f t="shared" si="17"/>
        <v>INSERT INTO stock (ticker, name, listing_date, sub_industry, industry, sector, status) VALUES ('MARK', 'Mark Dynamics Indonesia Tbk.', '2017-07-12', 'C143', 'C14', 'IDXINDUST', (SELECT id FROM attribute WHERE type = 'STOCK_STATUS' AND code = 'LISTED')) ON CONFLICT DO NOTHING;</v>
      </c>
    </row>
    <row r="545" spans="1:18" x14ac:dyDescent="0.2">
      <c r="A545" t="s">
        <v>1966</v>
      </c>
      <c r="B545" t="s">
        <v>1967</v>
      </c>
      <c r="C545" s="1">
        <v>44377</v>
      </c>
      <c r="D545" s="1"/>
      <c r="E545" t="s">
        <v>1968</v>
      </c>
      <c r="F545" t="s">
        <v>28</v>
      </c>
      <c r="G545" t="s">
        <v>3489</v>
      </c>
      <c r="H545" t="s">
        <v>1966</v>
      </c>
      <c r="I545" t="s">
        <v>3235</v>
      </c>
      <c r="K545" t="s">
        <v>3224</v>
      </c>
      <c r="L545" t="s">
        <v>3225</v>
      </c>
      <c r="M545" t="str">
        <f t="shared" si="16"/>
        <v>G11</v>
      </c>
      <c r="N545" t="s">
        <v>3226</v>
      </c>
      <c r="O545" t="s">
        <v>3225</v>
      </c>
      <c r="P545" t="s">
        <v>3225</v>
      </c>
      <c r="R545" t="str">
        <f t="shared" si="17"/>
        <v>INSERT INTO stock (ticker, name, listing_date, sub_industry, industry, sector, status) VALUES ('MASB', 'Bank Multiarta Sentosa Tbk.', '2021-06-30', 'G111', 'G11', 'IDXFINANCE', (SELECT id FROM attribute WHERE type = 'STOCK_STATUS' AND code = 'LISTED')) ON CONFLICT DO NOTHING;</v>
      </c>
    </row>
    <row r="546" spans="1:18" x14ac:dyDescent="0.2">
      <c r="A546" t="s">
        <v>2310</v>
      </c>
      <c r="B546" t="s">
        <v>2311</v>
      </c>
      <c r="C546" s="1">
        <v>45089</v>
      </c>
      <c r="D546" s="1"/>
      <c r="E546" t="s">
        <v>2312</v>
      </c>
      <c r="F546" t="s">
        <v>28</v>
      </c>
      <c r="G546" t="s">
        <v>3489</v>
      </c>
      <c r="H546" t="s">
        <v>2310</v>
      </c>
      <c r="I546" t="s">
        <v>3802</v>
      </c>
      <c r="K546" t="s">
        <v>2945</v>
      </c>
      <c r="L546" t="s">
        <v>2961</v>
      </c>
      <c r="M546" t="str">
        <f t="shared" si="16"/>
        <v>D22</v>
      </c>
      <c r="N546" t="s">
        <v>2978</v>
      </c>
      <c r="O546" t="s">
        <v>2973</v>
      </c>
      <c r="P546" t="s">
        <v>2973</v>
      </c>
      <c r="R546" t="str">
        <f t="shared" si="17"/>
        <v>INSERT INTO stock (ticker, name, listing_date, sub_industry, industry, sector, status) VALUES ('MAXI', 'Maxindo Karya Anugerah Tbk.', '2023-06-12', 'D222', 'D22', 'IDXNONCYC', (SELECT id FROM attribute WHERE type = 'STOCK_STATUS' AND code = 'LISTED')) ON CONFLICT DO NOTHING;</v>
      </c>
    </row>
    <row r="547" spans="1:18" x14ac:dyDescent="0.2">
      <c r="A547" t="s">
        <v>807</v>
      </c>
      <c r="B547" t="s">
        <v>3618</v>
      </c>
      <c r="C547" s="1">
        <v>35671</v>
      </c>
      <c r="D547" s="1"/>
      <c r="E547" t="s">
        <v>808</v>
      </c>
      <c r="F547" t="s">
        <v>8</v>
      </c>
      <c r="G547" t="s">
        <v>3489</v>
      </c>
      <c r="H547" t="s">
        <v>807</v>
      </c>
      <c r="I547" t="s">
        <v>3803</v>
      </c>
      <c r="K547" t="s">
        <v>3224</v>
      </c>
      <c r="L547" t="s">
        <v>3225</v>
      </c>
      <c r="M547" t="str">
        <f t="shared" si="16"/>
        <v>G11</v>
      </c>
      <c r="N547" t="s">
        <v>3226</v>
      </c>
      <c r="O547" t="s">
        <v>3225</v>
      </c>
      <c r="P547" t="s">
        <v>3225</v>
      </c>
      <c r="R547" t="str">
        <f t="shared" si="17"/>
        <v>INSERT INTO stock (ticker, name, listing_date, sub_industry, industry, sector, status) VALUES ('MAYA', 'Bank Mayapada Internasional Tbk.', '1997-08-29', 'G111', 'G11', 'IDXFINANCE', (SELECT id FROM attribute WHERE type = 'STOCK_STATUS' AND code = 'LISTED')) ON CONFLICT DO NOTHING;</v>
      </c>
    </row>
    <row r="548" spans="1:18" x14ac:dyDescent="0.2">
      <c r="A548" t="s">
        <v>809</v>
      </c>
      <c r="B548" t="s">
        <v>810</v>
      </c>
      <c r="C548" s="1">
        <v>41830</v>
      </c>
      <c r="D548" s="1"/>
      <c r="E548" t="s">
        <v>811</v>
      </c>
      <c r="F548" t="s">
        <v>28</v>
      </c>
      <c r="G548" t="s">
        <v>3489</v>
      </c>
      <c r="H548" t="s">
        <v>809</v>
      </c>
      <c r="I548" t="s">
        <v>2737</v>
      </c>
      <c r="K548" t="s">
        <v>2701</v>
      </c>
      <c r="L548" t="s">
        <v>2702</v>
      </c>
      <c r="M548" t="str">
        <f t="shared" si="16"/>
        <v>A12</v>
      </c>
      <c r="N548" t="s">
        <v>2723</v>
      </c>
      <c r="O548" t="s">
        <v>2724</v>
      </c>
      <c r="P548" t="s">
        <v>2725</v>
      </c>
      <c r="R548" t="str">
        <f t="shared" si="17"/>
        <v>INSERT INTO stock (ticker, name, listing_date, sub_industry, industry, sector, status) VALUES ('MBAP', 'Mitrabara Adiperdana Tbk.', '2014-07-10', 'A121', 'A12', 'IDXENERGY', (SELECT id FROM attribute WHERE type = 'STOCK_STATUS' AND code = 'LISTED')) ON CONFLICT DO NOTHING;</v>
      </c>
    </row>
    <row r="549" spans="1:18" x14ac:dyDescent="0.2">
      <c r="A549" t="s">
        <v>2616</v>
      </c>
      <c r="B549" t="s">
        <v>2617</v>
      </c>
      <c r="C549" s="1">
        <v>45034</v>
      </c>
      <c r="D549" s="1"/>
      <c r="E549" t="s">
        <v>2618</v>
      </c>
      <c r="F549" t="s">
        <v>8</v>
      </c>
      <c r="G549" t="s">
        <v>3489</v>
      </c>
      <c r="H549" t="s">
        <v>2616</v>
      </c>
      <c r="I549" t="s">
        <v>3804</v>
      </c>
      <c r="K549" t="s">
        <v>2778</v>
      </c>
      <c r="L549" t="s">
        <v>2779</v>
      </c>
      <c r="M549" t="str">
        <f t="shared" si="16"/>
        <v>B14</v>
      </c>
      <c r="N549" t="s">
        <v>2848</v>
      </c>
      <c r="O549" t="s">
        <v>2824</v>
      </c>
      <c r="P549" t="s">
        <v>2849</v>
      </c>
      <c r="R549" t="str">
        <f t="shared" si="17"/>
        <v>INSERT INTO stock (ticker, name, listing_date, sub_industry, industry, sector, status) VALUES ('MBMA', 'Merdeka Battery Materials Tbk.', '2023-04-18', 'B146', 'B14', 'IDXBASIC', (SELECT id FROM attribute WHERE type = 'STOCK_STATUS' AND code = 'LISTED')) ON CONFLICT DO NOTHING;</v>
      </c>
    </row>
    <row r="550" spans="1:18" x14ac:dyDescent="0.2">
      <c r="A550" t="s">
        <v>812</v>
      </c>
      <c r="B550" t="s">
        <v>3619</v>
      </c>
      <c r="C550" s="1">
        <v>40639</v>
      </c>
      <c r="D550" s="1"/>
      <c r="E550" t="s">
        <v>814</v>
      </c>
      <c r="F550" t="s">
        <v>8</v>
      </c>
      <c r="G550" t="s">
        <v>3489</v>
      </c>
      <c r="H550" t="s">
        <v>812</v>
      </c>
      <c r="I550" t="s">
        <v>813</v>
      </c>
      <c r="K550" t="s">
        <v>2701</v>
      </c>
      <c r="L550" t="s">
        <v>2702</v>
      </c>
      <c r="M550" t="str">
        <f t="shared" si="16"/>
        <v>A12</v>
      </c>
      <c r="N550" t="s">
        <v>2742</v>
      </c>
      <c r="O550" t="s">
        <v>2724</v>
      </c>
      <c r="P550" t="s">
        <v>2743</v>
      </c>
      <c r="R550" t="str">
        <f t="shared" si="17"/>
        <v>INSERT INTO stock (ticker, name, listing_date, sub_industry, industry, sector, status) VALUES ('MBSS', 'Mitrabahtera Segara Sejati Tbk.', '2011-04-06', 'A122', 'A12', 'IDXENERGY', (SELECT id FROM attribute WHERE type = 'STOCK_STATUS' AND code = 'LISTED')) ON CONFLICT DO NOTHING;</v>
      </c>
    </row>
    <row r="551" spans="1:18" x14ac:dyDescent="0.2">
      <c r="A551" t="s">
        <v>815</v>
      </c>
      <c r="B551" t="s">
        <v>816</v>
      </c>
      <c r="C551" s="1">
        <v>40556</v>
      </c>
      <c r="D551" s="1"/>
      <c r="E551" t="s">
        <v>817</v>
      </c>
      <c r="F551" t="s">
        <v>28</v>
      </c>
      <c r="G551" t="s">
        <v>3489</v>
      </c>
      <c r="H551" t="s">
        <v>815</v>
      </c>
      <c r="I551" t="s">
        <v>3036</v>
      </c>
      <c r="K551" t="s">
        <v>2945</v>
      </c>
      <c r="L551" t="s">
        <v>3032</v>
      </c>
      <c r="M551" t="str">
        <f t="shared" si="16"/>
        <v>D42</v>
      </c>
      <c r="N551" t="s">
        <v>3033</v>
      </c>
      <c r="O551" t="s">
        <v>3034</v>
      </c>
      <c r="P551" t="s">
        <v>3034</v>
      </c>
      <c r="R551" t="str">
        <f t="shared" si="17"/>
        <v>INSERT INTO stock (ticker, name, listing_date, sub_industry, industry, sector, status) VALUES ('MBTO', 'Martina Berto Tbk.', '2011-01-13', 'D421', 'D42', 'IDXNONCYC', (SELECT id FROM attribute WHERE type = 'STOCK_STATUS' AND code = 'LISTED')) ON CONFLICT DO NOTHING;</v>
      </c>
    </row>
    <row r="552" spans="1:18" x14ac:dyDescent="0.2">
      <c r="A552" t="s">
        <v>1462</v>
      </c>
      <c r="B552" t="s">
        <v>1463</v>
      </c>
      <c r="C552" s="1">
        <v>43040</v>
      </c>
      <c r="D552" s="1"/>
      <c r="E552" t="s">
        <v>1464</v>
      </c>
      <c r="F552" t="s">
        <v>8</v>
      </c>
      <c r="G552" t="s">
        <v>3489</v>
      </c>
      <c r="H552" t="s">
        <v>1462</v>
      </c>
      <c r="I552" t="s">
        <v>3389</v>
      </c>
      <c r="K552" t="s">
        <v>3381</v>
      </c>
      <c r="L552" t="s">
        <v>3382</v>
      </c>
      <c r="M552" t="str">
        <f t="shared" si="16"/>
        <v>I11</v>
      </c>
      <c r="N552" t="s">
        <v>3383</v>
      </c>
      <c r="O552" t="s">
        <v>3384</v>
      </c>
      <c r="P552" t="s">
        <v>3384</v>
      </c>
      <c r="R552" t="str">
        <f t="shared" si="17"/>
        <v>INSERT INTO stock (ticker, name, listing_date, sub_industry, industry, sector, status) VALUES ('MCAS', 'M Cash Integrasi Tbk.', '2017-11-01', 'I111', 'I11', 'IDXTECHNO', (SELECT id FROM attribute WHERE type = 'STOCK_STATUS' AND code = 'LISTED')) ON CONFLICT DO NOTHING;</v>
      </c>
    </row>
    <row r="553" spans="1:18" x14ac:dyDescent="0.2">
      <c r="A553" t="s">
        <v>1992</v>
      </c>
      <c r="B553" t="s">
        <v>1993</v>
      </c>
      <c r="C553" s="1">
        <v>44446</v>
      </c>
      <c r="D553" s="1"/>
      <c r="E553" t="s">
        <v>1994</v>
      </c>
      <c r="F553" t="s">
        <v>8</v>
      </c>
      <c r="G553" t="s">
        <v>3489</v>
      </c>
      <c r="H553" t="s">
        <v>1992</v>
      </c>
      <c r="I553" t="s">
        <v>2738</v>
      </c>
      <c r="K553" t="s">
        <v>2701</v>
      </c>
      <c r="L553" t="s">
        <v>2702</v>
      </c>
      <c r="M553" t="str">
        <f t="shared" si="16"/>
        <v>A12</v>
      </c>
      <c r="N553" t="s">
        <v>2723</v>
      </c>
      <c r="O553" t="s">
        <v>2724</v>
      </c>
      <c r="P553" t="s">
        <v>2725</v>
      </c>
      <c r="R553" t="str">
        <f t="shared" si="17"/>
        <v>INSERT INTO stock (ticker, name, listing_date, sub_industry, industry, sector, status) VALUES ('MCOL', 'Prima Andalan Mandiri Tbk.', '2021-09-07', 'A121', 'A12', 'IDXENERGY', (SELECT id FROM attribute WHERE type = 'STOCK_STATUS' AND code = 'LISTED')) ON CONFLICT DO NOTHING;</v>
      </c>
    </row>
    <row r="554" spans="1:18" x14ac:dyDescent="0.2">
      <c r="A554" t="s">
        <v>818</v>
      </c>
      <c r="B554" t="s">
        <v>3620</v>
      </c>
      <c r="C554" s="1">
        <v>39266</v>
      </c>
      <c r="D554" s="1"/>
      <c r="E554" t="s">
        <v>819</v>
      </c>
      <c r="F554" t="s">
        <v>8</v>
      </c>
      <c r="G554" t="s">
        <v>3489</v>
      </c>
      <c r="H554" t="s">
        <v>818</v>
      </c>
      <c r="I554" t="s">
        <v>3805</v>
      </c>
      <c r="K554" t="s">
        <v>3224</v>
      </c>
      <c r="L554" t="s">
        <v>3225</v>
      </c>
      <c r="M554" t="str">
        <f t="shared" si="16"/>
        <v>G11</v>
      </c>
      <c r="N554" t="s">
        <v>3226</v>
      </c>
      <c r="O554" t="s">
        <v>3225</v>
      </c>
      <c r="P554" t="s">
        <v>3225</v>
      </c>
      <c r="R554" t="str">
        <f t="shared" si="17"/>
        <v>INSERT INTO stock (ticker, name, listing_date, sub_industry, industry, sector, status) VALUES ('MCOR', 'Bank China Construction Bank Indonesia Tbk.', '2007-07-03', 'G111', 'G11', 'IDXFINANCE', (SELECT id FROM attribute WHERE type = 'STOCK_STATUS' AND code = 'LISTED')) ON CONFLICT DO NOTHING;</v>
      </c>
    </row>
    <row r="555" spans="1:18" x14ac:dyDescent="0.2">
      <c r="A555" t="s">
        <v>820</v>
      </c>
      <c r="B555" t="s">
        <v>821</v>
      </c>
      <c r="C555" s="1">
        <v>41740</v>
      </c>
      <c r="D555" s="1"/>
      <c r="E555" t="s">
        <v>822</v>
      </c>
      <c r="F555" t="s">
        <v>28</v>
      </c>
      <c r="G555" t="s">
        <v>3489</v>
      </c>
      <c r="H555" t="s">
        <v>820</v>
      </c>
      <c r="I555" t="s">
        <v>3153</v>
      </c>
      <c r="K555" t="s">
        <v>3039</v>
      </c>
      <c r="L555" t="s">
        <v>3145</v>
      </c>
      <c r="M555" t="str">
        <f t="shared" si="16"/>
        <v>E61</v>
      </c>
      <c r="N555" t="s">
        <v>3151</v>
      </c>
      <c r="O555" t="s">
        <v>3147</v>
      </c>
      <c r="P555" t="s">
        <v>3152</v>
      </c>
      <c r="R555" t="str">
        <f t="shared" si="17"/>
        <v>INSERT INTO stock (ticker, name, listing_date, sub_industry, industry, sector, status) VALUES ('MDIA', 'Intermedia Capital Tbk.', '2014-04-11', 'E612', 'E61', 'IDXCYCLIC', (SELECT id FROM attribute WHERE type = 'STOCK_STATUS' AND code = 'LISTED')) ON CONFLICT DO NOTHING;</v>
      </c>
    </row>
    <row r="556" spans="1:18" x14ac:dyDescent="0.2">
      <c r="A556" t="s">
        <v>2509</v>
      </c>
      <c r="B556" t="s">
        <v>2510</v>
      </c>
      <c r="C556" s="1">
        <v>45645</v>
      </c>
      <c r="D556" s="1"/>
      <c r="E556" t="s">
        <v>2511</v>
      </c>
      <c r="F556" t="s">
        <v>8</v>
      </c>
      <c r="G556" t="s">
        <v>3489</v>
      </c>
      <c r="H556" t="s">
        <v>2509</v>
      </c>
      <c r="I556" t="s">
        <v>3806</v>
      </c>
      <c r="K556" t="s">
        <v>3039</v>
      </c>
      <c r="L556" t="s">
        <v>3168</v>
      </c>
      <c r="M556" t="str">
        <f t="shared" si="16"/>
        <v>E74</v>
      </c>
      <c r="N556" t="s">
        <v>3190</v>
      </c>
      <c r="O556" t="s">
        <v>3177</v>
      </c>
      <c r="P556" t="s">
        <v>3191</v>
      </c>
      <c r="R556" t="str">
        <f t="shared" si="17"/>
        <v>INSERT INTO stock (ticker, name, listing_date, sub_industry, industry, sector, status) VALUES ('MDIY', 'Daya Intiguna Yasa Tbk.', '2024-12-19', 'E743', 'E74', 'IDXCYCLIC', (SELECT id FROM attribute WHERE type = 'STOCK_STATUS' AND code = 'LISTED')) ON CONFLICT DO NOTHING;</v>
      </c>
    </row>
    <row r="557" spans="1:18" x14ac:dyDescent="0.2">
      <c r="A557" t="s">
        <v>823</v>
      </c>
      <c r="B557" t="s">
        <v>824</v>
      </c>
      <c r="C557" s="1">
        <v>42174</v>
      </c>
      <c r="D557" s="1"/>
      <c r="E557" t="s">
        <v>825</v>
      </c>
      <c r="F557" t="s">
        <v>8</v>
      </c>
      <c r="G557" t="s">
        <v>3489</v>
      </c>
      <c r="H557" t="s">
        <v>823</v>
      </c>
      <c r="I557" t="s">
        <v>824</v>
      </c>
      <c r="K557" t="s">
        <v>2778</v>
      </c>
      <c r="L557" t="s">
        <v>2779</v>
      </c>
      <c r="M557" t="str">
        <f t="shared" si="16"/>
        <v>B14</v>
      </c>
      <c r="N557" t="s">
        <v>2834</v>
      </c>
      <c r="O557" t="s">
        <v>2824</v>
      </c>
      <c r="P557" t="s">
        <v>2835</v>
      </c>
      <c r="R557" t="str">
        <f t="shared" si="17"/>
        <v>INSERT INTO stock (ticker, name, listing_date, sub_industry, industry, sector, status) VALUES ('MDKA', 'Merdeka Copper Gold Tbk.', '2015-06-19', 'B143', 'B14', 'IDXBASIC', (SELECT id FROM attribute WHERE type = 'STOCK_STATUS' AND code = 'LISTED')) ON CONFLICT DO NOTHING;</v>
      </c>
    </row>
    <row r="558" spans="1:18" x14ac:dyDescent="0.2">
      <c r="A558" t="s">
        <v>1446</v>
      </c>
      <c r="B558" t="s">
        <v>1447</v>
      </c>
      <c r="C558" s="1">
        <v>43003</v>
      </c>
      <c r="D558" s="1"/>
      <c r="E558" t="s">
        <v>1448</v>
      </c>
      <c r="F558" t="s">
        <v>28</v>
      </c>
      <c r="G558" t="s">
        <v>3489</v>
      </c>
      <c r="H558" t="s">
        <v>1446</v>
      </c>
      <c r="I558" t="s">
        <v>2786</v>
      </c>
      <c r="K558" t="s">
        <v>2778</v>
      </c>
      <c r="L558" t="s">
        <v>2779</v>
      </c>
      <c r="M558" t="str">
        <f t="shared" si="16"/>
        <v>B11</v>
      </c>
      <c r="N558" t="s">
        <v>2780</v>
      </c>
      <c r="O558" t="s">
        <v>2781</v>
      </c>
      <c r="P558" t="s">
        <v>2782</v>
      </c>
      <c r="R558" t="str">
        <f t="shared" si="17"/>
        <v>INSERT INTO stock (ticker, name, listing_date, sub_industry, industry, sector, status) VALUES ('MDKI', 'Emdeki Utama Tbk.', '2017-09-25', 'B111', 'B11', 'IDXBASIC', (SELECT id FROM attribute WHERE type = 'STOCK_STATUS' AND code = 'LISTED')) ON CONFLICT DO NOTHING;</v>
      </c>
    </row>
    <row r="559" spans="1:18" x14ac:dyDescent="0.2">
      <c r="A559" t="s">
        <v>2578</v>
      </c>
      <c r="B559" t="s">
        <v>2579</v>
      </c>
      <c r="C559" s="1">
        <v>45762</v>
      </c>
      <c r="D559" s="1"/>
      <c r="E559" t="s">
        <v>2580</v>
      </c>
      <c r="F559" t="s">
        <v>8</v>
      </c>
      <c r="G559" t="s">
        <v>3489</v>
      </c>
      <c r="H559" t="s">
        <v>2578</v>
      </c>
      <c r="I559" t="s">
        <v>3807</v>
      </c>
      <c r="K559" t="s">
        <v>3199</v>
      </c>
      <c r="L559" t="s">
        <v>3212</v>
      </c>
      <c r="M559" t="str">
        <f t="shared" si="16"/>
        <v>F21</v>
      </c>
      <c r="N559" t="s">
        <v>3213</v>
      </c>
      <c r="O559" t="s">
        <v>3214</v>
      </c>
      <c r="P559" t="s">
        <v>3214</v>
      </c>
      <c r="R559" t="str">
        <f t="shared" si="17"/>
        <v>INSERT INTO stock (ticker, name, listing_date, sub_industry, industry, sector, status) VALUES ('MDLA', 'Medela Potentia Tbk.', '2025-04-15', 'F211', 'F21', 'IDXHEALTH', (SELECT id FROM attribute WHERE type = 'STOCK_STATUS' AND code = 'LISTED')) ON CONFLICT DO NOTHING;</v>
      </c>
    </row>
    <row r="560" spans="1:18" x14ac:dyDescent="0.2">
      <c r="A560" t="s">
        <v>826</v>
      </c>
      <c r="B560" t="s">
        <v>827</v>
      </c>
      <c r="C560" s="1">
        <v>33987</v>
      </c>
      <c r="D560" s="1"/>
      <c r="E560" t="s">
        <v>828</v>
      </c>
      <c r="F560" t="s">
        <v>28</v>
      </c>
      <c r="G560" t="s">
        <v>3489</v>
      </c>
      <c r="H560" t="s">
        <v>826</v>
      </c>
      <c r="I560" t="s">
        <v>3351</v>
      </c>
      <c r="K560" t="s">
        <v>3306</v>
      </c>
      <c r="L560" t="s">
        <v>3307</v>
      </c>
      <c r="M560" t="str">
        <f t="shared" si="16"/>
        <v>H11</v>
      </c>
      <c r="N560" t="s">
        <v>3308</v>
      </c>
      <c r="O560" t="s">
        <v>3309</v>
      </c>
      <c r="P560" t="s">
        <v>3310</v>
      </c>
      <c r="R560" t="str">
        <f t="shared" si="17"/>
        <v>INSERT INTO stock (ticker, name, listing_date, sub_industry, industry, sector, status) VALUES ('MDLN', 'Modernland Realty Tbk.', '1993-01-18', 'H111', 'H11', 'IDXPROPERT', (SELECT id FROM attribute WHERE type = 'STOCK_STATUS' AND code = 'LISTED')) ON CONFLICT DO NOTHING;</v>
      </c>
    </row>
    <row r="561" spans="1:18" x14ac:dyDescent="0.2">
      <c r="A561" t="s">
        <v>829</v>
      </c>
      <c r="B561" t="s">
        <v>830</v>
      </c>
      <c r="C561" s="1">
        <v>33435</v>
      </c>
      <c r="D561" s="1"/>
      <c r="E561" t="s">
        <v>831</v>
      </c>
      <c r="F561" t="s">
        <v>12</v>
      </c>
      <c r="G561" t="s">
        <v>3489</v>
      </c>
      <c r="H561" t="s">
        <v>829</v>
      </c>
      <c r="I561" t="s">
        <v>2925</v>
      </c>
      <c r="K561" t="s">
        <v>2874</v>
      </c>
      <c r="L561" t="s">
        <v>2910</v>
      </c>
      <c r="M561" t="str">
        <f t="shared" si="16"/>
        <v>C22</v>
      </c>
      <c r="N561" t="s">
        <v>2921</v>
      </c>
      <c r="O561" t="s">
        <v>2916</v>
      </c>
      <c r="P561" t="s">
        <v>2922</v>
      </c>
      <c r="R561" t="str">
        <f t="shared" si="17"/>
        <v>INSERT INTO stock (ticker, name, listing_date, sub_industry, industry, sector, status) VALUES ('MDRN', 'Modern Internasional Tbk.', '1991-07-16', 'C223', 'C22', 'IDXINDUST', (SELECT id FROM attribute WHERE type = 'STOCK_STATUS' AND code = 'LISTED')) ON CONFLICT DO NOTHING;</v>
      </c>
    </row>
    <row r="562" spans="1:18" x14ac:dyDescent="0.2">
      <c r="A562" t="s">
        <v>832</v>
      </c>
      <c r="B562" t="s">
        <v>3621</v>
      </c>
      <c r="C562" s="1">
        <v>34619</v>
      </c>
      <c r="D562" s="1"/>
      <c r="E562" t="s">
        <v>834</v>
      </c>
      <c r="F562" t="s">
        <v>8</v>
      </c>
      <c r="G562" t="s">
        <v>3489</v>
      </c>
      <c r="H562" t="s">
        <v>832</v>
      </c>
      <c r="I562" t="s">
        <v>833</v>
      </c>
      <c r="K562" t="s">
        <v>2701</v>
      </c>
      <c r="L562" t="s">
        <v>2702</v>
      </c>
      <c r="M562" t="str">
        <f t="shared" si="16"/>
        <v>A11</v>
      </c>
      <c r="N562" t="s">
        <v>2703</v>
      </c>
      <c r="O562" t="s">
        <v>2704</v>
      </c>
      <c r="P562" t="s">
        <v>2705</v>
      </c>
      <c r="R562" t="str">
        <f t="shared" si="17"/>
        <v>INSERT INTO stock (ticker, name, listing_date, sub_industry, industry, sector, status) VALUES ('MEDC', 'Medco Energi Internasional Tbk.', '1994-10-12', 'A111', 'A11', 'IDXENERGY', (SELECT id FROM attribute WHERE type = 'STOCK_STATUS' AND code = 'LISTED')) ON CONFLICT DO NOTHING;</v>
      </c>
    </row>
    <row r="563" spans="1:18" x14ac:dyDescent="0.2">
      <c r="A563" t="s">
        <v>2170</v>
      </c>
      <c r="B563" t="s">
        <v>2171</v>
      </c>
      <c r="C563" s="1">
        <v>44783</v>
      </c>
      <c r="D563" s="1"/>
      <c r="E563" t="s">
        <v>2172</v>
      </c>
      <c r="F563" t="s">
        <v>28</v>
      </c>
      <c r="G563" t="s">
        <v>3489</v>
      </c>
      <c r="H563" t="s">
        <v>2170</v>
      </c>
      <c r="I563" t="s">
        <v>3808</v>
      </c>
      <c r="K563" t="s">
        <v>3199</v>
      </c>
      <c r="L563" t="s">
        <v>3200</v>
      </c>
      <c r="M563" t="str">
        <f t="shared" si="16"/>
        <v>F11</v>
      </c>
      <c r="N563" t="s">
        <v>3201</v>
      </c>
      <c r="O563" t="s">
        <v>3202</v>
      </c>
      <c r="P563" t="s">
        <v>3203</v>
      </c>
      <c r="R563" t="str">
        <f t="shared" si="17"/>
        <v>INSERT INTO stock (ticker, name, listing_date, sub_industry, industry, sector, status) VALUES ('MEDS', 'Hetzer Medical Indonesia Tbk.', '2022-08-10', 'F112', 'F11', 'IDXHEALTH', (SELECT id FROM attribute WHERE type = 'STOCK_STATUS' AND code = 'LISTED')) ON CONFLICT DO NOTHING;</v>
      </c>
    </row>
    <row r="564" spans="1:18" x14ac:dyDescent="0.2">
      <c r="A564" t="s">
        <v>835</v>
      </c>
      <c r="B564" t="s">
        <v>836</v>
      </c>
      <c r="C564" s="1">
        <v>36633</v>
      </c>
      <c r="D564" s="1"/>
      <c r="E564" t="s">
        <v>837</v>
      </c>
      <c r="F564" t="s">
        <v>8</v>
      </c>
      <c r="G564" t="s">
        <v>3489</v>
      </c>
      <c r="H564" t="s">
        <v>835</v>
      </c>
      <c r="I564" t="s">
        <v>3236</v>
      </c>
      <c r="K564" t="s">
        <v>3224</v>
      </c>
      <c r="L564" t="s">
        <v>3225</v>
      </c>
      <c r="M564" t="str">
        <f t="shared" si="16"/>
        <v>G11</v>
      </c>
      <c r="N564" t="s">
        <v>3226</v>
      </c>
      <c r="O564" t="s">
        <v>3225</v>
      </c>
      <c r="P564" t="s">
        <v>3225</v>
      </c>
      <c r="R564" t="str">
        <f t="shared" si="17"/>
        <v>INSERT INTO stock (ticker, name, listing_date, sub_industry, industry, sector, status) VALUES ('MEGA', 'Bank Mega Tbk.', '2000-04-17', 'G111', 'G11', 'IDXFINANCE', (SELECT id FROM attribute WHERE type = 'STOCK_STATUS' AND code = 'LISTED')) ON CONFLICT DO NOTHING;</v>
      </c>
    </row>
    <row r="565" spans="1:18" x14ac:dyDescent="0.2">
      <c r="A565" t="s">
        <v>2435</v>
      </c>
      <c r="B565" t="s">
        <v>2436</v>
      </c>
      <c r="C565" s="1">
        <v>45334</v>
      </c>
      <c r="D565" s="1"/>
      <c r="E565" t="s">
        <v>2437</v>
      </c>
      <c r="F565" t="s">
        <v>1847</v>
      </c>
      <c r="G565" t="s">
        <v>3489</v>
      </c>
      <c r="H565" t="s">
        <v>2435</v>
      </c>
      <c r="I565" t="s">
        <v>3809</v>
      </c>
      <c r="K565" t="s">
        <v>3039</v>
      </c>
      <c r="L565" t="s">
        <v>3055</v>
      </c>
      <c r="M565" t="str">
        <f t="shared" si="16"/>
        <v>E21</v>
      </c>
      <c r="N565" t="s">
        <v>3056</v>
      </c>
      <c r="O565" t="s">
        <v>3055</v>
      </c>
      <c r="P565" t="s">
        <v>3057</v>
      </c>
      <c r="R565" t="str">
        <f t="shared" si="17"/>
        <v>INSERT INTO stock (ticker, name, listing_date, sub_industry, industry, sector, status) VALUES ('MEJA', 'Harta Djaya Karya Tbk.', '2024-02-12', 'E211', 'E21', 'IDXCYCLIC', (SELECT id FROM attribute WHERE type = 'STOCK_STATUS' AND code = 'LISTED')) ON CONFLICT DO NOTHING;</v>
      </c>
    </row>
    <row r="566" spans="1:18" x14ac:dyDescent="0.2">
      <c r="A566" t="s">
        <v>2610</v>
      </c>
      <c r="B566" t="s">
        <v>2611</v>
      </c>
      <c r="C566" s="1">
        <v>45034</v>
      </c>
      <c r="D566" s="1"/>
      <c r="E566" t="s">
        <v>2612</v>
      </c>
      <c r="F566" t="s">
        <v>12</v>
      </c>
      <c r="G566" t="s">
        <v>3489</v>
      </c>
      <c r="H566" t="s">
        <v>2610</v>
      </c>
      <c r="I566" t="s">
        <v>2611</v>
      </c>
      <c r="K566" t="s">
        <v>3381</v>
      </c>
      <c r="L566" t="s">
        <v>3406</v>
      </c>
      <c r="M566" t="str">
        <f t="shared" si="16"/>
        <v>I23</v>
      </c>
      <c r="N566" t="s">
        <v>3414</v>
      </c>
      <c r="O566" t="s">
        <v>3415</v>
      </c>
      <c r="P566" t="s">
        <v>3416</v>
      </c>
      <c r="R566" t="str">
        <f t="shared" si="17"/>
        <v>INSERT INTO stock (ticker, name, listing_date, sub_industry, industry, sector, status) VALUES ('MENN', 'Menn Teknologi Indonesia Tbk.', '2023-04-18', 'I231', 'I23', 'IDXTECHNO', (SELECT id FROM attribute WHERE type = 'STOCK_STATUS' AND code = 'LISTED')) ON CONFLICT DO NOTHING;</v>
      </c>
    </row>
    <row r="567" spans="1:18" x14ac:dyDescent="0.2">
      <c r="A567" t="s">
        <v>2550</v>
      </c>
      <c r="B567" t="s">
        <v>2551</v>
      </c>
      <c r="C567" s="1">
        <v>45848</v>
      </c>
      <c r="D567" s="1"/>
      <c r="E567" t="s">
        <v>2552</v>
      </c>
      <c r="F567" t="s">
        <v>28</v>
      </c>
      <c r="G567" t="s">
        <v>3489</v>
      </c>
      <c r="H567" t="s">
        <v>2550</v>
      </c>
      <c r="I567" t="s">
        <v>3810</v>
      </c>
      <c r="K567" t="s">
        <v>3039</v>
      </c>
      <c r="L567" t="s">
        <v>3092</v>
      </c>
      <c r="M567" t="str">
        <f t="shared" si="16"/>
        <v>E52</v>
      </c>
      <c r="N567" t="s">
        <v>3139</v>
      </c>
      <c r="O567" t="s">
        <v>3140</v>
      </c>
      <c r="P567" t="s">
        <v>3141</v>
      </c>
      <c r="R567" t="str">
        <f t="shared" si="17"/>
        <v>INSERT INTO stock (ticker, name, listing_date, sub_industry, industry, sector, status) VALUES ('MERI', 'Merry Riana Edukasi Tbk.', '2025-07-10', 'E521', 'E52', 'IDXCYCLIC', (SELECT id FROM attribute WHERE type = 'STOCK_STATUS' AND code = 'LISTED')) ON CONFLICT DO NOTHING;</v>
      </c>
    </row>
    <row r="568" spans="1:18" x14ac:dyDescent="0.2">
      <c r="A568" t="s">
        <v>838</v>
      </c>
      <c r="B568" t="s">
        <v>839</v>
      </c>
      <c r="C568" s="1">
        <v>29790</v>
      </c>
      <c r="D568" s="1"/>
      <c r="E568" t="s">
        <v>840</v>
      </c>
      <c r="F568" t="s">
        <v>28</v>
      </c>
      <c r="G568" t="s">
        <v>3489</v>
      </c>
      <c r="H568" t="s">
        <v>838</v>
      </c>
      <c r="I568" t="s">
        <v>3218</v>
      </c>
      <c r="K568" t="s">
        <v>3199</v>
      </c>
      <c r="L568" t="s">
        <v>3212</v>
      </c>
      <c r="M568" t="str">
        <f t="shared" si="16"/>
        <v>F21</v>
      </c>
      <c r="N568" t="s">
        <v>3213</v>
      </c>
      <c r="O568" t="s">
        <v>3214</v>
      </c>
      <c r="P568" t="s">
        <v>3214</v>
      </c>
      <c r="R568" t="str">
        <f t="shared" si="17"/>
        <v>INSERT INTO stock (ticker, name, listing_date, sub_industry, industry, sector, status) VALUES ('MERK', 'Merck Tbk.', '1981-07-23', 'F211', 'F21', 'IDXHEALTH', (SELECT id FROM attribute WHERE type = 'STOCK_STATUS' AND code = 'LISTED')) ON CONFLICT DO NOTHING;</v>
      </c>
    </row>
    <row r="569" spans="1:18" x14ac:dyDescent="0.2">
      <c r="A569" t="s">
        <v>841</v>
      </c>
      <c r="B569" t="s">
        <v>842</v>
      </c>
      <c r="C569" s="1">
        <v>37090</v>
      </c>
      <c r="D569" s="1"/>
      <c r="E569" t="s">
        <v>843</v>
      </c>
      <c r="F569" t="s">
        <v>28</v>
      </c>
      <c r="G569" t="s">
        <v>3489</v>
      </c>
      <c r="H569" t="s">
        <v>841</v>
      </c>
      <c r="I569" t="s">
        <v>3428</v>
      </c>
      <c r="K569" t="s">
        <v>3418</v>
      </c>
      <c r="L569" t="s">
        <v>3419</v>
      </c>
      <c r="M569" t="str">
        <f t="shared" si="16"/>
        <v>J11</v>
      </c>
      <c r="N569" t="s">
        <v>3425</v>
      </c>
      <c r="O569" t="s">
        <v>3421</v>
      </c>
      <c r="P569" t="s">
        <v>3426</v>
      </c>
      <c r="R569" t="str">
        <f t="shared" si="17"/>
        <v>INSERT INTO stock (ticker, name, listing_date, sub_industry, industry, sector, status) VALUES ('META', 'Nusantara Infrastructure Tbk.', '2001-07-18', 'J112', 'J11', 'IDXINFRA', (SELECT id FROM attribute WHERE type = 'STOCK_STATUS' AND code = 'LISTED')) ON CONFLICT DO NOTHING;</v>
      </c>
    </row>
    <row r="570" spans="1:18" x14ac:dyDescent="0.2">
      <c r="A570" t="s">
        <v>844</v>
      </c>
      <c r="B570" t="s">
        <v>3622</v>
      </c>
      <c r="C570" s="1">
        <v>40541</v>
      </c>
      <c r="D570" s="1"/>
      <c r="E570" t="s">
        <v>845</v>
      </c>
      <c r="F570" t="s">
        <v>12</v>
      </c>
      <c r="G570" t="s">
        <v>3489</v>
      </c>
      <c r="H570" t="s">
        <v>844</v>
      </c>
      <c r="I570" t="s">
        <v>2931</v>
      </c>
      <c r="K570" t="s">
        <v>2874</v>
      </c>
      <c r="L570" t="s">
        <v>2910</v>
      </c>
      <c r="M570" t="str">
        <f t="shared" si="16"/>
        <v>C22</v>
      </c>
      <c r="N570" t="s">
        <v>2927</v>
      </c>
      <c r="O570" t="s">
        <v>2916</v>
      </c>
      <c r="P570" t="s">
        <v>2928</v>
      </c>
      <c r="R570" t="str">
        <f t="shared" si="17"/>
        <v>INSERT INTO stock (ticker, name, listing_date, sub_industry, industry, sector, status) VALUES ('MFMI', 'Multifiling Mitra Indonesia Tbk.', '2010-12-29', 'C224', 'C22', 'IDXINDUST', (SELECT id FROM attribute WHERE type = 'STOCK_STATUS' AND code = 'LISTED')) ON CONFLICT DO NOTHING;</v>
      </c>
    </row>
    <row r="571" spans="1:18" x14ac:dyDescent="0.2">
      <c r="A571" t="s">
        <v>1951</v>
      </c>
      <c r="B571" t="s">
        <v>1952</v>
      </c>
      <c r="C571" s="1">
        <v>44355</v>
      </c>
      <c r="D571" s="1"/>
      <c r="E571" t="s">
        <v>1953</v>
      </c>
      <c r="F571" t="s">
        <v>1847</v>
      </c>
      <c r="G571" t="s">
        <v>3489</v>
      </c>
      <c r="H571" t="s">
        <v>1951</v>
      </c>
      <c r="I571" t="s">
        <v>3061</v>
      </c>
      <c r="K571" t="s">
        <v>3039</v>
      </c>
      <c r="L571" t="s">
        <v>3055</v>
      </c>
      <c r="M571" t="str">
        <f t="shared" si="16"/>
        <v>E21</v>
      </c>
      <c r="N571" t="s">
        <v>3056</v>
      </c>
      <c r="O571" t="s">
        <v>3055</v>
      </c>
      <c r="P571" t="s">
        <v>3057</v>
      </c>
      <c r="R571" t="str">
        <f t="shared" si="17"/>
        <v>INSERT INTO stock (ticker, name, listing_date, sub_industry, industry, sector, status) VALUES ('MGLV', 'Panca Anugrah Wisesa Tbk.', '2021-06-08', 'E211', 'E21', 'IDXCYCLIC', (SELECT id FROM attribute WHERE type = 'STOCK_STATUS' AND code = 'LISTED')) ON CONFLICT DO NOTHING;</v>
      </c>
    </row>
    <row r="572" spans="1:18" x14ac:dyDescent="0.2">
      <c r="A572" t="s">
        <v>846</v>
      </c>
      <c r="B572" t="s">
        <v>847</v>
      </c>
      <c r="C572" s="1">
        <v>41828</v>
      </c>
      <c r="D572" s="1"/>
      <c r="E572" t="s">
        <v>848</v>
      </c>
      <c r="F572" t="s">
        <v>28</v>
      </c>
      <c r="G572" t="s">
        <v>3489</v>
      </c>
      <c r="H572" t="s">
        <v>846</v>
      </c>
      <c r="I572" t="s">
        <v>3811</v>
      </c>
      <c r="K572" t="s">
        <v>3224</v>
      </c>
      <c r="L572" t="s">
        <v>3289</v>
      </c>
      <c r="M572" t="str">
        <f t="shared" si="16"/>
        <v>G51</v>
      </c>
      <c r="N572" t="s">
        <v>3303</v>
      </c>
      <c r="O572" t="s">
        <v>3289</v>
      </c>
      <c r="P572" t="s">
        <v>3304</v>
      </c>
      <c r="R572" t="str">
        <f t="shared" si="17"/>
        <v>INSERT INTO stock (ticker, name, listing_date, sub_industry, industry, sector, status) VALUES ('MGNA', 'Magna Investama Mandiri Tbk.', '2014-07-08', 'G512', 'G51', 'IDXFINANCE', (SELECT id FROM attribute WHERE type = 'STOCK_STATUS' AND code = 'LISTED')) ON CONFLICT DO NOTHING;</v>
      </c>
    </row>
    <row r="573" spans="1:18" x14ac:dyDescent="0.2">
      <c r="A573" t="s">
        <v>1562</v>
      </c>
      <c r="B573" t="s">
        <v>1563</v>
      </c>
      <c r="C573" s="1">
        <v>43293</v>
      </c>
      <c r="D573" s="1"/>
      <c r="E573" t="s">
        <v>1564</v>
      </c>
      <c r="F573" t="s">
        <v>28</v>
      </c>
      <c r="G573" t="s">
        <v>3489</v>
      </c>
      <c r="H573" t="s">
        <v>1562</v>
      </c>
      <c r="I573" t="s">
        <v>1563</v>
      </c>
      <c r="K573" t="s">
        <v>2945</v>
      </c>
      <c r="L573" t="s">
        <v>2961</v>
      </c>
      <c r="M573" t="str">
        <f t="shared" si="16"/>
        <v>D23</v>
      </c>
      <c r="N573" t="s">
        <v>3013</v>
      </c>
      <c r="O573" t="s">
        <v>2999</v>
      </c>
      <c r="P573" t="s">
        <v>3014</v>
      </c>
      <c r="R573" t="str">
        <f t="shared" si="17"/>
        <v>INSERT INTO stock (ticker, name, listing_date, sub_industry, industry, sector, status) VALUES ('MGRO', 'Mahkota Group Tbk.', '2018-07-12', 'D232', 'D23', 'IDXNONCYC', (SELECT id FROM attribute WHERE type = 'STOCK_STATUS' AND code = 'LISTED')) ON CONFLICT DO NOTHING;</v>
      </c>
    </row>
    <row r="574" spans="1:18" x14ac:dyDescent="0.2">
      <c r="A574" t="s">
        <v>2453</v>
      </c>
      <c r="B574" t="s">
        <v>2454</v>
      </c>
      <c r="C574" s="1">
        <v>45398</v>
      </c>
      <c r="D574" s="1"/>
      <c r="E574" t="s">
        <v>93</v>
      </c>
      <c r="F574" t="s">
        <v>28</v>
      </c>
      <c r="G574" t="s">
        <v>3489</v>
      </c>
      <c r="H574" t="s">
        <v>2453</v>
      </c>
      <c r="I574" t="s">
        <v>3812</v>
      </c>
      <c r="K574" t="s">
        <v>2874</v>
      </c>
      <c r="L574" t="s">
        <v>2910</v>
      </c>
      <c r="M574" t="str">
        <f t="shared" si="16"/>
        <v>C22</v>
      </c>
      <c r="N574" t="s">
        <v>2918</v>
      </c>
      <c r="O574" t="s">
        <v>2916</v>
      </c>
      <c r="P574" t="s">
        <v>2919</v>
      </c>
      <c r="R574" t="str">
        <f t="shared" si="17"/>
        <v>INSERT INTO stock (ticker, name, listing_date, sub_industry, industry, sector, status) VALUES ('MHKI', 'Multi Hanna Kreasindo Tbk.', '2024-04-16', 'C222', 'C22', 'IDXINDUST', (SELECT id FROM attribute WHERE type = 'STOCK_STATUS' AND code = 'LISTED')) ON CONFLICT DO NOTHING;</v>
      </c>
    </row>
    <row r="575" spans="1:18" x14ac:dyDescent="0.2">
      <c r="A575" t="s">
        <v>849</v>
      </c>
      <c r="B575" t="s">
        <v>850</v>
      </c>
      <c r="C575" s="1">
        <v>38707</v>
      </c>
      <c r="D575" s="1"/>
      <c r="E575" t="s">
        <v>851</v>
      </c>
      <c r="F575" t="s">
        <v>28</v>
      </c>
      <c r="G575" t="s">
        <v>3489</v>
      </c>
      <c r="H575" t="s">
        <v>849</v>
      </c>
      <c r="I575" t="s">
        <v>3070</v>
      </c>
      <c r="K575" t="s">
        <v>3039</v>
      </c>
      <c r="L575" t="s">
        <v>3055</v>
      </c>
      <c r="M575" t="str">
        <f t="shared" si="16"/>
        <v>E21</v>
      </c>
      <c r="N575" t="s">
        <v>3067</v>
      </c>
      <c r="O575" t="s">
        <v>3055</v>
      </c>
      <c r="P575" t="s">
        <v>3068</v>
      </c>
      <c r="R575" t="str">
        <f t="shared" si="17"/>
        <v>INSERT INTO stock (ticker, name, listing_date, sub_industry, industry, sector, status) VALUES ('MICE', 'Multi Indocitra Tbk.', '2005-12-21', 'E213', 'E21', 'IDXCYCLIC', (SELECT id FROM attribute WHERE type = 'STOCK_STATUS' AND code = 'LISTED')) ON CONFLICT DO NOTHING;</v>
      </c>
    </row>
    <row r="576" spans="1:18" x14ac:dyDescent="0.2">
      <c r="A576" t="s">
        <v>852</v>
      </c>
      <c r="B576" t="s">
        <v>853</v>
      </c>
      <c r="C576" s="1">
        <v>40512</v>
      </c>
      <c r="D576" s="1"/>
      <c r="E576" t="s">
        <v>854</v>
      </c>
      <c r="F576" t="s">
        <v>8</v>
      </c>
      <c r="G576" t="s">
        <v>3489</v>
      </c>
      <c r="H576" t="s">
        <v>852</v>
      </c>
      <c r="I576" t="s">
        <v>2958</v>
      </c>
      <c r="K576" t="s">
        <v>2945</v>
      </c>
      <c r="L576" t="s">
        <v>2946</v>
      </c>
      <c r="M576" t="str">
        <f t="shared" si="16"/>
        <v>D11</v>
      </c>
      <c r="N576" t="s">
        <v>2956</v>
      </c>
      <c r="O576" t="s">
        <v>2946</v>
      </c>
      <c r="P576" t="s">
        <v>2957</v>
      </c>
      <c r="R576" t="str">
        <f t="shared" si="17"/>
        <v>INSERT INTO stock (ticker, name, listing_date, sub_industry, industry, sector, status) VALUES ('MIDI', 'Midi Utama Indonesia Tbk.', '2010-11-30', 'D113', 'D11', 'IDXNONCYC', (SELECT id FROM attribute WHERE type = 'STOCK_STATUS' AND code = 'LISTED')) ON CONFLICT DO NOTHING;</v>
      </c>
    </row>
    <row r="577" spans="1:18" x14ac:dyDescent="0.2">
      <c r="A577" t="s">
        <v>855</v>
      </c>
      <c r="B577" t="s">
        <v>856</v>
      </c>
      <c r="C577" s="1">
        <v>42087</v>
      </c>
      <c r="D577" s="1"/>
      <c r="E577" t="s">
        <v>857</v>
      </c>
      <c r="F577" t="s">
        <v>8</v>
      </c>
      <c r="G577" t="s">
        <v>3489</v>
      </c>
      <c r="H577" t="s">
        <v>855</v>
      </c>
      <c r="I577" t="s">
        <v>856</v>
      </c>
      <c r="K577" t="s">
        <v>3199</v>
      </c>
      <c r="L577" t="s">
        <v>3200</v>
      </c>
      <c r="M577" t="str">
        <f t="shared" si="16"/>
        <v>F12</v>
      </c>
      <c r="N577" t="s">
        <v>3206</v>
      </c>
      <c r="O577" t="s">
        <v>3207</v>
      </c>
      <c r="P577" t="s">
        <v>3207</v>
      </c>
      <c r="R577" t="str">
        <f t="shared" si="17"/>
        <v>INSERT INTO stock (ticker, name, listing_date, sub_industry, industry, sector, status) VALUES ('MIKA', 'Mitra Keluarga Karyasehat Tbk.', '2015-03-24', 'F121', 'F12', 'IDXHEALTH', (SELECT id FROM attribute WHERE type = 'STOCK_STATUS' AND code = 'LISTED')) ON CONFLICT DO NOTHING;</v>
      </c>
    </row>
    <row r="578" spans="1:18" x14ac:dyDescent="0.2">
      <c r="A578" t="s">
        <v>1396</v>
      </c>
      <c r="B578" t="s">
        <v>1397</v>
      </c>
      <c r="C578" s="1">
        <v>42853</v>
      </c>
      <c r="D578" s="1"/>
      <c r="E578" t="s">
        <v>1398</v>
      </c>
      <c r="F578" t="s">
        <v>28</v>
      </c>
      <c r="G578" t="s">
        <v>3489</v>
      </c>
      <c r="H578" t="s">
        <v>1396</v>
      </c>
      <c r="I578" t="s">
        <v>3109</v>
      </c>
      <c r="K578" t="s">
        <v>3039</v>
      </c>
      <c r="L578" t="s">
        <v>3092</v>
      </c>
      <c r="M578" t="str">
        <f t="shared" ref="M578:M641" si="18">LEFT(N578, 3)</f>
        <v>E51</v>
      </c>
      <c r="N578" t="s">
        <v>3093</v>
      </c>
      <c r="O578" t="s">
        <v>3094</v>
      </c>
      <c r="P578" t="s">
        <v>3095</v>
      </c>
      <c r="R578" t="str">
        <f t="shared" si="17"/>
        <v>INSERT INTO stock (ticker, name, listing_date, sub_industry, industry, sector, status) VALUES ('MINA', 'Sanurhasta Mitra Tbk.', '2017-04-28', 'E512', 'E51', 'IDXCYCLIC', (SELECT id FROM attribute WHERE type = 'STOCK_STATUS' AND code = 'LISTED')) ON CONFLICT DO NOTHING;</v>
      </c>
    </row>
    <row r="579" spans="1:18" x14ac:dyDescent="0.2">
      <c r="A579" t="s">
        <v>2533</v>
      </c>
      <c r="B579" t="s">
        <v>2534</v>
      </c>
      <c r="C579" s="1">
        <v>45726</v>
      </c>
      <c r="D579" s="1"/>
      <c r="E579" t="s">
        <v>2535</v>
      </c>
      <c r="F579" t="s">
        <v>8</v>
      </c>
      <c r="G579" t="s">
        <v>3489</v>
      </c>
      <c r="H579" t="s">
        <v>2533</v>
      </c>
      <c r="I579" t="s">
        <v>3813</v>
      </c>
      <c r="K579" t="s">
        <v>2778</v>
      </c>
      <c r="L579" t="s">
        <v>2779</v>
      </c>
      <c r="M579" t="str">
        <f t="shared" si="18"/>
        <v>B14</v>
      </c>
      <c r="N579" t="s">
        <v>2848</v>
      </c>
      <c r="O579" t="s">
        <v>2824</v>
      </c>
      <c r="P579" t="s">
        <v>2849</v>
      </c>
      <c r="R579" t="str">
        <f t="shared" ref="R579:R642" si="19">CONCATENATE($R$1, A579, "', '", B579, "', '", TEXT(C579, "YYYY-MM-DD"), "', '", N579, "', '", M579, "', '", K579, "', ", $S$1, ") ON CONFLICT DO NOTHING;")</f>
        <v>INSERT INTO stock (ticker, name, listing_date, sub_industry, industry, sector, status) VALUES ('MINE', 'Sinar Terang Mandiri Tbk.', '2025-03-10', 'B146', 'B14', 'IDXBASIC', (SELECT id FROM attribute WHERE type = 'STOCK_STATUS' AND code = 'LISTED')) ON CONFLICT DO NOTHING;</v>
      </c>
    </row>
    <row r="580" spans="1:18" x14ac:dyDescent="0.2">
      <c r="A580" t="s">
        <v>858</v>
      </c>
      <c r="B580" t="s">
        <v>3623</v>
      </c>
      <c r="C580" s="1">
        <v>35460</v>
      </c>
      <c r="D580" s="1"/>
      <c r="E580" t="s">
        <v>859</v>
      </c>
      <c r="F580" t="s">
        <v>12</v>
      </c>
      <c r="G580" t="s">
        <v>3489</v>
      </c>
      <c r="H580" t="s">
        <v>858</v>
      </c>
      <c r="I580" t="s">
        <v>3484</v>
      </c>
      <c r="K580" t="s">
        <v>3470</v>
      </c>
      <c r="L580" t="s">
        <v>3481</v>
      </c>
      <c r="M580" t="str">
        <f t="shared" si="18"/>
        <v>K21</v>
      </c>
      <c r="N580" t="s">
        <v>3482</v>
      </c>
      <c r="O580" t="s">
        <v>3481</v>
      </c>
      <c r="P580" t="s">
        <v>3481</v>
      </c>
      <c r="R580" t="str">
        <f t="shared" si="19"/>
        <v>INSERT INTO stock (ticker, name, listing_date, sub_industry, industry, sector, status) VALUES ('MIRA', 'Mitra International Resources Tbk.', '1997-01-30', 'K211', 'K21', 'IDXTRANS', (SELECT id FROM attribute WHERE type = 'STOCK_STATUS' AND code = 'LISTED')) ON CONFLICT DO NOTHING;</v>
      </c>
    </row>
    <row r="581" spans="1:18" x14ac:dyDescent="0.2">
      <c r="A581" t="s">
        <v>860</v>
      </c>
      <c r="B581" t="s">
        <v>861</v>
      </c>
      <c r="C581" s="1">
        <v>35627</v>
      </c>
      <c r="D581" s="1"/>
      <c r="E581" t="s">
        <v>862</v>
      </c>
      <c r="F581" t="s">
        <v>28</v>
      </c>
      <c r="G581" t="s">
        <v>3489</v>
      </c>
      <c r="H581" t="s">
        <v>860</v>
      </c>
      <c r="I581" t="s">
        <v>2707</v>
      </c>
      <c r="K581" t="s">
        <v>2701</v>
      </c>
      <c r="L581" t="s">
        <v>2702</v>
      </c>
      <c r="M581" t="str">
        <f t="shared" si="18"/>
        <v>A11</v>
      </c>
      <c r="N581" t="s">
        <v>2703</v>
      </c>
      <c r="O581" t="s">
        <v>2704</v>
      </c>
      <c r="P581" t="s">
        <v>2705</v>
      </c>
      <c r="R581" t="str">
        <f t="shared" si="19"/>
        <v>INSERT INTO stock (ticker, name, listing_date, sub_industry, industry, sector, status) VALUES ('MITI', 'Mitra Investindo Tbk.', '1997-07-16', 'A111', 'A11', 'IDXENERGY', (SELECT id FROM attribute WHERE type = 'STOCK_STATUS' AND code = 'LISTED')) ON CONFLICT DO NOTHING;</v>
      </c>
    </row>
    <row r="582" spans="1:18" x14ac:dyDescent="0.2">
      <c r="A582" t="s">
        <v>2433</v>
      </c>
      <c r="B582" t="s">
        <v>3624</v>
      </c>
      <c r="C582" s="1">
        <v>45334</v>
      </c>
      <c r="D582" s="1"/>
      <c r="E582" t="s">
        <v>2434</v>
      </c>
      <c r="F582" t="s">
        <v>28</v>
      </c>
      <c r="G582" t="s">
        <v>3489</v>
      </c>
      <c r="H582" t="s">
        <v>2433</v>
      </c>
      <c r="I582" t="s">
        <v>3814</v>
      </c>
      <c r="K582" t="s">
        <v>2701</v>
      </c>
      <c r="L582" t="s">
        <v>2702</v>
      </c>
      <c r="M582" t="str">
        <f t="shared" si="18"/>
        <v>A13</v>
      </c>
      <c r="N582" t="s">
        <v>2763</v>
      </c>
      <c r="O582" t="s">
        <v>2760</v>
      </c>
      <c r="P582" t="s">
        <v>2764</v>
      </c>
      <c r="R582" t="str">
        <f t="shared" si="19"/>
        <v>INSERT INTO stock (ticker, name, listing_date, sub_industry, industry, sector, status) VALUES ('MKAP', 'Multikarya Asia Pasifik Raya Tbk.', '2024-02-12', 'A132', 'A13', 'IDXENERGY', (SELECT id FROM attribute WHERE type = 'STOCK_STATUS' AND code = 'LISTED')) ON CONFLICT DO NOTHING;</v>
      </c>
    </row>
    <row r="583" spans="1:18" x14ac:dyDescent="0.2">
      <c r="A583" t="s">
        <v>1364</v>
      </c>
      <c r="B583" t="s">
        <v>3625</v>
      </c>
      <c r="C583" s="1">
        <v>42303</v>
      </c>
      <c r="D583" s="1"/>
      <c r="E583" t="s">
        <v>1366</v>
      </c>
      <c r="F583" t="s">
        <v>12</v>
      </c>
      <c r="G583" t="s">
        <v>3489</v>
      </c>
      <c r="H583" t="s">
        <v>1364</v>
      </c>
      <c r="I583" t="s">
        <v>1365</v>
      </c>
      <c r="K583" t="s">
        <v>3039</v>
      </c>
      <c r="L583" t="s">
        <v>3168</v>
      </c>
      <c r="M583" t="str">
        <f t="shared" si="18"/>
        <v>E71</v>
      </c>
      <c r="N583" t="s">
        <v>3169</v>
      </c>
      <c r="O583" t="s">
        <v>3170</v>
      </c>
      <c r="P583" t="s">
        <v>3170</v>
      </c>
      <c r="R583" t="str">
        <f t="shared" si="19"/>
        <v>INSERT INTO stock (ticker, name, listing_date, sub_industry, industry, sector, status) VALUES ('MKNT', 'Mitra Komunikasi Nusantara Tbk.', '2015-10-26', 'E711', 'E71', 'IDXCYCLIC', (SELECT id FROM attribute WHERE type = 'STOCK_STATUS' AND code = 'LISTED')) ON CONFLICT DO NOTHING;</v>
      </c>
    </row>
    <row r="584" spans="1:18" x14ac:dyDescent="0.2">
      <c r="A584" t="s">
        <v>863</v>
      </c>
      <c r="B584" t="s">
        <v>864</v>
      </c>
      <c r="C584" s="1">
        <v>40004</v>
      </c>
      <c r="D584" s="1"/>
      <c r="E584" t="s">
        <v>865</v>
      </c>
      <c r="F584" t="s">
        <v>28</v>
      </c>
      <c r="G584" t="s">
        <v>3489</v>
      </c>
      <c r="H584" t="s">
        <v>863</v>
      </c>
      <c r="I584" t="s">
        <v>3352</v>
      </c>
      <c r="K584" t="s">
        <v>3306</v>
      </c>
      <c r="L584" t="s">
        <v>3307</v>
      </c>
      <c r="M584" t="str">
        <f t="shared" si="18"/>
        <v>H11</v>
      </c>
      <c r="N584" t="s">
        <v>3308</v>
      </c>
      <c r="O584" t="s">
        <v>3309</v>
      </c>
      <c r="P584" t="s">
        <v>3310</v>
      </c>
      <c r="R584" t="str">
        <f t="shared" si="19"/>
        <v>INSERT INTO stock (ticker, name, listing_date, sub_industry, industry, sector, status) VALUES ('MKPI', 'Metropolitan Kentjana Tbk.', '2009-07-10', 'H111', 'H11', 'IDXPROPERT', (SELECT id FROM attribute WHERE type = 'STOCK_STATUS' AND code = 'LISTED')) ON CONFLICT DO NOTHING;</v>
      </c>
    </row>
    <row r="585" spans="1:18" x14ac:dyDescent="0.2">
      <c r="A585" t="s">
        <v>2184</v>
      </c>
      <c r="B585" t="s">
        <v>2185</v>
      </c>
      <c r="C585" s="1">
        <v>44873</v>
      </c>
      <c r="D585" s="1"/>
      <c r="E585" t="s">
        <v>2186</v>
      </c>
      <c r="F585" t="s">
        <v>8</v>
      </c>
      <c r="G585" t="s">
        <v>3489</v>
      </c>
      <c r="H585" t="s">
        <v>2184</v>
      </c>
      <c r="I585" t="s">
        <v>3815</v>
      </c>
      <c r="K585" t="s">
        <v>2945</v>
      </c>
      <c r="L585" t="s">
        <v>2961</v>
      </c>
      <c r="M585" t="str">
        <f t="shared" si="18"/>
        <v>D23</v>
      </c>
      <c r="N585" t="s">
        <v>3013</v>
      </c>
      <c r="O585" t="s">
        <v>2999</v>
      </c>
      <c r="P585" t="s">
        <v>3014</v>
      </c>
      <c r="R585" t="str">
        <f t="shared" si="19"/>
        <v>INSERT INTO stock (ticker, name, listing_date, sub_industry, industry, sector, status) VALUES ('MKTR', 'Menthobi Karyatama Raya Tbk.', '2022-11-08', 'D232', 'D23', 'IDXNONCYC', (SELECT id FROM attribute WHERE type = 'STOCK_STATUS' AND code = 'LISTED')) ON CONFLICT DO NOTHING;</v>
      </c>
    </row>
    <row r="586" spans="1:18" x14ac:dyDescent="0.2">
      <c r="A586" t="s">
        <v>866</v>
      </c>
      <c r="B586" t="s">
        <v>867</v>
      </c>
      <c r="C586" s="1">
        <v>29935</v>
      </c>
      <c r="D586" s="1"/>
      <c r="E586" t="s">
        <v>868</v>
      </c>
      <c r="F586" t="s">
        <v>8</v>
      </c>
      <c r="G586" t="s">
        <v>3489</v>
      </c>
      <c r="H586" t="s">
        <v>866</v>
      </c>
      <c r="I586" t="s">
        <v>2966</v>
      </c>
      <c r="K586" t="s">
        <v>2945</v>
      </c>
      <c r="L586" t="s">
        <v>2961</v>
      </c>
      <c r="M586" t="str">
        <f t="shared" si="18"/>
        <v>D21</v>
      </c>
      <c r="N586" t="s">
        <v>2962</v>
      </c>
      <c r="O586" t="s">
        <v>2963</v>
      </c>
      <c r="P586" t="s">
        <v>2964</v>
      </c>
      <c r="R586" t="str">
        <f t="shared" si="19"/>
        <v>INSERT INTO stock (ticker, name, listing_date, sub_industry, industry, sector, status) VALUES ('MLBI', 'Multi Bintang Indonesia Tbk.', '1981-12-15', 'D211', 'D21', 'IDXNONCYC', (SELECT id FROM attribute WHERE type = 'STOCK_STATUS' AND code = 'LISTED')) ON CONFLICT DO NOTHING;</v>
      </c>
    </row>
    <row r="587" spans="1:18" x14ac:dyDescent="0.2">
      <c r="A587" t="s">
        <v>869</v>
      </c>
      <c r="B587" t="s">
        <v>3626</v>
      </c>
      <c r="C587" s="1">
        <v>34351</v>
      </c>
      <c r="D587" s="1"/>
      <c r="E587" t="s">
        <v>871</v>
      </c>
      <c r="F587" t="s">
        <v>8</v>
      </c>
      <c r="G587" t="s">
        <v>3489</v>
      </c>
      <c r="H587" t="s">
        <v>869</v>
      </c>
      <c r="I587" t="s">
        <v>870</v>
      </c>
      <c r="K587" t="s">
        <v>2874</v>
      </c>
      <c r="L587" t="s">
        <v>2875</v>
      </c>
      <c r="M587" t="str">
        <f t="shared" si="18"/>
        <v>C12</v>
      </c>
      <c r="N587" t="s">
        <v>2876</v>
      </c>
      <c r="O587" t="s">
        <v>2877</v>
      </c>
      <c r="P587" t="s">
        <v>2877</v>
      </c>
      <c r="R587" t="str">
        <f t="shared" si="19"/>
        <v>INSERT INTO stock (ticker, name, listing_date, sub_industry, industry, sector, status) VALUES ('MLIA', 'Mulia Industrindo Tbk.', '1994-01-17', 'C121', 'C12', 'IDXINDUST', (SELECT id FROM attribute WHERE type = 'STOCK_STATUS' AND code = 'LISTED')) ON CONFLICT DO NOTHING;</v>
      </c>
    </row>
    <row r="588" spans="1:18" x14ac:dyDescent="0.2">
      <c r="A588" t="s">
        <v>872</v>
      </c>
      <c r="B588" t="s">
        <v>873</v>
      </c>
      <c r="C588" s="1">
        <v>32818</v>
      </c>
      <c r="D588" s="1"/>
      <c r="E588" t="s">
        <v>874</v>
      </c>
      <c r="F588" t="s">
        <v>8</v>
      </c>
      <c r="G588" t="s">
        <v>3489</v>
      </c>
      <c r="H588" t="s">
        <v>872</v>
      </c>
      <c r="I588" t="s">
        <v>2942</v>
      </c>
      <c r="K588" t="s">
        <v>2874</v>
      </c>
      <c r="L588" t="s">
        <v>2939</v>
      </c>
      <c r="M588" t="str">
        <f t="shared" si="18"/>
        <v>C31</v>
      </c>
      <c r="N588" t="s">
        <v>2940</v>
      </c>
      <c r="O588" t="s">
        <v>2939</v>
      </c>
      <c r="P588" t="s">
        <v>2939</v>
      </c>
      <c r="R588" t="str">
        <f t="shared" si="19"/>
        <v>INSERT INTO stock (ticker, name, listing_date, sub_industry, industry, sector, status) VALUES ('MLPL', 'Multipolar Tbk.', '1989-11-06', 'C311', 'C31', 'IDXINDUST', (SELECT id FROM attribute WHERE type = 'STOCK_STATUS' AND code = 'LISTED')) ON CONFLICT DO NOTHING;</v>
      </c>
    </row>
    <row r="589" spans="1:18" x14ac:dyDescent="0.2">
      <c r="A589" t="s">
        <v>875</v>
      </c>
      <c r="B589" t="s">
        <v>876</v>
      </c>
      <c r="C589" s="1">
        <v>41463</v>
      </c>
      <c r="D589" s="1"/>
      <c r="E589" t="s">
        <v>877</v>
      </c>
      <c r="F589" t="s">
        <v>28</v>
      </c>
      <c r="G589" t="s">
        <v>3489</v>
      </c>
      <c r="H589" t="s">
        <v>875</v>
      </c>
      <c r="I589" t="s">
        <v>3400</v>
      </c>
      <c r="K589" t="s">
        <v>3381</v>
      </c>
      <c r="L589" t="s">
        <v>3382</v>
      </c>
      <c r="M589" t="str">
        <f t="shared" si="18"/>
        <v>I12</v>
      </c>
      <c r="N589" t="s">
        <v>3393</v>
      </c>
      <c r="O589" t="s">
        <v>3394</v>
      </c>
      <c r="P589" t="s">
        <v>3394</v>
      </c>
      <c r="R589" t="str">
        <f t="shared" si="19"/>
        <v>INSERT INTO stock (ticker, name, listing_date, sub_industry, industry, sector, status) VALUES ('MLPT', 'Multipolar Technology Tbk.', '2013-07-08', 'I121', 'I12', 'IDXTECHNO', (SELECT id FROM attribute WHERE type = 'STOCK_STATUS' AND code = 'LISTED')) ON CONFLICT DO NOTHING;</v>
      </c>
    </row>
    <row r="590" spans="1:18" x14ac:dyDescent="0.2">
      <c r="A590" t="s">
        <v>2205</v>
      </c>
      <c r="B590" t="s">
        <v>3627</v>
      </c>
      <c r="C590" s="1">
        <v>44901</v>
      </c>
      <c r="D590" s="1"/>
      <c r="E590" t="s">
        <v>2207</v>
      </c>
      <c r="F590" t="s">
        <v>28</v>
      </c>
      <c r="G590" t="s">
        <v>3489</v>
      </c>
      <c r="H590" t="s">
        <v>2205</v>
      </c>
      <c r="I590" t="s">
        <v>2206</v>
      </c>
      <c r="K590" t="s">
        <v>3199</v>
      </c>
      <c r="L590" t="s">
        <v>3200</v>
      </c>
      <c r="M590" t="str">
        <f t="shared" si="18"/>
        <v>F11</v>
      </c>
      <c r="N590" t="s">
        <v>3201</v>
      </c>
      <c r="O590" t="s">
        <v>3202</v>
      </c>
      <c r="P590" t="s">
        <v>3203</v>
      </c>
      <c r="R590" t="str">
        <f t="shared" si="19"/>
        <v>INSERT INTO stock (ticker, name, listing_date, sub_industry, industry, sector, status) VALUES ('MMIX', 'Multi Medika Internasional Tbk.', '2022-12-06', 'F112', 'F11', 'IDXHEALTH', (SELECT id FROM attribute WHERE type = 'STOCK_STATUS' AND code = 'LISTED')) ON CONFLICT DO NOTHING;</v>
      </c>
    </row>
    <row r="591" spans="1:18" x14ac:dyDescent="0.2">
      <c r="A591" t="s">
        <v>878</v>
      </c>
      <c r="B591" t="s">
        <v>879</v>
      </c>
      <c r="C591" s="1">
        <v>42167</v>
      </c>
      <c r="D591" s="1"/>
      <c r="E591" t="s">
        <v>880</v>
      </c>
      <c r="F591" t="s">
        <v>8</v>
      </c>
      <c r="G591" t="s">
        <v>3489</v>
      </c>
      <c r="H591" t="s">
        <v>878</v>
      </c>
      <c r="I591" t="s">
        <v>3353</v>
      </c>
      <c r="K591" t="s">
        <v>3306</v>
      </c>
      <c r="L591" t="s">
        <v>3307</v>
      </c>
      <c r="M591" t="str">
        <f t="shared" si="18"/>
        <v>H11</v>
      </c>
      <c r="N591" t="s">
        <v>3308</v>
      </c>
      <c r="O591" t="s">
        <v>3309</v>
      </c>
      <c r="P591" t="s">
        <v>3310</v>
      </c>
      <c r="R591" t="str">
        <f t="shared" si="19"/>
        <v>INSERT INTO stock (ticker, name, listing_date, sub_industry, industry, sector, status) VALUES ('MMLP', 'Mega Manunggal Property Tbk.', '2015-06-12', 'H111', 'H11', 'IDXPROPERT', (SELECT id FROM attribute WHERE type = 'STOCK_STATUS' AND code = 'LISTED')) ON CONFLICT DO NOTHING;</v>
      </c>
    </row>
    <row r="592" spans="1:18" x14ac:dyDescent="0.2">
      <c r="A592" t="s">
        <v>881</v>
      </c>
      <c r="B592" t="s">
        <v>882</v>
      </c>
      <c r="C592" s="1">
        <v>39255</v>
      </c>
      <c r="D592" s="1"/>
      <c r="E592" t="s">
        <v>883</v>
      </c>
      <c r="F592" t="s">
        <v>8</v>
      </c>
      <c r="G592" t="s">
        <v>3489</v>
      </c>
      <c r="H592" t="s">
        <v>881</v>
      </c>
      <c r="I592" t="s">
        <v>3154</v>
      </c>
      <c r="K592" t="s">
        <v>3039</v>
      </c>
      <c r="L592" t="s">
        <v>3145</v>
      </c>
      <c r="M592" t="str">
        <f t="shared" si="18"/>
        <v>E61</v>
      </c>
      <c r="N592" t="s">
        <v>3151</v>
      </c>
      <c r="O592" t="s">
        <v>3147</v>
      </c>
      <c r="P592" t="s">
        <v>3152</v>
      </c>
      <c r="R592" t="str">
        <f t="shared" si="19"/>
        <v>INSERT INTO stock (ticker, name, listing_date, sub_industry, industry, sector, status) VALUES ('MNCN', 'Media Nusantara Citra Tbk.', '2007-06-22', 'E612', 'E61', 'IDXCYCLIC', (SELECT id FROM attribute WHERE type = 'STOCK_STATUS' AND code = 'LISTED')) ON CONFLICT DO NOTHING;</v>
      </c>
    </row>
    <row r="593" spans="1:18" x14ac:dyDescent="0.2">
      <c r="A593" t="s">
        <v>1577</v>
      </c>
      <c r="B593" t="s">
        <v>1578</v>
      </c>
      <c r="C593" s="1">
        <v>43342</v>
      </c>
      <c r="D593" s="1"/>
      <c r="E593" t="s">
        <v>1579</v>
      </c>
      <c r="F593" t="s">
        <v>28</v>
      </c>
      <c r="G593" t="s">
        <v>3489</v>
      </c>
      <c r="H593" t="s">
        <v>1577</v>
      </c>
      <c r="I593" t="s">
        <v>2787</v>
      </c>
      <c r="K593" t="s">
        <v>2778</v>
      </c>
      <c r="L593" t="s">
        <v>2779</v>
      </c>
      <c r="M593" t="str">
        <f t="shared" si="18"/>
        <v>B11</v>
      </c>
      <c r="N593" t="s">
        <v>2780</v>
      </c>
      <c r="O593" t="s">
        <v>2781</v>
      </c>
      <c r="P593" t="s">
        <v>2782</v>
      </c>
      <c r="R593" t="str">
        <f t="shared" si="19"/>
        <v>INSERT INTO stock (ticker, name, listing_date, sub_industry, industry, sector, status) VALUES ('MOLI', 'Madusari Murni Indah Tbk.', '2018-08-30', 'B111', 'B11', 'IDXBASIC', (SELECT id FROM attribute WHERE type = 'STOCK_STATUS' AND code = 'LISTED')) ON CONFLICT DO NOTHING;</v>
      </c>
    </row>
    <row r="594" spans="1:18" x14ac:dyDescent="0.2">
      <c r="A594" t="s">
        <v>1473</v>
      </c>
      <c r="B594" t="s">
        <v>1474</v>
      </c>
      <c r="C594" s="1">
        <v>44781</v>
      </c>
      <c r="D594" s="1"/>
      <c r="E594" t="s">
        <v>1475</v>
      </c>
      <c r="F594" t="s">
        <v>8</v>
      </c>
      <c r="G594" t="s">
        <v>3489</v>
      </c>
      <c r="H594" t="s">
        <v>1473</v>
      </c>
      <c r="I594" t="s">
        <v>3816</v>
      </c>
      <c r="K594" t="s">
        <v>3418</v>
      </c>
      <c r="L594" t="s">
        <v>3439</v>
      </c>
      <c r="M594" t="str">
        <f t="shared" si="18"/>
        <v>J31</v>
      </c>
      <c r="N594" t="s">
        <v>3440</v>
      </c>
      <c r="O594" t="s">
        <v>3441</v>
      </c>
      <c r="P594" t="s">
        <v>3442</v>
      </c>
      <c r="R594" t="str">
        <f t="shared" si="19"/>
        <v>INSERT INTO stock (ticker, name, listing_date, sub_industry, industry, sector, status) VALUES ('MORA', 'Mora Telematika Indonesia Tbk.', '2022-08-08', 'J311', 'J31', 'IDXINFRA', (SELECT id FROM attribute WHERE type = 'STOCK_STATUS' AND code = 'LISTED')) ON CONFLICT DO NOTHING;</v>
      </c>
    </row>
    <row r="595" spans="1:18" x14ac:dyDescent="0.2">
      <c r="A595" t="s">
        <v>2427</v>
      </c>
      <c r="B595" t="s">
        <v>2428</v>
      </c>
      <c r="C595" s="1">
        <v>45329</v>
      </c>
      <c r="D595" s="1"/>
      <c r="E595" t="s">
        <v>2429</v>
      </c>
      <c r="F595" t="s">
        <v>28</v>
      </c>
      <c r="G595" t="s">
        <v>3489</v>
      </c>
      <c r="H595" t="s">
        <v>2427</v>
      </c>
      <c r="I595" t="s">
        <v>2428</v>
      </c>
      <c r="K595" t="s">
        <v>3381</v>
      </c>
      <c r="L595" t="s">
        <v>3382</v>
      </c>
      <c r="M595" t="str">
        <f t="shared" si="18"/>
        <v>I11</v>
      </c>
      <c r="N595" t="s">
        <v>3383</v>
      </c>
      <c r="O595" t="s">
        <v>3384</v>
      </c>
      <c r="P595" t="s">
        <v>3384</v>
      </c>
      <c r="R595" t="str">
        <f t="shared" si="19"/>
        <v>INSERT INTO stock (ticker, name, listing_date, sub_industry, industry, sector, status) VALUES ('MPIX', 'Mitra Pedagang Indonesia Tbk.', '2024-02-07', 'I111', 'I11', 'IDXTECHNO', (SELECT id FROM attribute WHERE type = 'STOCK_STATUS' AND code = 'LISTED')) ON CONFLICT DO NOTHING;</v>
      </c>
    </row>
    <row r="596" spans="1:18" x14ac:dyDescent="0.2">
      <c r="A596" t="s">
        <v>884</v>
      </c>
      <c r="B596" t="s">
        <v>885</v>
      </c>
      <c r="C596" s="1">
        <v>41423</v>
      </c>
      <c r="D596" s="1"/>
      <c r="E596" t="s">
        <v>886</v>
      </c>
      <c r="F596" t="s">
        <v>8</v>
      </c>
      <c r="G596" t="s">
        <v>3489</v>
      </c>
      <c r="H596" t="s">
        <v>884</v>
      </c>
      <c r="I596" t="s">
        <v>885</v>
      </c>
      <c r="K596" t="s">
        <v>3039</v>
      </c>
      <c r="L596" t="s">
        <v>3168</v>
      </c>
      <c r="M596" t="str">
        <f t="shared" si="18"/>
        <v>E74</v>
      </c>
      <c r="N596" t="s">
        <v>3196</v>
      </c>
      <c r="O596" t="s">
        <v>3177</v>
      </c>
      <c r="P596" t="s">
        <v>3197</v>
      </c>
      <c r="R596" t="str">
        <f t="shared" si="19"/>
        <v>INSERT INTO stock (ticker, name, listing_date, sub_industry, industry, sector, status) VALUES ('MPMX', 'Mitra Pinasthika Mustika Tbk.', '2013-05-29', 'E745', 'E74', 'IDXCYCLIC', (SELECT id FROM attribute WHERE type = 'STOCK_STATUS' AND code = 'LISTED')) ON CONFLICT DO NOTHING;</v>
      </c>
    </row>
    <row r="597" spans="1:18" x14ac:dyDescent="0.2">
      <c r="A597" t="s">
        <v>1437</v>
      </c>
      <c r="B597" t="s">
        <v>1438</v>
      </c>
      <c r="C597" s="1">
        <v>42921</v>
      </c>
      <c r="D597" s="1"/>
      <c r="E597" t="s">
        <v>1439</v>
      </c>
      <c r="F597" t="s">
        <v>28</v>
      </c>
      <c r="G597" t="s">
        <v>3489</v>
      </c>
      <c r="H597" t="s">
        <v>1437</v>
      </c>
      <c r="I597" t="s">
        <v>3463</v>
      </c>
      <c r="K597" t="s">
        <v>3418</v>
      </c>
      <c r="L597" t="s">
        <v>3458</v>
      </c>
      <c r="M597" t="str">
        <f t="shared" si="18"/>
        <v>J41</v>
      </c>
      <c r="N597" t="s">
        <v>3459</v>
      </c>
      <c r="O597" t="s">
        <v>3460</v>
      </c>
      <c r="P597" t="s">
        <v>3460</v>
      </c>
      <c r="R597" t="str">
        <f t="shared" si="19"/>
        <v>INSERT INTO stock (ticker, name, listing_date, sub_industry, industry, sector, status) VALUES ('MPOW', 'Megapower Makmur Tbk.', '2017-07-05', 'J411', 'J41', 'IDXINFRA', (SELECT id FROM attribute WHERE type = 'STOCK_STATUS' AND code = 'LISTED')) ON CONFLICT DO NOTHING;</v>
      </c>
    </row>
    <row r="598" spans="1:18" x14ac:dyDescent="0.2">
      <c r="A598" t="s">
        <v>887</v>
      </c>
      <c r="B598" t="s">
        <v>888</v>
      </c>
      <c r="C598" s="1">
        <v>33959</v>
      </c>
      <c r="D598" s="1"/>
      <c r="E598" t="s">
        <v>889</v>
      </c>
      <c r="F598" t="s">
        <v>12</v>
      </c>
      <c r="G598" t="s">
        <v>3489</v>
      </c>
      <c r="H598" t="s">
        <v>887</v>
      </c>
      <c r="I598" t="s">
        <v>2959</v>
      </c>
      <c r="K598" t="s">
        <v>2945</v>
      </c>
      <c r="L598" t="s">
        <v>2946</v>
      </c>
      <c r="M598" t="str">
        <f t="shared" si="18"/>
        <v>D11</v>
      </c>
      <c r="N598" t="s">
        <v>2956</v>
      </c>
      <c r="O598" t="s">
        <v>2946</v>
      </c>
      <c r="P598" t="s">
        <v>2957</v>
      </c>
      <c r="R598" t="str">
        <f t="shared" si="19"/>
        <v>INSERT INTO stock (ticker, name, listing_date, sub_industry, industry, sector, status) VALUES ('MPPA', 'Matahari Putra Prima Tbk.', '1992-12-21', 'D113', 'D11', 'IDXNONCYC', (SELECT id FROM attribute WHERE type = 'STOCK_STATUS' AND code = 'LISTED')) ON CONFLICT DO NOTHING;</v>
      </c>
    </row>
    <row r="599" spans="1:18" x14ac:dyDescent="0.2">
      <c r="A599" t="s">
        <v>1598</v>
      </c>
      <c r="B599" t="s">
        <v>1599</v>
      </c>
      <c r="C599" s="1">
        <v>43382</v>
      </c>
      <c r="D599" s="1"/>
      <c r="E599" t="s">
        <v>1600</v>
      </c>
      <c r="F599" t="s">
        <v>28</v>
      </c>
      <c r="G599" t="s">
        <v>3489</v>
      </c>
      <c r="H599" t="s">
        <v>1598</v>
      </c>
      <c r="I599" t="s">
        <v>3354</v>
      </c>
      <c r="K599" t="s">
        <v>3306</v>
      </c>
      <c r="L599" t="s">
        <v>3307</v>
      </c>
      <c r="M599" t="str">
        <f t="shared" si="18"/>
        <v>H11</v>
      </c>
      <c r="N599" t="s">
        <v>3308</v>
      </c>
      <c r="O599" t="s">
        <v>3309</v>
      </c>
      <c r="P599" t="s">
        <v>3310</v>
      </c>
      <c r="R599" t="str">
        <f t="shared" si="19"/>
        <v>INSERT INTO stock (ticker, name, listing_date, sub_industry, industry, sector, status) VALUES ('MPRO', 'Maha Properti Indonesia Tbk.', '2018-10-09', 'H111', 'H11', 'IDXPROPERT', (SELECT id FROM attribute WHERE type = 'STOCK_STATUS' AND code = 'LISTED')) ON CONFLICT DO NOTHING;</v>
      </c>
    </row>
    <row r="600" spans="1:18" x14ac:dyDescent="0.2">
      <c r="A600" t="s">
        <v>2303</v>
      </c>
      <c r="B600" t="s">
        <v>3628</v>
      </c>
      <c r="C600" s="1">
        <v>45055</v>
      </c>
      <c r="D600" s="1"/>
      <c r="E600" t="s">
        <v>2304</v>
      </c>
      <c r="F600" t="s">
        <v>28</v>
      </c>
      <c r="G600" t="s">
        <v>3489</v>
      </c>
      <c r="H600" t="s">
        <v>2303</v>
      </c>
      <c r="I600" t="s">
        <v>3817</v>
      </c>
      <c r="K600" t="s">
        <v>3470</v>
      </c>
      <c r="L600" t="s">
        <v>3481</v>
      </c>
      <c r="M600" t="str">
        <f t="shared" si="18"/>
        <v>K21</v>
      </c>
      <c r="N600" t="s">
        <v>3482</v>
      </c>
      <c r="O600" t="s">
        <v>3481</v>
      </c>
      <c r="P600" t="s">
        <v>3481</v>
      </c>
      <c r="R600" t="str">
        <f t="shared" si="19"/>
        <v>INSERT INTO stock (ticker, name, listing_date, sub_industry, industry, sector, status) VALUES ('MPXL', 'MPX Logistics International Tbk.', '2023-05-09', 'K211', 'K21', 'IDXTRANS', (SELECT id FROM attribute WHERE type = 'STOCK_STATUS' AND code = 'LISTED')) ON CONFLICT DO NOTHING;</v>
      </c>
    </row>
    <row r="601" spans="1:18" x14ac:dyDescent="0.2">
      <c r="A601" t="s">
        <v>890</v>
      </c>
      <c r="B601" t="s">
        <v>891</v>
      </c>
      <c r="C601" s="1">
        <v>34907</v>
      </c>
      <c r="D601" s="1"/>
      <c r="E601" t="s">
        <v>892</v>
      </c>
      <c r="F601" t="s">
        <v>28</v>
      </c>
      <c r="G601" t="s">
        <v>3489</v>
      </c>
      <c r="H601" t="s">
        <v>890</v>
      </c>
      <c r="I601" t="s">
        <v>3037</v>
      </c>
      <c r="K601" t="s">
        <v>2945</v>
      </c>
      <c r="L601" t="s">
        <v>3032</v>
      </c>
      <c r="M601" t="str">
        <f t="shared" si="18"/>
        <v>D42</v>
      </c>
      <c r="N601" t="s">
        <v>3033</v>
      </c>
      <c r="O601" t="s">
        <v>3034</v>
      </c>
      <c r="P601" t="s">
        <v>3034</v>
      </c>
      <c r="R601" t="str">
        <f t="shared" si="19"/>
        <v>INSERT INTO stock (ticker, name, listing_date, sub_industry, industry, sector, status) VALUES ('MRAT', 'Mustika Ratu Tbk.', '1995-07-27', 'D421', 'D42', 'IDXNONCYC', (SELECT id FROM attribute WHERE type = 'STOCK_STATUS' AND code = 'LISTED')) ON CONFLICT DO NOTHING;</v>
      </c>
    </row>
    <row r="602" spans="1:18" x14ac:dyDescent="0.2">
      <c r="A602" t="s">
        <v>893</v>
      </c>
      <c r="B602" t="s">
        <v>3629</v>
      </c>
      <c r="C602" s="1">
        <v>32755</v>
      </c>
      <c r="D602" s="1"/>
      <c r="E602" t="s">
        <v>894</v>
      </c>
      <c r="F602" t="s">
        <v>8</v>
      </c>
      <c r="G602" t="s">
        <v>3489</v>
      </c>
      <c r="H602" t="s">
        <v>893</v>
      </c>
      <c r="I602" t="s">
        <v>3285</v>
      </c>
      <c r="K602" t="s">
        <v>3224</v>
      </c>
      <c r="L602" t="s">
        <v>3264</v>
      </c>
      <c r="M602" t="str">
        <f t="shared" si="18"/>
        <v>G41</v>
      </c>
      <c r="N602" t="s">
        <v>3286</v>
      </c>
      <c r="O602" t="s">
        <v>3264</v>
      </c>
      <c r="P602" t="s">
        <v>3287</v>
      </c>
      <c r="R602" t="str">
        <f t="shared" si="19"/>
        <v>INSERT INTO stock (ticker, name, listing_date, sub_industry, industry, sector, status) VALUES ('MREI', 'Maskapai Reasuransi Indonesia Tbk.', '1989-09-04', 'G414', 'G41', 'IDXFINANCE', (SELECT id FROM attribute WHERE type = 'STOCK_STATUS' AND code = 'LISTED')) ON CONFLICT DO NOTHING;</v>
      </c>
    </row>
    <row r="603" spans="1:18" x14ac:dyDescent="0.2">
      <c r="A603" t="s">
        <v>2367</v>
      </c>
      <c r="B603" t="s">
        <v>2368</v>
      </c>
      <c r="C603" s="1">
        <v>45148</v>
      </c>
      <c r="D603" s="1"/>
      <c r="E603" t="s">
        <v>2369</v>
      </c>
      <c r="F603" t="s">
        <v>1847</v>
      </c>
      <c r="G603" t="s">
        <v>3489</v>
      </c>
      <c r="H603" t="s">
        <v>2367</v>
      </c>
      <c r="I603" t="s">
        <v>3818</v>
      </c>
      <c r="K603" t="s">
        <v>3306</v>
      </c>
      <c r="L603" t="s">
        <v>3307</v>
      </c>
      <c r="M603" t="str">
        <f t="shared" si="18"/>
        <v>H11</v>
      </c>
      <c r="N603" t="s">
        <v>3308</v>
      </c>
      <c r="O603" t="s">
        <v>3309</v>
      </c>
      <c r="P603" t="s">
        <v>3310</v>
      </c>
      <c r="R603" t="str">
        <f t="shared" si="19"/>
        <v>INSERT INTO stock (ticker, name, listing_date, sub_industry, industry, sector, status) VALUES ('MSIE', 'Multisarana Intan Eduka Tbk.', '2023-08-10', 'H111', 'H11', 'IDXPROPERT', (SELECT id FROM attribute WHERE type = 'STOCK_STATUS' AND code = 'LISTED')) ON CONFLICT DO NOTHING;</v>
      </c>
    </row>
    <row r="604" spans="1:18" x14ac:dyDescent="0.2">
      <c r="A604" t="s">
        <v>1535</v>
      </c>
      <c r="B604" t="s">
        <v>1536</v>
      </c>
      <c r="C604" s="1">
        <v>43259</v>
      </c>
      <c r="D604" s="1"/>
      <c r="E604" t="s">
        <v>1537</v>
      </c>
      <c r="F604" t="s">
        <v>8</v>
      </c>
      <c r="G604" t="s">
        <v>3489</v>
      </c>
      <c r="H604" t="s">
        <v>1535</v>
      </c>
      <c r="I604" t="s">
        <v>1536</v>
      </c>
      <c r="K604" t="s">
        <v>3039</v>
      </c>
      <c r="L604" t="s">
        <v>3145</v>
      </c>
      <c r="M604" t="str">
        <f t="shared" si="18"/>
        <v>E62</v>
      </c>
      <c r="N604" t="s">
        <v>3166</v>
      </c>
      <c r="O604" t="s">
        <v>3167</v>
      </c>
      <c r="P604" t="s">
        <v>3167</v>
      </c>
      <c r="R604" t="str">
        <f t="shared" si="19"/>
        <v>INSERT INTO stock (ticker, name, listing_date, sub_industry, industry, sector, status) VALUES ('MSIN', 'MNC Digital Entertainment Tbk.', '2018-06-08', 'E621', 'E62', 'IDXCYCLIC', (SELECT id FROM attribute WHERE type = 'STOCK_STATUS' AND code = 'LISTED')) ON CONFLICT DO NOTHING;</v>
      </c>
    </row>
    <row r="605" spans="1:18" x14ac:dyDescent="0.2">
      <c r="A605" t="s">
        <v>2631</v>
      </c>
      <c r="B605" t="s">
        <v>2632</v>
      </c>
      <c r="C605" s="1">
        <v>45301</v>
      </c>
      <c r="D605" s="1"/>
      <c r="E605" t="s">
        <v>2633</v>
      </c>
      <c r="F605" t="s">
        <v>28</v>
      </c>
      <c r="G605" t="s">
        <v>3489</v>
      </c>
      <c r="H605" t="s">
        <v>2631</v>
      </c>
      <c r="I605" t="s">
        <v>2632</v>
      </c>
      <c r="K605" t="s">
        <v>2945</v>
      </c>
      <c r="L605" t="s">
        <v>3032</v>
      </c>
      <c r="M605" t="str">
        <f t="shared" si="18"/>
        <v>D42</v>
      </c>
      <c r="N605" t="s">
        <v>3033</v>
      </c>
      <c r="O605" t="s">
        <v>3034</v>
      </c>
      <c r="P605" t="s">
        <v>3034</v>
      </c>
      <c r="R605" t="str">
        <f t="shared" si="19"/>
        <v>INSERT INTO stock (ticker, name, listing_date, sub_industry, industry, sector, status) VALUES ('MSJA', 'Multi Spunindo Jaya Tbk.', '2024-01-10', 'D421', 'D42', 'IDXNONCYC', (SELECT id FROM attribute WHERE type = 'STOCK_STATUS' AND code = 'LISTED')) ON CONFLICT DO NOTHING;</v>
      </c>
    </row>
    <row r="606" spans="1:18" x14ac:dyDescent="0.2">
      <c r="A606" t="s">
        <v>895</v>
      </c>
      <c r="B606" t="s">
        <v>896</v>
      </c>
      <c r="C606" s="1">
        <v>41099</v>
      </c>
      <c r="D606" s="1"/>
      <c r="E606" t="s">
        <v>897</v>
      </c>
      <c r="F606" t="s">
        <v>28</v>
      </c>
      <c r="G606" t="s">
        <v>3489</v>
      </c>
      <c r="H606" t="s">
        <v>895</v>
      </c>
      <c r="I606" t="s">
        <v>3160</v>
      </c>
      <c r="K606" t="s">
        <v>3039</v>
      </c>
      <c r="L606" t="s">
        <v>3145</v>
      </c>
      <c r="M606" t="str">
        <f t="shared" si="18"/>
        <v>E61</v>
      </c>
      <c r="N606" t="s">
        <v>3158</v>
      </c>
      <c r="O606" t="s">
        <v>3147</v>
      </c>
      <c r="P606" t="s">
        <v>3159</v>
      </c>
      <c r="R606" t="str">
        <f t="shared" si="19"/>
        <v>INSERT INTO stock (ticker, name, listing_date, sub_industry, industry, sector, status) VALUES ('MSKY', 'MNC Sky Vision Tbk.', '2012-07-09', 'E613', 'E61', 'IDXCYCLIC', (SELECT id FROM attribute WHERE type = 'STOCK_STATUS' AND code = 'LISTED')) ON CONFLICT DO NOTHING;</v>
      </c>
    </row>
    <row r="607" spans="1:18" x14ac:dyDescent="0.2">
      <c r="A607" t="s">
        <v>2404</v>
      </c>
      <c r="B607" t="s">
        <v>2405</v>
      </c>
      <c r="C607" s="1">
        <v>45238</v>
      </c>
      <c r="D607" s="1"/>
      <c r="E607" t="s">
        <v>2406</v>
      </c>
      <c r="F607" t="s">
        <v>8</v>
      </c>
      <c r="G607" t="s">
        <v>3489</v>
      </c>
      <c r="H607" t="s">
        <v>2404</v>
      </c>
      <c r="I607" t="s">
        <v>2405</v>
      </c>
      <c r="K607" t="s">
        <v>3381</v>
      </c>
      <c r="L607" t="s">
        <v>3406</v>
      </c>
      <c r="M607" t="str">
        <f t="shared" si="18"/>
        <v>I21</v>
      </c>
      <c r="N607" t="s">
        <v>3407</v>
      </c>
      <c r="O607" t="s">
        <v>3408</v>
      </c>
      <c r="P607" t="s">
        <v>3408</v>
      </c>
      <c r="R607" t="str">
        <f t="shared" si="19"/>
        <v>INSERT INTO stock (ticker, name, listing_date, sub_industry, industry, sector, status) VALUES ('MSTI', 'Mastersystem Infotama Tbk.', '2023-11-08', 'I211', 'I21', 'IDXTECHNO', (SELECT id FROM attribute WHERE type = 'STOCK_STATUS' AND code = 'LISTED')) ON CONFLICT DO NOTHING;</v>
      </c>
    </row>
    <row r="608" spans="1:18" x14ac:dyDescent="0.2">
      <c r="A608" t="s">
        <v>898</v>
      </c>
      <c r="B608" t="s">
        <v>899</v>
      </c>
      <c r="C608" s="1">
        <v>32972</v>
      </c>
      <c r="D608" s="1"/>
      <c r="E608" t="s">
        <v>900</v>
      </c>
      <c r="F608" t="s">
        <v>8</v>
      </c>
      <c r="G608" t="s">
        <v>3489</v>
      </c>
      <c r="H608" t="s">
        <v>898</v>
      </c>
      <c r="I608" t="s">
        <v>3412</v>
      </c>
      <c r="K608" t="s">
        <v>3381</v>
      </c>
      <c r="L608" t="s">
        <v>3406</v>
      </c>
      <c r="M608" t="str">
        <f t="shared" si="18"/>
        <v>I22</v>
      </c>
      <c r="N608" t="s">
        <v>3409</v>
      </c>
      <c r="O608" t="s">
        <v>3410</v>
      </c>
      <c r="P608" t="s">
        <v>3410</v>
      </c>
      <c r="R608" t="str">
        <f t="shared" si="19"/>
        <v>INSERT INTO stock (ticker, name, listing_date, sub_industry, industry, sector, status) VALUES ('MTDL', 'Metrodata Electronics Tbk.', '1990-04-09', 'I221', 'I22', 'IDXTECHNO', (SELECT id FROM attribute WHERE type = 'STOCK_STATUS' AND code = 'LISTED')) ON CONFLICT DO NOTHING;</v>
      </c>
    </row>
    <row r="609" spans="1:18" x14ac:dyDescent="0.2">
      <c r="A609" t="s">
        <v>2019</v>
      </c>
      <c r="B609" t="s">
        <v>2020</v>
      </c>
      <c r="C609" s="1">
        <v>44522</v>
      </c>
      <c r="D609" s="1"/>
      <c r="E609" t="s">
        <v>2021</v>
      </c>
      <c r="F609" t="s">
        <v>8</v>
      </c>
      <c r="G609" t="s">
        <v>3489</v>
      </c>
      <c r="H609" t="s">
        <v>2019</v>
      </c>
      <c r="I609" t="s">
        <v>3455</v>
      </c>
      <c r="K609" t="s">
        <v>3418</v>
      </c>
      <c r="L609" t="s">
        <v>3439</v>
      </c>
      <c r="M609" t="str">
        <f t="shared" si="18"/>
        <v>J32</v>
      </c>
      <c r="N609" t="s">
        <v>3449</v>
      </c>
      <c r="O609" t="s">
        <v>3450</v>
      </c>
      <c r="P609" t="s">
        <v>3450</v>
      </c>
      <c r="R609" t="str">
        <f t="shared" si="19"/>
        <v>INSERT INTO stock (ticker, name, listing_date, sub_industry, industry, sector, status) VALUES ('MTEL', 'Dayamitra Telekomunikasi Tbk.', '2021-11-22', 'J321', 'J32', 'IDXINFRA', (SELECT id FROM attribute WHERE type = 'STOCK_STATUS' AND code = 'LISTED')) ON CONFLICT DO NOTHING;</v>
      </c>
    </row>
    <row r="610" spans="1:18" x14ac:dyDescent="0.2">
      <c r="A610" t="s">
        <v>901</v>
      </c>
      <c r="B610" t="s">
        <v>902</v>
      </c>
      <c r="C610" s="1">
        <v>32979</v>
      </c>
      <c r="D610" s="1"/>
      <c r="E610" t="s">
        <v>903</v>
      </c>
      <c r="F610" t="s">
        <v>12</v>
      </c>
      <c r="G610" t="s">
        <v>3489</v>
      </c>
      <c r="H610" t="s">
        <v>901</v>
      </c>
      <c r="I610" t="s">
        <v>2718</v>
      </c>
      <c r="K610" t="s">
        <v>2701</v>
      </c>
      <c r="L610" t="s">
        <v>2702</v>
      </c>
      <c r="M610" t="str">
        <f t="shared" si="18"/>
        <v>A11</v>
      </c>
      <c r="N610" t="s">
        <v>2710</v>
      </c>
      <c r="O610" t="s">
        <v>2704</v>
      </c>
      <c r="P610" t="s">
        <v>2711</v>
      </c>
      <c r="R610" t="str">
        <f t="shared" si="19"/>
        <v>INSERT INTO stock (ticker, name, listing_date, sub_industry, industry, sector, status) VALUES ('MTFN', 'Capitalinc Investment Tbk.', '1990-04-16', 'A112', 'A11', 'IDXENERGY', (SELECT id FROM attribute WHERE type = 'STOCK_STATUS' AND code = 'LISTED')) ON CONFLICT DO NOTHING;</v>
      </c>
    </row>
    <row r="611" spans="1:18" x14ac:dyDescent="0.2">
      <c r="A611" t="s">
        <v>904</v>
      </c>
      <c r="B611" t="s">
        <v>905</v>
      </c>
      <c r="C611" s="1">
        <v>40714</v>
      </c>
      <c r="D611" s="1"/>
      <c r="E611" t="s">
        <v>906</v>
      </c>
      <c r="F611" t="s">
        <v>8</v>
      </c>
      <c r="G611" t="s">
        <v>3489</v>
      </c>
      <c r="H611" t="s">
        <v>904</v>
      </c>
      <c r="I611" t="s">
        <v>3355</v>
      </c>
      <c r="K611" t="s">
        <v>3306</v>
      </c>
      <c r="L611" t="s">
        <v>3307</v>
      </c>
      <c r="M611" t="str">
        <f t="shared" si="18"/>
        <v>H11</v>
      </c>
      <c r="N611" t="s">
        <v>3308</v>
      </c>
      <c r="O611" t="s">
        <v>3309</v>
      </c>
      <c r="P611" t="s">
        <v>3310</v>
      </c>
      <c r="R611" t="str">
        <f t="shared" si="19"/>
        <v>INSERT INTO stock (ticker, name, listing_date, sub_industry, industry, sector, status) VALUES ('MTLA', 'Metropolitan Land Tbk.', '2011-06-20', 'H111', 'H11', 'IDXPROPERT', (SELECT id FROM attribute WHERE type = 'STOCK_STATUS' AND code = 'LISTED')) ON CONFLICT DO NOTHING;</v>
      </c>
    </row>
    <row r="612" spans="1:18" x14ac:dyDescent="0.2">
      <c r="A612" t="s">
        <v>2103</v>
      </c>
      <c r="B612" t="s">
        <v>2104</v>
      </c>
      <c r="C612" s="1">
        <v>44671</v>
      </c>
      <c r="D612" s="1"/>
      <c r="E612" t="s">
        <v>2105</v>
      </c>
      <c r="F612" t="s">
        <v>8</v>
      </c>
      <c r="G612" t="s">
        <v>3489</v>
      </c>
      <c r="H612" t="s">
        <v>2103</v>
      </c>
      <c r="I612" t="s">
        <v>3819</v>
      </c>
      <c r="K612" t="s">
        <v>3199</v>
      </c>
      <c r="L612" t="s">
        <v>3200</v>
      </c>
      <c r="M612" t="str">
        <f t="shared" si="18"/>
        <v>F12</v>
      </c>
      <c r="N612" t="s">
        <v>3206</v>
      </c>
      <c r="O612" t="s">
        <v>3207</v>
      </c>
      <c r="P612" t="s">
        <v>3207</v>
      </c>
      <c r="R612" t="str">
        <f t="shared" si="19"/>
        <v>INSERT INTO stock (ticker, name, listing_date, sub_industry, industry, sector, status) VALUES ('MTMH', 'Murni Sadar Tbk.', '2022-04-20', 'F121', 'F12', 'IDXHEALTH', (SELECT id FROM attribute WHERE type = 'STOCK_STATUS' AND code = 'LISTED')) ON CONFLICT DO NOTHING;</v>
      </c>
    </row>
    <row r="613" spans="1:18" x14ac:dyDescent="0.2">
      <c r="A613" t="s">
        <v>1660</v>
      </c>
      <c r="B613" t="s">
        <v>1661</v>
      </c>
      <c r="C613" s="1">
        <v>43565</v>
      </c>
      <c r="D613" s="1"/>
      <c r="E613" t="s">
        <v>1662</v>
      </c>
      <c r="F613" t="s">
        <v>12</v>
      </c>
      <c r="G613" t="s">
        <v>3489</v>
      </c>
      <c r="H613" t="s">
        <v>1660</v>
      </c>
      <c r="I613" t="s">
        <v>1661</v>
      </c>
      <c r="K613" t="s">
        <v>3418</v>
      </c>
      <c r="L613" t="s">
        <v>3432</v>
      </c>
      <c r="M613" t="str">
        <f t="shared" si="18"/>
        <v>J21</v>
      </c>
      <c r="N613" t="s">
        <v>3433</v>
      </c>
      <c r="O613" t="s">
        <v>3432</v>
      </c>
      <c r="P613" t="s">
        <v>3432</v>
      </c>
      <c r="R613" t="str">
        <f t="shared" si="19"/>
        <v>INSERT INTO stock (ticker, name, listing_date, sub_industry, industry, sector, status) VALUES ('MTPS', 'Meta Epsi Tbk.', '2019-04-10', 'J211', 'J21', 'IDXINFRA', (SELECT id FROM attribute WHERE type = 'STOCK_STATUS' AND code = 'LISTED')) ON CONFLICT DO NOTHING;</v>
      </c>
    </row>
    <row r="614" spans="1:18" x14ac:dyDescent="0.2">
      <c r="A614" t="s">
        <v>1367</v>
      </c>
      <c r="B614" t="s">
        <v>1368</v>
      </c>
      <c r="C614" s="1">
        <v>42410</v>
      </c>
      <c r="D614" s="1"/>
      <c r="E614" t="s">
        <v>1062</v>
      </c>
      <c r="F614" t="s">
        <v>12</v>
      </c>
      <c r="G614" t="s">
        <v>3489</v>
      </c>
      <c r="H614" t="s">
        <v>1367</v>
      </c>
      <c r="I614" t="s">
        <v>1368</v>
      </c>
      <c r="K614" t="s">
        <v>3418</v>
      </c>
      <c r="L614" t="s">
        <v>3432</v>
      </c>
      <c r="M614" t="str">
        <f t="shared" si="18"/>
        <v>J21</v>
      </c>
      <c r="N614" t="s">
        <v>3433</v>
      </c>
      <c r="O614" t="s">
        <v>3432</v>
      </c>
      <c r="P614" t="s">
        <v>3432</v>
      </c>
      <c r="R614" t="str">
        <f t="shared" si="19"/>
        <v>INSERT INTO stock (ticker, name, listing_date, sub_industry, industry, sector, status) VALUES ('MTRA', 'Mitra Pemuda Tbk.', '2016-02-10', 'J211', 'J21', 'IDXINFRA', (SELECT id FROM attribute WHERE type = 'STOCK_STATUS' AND code = 'LISTED')) ON CONFLICT DO NOTHING;</v>
      </c>
    </row>
    <row r="615" spans="1:18" x14ac:dyDescent="0.2">
      <c r="A615" t="s">
        <v>907</v>
      </c>
      <c r="B615" t="s">
        <v>908</v>
      </c>
      <c r="C615" s="1">
        <v>33611</v>
      </c>
      <c r="D615" s="1"/>
      <c r="E615" t="s">
        <v>909</v>
      </c>
      <c r="F615" t="s">
        <v>12</v>
      </c>
      <c r="G615" t="s">
        <v>3489</v>
      </c>
      <c r="H615" t="s">
        <v>907</v>
      </c>
      <c r="I615" t="s">
        <v>3356</v>
      </c>
      <c r="K615" t="s">
        <v>3306</v>
      </c>
      <c r="L615" t="s">
        <v>3307</v>
      </c>
      <c r="M615" t="str">
        <f t="shared" si="18"/>
        <v>H11</v>
      </c>
      <c r="N615" t="s">
        <v>3308</v>
      </c>
      <c r="O615" t="s">
        <v>3309</v>
      </c>
      <c r="P615" t="s">
        <v>3310</v>
      </c>
      <c r="R615" t="str">
        <f t="shared" si="19"/>
        <v>INSERT INTO stock (ticker, name, listing_date, sub_industry, industry, sector, status) VALUES ('MTSM', 'Metro Realty Tbk.', '1992-01-08', 'H111', 'H11', 'IDXPROPERT', (SELECT id FROM attribute WHERE type = 'STOCK_STATUS' AND code = 'LISTED')) ON CONFLICT DO NOTHING;</v>
      </c>
    </row>
    <row r="616" spans="1:18" x14ac:dyDescent="0.2">
      <c r="A616" t="s">
        <v>1457</v>
      </c>
      <c r="B616" t="s">
        <v>3630</v>
      </c>
      <c r="C616" s="1">
        <v>43020</v>
      </c>
      <c r="D616" s="1"/>
      <c r="E616" t="s">
        <v>1458</v>
      </c>
      <c r="F616" t="s">
        <v>28</v>
      </c>
      <c r="G616" t="s">
        <v>3489</v>
      </c>
      <c r="H616" t="s">
        <v>1457</v>
      </c>
      <c r="I616" t="s">
        <v>3275</v>
      </c>
      <c r="K616" t="s">
        <v>3224</v>
      </c>
      <c r="L616" t="s">
        <v>3264</v>
      </c>
      <c r="M616" t="str">
        <f t="shared" si="18"/>
        <v>G41</v>
      </c>
      <c r="N616" t="s">
        <v>3265</v>
      </c>
      <c r="O616" t="s">
        <v>3264</v>
      </c>
      <c r="P616" t="s">
        <v>3266</v>
      </c>
      <c r="R616" t="str">
        <f t="shared" si="19"/>
        <v>INSERT INTO stock (ticker, name, listing_date, sub_industry, industry, sector, status) VALUES ('MTWI', 'Malacca Trust Wuwungan Insurance Tbk.', '2017-10-12', 'G412', 'G41', 'IDXFINANCE', (SELECT id FROM attribute WHERE type = 'STOCK_STATUS' AND code = 'LISTED')) ON CONFLICT DO NOTHING;</v>
      </c>
    </row>
    <row r="617" spans="1:18" x14ac:dyDescent="0.2">
      <c r="A617" t="s">
        <v>2360</v>
      </c>
      <c r="B617" t="s">
        <v>2361</v>
      </c>
      <c r="C617" s="1">
        <v>45147</v>
      </c>
      <c r="D617" s="1"/>
      <c r="E617" t="s">
        <v>2362</v>
      </c>
      <c r="F617" t="s">
        <v>28</v>
      </c>
      <c r="G617" t="s">
        <v>3489</v>
      </c>
      <c r="H617" t="s">
        <v>2360</v>
      </c>
      <c r="I617" t="s">
        <v>3820</v>
      </c>
      <c r="K617" t="s">
        <v>2874</v>
      </c>
      <c r="L617" t="s">
        <v>2910</v>
      </c>
      <c r="M617" t="str">
        <f t="shared" si="18"/>
        <v>C23</v>
      </c>
      <c r="N617" t="s">
        <v>2936</v>
      </c>
      <c r="O617" t="s">
        <v>2933</v>
      </c>
      <c r="P617" t="s">
        <v>2937</v>
      </c>
      <c r="R617" t="str">
        <f t="shared" si="19"/>
        <v>INSERT INTO stock (ticker, name, listing_date, sub_industry, industry, sector, status) VALUES ('MUTU', 'Mutuagung Lestari Tbk.', '2023-08-09', 'C232', 'C23', 'IDXINDUST', (SELECT id FROM attribute WHERE type = 'STOCK_STATUS' AND code = 'LISTED')) ON CONFLICT DO NOTHING;</v>
      </c>
    </row>
    <row r="618" spans="1:18" x14ac:dyDescent="0.2">
      <c r="A618" t="s">
        <v>910</v>
      </c>
      <c r="B618" t="s">
        <v>911</v>
      </c>
      <c r="C618" s="1">
        <v>36734</v>
      </c>
      <c r="D618" s="1"/>
      <c r="E618" t="s">
        <v>912</v>
      </c>
      <c r="F618" t="s">
        <v>28</v>
      </c>
      <c r="G618" t="s">
        <v>3489</v>
      </c>
      <c r="H618" t="s">
        <v>910</v>
      </c>
      <c r="I618" t="s">
        <v>2766</v>
      </c>
      <c r="K618" t="s">
        <v>2701</v>
      </c>
      <c r="L618" t="s">
        <v>2702</v>
      </c>
      <c r="M618" t="str">
        <f t="shared" si="18"/>
        <v>A13</v>
      </c>
      <c r="N618" t="s">
        <v>2763</v>
      </c>
      <c r="O618" t="s">
        <v>2760</v>
      </c>
      <c r="P618" t="s">
        <v>2764</v>
      </c>
      <c r="R618" t="str">
        <f t="shared" si="19"/>
        <v>INSERT INTO stock (ticker, name, listing_date, sub_industry, industry, sector, status) VALUES ('MYOH', 'Samindo Resources Tbk.', '2000-07-27', 'A132', 'A13', 'IDXENERGY', (SELECT id FROM attribute WHERE type = 'STOCK_STATUS' AND code = 'LISTED')) ON CONFLICT DO NOTHING;</v>
      </c>
    </row>
    <row r="619" spans="1:18" x14ac:dyDescent="0.2">
      <c r="A619" t="s">
        <v>913</v>
      </c>
      <c r="B619" t="s">
        <v>914</v>
      </c>
      <c r="C619" s="1">
        <v>33058</v>
      </c>
      <c r="D619" s="1"/>
      <c r="E619" t="s">
        <v>915</v>
      </c>
      <c r="F619" t="s">
        <v>8</v>
      </c>
      <c r="G619" t="s">
        <v>3489</v>
      </c>
      <c r="H619" t="s">
        <v>913</v>
      </c>
      <c r="I619" t="s">
        <v>2986</v>
      </c>
      <c r="K619" t="s">
        <v>2945</v>
      </c>
      <c r="L619" t="s">
        <v>2961</v>
      </c>
      <c r="M619" t="str">
        <f t="shared" si="18"/>
        <v>D22</v>
      </c>
      <c r="N619" t="s">
        <v>2978</v>
      </c>
      <c r="O619" t="s">
        <v>2973</v>
      </c>
      <c r="P619" t="s">
        <v>2973</v>
      </c>
      <c r="R619" t="str">
        <f t="shared" si="19"/>
        <v>INSERT INTO stock (ticker, name, listing_date, sub_industry, industry, sector, status) VALUES ('MYOR', 'Mayora Indah Tbk.', '1990-07-04', 'D222', 'D22', 'IDXNONCYC', (SELECT id FROM attribute WHERE type = 'STOCK_STATUS' AND code = 'LISTED')) ON CONFLICT DO NOTHING;</v>
      </c>
    </row>
    <row r="620" spans="1:18" x14ac:dyDescent="0.2">
      <c r="A620" t="s">
        <v>916</v>
      </c>
      <c r="B620" t="s">
        <v>917</v>
      </c>
      <c r="C620" s="1">
        <v>32791</v>
      </c>
      <c r="D620" s="1"/>
      <c r="E620" t="s">
        <v>918</v>
      </c>
      <c r="F620" t="s">
        <v>12</v>
      </c>
      <c r="G620" t="s">
        <v>3489</v>
      </c>
      <c r="H620" t="s">
        <v>916</v>
      </c>
      <c r="I620" t="s">
        <v>917</v>
      </c>
      <c r="K620" t="s">
        <v>3039</v>
      </c>
      <c r="L620" t="s">
        <v>3077</v>
      </c>
      <c r="M620" t="str">
        <f t="shared" si="18"/>
        <v>E41</v>
      </c>
      <c r="N620" t="s">
        <v>3088</v>
      </c>
      <c r="O620" t="s">
        <v>3077</v>
      </c>
      <c r="P620" t="s">
        <v>3089</v>
      </c>
      <c r="R620" t="str">
        <f t="shared" si="19"/>
        <v>INSERT INTO stock (ticker, name, listing_date, sub_industry, industry, sector, status) VALUES ('MYTX', 'Asia Pacific Investama Tbk.', '1989-10-10', 'E413', 'E41', 'IDXCYCLIC', (SELECT id FROM attribute WHERE type = 'STOCK_STATUS' AND code = 'LISTED')) ON CONFLICT DO NOTHING;</v>
      </c>
    </row>
    <row r="621" spans="1:18" x14ac:dyDescent="0.2">
      <c r="A621" t="s">
        <v>2503</v>
      </c>
      <c r="B621" t="s">
        <v>2504</v>
      </c>
      <c r="C621" s="1">
        <v>45609</v>
      </c>
      <c r="D621" s="1"/>
      <c r="E621" t="s">
        <v>2505</v>
      </c>
      <c r="F621" t="s">
        <v>28</v>
      </c>
      <c r="G621" t="s">
        <v>3489</v>
      </c>
      <c r="H621" t="s">
        <v>2503</v>
      </c>
      <c r="I621" t="s">
        <v>3821</v>
      </c>
      <c r="K621" t="s">
        <v>2874</v>
      </c>
      <c r="L621" t="s">
        <v>2910</v>
      </c>
      <c r="M621" t="str">
        <f t="shared" si="18"/>
        <v>C21</v>
      </c>
      <c r="N621" t="s">
        <v>2911</v>
      </c>
      <c r="O621" t="s">
        <v>2912</v>
      </c>
      <c r="P621" t="s">
        <v>2912</v>
      </c>
      <c r="R621" t="str">
        <f t="shared" si="19"/>
        <v>INSERT INTO stock (ticker, name, listing_date, sub_industry, industry, sector, status) VALUES ('NAIK', 'Adiwarna Anugerah Abadi Tbk.', '2024-11-13', 'C211', 'C21', 'IDXINDUST', (SELECT id FROM attribute WHERE type = 'STOCK_STATUS' AND code = 'LISTED')) ON CONFLICT DO NOTHING;</v>
      </c>
    </row>
    <row r="622" spans="1:18" x14ac:dyDescent="0.2">
      <c r="A622" t="s">
        <v>2085</v>
      </c>
      <c r="B622" t="s">
        <v>2086</v>
      </c>
      <c r="C622" s="1">
        <v>44630</v>
      </c>
      <c r="D622" s="1"/>
      <c r="E622" t="s">
        <v>2087</v>
      </c>
      <c r="F622" t="s">
        <v>1847</v>
      </c>
      <c r="G622" t="s">
        <v>3489</v>
      </c>
      <c r="H622" t="s">
        <v>2085</v>
      </c>
      <c r="I622" t="s">
        <v>3822</v>
      </c>
      <c r="K622" t="s">
        <v>2945</v>
      </c>
      <c r="L622" t="s">
        <v>3032</v>
      </c>
      <c r="M622" t="str">
        <f t="shared" si="18"/>
        <v>D42</v>
      </c>
      <c r="N622" t="s">
        <v>3033</v>
      </c>
      <c r="O622" t="s">
        <v>3034</v>
      </c>
      <c r="P622" t="s">
        <v>3034</v>
      </c>
      <c r="R622" t="str">
        <f t="shared" si="19"/>
        <v>INSERT INTO stock (ticker, name, listing_date, sub_industry, industry, sector, status) VALUES ('NANO', 'Nanotech Indonesia Global Tbk.', '2022-03-10', 'D421', 'D42', 'IDXNONCYC', (SELECT id FROM attribute WHERE type = 'STOCK_STATUS' AND code = 'LISTED')) ON CONFLICT DO NOTHING;</v>
      </c>
    </row>
    <row r="623" spans="1:18" x14ac:dyDescent="0.2">
      <c r="A623" t="s">
        <v>1443</v>
      </c>
      <c r="B623" t="s">
        <v>1444</v>
      </c>
      <c r="C623" s="1">
        <v>42954</v>
      </c>
      <c r="D623" s="1"/>
      <c r="E623" t="s">
        <v>1445</v>
      </c>
      <c r="F623" t="s">
        <v>12</v>
      </c>
      <c r="G623" t="s">
        <v>3489</v>
      </c>
      <c r="H623" t="s">
        <v>1443</v>
      </c>
      <c r="I623" t="s">
        <v>3110</v>
      </c>
      <c r="K623" t="s">
        <v>3039</v>
      </c>
      <c r="L623" t="s">
        <v>3092</v>
      </c>
      <c r="M623" t="str">
        <f t="shared" si="18"/>
        <v>E51</v>
      </c>
      <c r="N623" t="s">
        <v>3093</v>
      </c>
      <c r="O623" t="s">
        <v>3094</v>
      </c>
      <c r="P623" t="s">
        <v>3095</v>
      </c>
      <c r="R623" t="str">
        <f t="shared" si="19"/>
        <v>INSERT INTO stock (ticker, name, listing_date, sub_industry, industry, sector, status) VALUES ('NASA', 'Andalan Perkasa Abadi Tbk.', '2017-08-07', 'E512', 'E51', 'IDXCYCLIC', (SELECT id FROM attribute WHERE type = 'STOCK_STATUS' AND code = 'LISTED')) ON CONFLICT DO NOTHING;</v>
      </c>
    </row>
    <row r="624" spans="1:18" x14ac:dyDescent="0.2">
      <c r="A624" t="s">
        <v>2052</v>
      </c>
      <c r="B624" t="s">
        <v>2053</v>
      </c>
      <c r="C624" s="1">
        <v>44543</v>
      </c>
      <c r="D624" s="1"/>
      <c r="E624" t="s">
        <v>2054</v>
      </c>
      <c r="F624" t="s">
        <v>28</v>
      </c>
      <c r="G624" t="s">
        <v>3489</v>
      </c>
      <c r="H624" t="s">
        <v>2052</v>
      </c>
      <c r="I624" t="s">
        <v>2987</v>
      </c>
      <c r="K624" t="s">
        <v>2945</v>
      </c>
      <c r="L624" t="s">
        <v>2961</v>
      </c>
      <c r="M624" t="str">
        <f t="shared" si="18"/>
        <v>D22</v>
      </c>
      <c r="N624" t="s">
        <v>2978</v>
      </c>
      <c r="O624" t="s">
        <v>2973</v>
      </c>
      <c r="P624" t="s">
        <v>2973</v>
      </c>
      <c r="R624" t="str">
        <f t="shared" si="19"/>
        <v>INSERT INTO stock (ticker, name, listing_date, sub_industry, industry, sector, status) VALUES ('NASI', 'Wahana Inti Makmur Tbk.', '2021-12-13', 'D222', 'D22', 'IDXNONCYC', (SELECT id FROM attribute WHERE type = 'STOCK_STATUS' AND code = 'LISTED')) ON CONFLICT DO NOTHING;</v>
      </c>
    </row>
    <row r="625" spans="1:18" x14ac:dyDescent="0.2">
      <c r="A625" t="s">
        <v>1652</v>
      </c>
      <c r="B625" t="s">
        <v>3631</v>
      </c>
      <c r="C625" s="1">
        <v>43483</v>
      </c>
      <c r="D625" s="1"/>
      <c r="E625" t="s">
        <v>1653</v>
      </c>
      <c r="F625" t="s">
        <v>28</v>
      </c>
      <c r="G625" t="s">
        <v>3489</v>
      </c>
      <c r="H625" t="s">
        <v>1652</v>
      </c>
      <c r="I625" t="s">
        <v>3631</v>
      </c>
      <c r="K625" t="s">
        <v>3039</v>
      </c>
      <c r="L625" t="s">
        <v>3092</v>
      </c>
      <c r="M625" t="str">
        <f t="shared" si="18"/>
        <v>E51</v>
      </c>
      <c r="N625" t="s">
        <v>3093</v>
      </c>
      <c r="O625" t="s">
        <v>3094</v>
      </c>
      <c r="P625" t="s">
        <v>3095</v>
      </c>
      <c r="R625" t="str">
        <f t="shared" si="19"/>
        <v>INSERT INTO stock (ticker, name, listing_date, sub_industry, industry, sector, status) VALUES ('NATO', 'Olympus Strategic Indonesia Tbk.', '2019-01-18', 'E512', 'E51', 'IDXCYCLIC', (SELECT id FROM attribute WHERE type = 'STOCK_STATUS' AND code = 'LISTED')) ON CONFLICT DO NOTHING;</v>
      </c>
    </row>
    <row r="626" spans="1:18" x14ac:dyDescent="0.2">
      <c r="A626" t="s">
        <v>2247</v>
      </c>
      <c r="B626" t="s">
        <v>2248</v>
      </c>
      <c r="C626" s="1">
        <v>44963</v>
      </c>
      <c r="D626" s="1"/>
      <c r="E626" t="s">
        <v>2249</v>
      </c>
      <c r="F626" t="s">
        <v>1847</v>
      </c>
      <c r="G626" t="s">
        <v>3489</v>
      </c>
      <c r="H626" t="s">
        <v>2247</v>
      </c>
      <c r="I626" t="s">
        <v>3823</v>
      </c>
      <c r="K626" t="s">
        <v>2945</v>
      </c>
      <c r="L626" t="s">
        <v>2961</v>
      </c>
      <c r="M626" t="str">
        <f t="shared" si="18"/>
        <v>D22</v>
      </c>
      <c r="N626" t="s">
        <v>2978</v>
      </c>
      <c r="O626" t="s">
        <v>2973</v>
      </c>
      <c r="P626" t="s">
        <v>2973</v>
      </c>
      <c r="R626" t="str">
        <f t="shared" si="19"/>
        <v>INSERT INTO stock (ticker, name, listing_date, sub_industry, industry, sector, status) VALUES ('NAYZ', 'Hassana Boga Sejahtera Tbk.', '2023-02-06', 'D222', 'D22', 'IDXNONCYC', (SELECT id FROM attribute WHERE type = 'STOCK_STATUS' AND code = 'LISTED')) ON CONFLICT DO NOTHING;</v>
      </c>
    </row>
    <row r="627" spans="1:18" x14ac:dyDescent="0.2">
      <c r="A627" t="s">
        <v>2607</v>
      </c>
      <c r="B627" t="s">
        <v>2608</v>
      </c>
      <c r="C627" s="1">
        <v>45028</v>
      </c>
      <c r="D627" s="1"/>
      <c r="E627" t="s">
        <v>2609</v>
      </c>
      <c r="F627" t="s">
        <v>8</v>
      </c>
      <c r="G627" t="s">
        <v>3489</v>
      </c>
      <c r="H627" t="s">
        <v>2607</v>
      </c>
      <c r="I627" t="s">
        <v>2608</v>
      </c>
      <c r="K627" t="s">
        <v>2778</v>
      </c>
      <c r="L627" t="s">
        <v>2779</v>
      </c>
      <c r="M627" t="str">
        <f t="shared" si="18"/>
        <v>B14</v>
      </c>
      <c r="N627" t="s">
        <v>2848</v>
      </c>
      <c r="O627" t="s">
        <v>2824</v>
      </c>
      <c r="P627" t="s">
        <v>2849</v>
      </c>
      <c r="R627" t="str">
        <f t="shared" si="19"/>
        <v>INSERT INTO stock (ticker, name, listing_date, sub_industry, industry, sector, status) VALUES ('NCKL', 'Trimegah Bangun Persada Tbk.', '2023-04-12', 'B146', 'B14', 'IDXBASIC', (SELECT id FROM attribute WHERE type = 'STOCK_STATUS' AND code = 'LISTED')) ON CONFLICT DO NOTHING;</v>
      </c>
    </row>
    <row r="628" spans="1:18" x14ac:dyDescent="0.2">
      <c r="A628" t="s">
        <v>919</v>
      </c>
      <c r="B628" t="s">
        <v>920</v>
      </c>
      <c r="C628" s="1">
        <v>41193</v>
      </c>
      <c r="D628" s="1"/>
      <c r="E628" t="s">
        <v>921</v>
      </c>
      <c r="F628" t="s">
        <v>28</v>
      </c>
      <c r="G628" t="s">
        <v>3489</v>
      </c>
      <c r="H628" t="s">
        <v>919</v>
      </c>
      <c r="I628" t="s">
        <v>3485</v>
      </c>
      <c r="K628" t="s">
        <v>3470</v>
      </c>
      <c r="L628" t="s">
        <v>3481</v>
      </c>
      <c r="M628" t="str">
        <f t="shared" si="18"/>
        <v>K21</v>
      </c>
      <c r="N628" t="s">
        <v>3482</v>
      </c>
      <c r="O628" t="s">
        <v>3481</v>
      </c>
      <c r="P628" t="s">
        <v>3481</v>
      </c>
      <c r="R628" t="str">
        <f t="shared" si="19"/>
        <v>INSERT INTO stock (ticker, name, listing_date, sub_industry, industry, sector, status) VALUES ('NELY', 'Pelayaran Nelly Dwi Putri Tbk.', '2012-10-11', 'K211', 'K21', 'IDXTRANS', (SELECT id FROM attribute WHERE type = 'STOCK_STATUS' AND code = 'LISTED')) ON CONFLICT DO NOTHING;</v>
      </c>
    </row>
    <row r="629" spans="1:18" x14ac:dyDescent="0.2">
      <c r="A629" t="s">
        <v>2488</v>
      </c>
      <c r="B629" t="s">
        <v>2489</v>
      </c>
      <c r="C629" s="1">
        <v>45512</v>
      </c>
      <c r="D629" s="1"/>
      <c r="E629" t="s">
        <v>2490</v>
      </c>
      <c r="F629" t="s">
        <v>28</v>
      </c>
      <c r="G629" t="s">
        <v>3489</v>
      </c>
      <c r="H629" t="s">
        <v>2488</v>
      </c>
      <c r="I629" t="s">
        <v>3824</v>
      </c>
      <c r="K629" t="s">
        <v>2945</v>
      </c>
      <c r="L629" t="s">
        <v>2961</v>
      </c>
      <c r="M629" t="str">
        <f t="shared" si="18"/>
        <v>D23</v>
      </c>
      <c r="N629" t="s">
        <v>2998</v>
      </c>
      <c r="O629" t="s">
        <v>2999</v>
      </c>
      <c r="P629" t="s">
        <v>3000</v>
      </c>
      <c r="R629" t="str">
        <f t="shared" si="19"/>
        <v>INSERT INTO stock (ticker, name, listing_date, sub_industry, industry, sector, status) VALUES ('NEST', 'Esta Indonesia Tbk.', '2024-08-08', 'D231', 'D23', 'IDXNONCYC', (SELECT id FROM attribute WHERE type = 'STOCK_STATUS' AND code = 'LISTED')) ON CONFLICT DO NOTHING;</v>
      </c>
    </row>
    <row r="630" spans="1:18" x14ac:dyDescent="0.2">
      <c r="A630" t="s">
        <v>2068</v>
      </c>
      <c r="B630" t="s">
        <v>2069</v>
      </c>
      <c r="C630" s="1">
        <v>44587</v>
      </c>
      <c r="D630" s="1"/>
      <c r="E630" t="s">
        <v>2070</v>
      </c>
      <c r="F630" t="s">
        <v>28</v>
      </c>
      <c r="G630" t="s">
        <v>3489</v>
      </c>
      <c r="H630" t="s">
        <v>2068</v>
      </c>
      <c r="I630" t="s">
        <v>3825</v>
      </c>
      <c r="K630" t="s">
        <v>3039</v>
      </c>
      <c r="L630" t="s">
        <v>3145</v>
      </c>
      <c r="M630" t="str">
        <f t="shared" si="18"/>
        <v>E61</v>
      </c>
      <c r="N630" t="s">
        <v>3151</v>
      </c>
      <c r="O630" t="s">
        <v>3147</v>
      </c>
      <c r="P630" t="s">
        <v>3152</v>
      </c>
      <c r="R630" t="str">
        <f t="shared" si="19"/>
        <v>INSERT INTO stock (ticker, name, listing_date, sub_industry, industry, sector, status) VALUES ('NETV', 'MDTV Media Technologies Tbk.', '2022-01-26', 'E612', 'E61', 'IDXCYCLIC', (SELECT id FROM attribute WHERE type = 'STOCK_STATUS' AND code = 'LISTED')) ON CONFLICT DO NOTHING;</v>
      </c>
    </row>
    <row r="631" spans="1:18" x14ac:dyDescent="0.2">
      <c r="A631" t="s">
        <v>1559</v>
      </c>
      <c r="B631" t="s">
        <v>1560</v>
      </c>
      <c r="C631" s="1">
        <v>43293</v>
      </c>
      <c r="D631" s="1"/>
      <c r="E631" t="s">
        <v>1561</v>
      </c>
      <c r="F631" t="s">
        <v>28</v>
      </c>
      <c r="G631" t="s">
        <v>3489</v>
      </c>
      <c r="H631" t="s">
        <v>1559</v>
      </c>
      <c r="I631" t="s">
        <v>3390</v>
      </c>
      <c r="K631" t="s">
        <v>3381</v>
      </c>
      <c r="L631" t="s">
        <v>3382</v>
      </c>
      <c r="M631" t="str">
        <f t="shared" si="18"/>
        <v>I11</v>
      </c>
      <c r="N631" t="s">
        <v>3383</v>
      </c>
      <c r="O631" t="s">
        <v>3384</v>
      </c>
      <c r="P631" t="s">
        <v>3384</v>
      </c>
      <c r="R631" t="str">
        <f t="shared" si="19"/>
        <v>INSERT INTO stock (ticker, name, listing_date, sub_industry, industry, sector, status) VALUES ('NFCX', 'NFC Indonesia Tbk.', '2018-07-12', 'I111', 'I11', 'IDXTECHNO', (SELECT id FROM attribute WHERE type = 'STOCK_STATUS' AND code = 'LISTED')) ON CONFLICT DO NOTHING;</v>
      </c>
    </row>
    <row r="632" spans="1:18" x14ac:dyDescent="0.2">
      <c r="A632" t="s">
        <v>2628</v>
      </c>
      <c r="B632" t="s">
        <v>2629</v>
      </c>
      <c r="C632" s="1">
        <v>45300</v>
      </c>
      <c r="D632" s="1"/>
      <c r="E632" t="s">
        <v>2630</v>
      </c>
      <c r="F632" t="s">
        <v>28</v>
      </c>
      <c r="G632" t="s">
        <v>3489</v>
      </c>
      <c r="H632" t="s">
        <v>2628</v>
      </c>
      <c r="I632" t="s">
        <v>3826</v>
      </c>
      <c r="K632" t="s">
        <v>2778</v>
      </c>
      <c r="L632" t="s">
        <v>2779</v>
      </c>
      <c r="M632" t="str">
        <f t="shared" si="18"/>
        <v>B14</v>
      </c>
      <c r="N632" t="s">
        <v>2848</v>
      </c>
      <c r="O632" t="s">
        <v>2824</v>
      </c>
      <c r="P632" t="s">
        <v>2849</v>
      </c>
      <c r="R632" t="str">
        <f t="shared" si="19"/>
        <v>INSERT INTO stock (ticker, name, listing_date, sub_industry, industry, sector, status) VALUES ('NICE', 'Adhi Kartiko Pratama Tbk.', '2024-01-09', 'B146', 'B14', 'IDXBASIC', (SELECT id FROM attribute WHERE type = 'STOCK_STATUS' AND code = 'LISTED')) ON CONFLICT DO NOTHING;</v>
      </c>
    </row>
    <row r="633" spans="1:18" x14ac:dyDescent="0.2">
      <c r="A633" t="s">
        <v>1512</v>
      </c>
      <c r="B633" t="s">
        <v>1513</v>
      </c>
      <c r="C633" s="1">
        <v>43222</v>
      </c>
      <c r="D633" s="1"/>
      <c r="E633" t="s">
        <v>1514</v>
      </c>
      <c r="F633" t="s">
        <v>28</v>
      </c>
      <c r="G633" t="s">
        <v>3489</v>
      </c>
      <c r="H633" t="s">
        <v>1512</v>
      </c>
      <c r="I633" t="s">
        <v>1513</v>
      </c>
      <c r="K633" t="s">
        <v>3224</v>
      </c>
      <c r="L633" t="s">
        <v>3289</v>
      </c>
      <c r="M633" t="str">
        <f t="shared" si="18"/>
        <v>G51</v>
      </c>
      <c r="N633" t="s">
        <v>3303</v>
      </c>
      <c r="O633" t="s">
        <v>3289</v>
      </c>
      <c r="P633" t="s">
        <v>3304</v>
      </c>
      <c r="R633" t="str">
        <f t="shared" si="19"/>
        <v>INSERT INTO stock (ticker, name, listing_date, sub_industry, industry, sector, status) VALUES ('NICK', 'Charnic Capital Tbk.', '2018-05-02', 'G512', 'G51', 'IDXFINANCE', (SELECT id FROM attribute WHERE type = 'STOCK_STATUS' AND code = 'LISTED')) ON CONFLICT DO NOTHING;</v>
      </c>
    </row>
    <row r="634" spans="1:18" x14ac:dyDescent="0.2">
      <c r="A634" t="s">
        <v>1974</v>
      </c>
      <c r="B634" t="s">
        <v>1975</v>
      </c>
      <c r="C634" s="1">
        <v>44386</v>
      </c>
      <c r="D634" s="1"/>
      <c r="E634" t="s">
        <v>1976</v>
      </c>
      <c r="F634" t="s">
        <v>28</v>
      </c>
      <c r="G634" t="s">
        <v>3489</v>
      </c>
      <c r="H634" t="s">
        <v>1974</v>
      </c>
      <c r="I634" t="s">
        <v>2854</v>
      </c>
      <c r="K634" t="s">
        <v>2778</v>
      </c>
      <c r="L634" t="s">
        <v>2779</v>
      </c>
      <c r="M634" t="str">
        <f t="shared" si="18"/>
        <v>B14</v>
      </c>
      <c r="N634" t="s">
        <v>2848</v>
      </c>
      <c r="O634" t="s">
        <v>2824</v>
      </c>
      <c r="P634" t="s">
        <v>2849</v>
      </c>
      <c r="R634" t="str">
        <f t="shared" si="19"/>
        <v>INSERT INTO stock (ticker, name, listing_date, sub_industry, industry, sector, status) VALUES ('NICL', 'PAM Mineral Tbk.', '2021-07-09', 'B146', 'B14', 'IDXBASIC', (SELECT id FROM attribute WHERE type = 'STOCK_STATUS' AND code = 'LISTED')) ON CONFLICT DO NOTHING;</v>
      </c>
    </row>
    <row r="635" spans="1:18" x14ac:dyDescent="0.2">
      <c r="A635" t="s">
        <v>922</v>
      </c>
      <c r="B635" t="s">
        <v>923</v>
      </c>
      <c r="C635" s="1">
        <v>40161</v>
      </c>
      <c r="D635" s="1"/>
      <c r="E635" t="s">
        <v>924</v>
      </c>
      <c r="F635" t="s">
        <v>28</v>
      </c>
      <c r="G635" t="s">
        <v>3489</v>
      </c>
      <c r="H635" t="s">
        <v>922</v>
      </c>
      <c r="I635" t="s">
        <v>2855</v>
      </c>
      <c r="K635" t="s">
        <v>2778</v>
      </c>
      <c r="L635" t="s">
        <v>2779</v>
      </c>
      <c r="M635" t="str">
        <f t="shared" si="18"/>
        <v>B14</v>
      </c>
      <c r="N635" t="s">
        <v>2848</v>
      </c>
      <c r="O635" t="s">
        <v>2824</v>
      </c>
      <c r="P635" t="s">
        <v>2849</v>
      </c>
      <c r="R635" t="str">
        <f t="shared" si="19"/>
        <v>INSERT INTO stock (ticker, name, listing_date, sub_industry, industry, sector, status) VALUES ('NIKL', 'Pelat Timah Nusantara Tbk.', '2009-12-14', 'B146', 'B14', 'IDXBASIC', (SELECT id FROM attribute WHERE type = 'STOCK_STATUS' AND code = 'LISTED')) ON CONFLICT DO NOTHING;</v>
      </c>
    </row>
    <row r="636" spans="1:18" x14ac:dyDescent="0.2">
      <c r="A636" t="s">
        <v>2202</v>
      </c>
      <c r="B636" t="s">
        <v>2203</v>
      </c>
      <c r="C636" s="1">
        <v>44900</v>
      </c>
      <c r="D636" s="1"/>
      <c r="E636" t="s">
        <v>2204</v>
      </c>
      <c r="F636" t="s">
        <v>1847</v>
      </c>
      <c r="G636" t="s">
        <v>3489</v>
      </c>
      <c r="H636" t="s">
        <v>2202</v>
      </c>
      <c r="I636" t="s">
        <v>3827</v>
      </c>
      <c r="K636" t="s">
        <v>3381</v>
      </c>
      <c r="L636" t="s">
        <v>3406</v>
      </c>
      <c r="M636" t="str">
        <f t="shared" si="18"/>
        <v>I22</v>
      </c>
      <c r="N636" t="s">
        <v>3409</v>
      </c>
      <c r="O636" t="s">
        <v>3410</v>
      </c>
      <c r="P636" t="s">
        <v>3410</v>
      </c>
      <c r="R636" t="str">
        <f t="shared" si="19"/>
        <v>INSERT INTO stock (ticker, name, listing_date, sub_industry, industry, sector, status) VALUES ('NINE', 'Techno9 Indonesia Tbk.', '2022-12-05', 'I221', 'I22', 'IDXTECHNO', (SELECT id FROM attribute WHERE type = 'STOCK_STATUS' AND code = 'LISTED')) ON CONFLICT DO NOTHING;</v>
      </c>
    </row>
    <row r="637" spans="1:18" x14ac:dyDescent="0.2">
      <c r="A637" t="s">
        <v>925</v>
      </c>
      <c r="B637" t="s">
        <v>926</v>
      </c>
      <c r="C637" s="1">
        <v>41165</v>
      </c>
      <c r="D637" s="1"/>
      <c r="E637" t="s">
        <v>927</v>
      </c>
      <c r="F637" t="s">
        <v>28</v>
      </c>
      <c r="G637" t="s">
        <v>3489</v>
      </c>
      <c r="H637" t="s">
        <v>925</v>
      </c>
      <c r="I637" t="s">
        <v>3357</v>
      </c>
      <c r="K637" t="s">
        <v>3306</v>
      </c>
      <c r="L637" t="s">
        <v>3307</v>
      </c>
      <c r="M637" t="str">
        <f t="shared" si="18"/>
        <v>H11</v>
      </c>
      <c r="N637" t="s">
        <v>3308</v>
      </c>
      <c r="O637" t="s">
        <v>3309</v>
      </c>
      <c r="P637" t="s">
        <v>3310</v>
      </c>
      <c r="R637" t="str">
        <f t="shared" si="19"/>
        <v>INSERT INTO stock (ticker, name, listing_date, sub_industry, industry, sector, status) VALUES ('NIRO', 'City Retail Developments Tbk.', '2012-09-13', 'H111', 'H11', 'IDXPROPERT', (SELECT id FROM attribute WHERE type = 'STOCK_STATUS' AND code = 'LISTED')) ON CONFLICT DO NOTHING;</v>
      </c>
    </row>
    <row r="638" spans="1:18" x14ac:dyDescent="0.2">
      <c r="A638" t="s">
        <v>928</v>
      </c>
      <c r="B638" t="s">
        <v>929</v>
      </c>
      <c r="C638" s="1">
        <v>34627</v>
      </c>
      <c r="D638" s="1"/>
      <c r="E638" t="s">
        <v>930</v>
      </c>
      <c r="F638" t="s">
        <v>8</v>
      </c>
      <c r="G638" t="s">
        <v>3489</v>
      </c>
      <c r="H638" t="s">
        <v>928</v>
      </c>
      <c r="I638" t="s">
        <v>3828</v>
      </c>
      <c r="K638" t="s">
        <v>3224</v>
      </c>
      <c r="L638" t="s">
        <v>3225</v>
      </c>
      <c r="M638" t="str">
        <f t="shared" si="18"/>
        <v>G11</v>
      </c>
      <c r="N638" t="s">
        <v>3226</v>
      </c>
      <c r="O638" t="s">
        <v>3225</v>
      </c>
      <c r="P638" t="s">
        <v>3225</v>
      </c>
      <c r="R638" t="str">
        <f t="shared" si="19"/>
        <v>INSERT INTO stock (ticker, name, listing_date, sub_industry, industry, sector, status) VALUES ('NISP', 'Bank OCBC NISP Tbk.', '1994-10-20', 'G111', 'G11', 'IDXFINANCE', (SELECT id FROM attribute WHERE type = 'STOCK_STATUS' AND code = 'LISTED')) ON CONFLICT DO NOTHING;</v>
      </c>
    </row>
    <row r="639" spans="1:18" x14ac:dyDescent="0.2">
      <c r="A639" t="s">
        <v>931</v>
      </c>
      <c r="B639" t="s">
        <v>932</v>
      </c>
      <c r="C639" s="1">
        <v>41414</v>
      </c>
      <c r="D639" s="1"/>
      <c r="E639" t="s">
        <v>933</v>
      </c>
      <c r="F639" t="s">
        <v>28</v>
      </c>
      <c r="G639" t="s">
        <v>3489</v>
      </c>
      <c r="H639" t="s">
        <v>931</v>
      </c>
      <c r="I639" t="s">
        <v>932</v>
      </c>
      <c r="K639" t="s">
        <v>3224</v>
      </c>
      <c r="L639" t="s">
        <v>3225</v>
      </c>
      <c r="M639" t="str">
        <f t="shared" si="18"/>
        <v>G11</v>
      </c>
      <c r="N639" t="s">
        <v>3226</v>
      </c>
      <c r="O639" t="s">
        <v>3225</v>
      </c>
      <c r="P639" t="s">
        <v>3225</v>
      </c>
      <c r="R639" t="str">
        <f t="shared" si="19"/>
        <v>INSERT INTO stock (ticker, name, listing_date, sub_industry, industry, sector, status) VALUES ('NOBU', 'Bank Nationalnobu Tbk.', '2013-05-20', 'G111', 'G11', 'IDXFINANCE', (SELECT id FROM attribute WHERE type = 'STOCK_STATUS' AND code = 'LISTED')) ON CONFLICT DO NOTHING;</v>
      </c>
    </row>
    <row r="640" spans="1:18" x14ac:dyDescent="0.2">
      <c r="A640" t="s">
        <v>1939</v>
      </c>
      <c r="B640" t="s">
        <v>1940</v>
      </c>
      <c r="C640" s="1">
        <v>44300</v>
      </c>
      <c r="D640" s="1"/>
      <c r="E640" t="s">
        <v>1941</v>
      </c>
      <c r="F640" t="s">
        <v>28</v>
      </c>
      <c r="G640" t="s">
        <v>3489</v>
      </c>
      <c r="H640" t="s">
        <v>1939</v>
      </c>
      <c r="I640" t="s">
        <v>2791</v>
      </c>
      <c r="K640" t="s">
        <v>2778</v>
      </c>
      <c r="L640" t="s">
        <v>2779</v>
      </c>
      <c r="M640" t="str">
        <f t="shared" si="18"/>
        <v>B11</v>
      </c>
      <c r="N640" t="s">
        <v>2789</v>
      </c>
      <c r="O640" t="s">
        <v>2781</v>
      </c>
      <c r="P640" t="s">
        <v>2790</v>
      </c>
      <c r="R640" t="str">
        <f t="shared" si="19"/>
        <v>INSERT INTO stock (ticker, name, listing_date, sub_industry, industry, sector, status) VALUES ('NPGF', 'Nusa Palapa Gemilang Tbk.', '2021-04-14', 'B112', 'B11', 'IDXBASIC', (SELECT id FROM attribute WHERE type = 'STOCK_STATUS' AND code = 'LISTED')) ON CONFLICT DO NOTHING;</v>
      </c>
    </row>
    <row r="641" spans="1:18" x14ac:dyDescent="0.2">
      <c r="A641" t="s">
        <v>934</v>
      </c>
      <c r="B641" t="s">
        <v>935</v>
      </c>
      <c r="C641" s="1">
        <v>41452</v>
      </c>
      <c r="D641" s="1"/>
      <c r="E641" t="s">
        <v>936</v>
      </c>
      <c r="F641" t="s">
        <v>28</v>
      </c>
      <c r="G641" t="s">
        <v>3489</v>
      </c>
      <c r="H641" t="s">
        <v>934</v>
      </c>
      <c r="I641" t="s">
        <v>935</v>
      </c>
      <c r="K641" t="s">
        <v>3418</v>
      </c>
      <c r="L641" t="s">
        <v>3432</v>
      </c>
      <c r="M641" t="str">
        <f t="shared" si="18"/>
        <v>J21</v>
      </c>
      <c r="N641" t="s">
        <v>3433</v>
      </c>
      <c r="O641" t="s">
        <v>3432</v>
      </c>
      <c r="P641" t="s">
        <v>3432</v>
      </c>
      <c r="R641" t="str">
        <f t="shared" si="19"/>
        <v>INSERT INTO stock (ticker, name, listing_date, sub_industry, industry, sector, status) VALUES ('NRCA', 'Nusa Raya Cipta Tbk.', '2013-06-27', 'J211', 'J21', 'IDXINFRA', (SELECT id FROM attribute WHERE type = 'STOCK_STATUS' AND code = 'LISTED')) ON CONFLICT DO NOTHING;</v>
      </c>
    </row>
    <row r="642" spans="1:18" x14ac:dyDescent="0.2">
      <c r="A642" t="s">
        <v>2289</v>
      </c>
      <c r="B642" t="s">
        <v>2290</v>
      </c>
      <c r="C642" s="1">
        <v>44995</v>
      </c>
      <c r="D642" s="1"/>
      <c r="E642" t="s">
        <v>2291</v>
      </c>
      <c r="F642" t="s">
        <v>28</v>
      </c>
      <c r="G642" t="s">
        <v>3489</v>
      </c>
      <c r="H642" t="s">
        <v>2289</v>
      </c>
      <c r="I642" t="s">
        <v>3829</v>
      </c>
      <c r="K642" t="s">
        <v>2945</v>
      </c>
      <c r="L642" t="s">
        <v>2961</v>
      </c>
      <c r="M642" t="str">
        <f t="shared" ref="M642:M705" si="20">LEFT(N642, 3)</f>
        <v>D23</v>
      </c>
      <c r="N642" t="s">
        <v>3013</v>
      </c>
      <c r="O642" t="s">
        <v>2999</v>
      </c>
      <c r="P642" t="s">
        <v>3014</v>
      </c>
      <c r="R642" t="str">
        <f t="shared" si="19"/>
        <v>INSERT INTO stock (ticker, name, listing_date, sub_industry, industry, sector, status) VALUES ('NSSS', 'Nusantara Sawit Sejahtera Tbk.', '2023-03-10', 'D232', 'D23', 'IDXNONCYC', (SELECT id FROM attribute WHERE type = 'STOCK_STATUS' AND code = 'LISTED')) ON CONFLICT DO NOTHING;</v>
      </c>
    </row>
    <row r="643" spans="1:18" x14ac:dyDescent="0.2">
      <c r="A643" t="s">
        <v>2077</v>
      </c>
      <c r="B643" t="s">
        <v>2078</v>
      </c>
      <c r="C643" s="1">
        <v>44601</v>
      </c>
      <c r="D643" s="1"/>
      <c r="E643" t="s">
        <v>2079</v>
      </c>
      <c r="F643" t="s">
        <v>28</v>
      </c>
      <c r="G643" t="s">
        <v>3489</v>
      </c>
      <c r="H643" t="s">
        <v>2077</v>
      </c>
      <c r="I643" t="s">
        <v>2904</v>
      </c>
      <c r="K643" t="s">
        <v>2874</v>
      </c>
      <c r="L643" t="s">
        <v>2875</v>
      </c>
      <c r="M643" t="str">
        <f t="shared" si="20"/>
        <v>C14</v>
      </c>
      <c r="N643" t="s">
        <v>2898</v>
      </c>
      <c r="O643" t="s">
        <v>2899</v>
      </c>
      <c r="P643" t="s">
        <v>2900</v>
      </c>
      <c r="R643" t="str">
        <f t="shared" ref="R643:R706" si="21">CONCATENATE($R$1, A643, "', '", B643, "', '", TEXT(C643, "YYYY-MM-DD"), "', '", N643, "', '", M643, "', '", K643, "', ", $S$1, ") ON CONFLICT DO NOTHING;")</f>
        <v>INSERT INTO stock (ticker, name, listing_date, sub_industry, industry, sector, status) VALUES ('NTBK', 'Nusatama Berkah Tbk.', '2022-02-09', 'C141', 'C14', 'IDXINDUST', (SELECT id FROM attribute WHERE type = 'STOCK_STATUS' AND code = 'LISTED')) ON CONFLICT DO NOTHING;</v>
      </c>
    </row>
    <row r="644" spans="1:18" x14ac:dyDescent="0.2">
      <c r="A644" t="s">
        <v>1565</v>
      </c>
      <c r="B644" t="s">
        <v>1566</v>
      </c>
      <c r="C644" s="1">
        <v>43293</v>
      </c>
      <c r="D644" s="1"/>
      <c r="E644" t="s">
        <v>1567</v>
      </c>
      <c r="F644" t="s">
        <v>12</v>
      </c>
      <c r="G644" t="s">
        <v>3489</v>
      </c>
      <c r="H644" t="s">
        <v>1565</v>
      </c>
      <c r="I644" t="s">
        <v>3111</v>
      </c>
      <c r="K644" t="s">
        <v>3039</v>
      </c>
      <c r="L644" t="s">
        <v>3092</v>
      </c>
      <c r="M644" t="str">
        <f t="shared" si="20"/>
        <v>E51</v>
      </c>
      <c r="N644" t="s">
        <v>3093</v>
      </c>
      <c r="O644" t="s">
        <v>3094</v>
      </c>
      <c r="P644" t="s">
        <v>3095</v>
      </c>
      <c r="R644" t="str">
        <f t="shared" si="21"/>
        <v>INSERT INTO stock (ticker, name, listing_date, sub_industry, industry, sector, status) VALUES ('NUSA', 'Sinergi Megah Internusa Tbk.', '2018-07-12', 'E512', 'E51', 'IDXCYCLIC', (SELECT id FROM attribute WHERE type = 'STOCK_STATUS' AND code = 'LISTED')) ON CONFLICT DO NOTHING;</v>
      </c>
    </row>
    <row r="645" spans="1:18" x14ac:dyDescent="0.2">
      <c r="A645" t="s">
        <v>1743</v>
      </c>
      <c r="B645" t="s">
        <v>1744</v>
      </c>
      <c r="C645" s="1">
        <v>43733</v>
      </c>
      <c r="D645" s="1"/>
      <c r="E645" t="s">
        <v>1745</v>
      </c>
      <c r="F645" t="s">
        <v>28</v>
      </c>
      <c r="G645" t="s">
        <v>3489</v>
      </c>
      <c r="H645" t="s">
        <v>1743</v>
      </c>
      <c r="I645" t="s">
        <v>3358</v>
      </c>
      <c r="K645" t="s">
        <v>3306</v>
      </c>
      <c r="L645" t="s">
        <v>3307</v>
      </c>
      <c r="M645" t="str">
        <f t="shared" si="20"/>
        <v>H11</v>
      </c>
      <c r="N645" t="s">
        <v>3308</v>
      </c>
      <c r="O645" t="s">
        <v>3309</v>
      </c>
      <c r="P645" t="s">
        <v>3310</v>
      </c>
      <c r="R645" t="str">
        <f t="shared" si="21"/>
        <v>INSERT INTO stock (ticker, name, listing_date, sub_industry, industry, sector, status) VALUES ('NZIA', 'Nusantara Almazia Tbk.', '2019-09-25', 'H111', 'H11', 'IDXPROPERT', (SELECT id FROM attribute WHERE type = 'STOCK_STATUS' AND code = 'LISTED')) ON CONFLICT DO NOTHING;</v>
      </c>
    </row>
    <row r="646" spans="1:18" x14ac:dyDescent="0.2">
      <c r="A646" s="3" t="s">
        <v>1369</v>
      </c>
      <c r="B646" s="3" t="s">
        <v>1370</v>
      </c>
      <c r="C646" s="4">
        <v>42569</v>
      </c>
      <c r="D646" s="4"/>
      <c r="E646" s="3" t="s">
        <v>1371</v>
      </c>
      <c r="F646" s="3" t="s">
        <v>28</v>
      </c>
      <c r="G646" s="3" t="s">
        <v>3489</v>
      </c>
      <c r="H646" s="3" t="s">
        <v>1369</v>
      </c>
      <c r="I646" s="3" t="s">
        <v>1370</v>
      </c>
      <c r="J646" s="3"/>
      <c r="K646" s="3" t="s">
        <v>3418</v>
      </c>
      <c r="L646" s="3" t="s">
        <v>3439</v>
      </c>
      <c r="M646" s="3" t="str">
        <f t="shared" si="20"/>
        <v>J32</v>
      </c>
      <c r="N646" s="3" t="s">
        <v>3449</v>
      </c>
      <c r="O646" s="3" t="s">
        <v>3450</v>
      </c>
      <c r="P646" s="3" t="s">
        <v>3450</v>
      </c>
      <c r="R646" t="str">
        <f t="shared" si="21"/>
        <v>INSERT INTO stock (ticker, name, listing_date, sub_industry, industry, sector, status) VALUES ('OASA', 'Maharaksa Biru Energi Tbk.', '2016-07-18', 'J321', 'J32', 'IDXINFRA', (SELECT id FROM attribute WHERE type = 'STOCK_STATUS' AND code = 'LISTED')) ON CONFLICT DO NOTHING;</v>
      </c>
    </row>
    <row r="647" spans="1:18" x14ac:dyDescent="0.2">
      <c r="A647" t="s">
        <v>2531</v>
      </c>
      <c r="B647" t="s">
        <v>3632</v>
      </c>
      <c r="C647" s="1">
        <v>45670</v>
      </c>
      <c r="D647" s="1"/>
      <c r="E647" t="s">
        <v>2532</v>
      </c>
      <c r="F647" t="s">
        <v>28</v>
      </c>
      <c r="G647" t="s">
        <v>3489</v>
      </c>
      <c r="H647" t="s">
        <v>2531</v>
      </c>
      <c r="I647" t="s">
        <v>3830</v>
      </c>
      <c r="K647" t="s">
        <v>3199</v>
      </c>
      <c r="L647" t="s">
        <v>3212</v>
      </c>
      <c r="M647" t="str">
        <f t="shared" si="20"/>
        <v>F21</v>
      </c>
      <c r="N647" t="s">
        <v>3213</v>
      </c>
      <c r="O647" t="s">
        <v>3214</v>
      </c>
      <c r="P647" t="s">
        <v>3214</v>
      </c>
      <c r="R647" t="str">
        <f t="shared" si="21"/>
        <v>INSERT INTO stock (ticker, name, listing_date, sub_industry, industry, sector, status) VALUES ('OBAT', 'Brigit Biofarmaka Teknologi Tbk.', '2025-01-13', 'F211', 'F21', 'IDXHEALTH', (SELECT id FROM attribute WHERE type = 'STOCK_STATUS' AND code = 'LISTED')) ON CONFLICT DO NOTHING;</v>
      </c>
    </row>
    <row r="648" spans="1:18" x14ac:dyDescent="0.2">
      <c r="A648" t="s">
        <v>2043</v>
      </c>
      <c r="B648" t="s">
        <v>2044</v>
      </c>
      <c r="C648" s="1">
        <v>44538</v>
      </c>
      <c r="D648" s="1"/>
      <c r="E648" t="s">
        <v>2045</v>
      </c>
      <c r="F648" t="s">
        <v>28</v>
      </c>
      <c r="G648" t="s">
        <v>3489</v>
      </c>
      <c r="H648" t="s">
        <v>2043</v>
      </c>
      <c r="I648" t="s">
        <v>2799</v>
      </c>
      <c r="K648" t="s">
        <v>2778</v>
      </c>
      <c r="L648" t="s">
        <v>2779</v>
      </c>
      <c r="M648" t="str">
        <f t="shared" si="20"/>
        <v>B11</v>
      </c>
      <c r="N648" t="s">
        <v>2792</v>
      </c>
      <c r="O648" t="s">
        <v>2781</v>
      </c>
      <c r="P648" t="s">
        <v>2793</v>
      </c>
      <c r="R648" t="str">
        <f t="shared" si="21"/>
        <v>INSERT INTO stock (ticker, name, listing_date, sub_industry, industry, sector, status) VALUES ('OBMD', 'OBM Drilchem Tbk.', '2021-12-08', 'B113', 'B11', 'IDXBASIC', (SELECT id FROM attribute WHERE type = 'STOCK_STATUS' AND code = 'LISTED')) ON CONFLICT DO NOTHING;</v>
      </c>
    </row>
    <row r="649" spans="1:18" x14ac:dyDescent="0.2">
      <c r="A649" t="s">
        <v>937</v>
      </c>
      <c r="B649" t="s">
        <v>938</v>
      </c>
      <c r="C649" s="1">
        <v>37904</v>
      </c>
      <c r="D649" s="1"/>
      <c r="E649" t="s">
        <v>939</v>
      </c>
      <c r="F649" t="s">
        <v>12</v>
      </c>
      <c r="G649" t="s">
        <v>3489</v>
      </c>
      <c r="H649" t="s">
        <v>937</v>
      </c>
      <c r="I649" t="s">
        <v>3296</v>
      </c>
      <c r="K649" t="s">
        <v>3224</v>
      </c>
      <c r="L649" t="s">
        <v>3289</v>
      </c>
      <c r="M649" t="str">
        <f t="shared" si="20"/>
        <v>G51</v>
      </c>
      <c r="N649" t="s">
        <v>3290</v>
      </c>
      <c r="O649" t="s">
        <v>3289</v>
      </c>
      <c r="P649" t="s">
        <v>3291</v>
      </c>
      <c r="R649" t="str">
        <f t="shared" si="21"/>
        <v>INSERT INTO stock (ticker, name, listing_date, sub_industry, industry, sector, status) VALUES ('OCAP', 'Onix Capital Tbk.', '2003-10-10', 'G511', 'G51', 'IDXFINANCE', (SELECT id FROM attribute WHERE type = 'STOCK_STATUS' AND code = 'LISTED')) ON CONFLICT DO NOTHING;</v>
      </c>
    </row>
    <row r="650" spans="1:18" x14ac:dyDescent="0.2">
      <c r="A650" t="s">
        <v>1986</v>
      </c>
      <c r="B650" t="s">
        <v>1987</v>
      </c>
      <c r="C650" s="1">
        <v>44445</v>
      </c>
      <c r="D650" s="1"/>
      <c r="E650" t="s">
        <v>1988</v>
      </c>
      <c r="F650" t="s">
        <v>28</v>
      </c>
      <c r="G650" t="s">
        <v>3489</v>
      </c>
      <c r="H650" t="s">
        <v>1986</v>
      </c>
      <c r="I650" t="s">
        <v>3023</v>
      </c>
      <c r="K650" t="s">
        <v>2945</v>
      </c>
      <c r="L650" t="s">
        <v>2961</v>
      </c>
      <c r="M650" t="str">
        <f t="shared" si="20"/>
        <v>D23</v>
      </c>
      <c r="N650" t="s">
        <v>3013</v>
      </c>
      <c r="O650" t="s">
        <v>2999</v>
      </c>
      <c r="P650" t="s">
        <v>3014</v>
      </c>
      <c r="R650" t="str">
        <f t="shared" si="21"/>
        <v>INSERT INTO stock (ticker, name, listing_date, sub_industry, industry, sector, status) VALUES ('OILS', 'Indo Oil Perkasa Tbk.', '2021-09-06', 'D232', 'D23', 'IDXNONCYC', (SELECT id FROM attribute WHERE type = 'STOCK_STATUS' AND code = 'LISTED')) ON CONFLICT DO NOTHING;</v>
      </c>
    </row>
    <row r="651" spans="1:18" x14ac:dyDescent="0.2">
      <c r="A651" t="s">
        <v>940</v>
      </c>
      <c r="B651" t="s">
        <v>3633</v>
      </c>
      <c r="C651" s="1">
        <v>38805</v>
      </c>
      <c r="D651" s="1"/>
      <c r="E651" t="s">
        <v>942</v>
      </c>
      <c r="F651" t="s">
        <v>28</v>
      </c>
      <c r="G651" t="s">
        <v>3489</v>
      </c>
      <c r="H651" t="s">
        <v>940</v>
      </c>
      <c r="I651" t="s">
        <v>941</v>
      </c>
      <c r="K651" t="s">
        <v>2778</v>
      </c>
      <c r="L651" t="s">
        <v>2779</v>
      </c>
      <c r="M651" t="str">
        <f t="shared" si="20"/>
        <v>B11</v>
      </c>
      <c r="N651" t="s">
        <v>2780</v>
      </c>
      <c r="O651" t="s">
        <v>2781</v>
      </c>
      <c r="P651" t="s">
        <v>2782</v>
      </c>
      <c r="R651" t="str">
        <f t="shared" si="21"/>
        <v>INSERT INTO stock (ticker, name, listing_date, sub_industry, industry, sector, status) VALUES ('OKAS', 'Ancora Indonesia Resources Tbk.', '2006-03-29', 'B111', 'B11', 'IDXBASIC', (SELECT id FROM attribute WHERE type = 'STOCK_STATUS' AND code = 'LISTED')) ON CONFLICT DO NOTHING;</v>
      </c>
    </row>
    <row r="652" spans="1:18" x14ac:dyDescent="0.2">
      <c r="A652" t="s">
        <v>2112</v>
      </c>
      <c r="B652" t="s">
        <v>3634</v>
      </c>
      <c r="C652" s="1">
        <v>44698</v>
      </c>
      <c r="D652" s="1"/>
      <c r="E652" t="s">
        <v>2113</v>
      </c>
      <c r="F652" t="s">
        <v>1847</v>
      </c>
      <c r="G652" t="s">
        <v>3489</v>
      </c>
      <c r="H652" t="s">
        <v>2112</v>
      </c>
      <c r="I652" t="s">
        <v>3062</v>
      </c>
      <c r="K652" t="s">
        <v>3039</v>
      </c>
      <c r="L652" t="s">
        <v>3055</v>
      </c>
      <c r="M652" t="str">
        <f t="shared" si="20"/>
        <v>E21</v>
      </c>
      <c r="N652" t="s">
        <v>3056</v>
      </c>
      <c r="O652" t="s">
        <v>3055</v>
      </c>
      <c r="P652" t="s">
        <v>3057</v>
      </c>
      <c r="R652" t="str">
        <f t="shared" si="21"/>
        <v>INSERT INTO stock (ticker, name, listing_date, sub_industry, industry, sector, status) VALUES ('OLIV', 'Oscar Mitra Sukses Sejahtera Tbk.', '2022-05-17', 'E211', 'E21', 'IDXCYCLIC', (SELECT id FROM attribute WHERE type = 'STOCK_STATUS' AND code = 'LISTED')) ON CONFLICT DO NOTHING;</v>
      </c>
    </row>
    <row r="653" spans="1:18" x14ac:dyDescent="0.2">
      <c r="A653" t="s">
        <v>2187</v>
      </c>
      <c r="B653" t="s">
        <v>2188</v>
      </c>
      <c r="C653" s="1">
        <v>44873</v>
      </c>
      <c r="D653" s="1"/>
      <c r="E653" t="s">
        <v>2189</v>
      </c>
      <c r="F653" t="s">
        <v>8</v>
      </c>
      <c r="G653" t="s">
        <v>3489</v>
      </c>
      <c r="H653" t="s">
        <v>2187</v>
      </c>
      <c r="I653" t="s">
        <v>3831</v>
      </c>
      <c r="K653" t="s">
        <v>3199</v>
      </c>
      <c r="L653" t="s">
        <v>3200</v>
      </c>
      <c r="M653" t="str">
        <f t="shared" si="20"/>
        <v>F11</v>
      </c>
      <c r="N653" t="s">
        <v>3201</v>
      </c>
      <c r="O653" t="s">
        <v>3202</v>
      </c>
      <c r="P653" t="s">
        <v>3203</v>
      </c>
      <c r="R653" t="str">
        <f t="shared" si="21"/>
        <v>INSERT INTO stock (ticker, name, listing_date, sub_industry, industry, sector, status) VALUES ('OMED', 'Jayamas Medica Industri Tbk.', '2022-11-08', 'F112', 'F11', 'IDXHEALTH', (SELECT id FROM attribute WHERE type = 'STOCK_STATUS' AND code = 'LISTED')) ON CONFLICT DO NOTHING;</v>
      </c>
    </row>
    <row r="654" spans="1:18" x14ac:dyDescent="0.2">
      <c r="A654" t="s">
        <v>943</v>
      </c>
      <c r="B654" t="s">
        <v>3635</v>
      </c>
      <c r="C654" s="1">
        <v>34568</v>
      </c>
      <c r="D654" s="1"/>
      <c r="E654" t="s">
        <v>945</v>
      </c>
      <c r="F654" t="s">
        <v>12</v>
      </c>
      <c r="G654" t="s">
        <v>3489</v>
      </c>
      <c r="H654" t="s">
        <v>943</v>
      </c>
      <c r="I654" t="s">
        <v>944</v>
      </c>
      <c r="K654" t="s">
        <v>3306</v>
      </c>
      <c r="L654" t="s">
        <v>3307</v>
      </c>
      <c r="M654" t="str">
        <f t="shared" si="20"/>
        <v>H11</v>
      </c>
      <c r="N654" t="s">
        <v>3308</v>
      </c>
      <c r="O654" t="s">
        <v>3309</v>
      </c>
      <c r="P654" t="s">
        <v>3310</v>
      </c>
      <c r="R654" t="str">
        <f t="shared" si="21"/>
        <v>INSERT INTO stock (ticker, name, listing_date, sub_industry, industry, sector, status) VALUES ('OMRE', 'Indonesia Prima Property Tbk.', '1994-08-22', 'H111', 'H11', 'IDXPROPERT', (SELECT id FROM attribute WHERE type = 'STOCK_STATUS' AND code = 'LISTED')) ON CONFLICT DO NOTHING;</v>
      </c>
    </row>
    <row r="655" spans="1:18" x14ac:dyDescent="0.2">
      <c r="A655" t="s">
        <v>1741</v>
      </c>
      <c r="B655" t="s">
        <v>3636</v>
      </c>
      <c r="C655" s="1">
        <v>43731</v>
      </c>
      <c r="D655" s="1"/>
      <c r="E655" t="s">
        <v>355</v>
      </c>
      <c r="F655" t="s">
        <v>28</v>
      </c>
      <c r="G655" t="s">
        <v>3489</v>
      </c>
      <c r="H655" t="s">
        <v>1741</v>
      </c>
      <c r="I655" t="s">
        <v>1742</v>
      </c>
      <c r="K655" t="s">
        <v>2778</v>
      </c>
      <c r="L655" t="s">
        <v>2779</v>
      </c>
      <c r="M655" t="str">
        <f t="shared" si="20"/>
        <v>B14</v>
      </c>
      <c r="N655" t="s">
        <v>2839</v>
      </c>
      <c r="O655" t="s">
        <v>2824</v>
      </c>
      <c r="P655" t="s">
        <v>2840</v>
      </c>
      <c r="R655" t="str">
        <f t="shared" si="21"/>
        <v>INSERT INTO stock (ticker, name, listing_date, sub_industry, industry, sector, status) VALUES ('OPMS', 'Optima Prima Metal Sinergi Tbk.', '2019-09-23', 'B144', 'B14', 'IDXBASIC', (SELECT id FROM attribute WHERE type = 'STOCK_STATUS' AND code = 'LISTED')) ON CONFLICT DO NOTHING;</v>
      </c>
    </row>
    <row r="656" spans="1:18" x14ac:dyDescent="0.2">
      <c r="A656" s="3" t="s">
        <v>2253</v>
      </c>
      <c r="B656" s="3" t="s">
        <v>3637</v>
      </c>
      <c r="C656" s="4">
        <v>44965</v>
      </c>
      <c r="D656" s="4"/>
      <c r="E656" s="3" t="s">
        <v>2254</v>
      </c>
      <c r="F656" s="3" t="s">
        <v>1847</v>
      </c>
      <c r="G656" s="3" t="s">
        <v>3489</v>
      </c>
      <c r="H656" s="3" t="s">
        <v>2253</v>
      </c>
      <c r="I656" s="3" t="s">
        <v>3637</v>
      </c>
      <c r="J656" s="3"/>
      <c r="K656" s="3" t="s">
        <v>2778</v>
      </c>
      <c r="L656" s="3" t="s">
        <v>2779</v>
      </c>
      <c r="M656" s="3" t="str">
        <f t="shared" si="20"/>
        <v>B13</v>
      </c>
      <c r="N656" s="3" t="s">
        <v>2812</v>
      </c>
      <c r="O656" s="3" t="s">
        <v>2813</v>
      </c>
      <c r="P656" s="3" t="s">
        <v>2813</v>
      </c>
      <c r="R656" t="str">
        <f t="shared" si="21"/>
        <v>INSERT INTO stock (ticker, name, listing_date, sub_industry, industry, sector, status) VALUES ('PACK', 'Abadi Nusantara Hijau Investama Tbk.', '2023-02-08', 'B131', 'B13', 'IDXBASIC', (SELECT id FROM attribute WHERE type = 'STOCK_STATUS' AND code = 'LISTED')) ON CONFLICT DO NOTHING;</v>
      </c>
    </row>
    <row r="657" spans="1:18" x14ac:dyDescent="0.2">
      <c r="A657" t="s">
        <v>2208</v>
      </c>
      <c r="B657" t="s">
        <v>2209</v>
      </c>
      <c r="C657" s="1">
        <v>44903</v>
      </c>
      <c r="D657" s="1"/>
      <c r="E657" t="s">
        <v>2210</v>
      </c>
      <c r="F657" t="s">
        <v>28</v>
      </c>
      <c r="G657" t="s">
        <v>3489</v>
      </c>
      <c r="H657" t="s">
        <v>2208</v>
      </c>
      <c r="I657" t="s">
        <v>3832</v>
      </c>
      <c r="K657" t="s">
        <v>2874</v>
      </c>
      <c r="L657" t="s">
        <v>2910</v>
      </c>
      <c r="M657" t="str">
        <f t="shared" si="20"/>
        <v>C23</v>
      </c>
      <c r="N657" t="s">
        <v>2932</v>
      </c>
      <c r="O657" t="s">
        <v>2933</v>
      </c>
      <c r="P657" t="s">
        <v>2934</v>
      </c>
      <c r="R657" t="str">
        <f t="shared" si="21"/>
        <v>INSERT INTO stock (ticker, name, listing_date, sub_industry, industry, sector, status) VALUES ('PADA', 'Personel Alih Daya Tbk.', '2022-12-08', 'C231', 'C23', 'IDXINDUST', (SELECT id FROM attribute WHERE type = 'STOCK_STATUS' AND code = 'LISTED')) ON CONFLICT DO NOTHING;</v>
      </c>
    </row>
    <row r="658" spans="1:18" x14ac:dyDescent="0.2">
      <c r="A658" t="s">
        <v>946</v>
      </c>
      <c r="B658" t="s">
        <v>3638</v>
      </c>
      <c r="C658" s="1">
        <v>40917</v>
      </c>
      <c r="D658" s="1"/>
      <c r="E658" t="s">
        <v>947</v>
      </c>
      <c r="F658" t="s">
        <v>12</v>
      </c>
      <c r="G658" t="s">
        <v>3489</v>
      </c>
      <c r="H658" t="s">
        <v>946</v>
      </c>
      <c r="I658" t="s">
        <v>3256</v>
      </c>
      <c r="K658" t="s">
        <v>3224</v>
      </c>
      <c r="L658" t="s">
        <v>3252</v>
      </c>
      <c r="M658" t="str">
        <f t="shared" si="20"/>
        <v>G31</v>
      </c>
      <c r="N658" t="s">
        <v>3257</v>
      </c>
      <c r="O658" t="s">
        <v>3254</v>
      </c>
      <c r="P658" t="s">
        <v>3258</v>
      </c>
      <c r="R658" t="str">
        <f t="shared" si="21"/>
        <v>INSERT INTO stock (ticker, name, listing_date, sub_industry, industry, sector, status) VALUES ('PADI', 'Minna Padi Investama Sekuritas Tbk.', '2012-01-09', 'G312', 'G31', 'IDXFINANCE', (SELECT id FROM attribute WHERE type = 'STOCK_STATUS' AND code = 'LISTED')) ON CONFLICT DO NOTHING;</v>
      </c>
    </row>
    <row r="659" spans="1:18" x14ac:dyDescent="0.2">
      <c r="A659" t="s">
        <v>948</v>
      </c>
      <c r="B659" t="s">
        <v>3639</v>
      </c>
      <c r="C659" s="1">
        <v>41190</v>
      </c>
      <c r="D659" s="1"/>
      <c r="E659" t="s">
        <v>949</v>
      </c>
      <c r="F659" t="s">
        <v>28</v>
      </c>
      <c r="G659" t="s">
        <v>3489</v>
      </c>
      <c r="H659" t="s">
        <v>948</v>
      </c>
      <c r="I659" t="s">
        <v>3833</v>
      </c>
      <c r="K659" t="s">
        <v>2945</v>
      </c>
      <c r="L659" t="s">
        <v>2961</v>
      </c>
      <c r="M659" t="str">
        <f t="shared" si="20"/>
        <v>D23</v>
      </c>
      <c r="N659" t="s">
        <v>3013</v>
      </c>
      <c r="O659" t="s">
        <v>2999</v>
      </c>
      <c r="P659" t="s">
        <v>3014</v>
      </c>
      <c r="R659" t="str">
        <f t="shared" si="21"/>
        <v>INSERT INTO stock (ticker, name, listing_date, sub_industry, industry, sector, status) VALUES ('PALM', 'Provident Investasi Bersama Tbk.', '2012-10-08', 'D232', 'D23', 'IDXNONCYC', (SELECT id FROM attribute WHERE type = 'STOCK_STATUS' AND code = 'LISTED')) ON CONFLICT DO NOTHING;</v>
      </c>
    </row>
    <row r="660" spans="1:18" x14ac:dyDescent="0.2">
      <c r="A660" t="s">
        <v>1697</v>
      </c>
      <c r="B660" t="s">
        <v>1698</v>
      </c>
      <c r="C660" s="1">
        <v>43651</v>
      </c>
      <c r="D660" s="1"/>
      <c r="E660" t="s">
        <v>1699</v>
      </c>
      <c r="F660" t="s">
        <v>28</v>
      </c>
      <c r="G660" t="s">
        <v>3489</v>
      </c>
      <c r="H660" t="s">
        <v>1697</v>
      </c>
      <c r="I660" t="s">
        <v>3359</v>
      </c>
      <c r="K660" t="s">
        <v>3306</v>
      </c>
      <c r="L660" t="s">
        <v>3307</v>
      </c>
      <c r="M660" t="str">
        <f t="shared" si="20"/>
        <v>H11</v>
      </c>
      <c r="N660" t="s">
        <v>3308</v>
      </c>
      <c r="O660" t="s">
        <v>3309</v>
      </c>
      <c r="P660" t="s">
        <v>3310</v>
      </c>
      <c r="R660" t="str">
        <f t="shared" si="21"/>
        <v>INSERT INTO stock (ticker, name, listing_date, sub_industry, industry, sector, status) VALUES ('PAMG', 'Bima Sakti Pertiwi Tbk.', '2019-07-05', 'H111', 'H11', 'IDXPROPERT', (SELECT id FROM attribute WHERE type = 'STOCK_STATUS' AND code = 'LISTED')) ON CONFLICT DO NOTHING;</v>
      </c>
    </row>
    <row r="661" spans="1:18" x14ac:dyDescent="0.2">
      <c r="A661" t="s">
        <v>1580</v>
      </c>
      <c r="B661" t="s">
        <v>1581</v>
      </c>
      <c r="C661" s="1">
        <v>43361</v>
      </c>
      <c r="D661" s="1"/>
      <c r="E661" t="s">
        <v>1582</v>
      </c>
      <c r="F661" t="s">
        <v>8</v>
      </c>
      <c r="G661" t="s">
        <v>3489</v>
      </c>
      <c r="H661" t="s">
        <v>1580</v>
      </c>
      <c r="I661" t="s">
        <v>2988</v>
      </c>
      <c r="K661" t="s">
        <v>2945</v>
      </c>
      <c r="L661" t="s">
        <v>2961</v>
      </c>
      <c r="M661" t="str">
        <f t="shared" si="20"/>
        <v>D22</v>
      </c>
      <c r="N661" t="s">
        <v>2978</v>
      </c>
      <c r="O661" t="s">
        <v>2973</v>
      </c>
      <c r="P661" t="s">
        <v>2973</v>
      </c>
      <c r="R661" t="str">
        <f t="shared" si="21"/>
        <v>INSERT INTO stock (ticker, name, listing_date, sub_industry, industry, sector, status) VALUES ('PANI', 'Pantai Indah Kapuk Dua Tbk.', '2018-09-18', 'D222', 'D22', 'IDXNONCYC', (SELECT id FROM attribute WHERE type = 'STOCK_STATUS' AND code = 'LISTED')) ON CONFLICT DO NOTHING;</v>
      </c>
    </row>
    <row r="662" spans="1:18" x14ac:dyDescent="0.2">
      <c r="A662" t="s">
        <v>950</v>
      </c>
      <c r="B662" t="s">
        <v>951</v>
      </c>
      <c r="C662" s="1">
        <v>37152</v>
      </c>
      <c r="D662" s="1"/>
      <c r="E662" t="s">
        <v>952</v>
      </c>
      <c r="F662" t="s">
        <v>8</v>
      </c>
      <c r="G662" t="s">
        <v>3489</v>
      </c>
      <c r="H662" t="s">
        <v>950</v>
      </c>
      <c r="I662" t="s">
        <v>3122</v>
      </c>
      <c r="K662" t="s">
        <v>3039</v>
      </c>
      <c r="L662" t="s">
        <v>3092</v>
      </c>
      <c r="M662" t="str">
        <f t="shared" si="20"/>
        <v>E51</v>
      </c>
      <c r="N662" t="s">
        <v>3120</v>
      </c>
      <c r="O662" t="s">
        <v>3094</v>
      </c>
      <c r="P662" t="s">
        <v>3121</v>
      </c>
      <c r="R662" t="str">
        <f t="shared" si="21"/>
        <v>INSERT INTO stock (ticker, name, listing_date, sub_industry, industry, sector, status) VALUES ('PANR', 'Panorama Sentrawisata Tbk.', '2001-09-18', 'E513', 'E51', 'IDXCYCLIC', (SELECT id FROM attribute WHERE type = 'STOCK_STATUS' AND code = 'LISTED')) ON CONFLICT DO NOTHING;</v>
      </c>
    </row>
    <row r="663" spans="1:18" x14ac:dyDescent="0.2">
      <c r="A663" t="s">
        <v>953</v>
      </c>
      <c r="B663" t="s">
        <v>954</v>
      </c>
      <c r="C663" s="1">
        <v>36677</v>
      </c>
      <c r="D663" s="1"/>
      <c r="E663" t="s">
        <v>45</v>
      </c>
      <c r="F663" t="s">
        <v>8</v>
      </c>
      <c r="G663" t="s">
        <v>3489</v>
      </c>
      <c r="H663" t="s">
        <v>953</v>
      </c>
      <c r="I663" t="s">
        <v>3259</v>
      </c>
      <c r="K663" t="s">
        <v>3224</v>
      </c>
      <c r="L663" t="s">
        <v>3252</v>
      </c>
      <c r="M663" t="str">
        <f t="shared" si="20"/>
        <v>G31</v>
      </c>
      <c r="N663" t="s">
        <v>3257</v>
      </c>
      <c r="O663" t="s">
        <v>3254</v>
      </c>
      <c r="P663" t="s">
        <v>3258</v>
      </c>
      <c r="R663" t="str">
        <f t="shared" si="21"/>
        <v>INSERT INTO stock (ticker, name, listing_date, sub_industry, industry, sector, status) VALUES ('PANS', 'Panin Sekuritas Tbk.', '2000-05-31', 'G312', 'G31', 'IDXFINANCE', (SELECT id FROM attribute WHERE type = 'STOCK_STATUS' AND code = 'LISTED')) ON CONFLICT DO NOTHING;</v>
      </c>
    </row>
    <row r="664" spans="1:18" x14ac:dyDescent="0.2">
      <c r="A664" t="s">
        <v>2468</v>
      </c>
      <c r="B664" t="s">
        <v>2469</v>
      </c>
      <c r="C664" s="1">
        <v>45478</v>
      </c>
      <c r="D664" s="1"/>
      <c r="E664" t="s">
        <v>2470</v>
      </c>
      <c r="F664" t="s">
        <v>28</v>
      </c>
      <c r="G664" t="s">
        <v>3489</v>
      </c>
      <c r="H664" t="s">
        <v>2468</v>
      </c>
      <c r="I664" t="s">
        <v>3834</v>
      </c>
      <c r="K664" t="s">
        <v>3039</v>
      </c>
      <c r="L664" t="s">
        <v>3040</v>
      </c>
      <c r="M664" t="str">
        <f t="shared" si="20"/>
        <v>E11</v>
      </c>
      <c r="N664" t="s">
        <v>3041</v>
      </c>
      <c r="O664" t="s">
        <v>3042</v>
      </c>
      <c r="P664" t="s">
        <v>3043</v>
      </c>
      <c r="R664" t="str">
        <f t="shared" si="21"/>
        <v>INSERT INTO stock (ticker, name, listing_date, sub_industry, industry, sector, status) VALUES ('PART', 'Cipta Perdana Lancar Tbk.', '2024-07-05', 'E111', 'E11', 'IDXCYCLIC', (SELECT id FROM attribute WHERE type = 'STOCK_STATUS' AND code = 'LISTED')) ON CONFLICT DO NOTHING;</v>
      </c>
    </row>
    <row r="665" spans="1:18" x14ac:dyDescent="0.2">
      <c r="A665" t="s">
        <v>1479</v>
      </c>
      <c r="B665" t="s">
        <v>1480</v>
      </c>
      <c r="C665" s="1">
        <v>43082</v>
      </c>
      <c r="D665" s="1"/>
      <c r="E665" t="s">
        <v>1481</v>
      </c>
      <c r="F665" t="s">
        <v>8</v>
      </c>
      <c r="G665" t="s">
        <v>3489</v>
      </c>
      <c r="H665" t="s">
        <v>1479</v>
      </c>
      <c r="I665" t="s">
        <v>2819</v>
      </c>
      <c r="K665" t="s">
        <v>2778</v>
      </c>
      <c r="L665" t="s">
        <v>2779</v>
      </c>
      <c r="M665" t="str">
        <f t="shared" si="20"/>
        <v>B13</v>
      </c>
      <c r="N665" t="s">
        <v>2812</v>
      </c>
      <c r="O665" t="s">
        <v>2813</v>
      </c>
      <c r="P665" t="s">
        <v>2813</v>
      </c>
      <c r="R665" t="str">
        <f t="shared" si="21"/>
        <v>INSERT INTO stock (ticker, name, listing_date, sub_industry, industry, sector, status) VALUES ('PBID', 'Panca Budi Idaman Tbk.', '2017-12-13', 'B131', 'B13', 'IDXBASIC', (SELECT id FROM attribute WHERE type = 'STOCK_STATUS' AND code = 'LISTED')) ON CONFLICT DO NOTHING;</v>
      </c>
    </row>
    <row r="666" spans="1:18" x14ac:dyDescent="0.2">
      <c r="A666" t="s">
        <v>955</v>
      </c>
      <c r="B666" t="s">
        <v>956</v>
      </c>
      <c r="C666" s="1">
        <v>33101</v>
      </c>
      <c r="D666" s="1"/>
      <c r="E666" t="s">
        <v>957</v>
      </c>
      <c r="F666" t="s">
        <v>12</v>
      </c>
      <c r="G666" t="s">
        <v>3489</v>
      </c>
      <c r="H666" t="s">
        <v>955</v>
      </c>
      <c r="I666" t="s">
        <v>3081</v>
      </c>
      <c r="K666" t="s">
        <v>3039</v>
      </c>
      <c r="L666" t="s">
        <v>3077</v>
      </c>
      <c r="M666" t="str">
        <f t="shared" si="20"/>
        <v>E41</v>
      </c>
      <c r="N666" t="s">
        <v>3078</v>
      </c>
      <c r="O666" t="s">
        <v>3077</v>
      </c>
      <c r="P666" t="s">
        <v>3079</v>
      </c>
      <c r="R666" t="str">
        <f t="shared" si="21"/>
        <v>INSERT INTO stock (ticker, name, listing_date, sub_industry, industry, sector, status) VALUES ('PBRX', 'Pan Brothers Tbk.', '1990-08-16', 'E411', 'E41', 'IDXCYCLIC', (SELECT id FROM attribute WHERE type = 'STOCK_STATUS' AND code = 'LISTED')) ON CONFLICT DO NOTHING;</v>
      </c>
    </row>
    <row r="667" spans="1:18" x14ac:dyDescent="0.2">
      <c r="A667" t="s">
        <v>1381</v>
      </c>
      <c r="B667" t="s">
        <v>1382</v>
      </c>
      <c r="C667" s="1">
        <v>42641</v>
      </c>
      <c r="D667" s="1"/>
      <c r="E667" t="s">
        <v>227</v>
      </c>
      <c r="F667" t="s">
        <v>28</v>
      </c>
      <c r="G667" t="s">
        <v>3489</v>
      </c>
      <c r="H667" t="s">
        <v>1381</v>
      </c>
      <c r="I667" t="s">
        <v>3835</v>
      </c>
      <c r="K667" t="s">
        <v>3418</v>
      </c>
      <c r="L667" t="s">
        <v>3432</v>
      </c>
      <c r="M667" t="str">
        <f t="shared" si="20"/>
        <v>J21</v>
      </c>
      <c r="N667" t="s">
        <v>3433</v>
      </c>
      <c r="O667" t="s">
        <v>3432</v>
      </c>
      <c r="P667" t="s">
        <v>3432</v>
      </c>
      <c r="R667" t="str">
        <f t="shared" si="21"/>
        <v>INSERT INTO stock (ticker, name, listing_date, sub_industry, industry, sector, status) VALUES ('PBSA', 'Paramita Bangun Sarana Tbk.', '2016-09-28', 'J211', 'J21', 'IDXINFRA', (SELECT id FROM attribute WHERE type = 'STOCK_STATUS' AND code = 'LISTED')) ON CONFLICT DO NOTHING;</v>
      </c>
    </row>
    <row r="668" spans="1:18" x14ac:dyDescent="0.2">
      <c r="A668" t="s">
        <v>1489</v>
      </c>
      <c r="B668" t="s">
        <v>1490</v>
      </c>
      <c r="C668" s="1">
        <v>43098</v>
      </c>
      <c r="D668" s="1"/>
      <c r="E668" t="s">
        <v>1491</v>
      </c>
      <c r="F668" t="s">
        <v>12</v>
      </c>
      <c r="G668" t="s">
        <v>3489</v>
      </c>
      <c r="H668" t="s">
        <v>1489</v>
      </c>
      <c r="I668" t="s">
        <v>2954</v>
      </c>
      <c r="K668" t="s">
        <v>2945</v>
      </c>
      <c r="L668" t="s">
        <v>2946</v>
      </c>
      <c r="M668" t="str">
        <f t="shared" si="20"/>
        <v>D11</v>
      </c>
      <c r="N668" t="s">
        <v>2950</v>
      </c>
      <c r="O668" t="s">
        <v>2946</v>
      </c>
      <c r="P668" t="s">
        <v>2951</v>
      </c>
      <c r="R668" t="str">
        <f t="shared" si="21"/>
        <v>INSERT INTO stock (ticker, name, listing_date, sub_industry, industry, sector, status) VALUES ('PCAR', 'Prima Cakrawala Abadi Tbk.', '2017-12-29', 'D112', 'D11', 'IDXNONCYC', (SELECT id FROM attribute WHERE type = 'STOCK_STATUS' AND code = 'LISTED')) ON CONFLICT DO NOTHING;</v>
      </c>
    </row>
    <row r="669" spans="1:18" x14ac:dyDescent="0.2">
      <c r="A669" t="s">
        <v>958</v>
      </c>
      <c r="B669" t="s">
        <v>3640</v>
      </c>
      <c r="C669" s="1">
        <v>39637</v>
      </c>
      <c r="D669" s="1"/>
      <c r="E669" t="s">
        <v>960</v>
      </c>
      <c r="F669" t="s">
        <v>28</v>
      </c>
      <c r="G669" t="s">
        <v>3489</v>
      </c>
      <c r="H669" t="s">
        <v>958</v>
      </c>
      <c r="I669" t="s">
        <v>959</v>
      </c>
      <c r="K669" t="s">
        <v>3039</v>
      </c>
      <c r="L669" t="s">
        <v>3092</v>
      </c>
      <c r="M669" t="str">
        <f t="shared" si="20"/>
        <v>E51</v>
      </c>
      <c r="N669" t="s">
        <v>3120</v>
      </c>
      <c r="O669" t="s">
        <v>3094</v>
      </c>
      <c r="P669" t="s">
        <v>3121</v>
      </c>
      <c r="R669" t="str">
        <f t="shared" si="21"/>
        <v>INSERT INTO stock (ticker, name, listing_date, sub_industry, industry, sector, status) VALUES ('PDES', 'Destinasi Tirta Nusantara Tbk.', '2008-07-08', 'E513', 'E51', 'IDXCYCLIC', (SELECT id FROM attribute WHERE type = 'STOCK_STATUS' AND code = 'LISTED')) ON CONFLICT DO NOTHING;</v>
      </c>
    </row>
    <row r="670" spans="1:18" x14ac:dyDescent="0.2">
      <c r="A670" t="s">
        <v>2193</v>
      </c>
      <c r="B670" t="s">
        <v>2194</v>
      </c>
      <c r="C670" s="1">
        <v>44874</v>
      </c>
      <c r="D670" s="1"/>
      <c r="E670" t="s">
        <v>2195</v>
      </c>
      <c r="F670" t="s">
        <v>28</v>
      </c>
      <c r="G670" t="s">
        <v>3489</v>
      </c>
      <c r="H670" t="s">
        <v>2193</v>
      </c>
      <c r="I670" t="s">
        <v>3836</v>
      </c>
      <c r="K670" t="s">
        <v>2778</v>
      </c>
      <c r="L670" t="s">
        <v>2779</v>
      </c>
      <c r="M670" t="str">
        <f t="shared" si="20"/>
        <v>B13</v>
      </c>
      <c r="N670" t="s">
        <v>2812</v>
      </c>
      <c r="O670" t="s">
        <v>2813</v>
      </c>
      <c r="P670" t="s">
        <v>2813</v>
      </c>
      <c r="R670" t="str">
        <f t="shared" si="21"/>
        <v>INSERT INTO stock (ticker, name, listing_date, sub_industry, industry, sector, status) VALUES ('PDPP', 'Primadaya Plastisindo Tbk.', '2022-11-09', 'B131', 'B13', 'IDXBASIC', (SELECT id FROM attribute WHERE type = 'STOCK_STATUS' AND code = 'LISTED')) ON CONFLICT DO NOTHING;</v>
      </c>
    </row>
    <row r="671" spans="1:18" x14ac:dyDescent="0.2">
      <c r="A671" t="s">
        <v>961</v>
      </c>
      <c r="B671" t="s">
        <v>962</v>
      </c>
      <c r="C671" s="1">
        <v>38527</v>
      </c>
      <c r="D671" s="1"/>
      <c r="E671" t="s">
        <v>963</v>
      </c>
      <c r="F671" t="s">
        <v>28</v>
      </c>
      <c r="G671" t="s">
        <v>3489</v>
      </c>
      <c r="H671" t="s">
        <v>961</v>
      </c>
      <c r="I671" t="s">
        <v>3297</v>
      </c>
      <c r="K671" t="s">
        <v>3224</v>
      </c>
      <c r="L671" t="s">
        <v>3289</v>
      </c>
      <c r="M671" t="str">
        <f t="shared" si="20"/>
        <v>G51</v>
      </c>
      <c r="N671" t="s">
        <v>3290</v>
      </c>
      <c r="O671" t="s">
        <v>3289</v>
      </c>
      <c r="P671" t="s">
        <v>3291</v>
      </c>
      <c r="R671" t="str">
        <f t="shared" si="21"/>
        <v>INSERT INTO stock (ticker, name, listing_date, sub_industry, industry, sector, status) VALUES ('PEGE', 'Panca Global Kapital Tbk.', '2005-06-24', 'G511', 'G51', 'IDXFINANCE', (SELECT id FROM attribute WHERE type = 'STOCK_STATUS' AND code = 'LISTED')) ON CONFLICT DO NOTHING;</v>
      </c>
    </row>
    <row r="672" spans="1:18" x14ac:dyDescent="0.2">
      <c r="A672" t="s">
        <v>1639</v>
      </c>
      <c r="B672" t="s">
        <v>1640</v>
      </c>
      <c r="C672" s="1">
        <v>43460</v>
      </c>
      <c r="D672" s="1"/>
      <c r="E672" t="s">
        <v>562</v>
      </c>
      <c r="F672" t="s">
        <v>28</v>
      </c>
      <c r="G672" t="s">
        <v>3489</v>
      </c>
      <c r="H672" t="s">
        <v>1639</v>
      </c>
      <c r="I672" t="s">
        <v>3219</v>
      </c>
      <c r="K672" t="s">
        <v>3199</v>
      </c>
      <c r="L672" t="s">
        <v>3212</v>
      </c>
      <c r="M672" t="str">
        <f t="shared" si="20"/>
        <v>F21</v>
      </c>
      <c r="N672" t="s">
        <v>3213</v>
      </c>
      <c r="O672" t="s">
        <v>3214</v>
      </c>
      <c r="P672" t="s">
        <v>3214</v>
      </c>
      <c r="R672" t="str">
        <f t="shared" si="21"/>
        <v>INSERT INTO stock (ticker, name, listing_date, sub_industry, industry, sector, status) VALUES ('PEHA', 'Phapros Tbk.', '2018-12-26', 'F211', 'F21', 'IDXHEALTH', (SELECT id FROM attribute WHERE type = 'STOCK_STATUS' AND code = 'LISTED')) ON CONFLICT DO NOTHING;</v>
      </c>
    </row>
    <row r="673" spans="1:18" x14ac:dyDescent="0.2">
      <c r="A673" t="s">
        <v>2238</v>
      </c>
      <c r="B673" t="s">
        <v>2239</v>
      </c>
      <c r="C673" s="1">
        <v>44950</v>
      </c>
      <c r="D673" s="1"/>
      <c r="E673" t="s">
        <v>2240</v>
      </c>
      <c r="F673" t="s">
        <v>28</v>
      </c>
      <c r="G673" t="s">
        <v>3489</v>
      </c>
      <c r="H673" t="s">
        <v>2238</v>
      </c>
      <c r="I673" t="s">
        <v>3837</v>
      </c>
      <c r="K673" t="s">
        <v>3199</v>
      </c>
      <c r="L673" t="s">
        <v>3212</v>
      </c>
      <c r="M673" t="str">
        <f t="shared" si="20"/>
        <v>F21</v>
      </c>
      <c r="N673" t="s">
        <v>3213</v>
      </c>
      <c r="O673" t="s">
        <v>3214</v>
      </c>
      <c r="P673" t="s">
        <v>3214</v>
      </c>
      <c r="R673" t="str">
        <f t="shared" si="21"/>
        <v>INSERT INTO stock (ticker, name, listing_date, sub_industry, industry, sector, status) VALUES ('PEVE', 'Penta Valent Tbk.', '2023-01-24', 'F211', 'F21', 'IDXHEALTH', (SELECT id FROM attribute WHERE type = 'STOCK_STATUS' AND code = 'LISTED')) ON CONFLICT DO NOTHING;</v>
      </c>
    </row>
    <row r="674" spans="1:18" x14ac:dyDescent="0.2">
      <c r="A674" t="s">
        <v>964</v>
      </c>
      <c r="B674" t="s">
        <v>3642</v>
      </c>
      <c r="C674" s="1">
        <v>37970</v>
      </c>
      <c r="D674" s="1"/>
      <c r="E674" t="s">
        <v>965</v>
      </c>
      <c r="F674" t="s">
        <v>8</v>
      </c>
      <c r="G674" t="s">
        <v>3489</v>
      </c>
      <c r="H674" t="s">
        <v>964</v>
      </c>
      <c r="I674" t="s">
        <v>2719</v>
      </c>
      <c r="K674" t="s">
        <v>2701</v>
      </c>
      <c r="L674" t="s">
        <v>2702</v>
      </c>
      <c r="M674" t="str">
        <f t="shared" si="20"/>
        <v>A11</v>
      </c>
      <c r="N674" t="s">
        <v>2710</v>
      </c>
      <c r="O674" t="s">
        <v>2704</v>
      </c>
      <c r="P674" t="s">
        <v>2711</v>
      </c>
      <c r="R674" t="str">
        <f t="shared" si="21"/>
        <v>INSERT INTO stock (ticker, name, listing_date, sub_industry, industry, sector, status) VALUES ('PGAS', 'Perusahaan Gas Negara Tbk.', '2003-12-15', 'A112', 'A11', 'IDXENERGY', (SELECT id FROM attribute WHERE type = 'STOCK_STATUS' AND code = 'LISTED')) ON CONFLICT DO NOTHING;</v>
      </c>
    </row>
    <row r="675" spans="1:18" x14ac:dyDescent="0.2">
      <c r="A675" t="s">
        <v>2267</v>
      </c>
      <c r="B675" t="s">
        <v>3641</v>
      </c>
      <c r="C675" s="1">
        <v>44981</v>
      </c>
      <c r="D675" s="1"/>
      <c r="E675" t="s">
        <v>2268</v>
      </c>
      <c r="F675" t="s">
        <v>8</v>
      </c>
      <c r="G675" t="s">
        <v>3489</v>
      </c>
      <c r="H675" t="s">
        <v>2267</v>
      </c>
      <c r="I675" t="s">
        <v>3838</v>
      </c>
      <c r="K675" t="s">
        <v>3418</v>
      </c>
      <c r="L675" t="s">
        <v>3458</v>
      </c>
      <c r="M675" t="str">
        <f t="shared" si="20"/>
        <v>J41</v>
      </c>
      <c r="N675" t="s">
        <v>3459</v>
      </c>
      <c r="O675" t="s">
        <v>3460</v>
      </c>
      <c r="P675" t="s">
        <v>3460</v>
      </c>
      <c r="R675" t="str">
        <f t="shared" si="21"/>
        <v>INSERT INTO stock (ticker, name, listing_date, sub_industry, industry, sector, status) VALUES ('PGEO', 'Pertamina Geothermal Energy Tbk.', '2023-02-24', 'J411', 'J41', 'IDXINFRA', (SELECT id FROM attribute WHERE type = 'STOCK_STATUS' AND code = 'LISTED')) ON CONFLICT DO NOTHING;</v>
      </c>
    </row>
    <row r="676" spans="1:18" x14ac:dyDescent="0.2">
      <c r="A676" s="3" t="s">
        <v>1793</v>
      </c>
      <c r="B676" s="3" t="s">
        <v>1794</v>
      </c>
      <c r="C676" s="4">
        <v>43838</v>
      </c>
      <c r="D676" s="4"/>
      <c r="E676" s="3" t="s">
        <v>1795</v>
      </c>
      <c r="F676" s="3" t="s">
        <v>12</v>
      </c>
      <c r="G676" s="3" t="s">
        <v>3489</v>
      </c>
      <c r="H676" s="3" t="s">
        <v>1793</v>
      </c>
      <c r="I676" s="3" t="s">
        <v>1794</v>
      </c>
      <c r="J676" s="3"/>
      <c r="K676" s="3" t="s">
        <v>3381</v>
      </c>
      <c r="L676" s="3" t="s">
        <v>3382</v>
      </c>
      <c r="M676" s="3" t="str">
        <f t="shared" si="20"/>
        <v>I11</v>
      </c>
      <c r="N676" s="3" t="s">
        <v>3383</v>
      </c>
      <c r="O676" s="3" t="s">
        <v>3384</v>
      </c>
      <c r="P676" s="3" t="s">
        <v>3384</v>
      </c>
      <c r="R676" t="str">
        <f t="shared" si="21"/>
        <v>INSERT INTO stock (ticker, name, listing_date, sub_industry, industry, sector, status) VALUES ('PGJO', 'Bahtera Bumi Raya Tbk.', '2020-01-08', 'I111', 'I11', 'IDXTECHNO', (SELECT id FROM attribute WHERE type = 'STOCK_STATUS' AND code = 'LISTED')) ON CONFLICT DO NOTHING;</v>
      </c>
    </row>
    <row r="677" spans="1:18" x14ac:dyDescent="0.2">
      <c r="A677" t="s">
        <v>966</v>
      </c>
      <c r="B677" t="s">
        <v>3643</v>
      </c>
      <c r="C677" s="1">
        <v>36621</v>
      </c>
      <c r="D677" s="1"/>
      <c r="E677" t="s">
        <v>967</v>
      </c>
      <c r="F677" t="s">
        <v>28</v>
      </c>
      <c r="G677" t="s">
        <v>3489</v>
      </c>
      <c r="H677" t="s">
        <v>966</v>
      </c>
      <c r="I677" t="s">
        <v>3112</v>
      </c>
      <c r="K677" t="s">
        <v>3039</v>
      </c>
      <c r="L677" t="s">
        <v>3092</v>
      </c>
      <c r="M677" t="str">
        <f t="shared" si="20"/>
        <v>E51</v>
      </c>
      <c r="N677" t="s">
        <v>3093</v>
      </c>
      <c r="O677" t="s">
        <v>3094</v>
      </c>
      <c r="P677" t="s">
        <v>3095</v>
      </c>
      <c r="R677" t="str">
        <f t="shared" si="21"/>
        <v>INSERT INTO stock (ticker, name, listing_date, sub_industry, industry, sector, status) VALUES ('PGLI', 'Pembangunan Graha Lestari Indah Tbk.', '2000-04-05', 'E512', 'E51', 'IDXCYCLIC', (SELECT id FROM attribute WHERE type = 'STOCK_STATUS' AND code = 'LISTED')) ON CONFLICT DO NOTHING;</v>
      </c>
    </row>
    <row r="678" spans="1:18" x14ac:dyDescent="0.2">
      <c r="A678" t="s">
        <v>1856</v>
      </c>
      <c r="B678" t="s">
        <v>1857</v>
      </c>
      <c r="C678" s="1">
        <v>44019</v>
      </c>
      <c r="D678" s="1"/>
      <c r="E678" t="s">
        <v>1858</v>
      </c>
      <c r="F678" t="s">
        <v>28</v>
      </c>
      <c r="G678" t="s">
        <v>3489</v>
      </c>
      <c r="H678" t="s">
        <v>1856</v>
      </c>
      <c r="I678" t="s">
        <v>3839</v>
      </c>
      <c r="K678" t="s">
        <v>2945</v>
      </c>
      <c r="L678" t="s">
        <v>2961</v>
      </c>
      <c r="M678" t="str">
        <f t="shared" si="20"/>
        <v>D23</v>
      </c>
      <c r="N678" t="s">
        <v>3013</v>
      </c>
      <c r="O678" t="s">
        <v>2999</v>
      </c>
      <c r="P678" t="s">
        <v>3014</v>
      </c>
      <c r="R678" t="str">
        <f t="shared" si="21"/>
        <v>INSERT INTO stock (ticker, name, listing_date, sub_industry, industry, sector, status) VALUES ('PGUN', 'Pradiksi Gunatama Tbk.', '2020-07-07', 'D232', 'D23', 'IDXNONCYC', (SELECT id FROM attribute WHERE type = 'STOCK_STATUS' AND code = 'LISTED')) ON CONFLICT DO NOTHING;</v>
      </c>
    </row>
    <row r="679" spans="1:18" x14ac:dyDescent="0.2">
      <c r="A679" t="s">
        <v>968</v>
      </c>
      <c r="B679" t="s">
        <v>3644</v>
      </c>
      <c r="C679" s="1">
        <v>35331</v>
      </c>
      <c r="D679" s="1"/>
      <c r="E679" t="s">
        <v>970</v>
      </c>
      <c r="F679" t="s">
        <v>28</v>
      </c>
      <c r="G679" t="s">
        <v>3489</v>
      </c>
      <c r="H679" t="s">
        <v>968</v>
      </c>
      <c r="I679" t="s">
        <v>969</v>
      </c>
      <c r="K679" t="s">
        <v>2778</v>
      </c>
      <c r="L679" t="s">
        <v>2779</v>
      </c>
      <c r="M679" t="str">
        <f t="shared" si="20"/>
        <v>B13</v>
      </c>
      <c r="N679" t="s">
        <v>2812</v>
      </c>
      <c r="O679" t="s">
        <v>2813</v>
      </c>
      <c r="P679" t="s">
        <v>2813</v>
      </c>
      <c r="R679" t="str">
        <f t="shared" si="21"/>
        <v>INSERT INTO stock (ticker, name, listing_date, sub_industry, industry, sector, status) VALUES ('PICO', 'Pelangi Indah Canindo Tbk.', '1996-09-23', 'B131', 'B13', 'IDXBASIC', (SELECT id FROM attribute WHERE type = 'STOCK_STATUS' AND code = 'LISTED')) ON CONFLICT DO NOTHING;</v>
      </c>
    </row>
    <row r="680" spans="1:18" x14ac:dyDescent="0.2">
      <c r="A680" t="s">
        <v>2604</v>
      </c>
      <c r="B680" t="s">
        <v>2605</v>
      </c>
      <c r="C680" s="1">
        <v>45026</v>
      </c>
      <c r="D680" s="1"/>
      <c r="E680" t="s">
        <v>2606</v>
      </c>
      <c r="F680" t="s">
        <v>28</v>
      </c>
      <c r="G680" t="s">
        <v>3489</v>
      </c>
      <c r="H680" t="s">
        <v>2604</v>
      </c>
      <c r="I680" t="s">
        <v>2605</v>
      </c>
      <c r="K680" t="s">
        <v>2874</v>
      </c>
      <c r="L680" t="s">
        <v>2875</v>
      </c>
      <c r="M680" t="str">
        <f t="shared" si="20"/>
        <v>C12</v>
      </c>
      <c r="N680" t="s">
        <v>2876</v>
      </c>
      <c r="O680" t="s">
        <v>2877</v>
      </c>
      <c r="P680" t="s">
        <v>2877</v>
      </c>
      <c r="R680" t="str">
        <f t="shared" si="21"/>
        <v>INSERT INTO stock (ticker, name, listing_date, sub_industry, industry, sector, status) VALUES ('PIPA', 'Multi Makmur Lemindo Tbk.', '2023-04-10', 'C121', 'C12', 'IDXINDUST', (SELECT id FROM attribute WHERE type = 'STOCK_STATUS' AND code = 'LISTED')) ON CONFLICT DO NOTHING;</v>
      </c>
    </row>
    <row r="681" spans="1:18" x14ac:dyDescent="0.2">
      <c r="A681" t="s">
        <v>971</v>
      </c>
      <c r="B681" t="s">
        <v>972</v>
      </c>
      <c r="C681" s="1">
        <v>38170</v>
      </c>
      <c r="D681" s="1"/>
      <c r="E681" t="s">
        <v>973</v>
      </c>
      <c r="F681" t="s">
        <v>28</v>
      </c>
      <c r="G681" t="s">
        <v>3489</v>
      </c>
      <c r="H681" t="s">
        <v>971</v>
      </c>
      <c r="I681" t="s">
        <v>3128</v>
      </c>
      <c r="K681" t="s">
        <v>3039</v>
      </c>
      <c r="L681" t="s">
        <v>3092</v>
      </c>
      <c r="M681" t="str">
        <f t="shared" si="20"/>
        <v>E51</v>
      </c>
      <c r="N681" t="s">
        <v>3124</v>
      </c>
      <c r="O681" t="s">
        <v>3094</v>
      </c>
      <c r="P681" t="s">
        <v>3125</v>
      </c>
      <c r="R681" t="str">
        <f t="shared" si="21"/>
        <v>INSERT INTO stock (ticker, name, listing_date, sub_industry, industry, sector, status) VALUES ('PJAA', 'Pembangunan Jaya Ancol Tbk.', '2004-07-02', 'E514', 'E51', 'IDXCYCLIC', (SELECT id FROM attribute WHERE type = 'STOCK_STATUS' AND code = 'LISTED')) ON CONFLICT DO NOTHING;</v>
      </c>
    </row>
    <row r="682" spans="1:18" x14ac:dyDescent="0.2">
      <c r="A682" t="s">
        <v>2561</v>
      </c>
      <c r="B682" t="s">
        <v>2562</v>
      </c>
      <c r="C682" s="1">
        <v>45967</v>
      </c>
      <c r="D682" s="1"/>
      <c r="E682" t="s">
        <v>2563</v>
      </c>
      <c r="F682" t="s">
        <v>28</v>
      </c>
      <c r="G682" t="s">
        <v>3489</v>
      </c>
      <c r="H682" t="s">
        <v>2561</v>
      </c>
      <c r="I682" t="s">
        <v>3840</v>
      </c>
      <c r="K682" t="s">
        <v>3470</v>
      </c>
      <c r="L682" t="s">
        <v>3481</v>
      </c>
      <c r="M682" t="str">
        <f t="shared" si="20"/>
        <v>K21</v>
      </c>
      <c r="N682" t="s">
        <v>3482</v>
      </c>
      <c r="O682" t="s">
        <v>3481</v>
      </c>
      <c r="P682" t="s">
        <v>3481</v>
      </c>
      <c r="R682" t="str">
        <f t="shared" si="21"/>
        <v>INSERT INTO stock (ticker, name, listing_date, sub_industry, industry, sector, status) VALUES ('PJHB', 'Pelayaran Jaya Hidup Baru Tbk.', '2025-11-06', 'K211', 'K21', 'IDXTRANS', (SELECT id FROM attribute WHERE type = 'STOCK_STATUS' AND code = 'LISTED')) ON CONFLICT DO NOTHING;</v>
      </c>
    </row>
    <row r="683" spans="1:18" x14ac:dyDescent="0.2">
      <c r="A683" s="3" t="s">
        <v>974</v>
      </c>
      <c r="B683" s="3" t="s">
        <v>975</v>
      </c>
      <c r="C683" s="4">
        <v>39274</v>
      </c>
      <c r="D683" s="4"/>
      <c r="E683" s="3" t="s">
        <v>976</v>
      </c>
      <c r="F683" s="3" t="s">
        <v>28</v>
      </c>
      <c r="G683" s="3" t="s">
        <v>3489</v>
      </c>
      <c r="H683" s="3" t="s">
        <v>974</v>
      </c>
      <c r="I683" s="3" t="s">
        <v>975</v>
      </c>
      <c r="J683" s="3"/>
      <c r="K683" s="3" t="s">
        <v>2701</v>
      </c>
      <c r="L683" s="3" t="s">
        <v>2702</v>
      </c>
      <c r="M683" s="3" t="str">
        <f t="shared" si="20"/>
        <v>A13</v>
      </c>
      <c r="N683" s="3" t="s">
        <v>2763</v>
      </c>
      <c r="O683" s="3" t="s">
        <v>2760</v>
      </c>
      <c r="P683" s="3" t="s">
        <v>2764</v>
      </c>
      <c r="R683" t="str">
        <f t="shared" si="21"/>
        <v>INSERT INTO stock (ticker, name, listing_date, sub_industry, industry, sector, status) VALUES ('PKPK', 'Paragon Karya Perkasa Tbk.', '2007-07-11', 'A132', 'A13', 'IDXENERGY', (SELECT id FROM attribute WHERE type = 'STOCK_STATUS' AND code = 'LISTED')) ON CONFLICT DO NOTHING;</v>
      </c>
    </row>
    <row r="684" spans="1:18" x14ac:dyDescent="0.2">
      <c r="A684" t="s">
        <v>1896</v>
      </c>
      <c r="B684" t="s">
        <v>1897</v>
      </c>
      <c r="C684" s="1">
        <v>44089</v>
      </c>
      <c r="D684" s="1"/>
      <c r="E684" t="s">
        <v>1898</v>
      </c>
      <c r="F684" t="s">
        <v>1847</v>
      </c>
      <c r="G684" t="s">
        <v>3489</v>
      </c>
      <c r="H684" t="s">
        <v>1896</v>
      </c>
      <c r="I684" t="s">
        <v>3113</v>
      </c>
      <c r="K684" t="s">
        <v>3039</v>
      </c>
      <c r="L684" t="s">
        <v>3092</v>
      </c>
      <c r="M684" t="str">
        <f t="shared" si="20"/>
        <v>E51</v>
      </c>
      <c r="N684" t="s">
        <v>3093</v>
      </c>
      <c r="O684" t="s">
        <v>3094</v>
      </c>
      <c r="P684" t="s">
        <v>3095</v>
      </c>
      <c r="R684" t="str">
        <f t="shared" si="21"/>
        <v>INSERT INTO stock (ticker, name, listing_date, sub_industry, industry, sector, status) VALUES ('PLAN', 'Planet Properindo Jaya Tbk.', '2020-09-15', 'E512', 'E51', 'IDXCYCLIC', (SELECT id FROM attribute WHERE type = 'STOCK_STATUS' AND code = 'LISTED')) ON CONFLICT DO NOTHING;</v>
      </c>
    </row>
    <row r="685" spans="1:18" x14ac:dyDescent="0.2">
      <c r="A685" t="s">
        <v>977</v>
      </c>
      <c r="B685" t="s">
        <v>3645</v>
      </c>
      <c r="C685" s="1">
        <v>36966</v>
      </c>
      <c r="D685" s="1"/>
      <c r="E685" t="s">
        <v>979</v>
      </c>
      <c r="F685" t="s">
        <v>12</v>
      </c>
      <c r="G685" t="s">
        <v>3489</v>
      </c>
      <c r="H685" t="s">
        <v>977</v>
      </c>
      <c r="I685" t="s">
        <v>978</v>
      </c>
      <c r="K685" t="s">
        <v>3224</v>
      </c>
      <c r="L685" t="s">
        <v>3289</v>
      </c>
      <c r="M685" t="str">
        <f t="shared" si="20"/>
        <v>G51</v>
      </c>
      <c r="N685" t="s">
        <v>3290</v>
      </c>
      <c r="O685" t="s">
        <v>3289</v>
      </c>
      <c r="P685" t="s">
        <v>3291</v>
      </c>
      <c r="R685" t="str">
        <f t="shared" si="21"/>
        <v>INSERT INTO stock (ticker, name, listing_date, sub_industry, industry, sector, status) VALUES ('PLAS', 'Polaris Investama Tbk.', '2001-03-16', 'G511', 'G51', 'IDXFINANCE', (SELECT id FROM attribute WHERE type = 'STOCK_STATUS' AND code = 'LISTED')) ON CONFLICT DO NOTHING;</v>
      </c>
    </row>
    <row r="686" spans="1:18" x14ac:dyDescent="0.2">
      <c r="A686" t="s">
        <v>980</v>
      </c>
      <c r="B686" t="s">
        <v>981</v>
      </c>
      <c r="C686" s="1">
        <v>33770</v>
      </c>
      <c r="D686" s="1"/>
      <c r="E686" t="s">
        <v>982</v>
      </c>
      <c r="F686" t="s">
        <v>12</v>
      </c>
      <c r="G686" t="s">
        <v>3489</v>
      </c>
      <c r="H686" t="s">
        <v>980</v>
      </c>
      <c r="I686" t="s">
        <v>3360</v>
      </c>
      <c r="K686" t="s">
        <v>3306</v>
      </c>
      <c r="L686" t="s">
        <v>3307</v>
      </c>
      <c r="M686" t="str">
        <f t="shared" si="20"/>
        <v>H11</v>
      </c>
      <c r="N686" t="s">
        <v>3308</v>
      </c>
      <c r="O686" t="s">
        <v>3309</v>
      </c>
      <c r="P686" t="s">
        <v>3310</v>
      </c>
      <c r="R686" t="str">
        <f t="shared" si="21"/>
        <v>INSERT INTO stock (ticker, name, listing_date, sub_industry, industry, sector, status) VALUES ('PLIN', 'Plaza Indonesia Realty Tbk.', '1992-06-15', 'H111', 'H11', 'IDXPROPERT', (SELECT id FROM attribute WHERE type = 'STOCK_STATUS' AND code = 'LISTED')) ON CONFLICT DO NOTHING;</v>
      </c>
    </row>
    <row r="687" spans="1:18" x14ac:dyDescent="0.2">
      <c r="A687" t="s">
        <v>1784</v>
      </c>
      <c r="B687" t="s">
        <v>1785</v>
      </c>
      <c r="C687" s="1">
        <v>43817</v>
      </c>
      <c r="D687" s="1"/>
      <c r="E687" t="s">
        <v>1786</v>
      </c>
      <c r="F687" t="s">
        <v>28</v>
      </c>
      <c r="G687" t="s">
        <v>3489</v>
      </c>
      <c r="H687" t="s">
        <v>1784</v>
      </c>
      <c r="I687" t="s">
        <v>3841</v>
      </c>
      <c r="K687" t="s">
        <v>3039</v>
      </c>
      <c r="L687" t="s">
        <v>3168</v>
      </c>
      <c r="M687" t="str">
        <f t="shared" si="20"/>
        <v>E74</v>
      </c>
      <c r="N687" t="s">
        <v>3196</v>
      </c>
      <c r="O687" t="s">
        <v>3177</v>
      </c>
      <c r="P687" t="s">
        <v>3197</v>
      </c>
      <c r="R687" t="str">
        <f t="shared" si="21"/>
        <v>INSERT INTO stock (ticker, name, listing_date, sub_industry, industry, sector, status) VALUES ('PMJS', 'Putra Mandiri Jembar Tbk.', '2019-12-18', 'E745', 'E74', 'IDXCYCLIC', (SELECT id FROM attribute WHERE type = 'STOCK_STATUS' AND code = 'LISTED')) ON CONFLICT DO NOTHING;</v>
      </c>
    </row>
    <row r="688" spans="1:18" x14ac:dyDescent="0.2">
      <c r="A688" t="s">
        <v>1906</v>
      </c>
      <c r="B688" t="s">
        <v>1907</v>
      </c>
      <c r="C688" s="1">
        <v>44183</v>
      </c>
      <c r="D688" s="1"/>
      <c r="E688" t="s">
        <v>1908</v>
      </c>
      <c r="F688" t="s">
        <v>12</v>
      </c>
      <c r="G688" t="s">
        <v>3489</v>
      </c>
      <c r="H688" t="s">
        <v>1906</v>
      </c>
      <c r="I688" t="s">
        <v>2989</v>
      </c>
      <c r="K688" t="s">
        <v>2945</v>
      </c>
      <c r="L688" t="s">
        <v>2961</v>
      </c>
      <c r="M688" t="str">
        <f t="shared" si="20"/>
        <v>D22</v>
      </c>
      <c r="N688" t="s">
        <v>2978</v>
      </c>
      <c r="O688" t="s">
        <v>2973</v>
      </c>
      <c r="P688" t="s">
        <v>2973</v>
      </c>
      <c r="R688" t="str">
        <f t="shared" si="21"/>
        <v>INSERT INTO stock (ticker, name, listing_date, sub_industry, industry, sector, status) VALUES ('PMMP', 'Panca Mitra Multiperdana Tbk.', '2020-12-18', 'D222', 'D22', 'IDXNONCYC', (SELECT id FROM attribute WHERE type = 'STOCK_STATUS' AND code = 'LISTED')) ON CONFLICT DO NOTHING;</v>
      </c>
    </row>
    <row r="689" spans="1:18" x14ac:dyDescent="0.2">
      <c r="A689" t="s">
        <v>2556</v>
      </c>
      <c r="B689" t="s">
        <v>3646</v>
      </c>
      <c r="C689" s="1">
        <v>45848</v>
      </c>
      <c r="D689" s="1"/>
      <c r="E689" t="s">
        <v>2557</v>
      </c>
      <c r="F689" t="s">
        <v>28</v>
      </c>
      <c r="G689" t="s">
        <v>3489</v>
      </c>
      <c r="H689" t="s">
        <v>2556</v>
      </c>
      <c r="I689" t="s">
        <v>3842</v>
      </c>
      <c r="K689" t="s">
        <v>3039</v>
      </c>
      <c r="L689" t="s">
        <v>3168</v>
      </c>
      <c r="M689" t="str">
        <f t="shared" si="20"/>
        <v>E71</v>
      </c>
      <c r="N689" t="s">
        <v>3169</v>
      </c>
      <c r="O689" t="s">
        <v>3170</v>
      </c>
      <c r="P689" t="s">
        <v>3170</v>
      </c>
      <c r="R689" t="str">
        <f t="shared" si="21"/>
        <v>INSERT INTO stock (ticker, name, listing_date, sub_industry, industry, sector, status) VALUES ('PMUI', 'Prima Multi Usaha Indonesia Tbk.', '2025-07-10', 'E711', 'E71', 'IDXCYCLIC', (SELECT id FROM attribute WHERE type = 'STOCK_STATUS' AND code = 'LISTED')) ON CONFLICT DO NOTHING;</v>
      </c>
    </row>
    <row r="690" spans="1:18" x14ac:dyDescent="0.2">
      <c r="A690" t="s">
        <v>983</v>
      </c>
      <c r="B690" t="s">
        <v>3647</v>
      </c>
      <c r="C690" s="1">
        <v>30314</v>
      </c>
      <c r="D690" s="1"/>
      <c r="E690" t="s">
        <v>985</v>
      </c>
      <c r="F690" t="s">
        <v>8</v>
      </c>
      <c r="G690" t="s">
        <v>3489</v>
      </c>
      <c r="H690" t="s">
        <v>983</v>
      </c>
      <c r="I690" t="s">
        <v>984</v>
      </c>
      <c r="K690" t="s">
        <v>3224</v>
      </c>
      <c r="L690" t="s">
        <v>3225</v>
      </c>
      <c r="M690" t="str">
        <f t="shared" si="20"/>
        <v>G11</v>
      </c>
      <c r="N690" t="s">
        <v>3226</v>
      </c>
      <c r="O690" t="s">
        <v>3225</v>
      </c>
      <c r="P690" t="s">
        <v>3225</v>
      </c>
      <c r="R690" t="str">
        <f t="shared" si="21"/>
        <v>INSERT INTO stock (ticker, name, listing_date, sub_industry, industry, sector, status) VALUES ('PNBN', 'Bank Pan Indonesia Tbk.', '1982-12-29', 'G111', 'G11', 'IDXFINANCE', (SELECT id FROM attribute WHERE type = 'STOCK_STATUS' AND code = 'LISTED')) ON CONFLICT DO NOTHING;</v>
      </c>
    </row>
    <row r="691" spans="1:18" x14ac:dyDescent="0.2">
      <c r="A691" t="s">
        <v>986</v>
      </c>
      <c r="B691" t="s">
        <v>987</v>
      </c>
      <c r="C691" s="1">
        <v>41654</v>
      </c>
      <c r="D691" s="1"/>
      <c r="E691" t="s">
        <v>988</v>
      </c>
      <c r="F691" t="s">
        <v>28</v>
      </c>
      <c r="G691" t="s">
        <v>3489</v>
      </c>
      <c r="H691" t="s">
        <v>986</v>
      </c>
      <c r="I691" t="s">
        <v>987</v>
      </c>
      <c r="K691" t="s">
        <v>3224</v>
      </c>
      <c r="L691" t="s">
        <v>3225</v>
      </c>
      <c r="M691" t="str">
        <f t="shared" si="20"/>
        <v>G11</v>
      </c>
      <c r="N691" t="s">
        <v>3226</v>
      </c>
      <c r="O691" t="s">
        <v>3225</v>
      </c>
      <c r="P691" t="s">
        <v>3225</v>
      </c>
      <c r="R691" t="str">
        <f t="shared" si="21"/>
        <v>INSERT INTO stock (ticker, name, listing_date, sub_industry, industry, sector, status) VALUES ('PNBS', 'Bank Panin Dubai Syariah Tbk.', '2014-01-15', 'G111', 'G11', 'IDXFINANCE', (SELECT id FROM attribute WHERE type = 'STOCK_STATUS' AND code = 'LISTED')) ON CONFLICT DO NOTHING;</v>
      </c>
    </row>
    <row r="692" spans="1:18" x14ac:dyDescent="0.2">
      <c r="A692" t="s">
        <v>1874</v>
      </c>
      <c r="B692" t="s">
        <v>1875</v>
      </c>
      <c r="C692" s="1">
        <v>44074</v>
      </c>
      <c r="D692" s="1"/>
      <c r="E692" t="s">
        <v>1876</v>
      </c>
      <c r="F692" t="s">
        <v>8</v>
      </c>
      <c r="G692" t="s">
        <v>3489</v>
      </c>
      <c r="H692" t="s">
        <v>1874</v>
      </c>
      <c r="I692" t="s">
        <v>3843</v>
      </c>
      <c r="K692" t="s">
        <v>2778</v>
      </c>
      <c r="L692" t="s">
        <v>2779</v>
      </c>
      <c r="M692" t="str">
        <f t="shared" si="20"/>
        <v>B15</v>
      </c>
      <c r="N692" t="s">
        <v>2871</v>
      </c>
      <c r="O692" t="s">
        <v>2861</v>
      </c>
      <c r="P692" t="s">
        <v>2872</v>
      </c>
      <c r="R692" t="str">
        <f t="shared" si="21"/>
        <v>INSERT INTO stock (ticker, name, listing_date, sub_industry, industry, sector, status) VALUES ('PNGO', 'Pinago Utama Tbk.', '2020-08-31', 'B153', 'B15', 'IDXBASIC', (SELECT id FROM attribute WHERE type = 'STOCK_STATUS' AND code = 'LISTED')) ON CONFLICT DO NOTHING;</v>
      </c>
    </row>
    <row r="693" spans="1:18" x14ac:dyDescent="0.2">
      <c r="A693" t="s">
        <v>989</v>
      </c>
      <c r="B693" t="s">
        <v>990</v>
      </c>
      <c r="C693" s="1">
        <v>30579</v>
      </c>
      <c r="D693" s="1"/>
      <c r="E693" t="s">
        <v>991</v>
      </c>
      <c r="F693" t="s">
        <v>8</v>
      </c>
      <c r="G693" t="s">
        <v>3489</v>
      </c>
      <c r="H693" t="s">
        <v>989</v>
      </c>
      <c r="I693" t="s">
        <v>3276</v>
      </c>
      <c r="K693" t="s">
        <v>3224</v>
      </c>
      <c r="L693" t="s">
        <v>3264</v>
      </c>
      <c r="M693" t="str">
        <f t="shared" si="20"/>
        <v>G41</v>
      </c>
      <c r="N693" t="s">
        <v>3265</v>
      </c>
      <c r="O693" t="s">
        <v>3264</v>
      </c>
      <c r="P693" t="s">
        <v>3266</v>
      </c>
      <c r="R693" t="str">
        <f t="shared" si="21"/>
        <v>INSERT INTO stock (ticker, name, listing_date, sub_industry, industry, sector, status) VALUES ('PNIN', 'Paninvest Tbk.', '1983-09-20', 'G412', 'G41', 'IDXFINANCE', (SELECT id FROM attribute WHERE type = 'STOCK_STATUS' AND code = 'LISTED')) ON CONFLICT DO NOTHING;</v>
      </c>
    </row>
    <row r="694" spans="1:18" x14ac:dyDescent="0.2">
      <c r="A694" t="s">
        <v>992</v>
      </c>
      <c r="B694" t="s">
        <v>993</v>
      </c>
      <c r="C694" s="1">
        <v>30481</v>
      </c>
      <c r="D694" s="1"/>
      <c r="E694" t="s">
        <v>994</v>
      </c>
      <c r="F694" t="s">
        <v>8</v>
      </c>
      <c r="G694" t="s">
        <v>3489</v>
      </c>
      <c r="H694" t="s">
        <v>992</v>
      </c>
      <c r="I694" t="s">
        <v>3284</v>
      </c>
      <c r="K694" t="s">
        <v>3224</v>
      </c>
      <c r="L694" t="s">
        <v>3264</v>
      </c>
      <c r="M694" t="str">
        <f t="shared" si="20"/>
        <v>G41</v>
      </c>
      <c r="N694" t="s">
        <v>3280</v>
      </c>
      <c r="O694" t="s">
        <v>3264</v>
      </c>
      <c r="P694" t="s">
        <v>3281</v>
      </c>
      <c r="R694" t="str">
        <f t="shared" si="21"/>
        <v>INSERT INTO stock (ticker, name, listing_date, sub_industry, industry, sector, status) VALUES ('PNLF', 'Panin Financial Tbk.', '1983-06-14', 'G413', 'G41', 'IDXFINANCE', (SELECT id FROM attribute WHERE type = 'STOCK_STATUS' AND code = 'LISTED')) ON CONFLICT DO NOTHING;</v>
      </c>
    </row>
    <row r="695" spans="1:18" x14ac:dyDescent="0.2">
      <c r="A695" t="s">
        <v>2681</v>
      </c>
      <c r="B695" t="s">
        <v>2682</v>
      </c>
      <c r="C695" s="1">
        <v>32994</v>
      </c>
      <c r="D695" s="1"/>
      <c r="E695" t="s">
        <v>2683</v>
      </c>
      <c r="F695" t="s">
        <v>28</v>
      </c>
      <c r="G695" t="s">
        <v>3489</v>
      </c>
      <c r="H695" t="s">
        <v>2681</v>
      </c>
      <c r="I695" t="s">
        <v>3114</v>
      </c>
      <c r="K695" t="s">
        <v>3039</v>
      </c>
      <c r="L695" t="s">
        <v>3092</v>
      </c>
      <c r="M695" t="str">
        <f t="shared" si="20"/>
        <v>E51</v>
      </c>
      <c r="N695" t="s">
        <v>3093</v>
      </c>
      <c r="O695" t="s">
        <v>3094</v>
      </c>
      <c r="P695" t="s">
        <v>3095</v>
      </c>
      <c r="R695" t="str">
        <f t="shared" si="21"/>
        <v>INSERT INTO stock (ticker, name, listing_date, sub_industry, industry, sector, status) VALUES ('PNSE', 'Pudjiadi &amp; Sons Tbk.', '1990-05-01', 'E512', 'E51', 'IDXCYCLIC', (SELECT id FROM attribute WHERE type = 'STOCK_STATUS' AND code = 'LISTED')) ON CONFLICT DO NOTHING;</v>
      </c>
    </row>
    <row r="696" spans="1:18" x14ac:dyDescent="0.2">
      <c r="A696" t="s">
        <v>1622</v>
      </c>
      <c r="B696" t="s">
        <v>1623</v>
      </c>
      <c r="C696" s="1">
        <v>43420</v>
      </c>
      <c r="D696" s="1"/>
      <c r="E696" t="s">
        <v>1624</v>
      </c>
      <c r="F696" t="s">
        <v>28</v>
      </c>
      <c r="G696" t="s">
        <v>3489</v>
      </c>
      <c r="H696" t="s">
        <v>1622</v>
      </c>
      <c r="I696" t="s">
        <v>3248</v>
      </c>
      <c r="K696" t="s">
        <v>3224</v>
      </c>
      <c r="L696" t="s">
        <v>3238</v>
      </c>
      <c r="M696" t="str">
        <f t="shared" si="20"/>
        <v>G21</v>
      </c>
      <c r="N696" t="s">
        <v>3239</v>
      </c>
      <c r="O696" t="s">
        <v>3240</v>
      </c>
      <c r="P696" t="s">
        <v>3240</v>
      </c>
      <c r="R696" t="str">
        <f t="shared" si="21"/>
        <v>INSERT INTO stock (ticker, name, listing_date, sub_industry, industry, sector, status) VALUES ('POLA', 'Pool Advista Finance Tbk.', '2018-11-16', 'G211', 'G21', 'IDXFINANCE', (SELECT id FROM attribute WHERE type = 'STOCK_STATUS' AND code = 'LISTED')) ON CONFLICT DO NOTHING;</v>
      </c>
    </row>
    <row r="697" spans="1:18" x14ac:dyDescent="0.2">
      <c r="A697" t="s">
        <v>1646</v>
      </c>
      <c r="B697" t="s">
        <v>1647</v>
      </c>
      <c r="C697" s="1">
        <v>43475</v>
      </c>
      <c r="D697" s="1"/>
      <c r="E697" t="s">
        <v>1648</v>
      </c>
      <c r="F697" t="s">
        <v>28</v>
      </c>
      <c r="G697" t="s">
        <v>3489</v>
      </c>
      <c r="H697" t="s">
        <v>1646</v>
      </c>
      <c r="I697" t="s">
        <v>3361</v>
      </c>
      <c r="K697" t="s">
        <v>3306</v>
      </c>
      <c r="L697" t="s">
        <v>3307</v>
      </c>
      <c r="M697" t="str">
        <f t="shared" si="20"/>
        <v>H11</v>
      </c>
      <c r="N697" t="s">
        <v>3308</v>
      </c>
      <c r="O697" t="s">
        <v>3309</v>
      </c>
      <c r="P697" t="s">
        <v>3310</v>
      </c>
      <c r="R697" t="str">
        <f t="shared" si="21"/>
        <v>INSERT INTO stock (ticker, name, listing_date, sub_industry, industry, sector, status) VALUES ('POLI', 'Pollux Hotels Group Tbk.', '2019-01-10', 'H111', 'H11', 'IDXPROPERT', (SELECT id FROM attribute WHERE type = 'STOCK_STATUS' AND code = 'LISTED')) ON CONFLICT DO NOTHING;</v>
      </c>
    </row>
    <row r="698" spans="1:18" x14ac:dyDescent="0.2">
      <c r="A698" t="s">
        <v>1557</v>
      </c>
      <c r="B698" t="s">
        <v>3648</v>
      </c>
      <c r="C698" s="1">
        <v>43292</v>
      </c>
      <c r="D698" s="1"/>
      <c r="E698" t="s">
        <v>1558</v>
      </c>
      <c r="F698" t="s">
        <v>12</v>
      </c>
      <c r="G698" t="s">
        <v>3489</v>
      </c>
      <c r="H698" t="s">
        <v>1557</v>
      </c>
      <c r="I698" t="s">
        <v>3362</v>
      </c>
      <c r="K698" t="s">
        <v>3306</v>
      </c>
      <c r="L698" t="s">
        <v>3307</v>
      </c>
      <c r="M698" t="str">
        <f t="shared" si="20"/>
        <v>H11</v>
      </c>
      <c r="N698" t="s">
        <v>3308</v>
      </c>
      <c r="O698" t="s">
        <v>3309</v>
      </c>
      <c r="P698" t="s">
        <v>3310</v>
      </c>
      <c r="R698" t="str">
        <f t="shared" si="21"/>
        <v>INSERT INTO stock (ticker, name, listing_date, sub_industry, industry, sector, status) VALUES ('POLL', 'Pollux Properties Indonesia Tbk.', '2018-07-11', 'H111', 'H11', 'IDXPROPERT', (SELECT id FROM attribute WHERE type = 'STOCK_STATUS' AND code = 'LISTED')) ON CONFLICT DO NOTHING;</v>
      </c>
    </row>
    <row r="699" spans="1:18" x14ac:dyDescent="0.2">
      <c r="A699" t="s">
        <v>1685</v>
      </c>
      <c r="B699" t="s">
        <v>1686</v>
      </c>
      <c r="C699" s="1">
        <v>43642</v>
      </c>
      <c r="D699" s="1"/>
      <c r="E699" t="s">
        <v>1687</v>
      </c>
      <c r="F699" t="s">
        <v>28</v>
      </c>
      <c r="G699" t="s">
        <v>3489</v>
      </c>
      <c r="H699" t="s">
        <v>1685</v>
      </c>
      <c r="I699" t="s">
        <v>3082</v>
      </c>
      <c r="K699" t="s">
        <v>3039</v>
      </c>
      <c r="L699" t="s">
        <v>3077</v>
      </c>
      <c r="M699" t="str">
        <f t="shared" si="20"/>
        <v>E41</v>
      </c>
      <c r="N699" t="s">
        <v>3078</v>
      </c>
      <c r="O699" t="s">
        <v>3077</v>
      </c>
      <c r="P699" t="s">
        <v>3079</v>
      </c>
      <c r="R699" t="str">
        <f t="shared" si="21"/>
        <v>INSERT INTO stock (ticker, name, listing_date, sub_industry, industry, sector, status) VALUES ('POLU', 'Golden Flower Tbk.', '2019-06-26', 'E411', 'E41', 'IDXCYCLIC', (SELECT id FROM attribute WHERE type = 'STOCK_STATUS' AND code = 'LISTED')) ON CONFLICT DO NOTHING;</v>
      </c>
    </row>
    <row r="700" spans="1:18" x14ac:dyDescent="0.2">
      <c r="A700" t="s">
        <v>2684</v>
      </c>
      <c r="B700" t="s">
        <v>3649</v>
      </c>
      <c r="C700" s="1">
        <v>33309</v>
      </c>
      <c r="D700" s="1"/>
      <c r="E700" t="s">
        <v>2686</v>
      </c>
      <c r="F700" t="s">
        <v>12</v>
      </c>
      <c r="G700" t="s">
        <v>3489</v>
      </c>
      <c r="H700" t="s">
        <v>2684</v>
      </c>
      <c r="I700" t="s">
        <v>2685</v>
      </c>
      <c r="K700" t="s">
        <v>3039</v>
      </c>
      <c r="L700" t="s">
        <v>3077</v>
      </c>
      <c r="M700" t="str">
        <f t="shared" si="20"/>
        <v>E41</v>
      </c>
      <c r="N700" t="s">
        <v>3088</v>
      </c>
      <c r="O700" t="s">
        <v>3077</v>
      </c>
      <c r="P700" t="s">
        <v>3089</v>
      </c>
      <c r="R700" t="str">
        <f t="shared" si="21"/>
        <v>INSERT INTO stock (ticker, name, listing_date, sub_industry, industry, sector, status) VALUES ('POLY', 'Asia Pacific Fibers Tbk.', '1991-03-12', 'E413', 'E41', 'IDXCYCLIC', (SELECT id FROM attribute WHERE type = 'STOCK_STATUS' AND code = 'LISTED')) ON CONFLICT DO NOTHING;</v>
      </c>
    </row>
    <row r="701" spans="1:18" x14ac:dyDescent="0.2">
      <c r="A701" t="s">
        <v>2687</v>
      </c>
      <c r="B701" t="s">
        <v>2688</v>
      </c>
      <c r="C701" s="1">
        <v>33378</v>
      </c>
      <c r="D701" s="1"/>
      <c r="E701" t="s">
        <v>2689</v>
      </c>
      <c r="F701" t="s">
        <v>12</v>
      </c>
      <c r="G701" t="s">
        <v>3489</v>
      </c>
      <c r="H701" t="s">
        <v>2687</v>
      </c>
      <c r="I701" t="s">
        <v>3298</v>
      </c>
      <c r="K701" t="s">
        <v>3224</v>
      </c>
      <c r="L701" t="s">
        <v>3289</v>
      </c>
      <c r="M701" t="str">
        <f t="shared" si="20"/>
        <v>G51</v>
      </c>
      <c r="N701" t="s">
        <v>3290</v>
      </c>
      <c r="O701" t="s">
        <v>3289</v>
      </c>
      <c r="P701" t="s">
        <v>3291</v>
      </c>
      <c r="R701" t="str">
        <f t="shared" si="21"/>
        <v>INSERT INTO stock (ticker, name, listing_date, sub_industry, industry, sector, status) VALUES ('POOL', 'Pool Advista Indonesia Tbk.', '1991-05-20', 'G511', 'G51', 'IDXFINANCE', (SELECT id FROM attribute WHERE type = 'STOCK_STATUS' AND code = 'LISTED')) ON CONFLICT DO NOTHING;</v>
      </c>
    </row>
    <row r="702" spans="1:18" x14ac:dyDescent="0.2">
      <c r="A702" t="s">
        <v>1392</v>
      </c>
      <c r="B702" t="s">
        <v>3650</v>
      </c>
      <c r="C702" s="1">
        <v>42810</v>
      </c>
      <c r="D702" s="1"/>
      <c r="E702" t="s">
        <v>1393</v>
      </c>
      <c r="F702" t="s">
        <v>28</v>
      </c>
      <c r="G702" t="s">
        <v>3489</v>
      </c>
      <c r="H702" t="s">
        <v>1392</v>
      </c>
      <c r="I702" t="s">
        <v>3650</v>
      </c>
      <c r="K702" t="s">
        <v>3418</v>
      </c>
      <c r="L702" t="s">
        <v>3419</v>
      </c>
      <c r="M702" t="str">
        <f t="shared" si="20"/>
        <v>J11</v>
      </c>
      <c r="N702" t="s">
        <v>3429</v>
      </c>
      <c r="O702" t="s">
        <v>3421</v>
      </c>
      <c r="P702" t="s">
        <v>3430</v>
      </c>
      <c r="R702" t="str">
        <f t="shared" si="21"/>
        <v>INSERT INTO stock (ticker, name, listing_date, sub_industry, industry, sector, status) VALUES ('PORT', 'Nusantara Pelabuhan Handal Tbk.', '2017-03-16', 'J113', 'J11', 'IDXINFRA', (SELECT id FROM attribute WHERE type = 'STOCK_STATUS' AND code = 'LISTED')) ON CONFLICT DO NOTHING;</v>
      </c>
    </row>
    <row r="703" spans="1:18" x14ac:dyDescent="0.2">
      <c r="A703" t="s">
        <v>1669</v>
      </c>
      <c r="B703" t="s">
        <v>1670</v>
      </c>
      <c r="C703" s="1">
        <v>43595</v>
      </c>
      <c r="D703" s="1"/>
      <c r="E703" t="s">
        <v>1671</v>
      </c>
      <c r="F703" t="s">
        <v>12</v>
      </c>
      <c r="G703" t="s">
        <v>3489</v>
      </c>
      <c r="H703" t="s">
        <v>1669</v>
      </c>
      <c r="I703" t="s">
        <v>3363</v>
      </c>
      <c r="K703" t="s">
        <v>3306</v>
      </c>
      <c r="L703" t="s">
        <v>3307</v>
      </c>
      <c r="M703" t="str">
        <f t="shared" si="20"/>
        <v>H11</v>
      </c>
      <c r="N703" t="s">
        <v>3308</v>
      </c>
      <c r="O703" t="s">
        <v>3309</v>
      </c>
      <c r="P703" t="s">
        <v>3310</v>
      </c>
      <c r="R703" t="str">
        <f t="shared" si="21"/>
        <v>INSERT INTO stock (ticker, name, listing_date, sub_industry, industry, sector, status) VALUES ('POSA', 'Bliss Properti Indonesia Tbk.', '2019-05-10', 'H111', 'H11', 'IDXPROPERT', (SELECT id FROM attribute WHERE type = 'STOCK_STATUS' AND code = 'LISTED')) ON CONFLICT DO NOTHING;</v>
      </c>
    </row>
    <row r="704" spans="1:18" x14ac:dyDescent="0.2">
      <c r="A704" t="s">
        <v>1372</v>
      </c>
      <c r="B704" t="s">
        <v>1373</v>
      </c>
      <c r="C704" s="1">
        <v>42535</v>
      </c>
      <c r="D704" s="1"/>
      <c r="E704" t="s">
        <v>1374</v>
      </c>
      <c r="F704" t="s">
        <v>8</v>
      </c>
      <c r="G704" t="s">
        <v>3489</v>
      </c>
      <c r="H704" t="s">
        <v>1372</v>
      </c>
      <c r="I704" t="s">
        <v>3464</v>
      </c>
      <c r="K704" t="s">
        <v>3418</v>
      </c>
      <c r="L704" t="s">
        <v>3458</v>
      </c>
      <c r="M704" t="str">
        <f t="shared" si="20"/>
        <v>J41</v>
      </c>
      <c r="N704" t="s">
        <v>3459</v>
      </c>
      <c r="O704" t="s">
        <v>3460</v>
      </c>
      <c r="P704" t="s">
        <v>3460</v>
      </c>
      <c r="R704" t="str">
        <f t="shared" si="21"/>
        <v>INSERT INTO stock (ticker, name, listing_date, sub_industry, industry, sector, status) VALUES ('POWR', 'Cikarang Listrindo Tbk.', '2016-06-14', 'J411', 'J41', 'IDXINFRA', (SELECT id FROM attribute WHERE type = 'STOCK_STATUS' AND code = 'LISTED')) ON CONFLICT DO NOTHING;</v>
      </c>
    </row>
    <row r="705" spans="1:18" x14ac:dyDescent="0.2">
      <c r="A705" t="s">
        <v>1862</v>
      </c>
      <c r="B705" t="s">
        <v>1863</v>
      </c>
      <c r="C705" s="1">
        <v>44032</v>
      </c>
      <c r="D705" s="1"/>
      <c r="E705" t="s">
        <v>1864</v>
      </c>
      <c r="F705" t="s">
        <v>1847</v>
      </c>
      <c r="G705" t="s">
        <v>3489</v>
      </c>
      <c r="H705" t="s">
        <v>1862</v>
      </c>
      <c r="I705" t="s">
        <v>1863</v>
      </c>
      <c r="K705" t="s">
        <v>3470</v>
      </c>
      <c r="L705" t="s">
        <v>3481</v>
      </c>
      <c r="M705" t="str">
        <f t="shared" si="20"/>
        <v>K21</v>
      </c>
      <c r="N705" t="s">
        <v>3482</v>
      </c>
      <c r="O705" t="s">
        <v>3481</v>
      </c>
      <c r="P705" t="s">
        <v>3481</v>
      </c>
      <c r="R705" t="str">
        <f t="shared" si="21"/>
        <v>INSERT INTO stock (ticker, name, listing_date, sub_industry, industry, sector, status) VALUES ('PPGL', 'Prima Globalindo Logistik Tbk.', '2020-07-20', 'K211', 'K21', 'IDXTRANS', (SELECT id FROM attribute WHERE type = 'STOCK_STATUS' AND code = 'LISTED')) ON CONFLICT DO NOTHING;</v>
      </c>
    </row>
    <row r="706" spans="1:18" x14ac:dyDescent="0.2">
      <c r="A706" t="s">
        <v>1465</v>
      </c>
      <c r="B706" t="s">
        <v>1466</v>
      </c>
      <c r="C706" s="1">
        <v>43063</v>
      </c>
      <c r="D706" s="1"/>
      <c r="E706" t="s">
        <v>1467</v>
      </c>
      <c r="F706" t="s">
        <v>28</v>
      </c>
      <c r="G706" t="s">
        <v>3489</v>
      </c>
      <c r="H706" t="s">
        <v>1465</v>
      </c>
      <c r="I706" t="s">
        <v>1466</v>
      </c>
      <c r="K706" t="s">
        <v>3418</v>
      </c>
      <c r="L706" t="s">
        <v>3432</v>
      </c>
      <c r="M706" t="str">
        <f t="shared" ref="M706:M769" si="22">LEFT(N706, 3)</f>
        <v>J21</v>
      </c>
      <c r="N706" t="s">
        <v>3433</v>
      </c>
      <c r="O706" t="s">
        <v>3432</v>
      </c>
      <c r="P706" t="s">
        <v>3432</v>
      </c>
      <c r="R706" t="str">
        <f t="shared" si="21"/>
        <v>INSERT INTO stock (ticker, name, listing_date, sub_industry, industry, sector, status) VALUES ('PPRE', 'PP Presisi Tbk.', '2017-11-24', 'J211', 'J21', 'IDXINFRA', (SELECT id FROM attribute WHERE type = 'STOCK_STATUS' AND code = 'LISTED')) ON CONFLICT DO NOTHING;</v>
      </c>
    </row>
    <row r="707" spans="1:18" x14ac:dyDescent="0.2">
      <c r="A707" t="s">
        <v>2351</v>
      </c>
      <c r="B707" t="s">
        <v>2352</v>
      </c>
      <c r="C707" s="1">
        <v>45146</v>
      </c>
      <c r="D707" s="1"/>
      <c r="E707" t="s">
        <v>2353</v>
      </c>
      <c r="F707" t="s">
        <v>28</v>
      </c>
      <c r="G707" t="s">
        <v>3489</v>
      </c>
      <c r="H707" t="s">
        <v>2351</v>
      </c>
      <c r="I707" t="s">
        <v>2352</v>
      </c>
      <c r="K707" t="s">
        <v>2778</v>
      </c>
      <c r="L707" t="s">
        <v>2779</v>
      </c>
      <c r="M707" t="str">
        <f t="shared" si="22"/>
        <v>B13</v>
      </c>
      <c r="N707" t="s">
        <v>2812</v>
      </c>
      <c r="O707" t="s">
        <v>2813</v>
      </c>
      <c r="P707" t="s">
        <v>2813</v>
      </c>
      <c r="R707" t="str">
        <f t="shared" ref="R707:R770" si="23">CONCATENATE($R$1, A707, "', '", B707, "', '", TEXT(C707, "YYYY-MM-DD"), "', '", N707, "', '", M707, "', '", K707, "', ", $S$1, ") ON CONFLICT DO NOTHING;")</f>
        <v>INSERT INTO stock (ticker, name, listing_date, sub_industry, industry, sector, status) VALUES ('PPRI', 'Paperocks Indonesia Tbk.', '2023-08-08', 'B131', 'B13', 'IDXBASIC', (SELECT id FROM attribute WHERE type = 'STOCK_STATUS' AND code = 'LISTED')) ON CONFLICT DO NOTHING;</v>
      </c>
    </row>
    <row r="708" spans="1:18" x14ac:dyDescent="0.2">
      <c r="A708" t="s">
        <v>2690</v>
      </c>
      <c r="B708" t="s">
        <v>2691</v>
      </c>
      <c r="C708" s="1">
        <v>42143</v>
      </c>
      <c r="D708" s="1"/>
      <c r="E708" t="s">
        <v>2692</v>
      </c>
      <c r="F708" t="s">
        <v>12</v>
      </c>
      <c r="G708" t="s">
        <v>3489</v>
      </c>
      <c r="H708" t="s">
        <v>2690</v>
      </c>
      <c r="I708" t="s">
        <v>3364</v>
      </c>
      <c r="K708" t="s">
        <v>3306</v>
      </c>
      <c r="L708" t="s">
        <v>3307</v>
      </c>
      <c r="M708" t="str">
        <f t="shared" si="22"/>
        <v>H11</v>
      </c>
      <c r="N708" t="s">
        <v>3308</v>
      </c>
      <c r="O708" t="s">
        <v>3309</v>
      </c>
      <c r="P708" t="s">
        <v>3310</v>
      </c>
      <c r="R708" t="str">
        <f t="shared" si="23"/>
        <v>INSERT INTO stock (ticker, name, listing_date, sub_industry, industry, sector, status) VALUES ('PPRO', 'PP Properti Tbk.', '2015-05-19', 'H111', 'H11', 'IDXPROPERT', (SELECT id FROM attribute WHERE type = 'STOCK_STATUS' AND code = 'LISTED')) ON CONFLICT DO NOTHING;</v>
      </c>
    </row>
    <row r="709" spans="1:18" x14ac:dyDescent="0.2">
      <c r="A709" t="s">
        <v>2176</v>
      </c>
      <c r="B709" t="s">
        <v>2177</v>
      </c>
      <c r="C709" s="1">
        <v>44873</v>
      </c>
      <c r="D709" s="1"/>
      <c r="E709" t="s">
        <v>2178</v>
      </c>
      <c r="F709" t="s">
        <v>28</v>
      </c>
      <c r="G709" t="s">
        <v>3489</v>
      </c>
      <c r="H709" t="s">
        <v>2176</v>
      </c>
      <c r="I709" t="s">
        <v>3844</v>
      </c>
      <c r="K709" t="s">
        <v>3199</v>
      </c>
      <c r="L709" t="s">
        <v>3200</v>
      </c>
      <c r="M709" t="str">
        <f t="shared" si="22"/>
        <v>F12</v>
      </c>
      <c r="N709" t="s">
        <v>3206</v>
      </c>
      <c r="O709" t="s">
        <v>3207</v>
      </c>
      <c r="P709" t="s">
        <v>3207</v>
      </c>
      <c r="R709" t="str">
        <f t="shared" si="23"/>
        <v>INSERT INTO stock (ticker, name, listing_date, sub_industry, industry, sector, status) VALUES ('PRAY', 'Famon Awal Bros Sedaya Tbk.', '2022-11-08', 'F121', 'F12', 'IDXHEALTH', (SELECT id FROM attribute WHERE type = 'STOCK_STATUS' AND code = 'LISTED')) ON CONFLICT DO NOTHING;</v>
      </c>
    </row>
    <row r="710" spans="1:18" x14ac:dyDescent="0.2">
      <c r="A710" t="s">
        <v>1383</v>
      </c>
      <c r="B710" t="s">
        <v>1384</v>
      </c>
      <c r="C710" s="1">
        <v>42711</v>
      </c>
      <c r="D710" s="1"/>
      <c r="E710" t="s">
        <v>1385</v>
      </c>
      <c r="F710" t="s">
        <v>8</v>
      </c>
      <c r="G710" t="s">
        <v>3489</v>
      </c>
      <c r="H710" t="s">
        <v>1383</v>
      </c>
      <c r="I710" t="s">
        <v>1384</v>
      </c>
      <c r="K710" t="s">
        <v>3199</v>
      </c>
      <c r="L710" t="s">
        <v>3200</v>
      </c>
      <c r="M710" t="str">
        <f t="shared" si="22"/>
        <v>F12</v>
      </c>
      <c r="N710" t="s">
        <v>3206</v>
      </c>
      <c r="O710" t="s">
        <v>3207</v>
      </c>
      <c r="P710" t="s">
        <v>3207</v>
      </c>
      <c r="R710" t="str">
        <f t="shared" si="23"/>
        <v>INSERT INTO stock (ticker, name, listing_date, sub_industry, industry, sector, status) VALUES ('PRDA', 'Prodia Widyahusada Tbk.', '2016-12-07', 'F121', 'F12', 'IDXHEALTH', (SELECT id FROM attribute WHERE type = 'STOCK_STATUS' AND code = 'LISTED')) ON CONFLICT DO NOTHING;</v>
      </c>
    </row>
    <row r="711" spans="1:18" x14ac:dyDescent="0.2">
      <c r="A711" t="s">
        <v>1521</v>
      </c>
      <c r="B711" t="s">
        <v>1522</v>
      </c>
      <c r="C711" s="1">
        <v>43235</v>
      </c>
      <c r="D711" s="1"/>
      <c r="E711" t="s">
        <v>1523</v>
      </c>
      <c r="F711" t="s">
        <v>28</v>
      </c>
      <c r="G711" t="s">
        <v>3489</v>
      </c>
      <c r="H711" t="s">
        <v>1521</v>
      </c>
      <c r="I711" t="s">
        <v>1522</v>
      </c>
      <c r="K711" t="s">
        <v>3199</v>
      </c>
      <c r="L711" t="s">
        <v>3200</v>
      </c>
      <c r="M711" t="str">
        <f t="shared" si="22"/>
        <v>F12</v>
      </c>
      <c r="N711" t="s">
        <v>3206</v>
      </c>
      <c r="O711" t="s">
        <v>3207</v>
      </c>
      <c r="P711" t="s">
        <v>3207</v>
      </c>
      <c r="R711" t="str">
        <f t="shared" si="23"/>
        <v>INSERT INTO stock (ticker, name, listing_date, sub_industry, industry, sector, status) VALUES ('PRIM', 'Royal Prima Tbk.', '2018-05-15', 'F121', 'F12', 'IDXHEALTH', (SELECT id FROM attribute WHERE type = 'STOCK_STATUS' AND code = 'LISTED')) ON CONFLICT DO NOTHING;</v>
      </c>
    </row>
    <row r="712" spans="1:18" x14ac:dyDescent="0.2">
      <c r="A712" t="s">
        <v>995</v>
      </c>
      <c r="B712" t="s">
        <v>996</v>
      </c>
      <c r="C712" s="1">
        <v>37733</v>
      </c>
      <c r="D712" s="1"/>
      <c r="E712" t="s">
        <v>997</v>
      </c>
      <c r="F712" t="s">
        <v>28</v>
      </c>
      <c r="G712" t="s">
        <v>3489</v>
      </c>
      <c r="H712" t="s">
        <v>995</v>
      </c>
      <c r="I712" t="s">
        <v>2836</v>
      </c>
      <c r="K712" t="s">
        <v>2778</v>
      </c>
      <c r="L712" t="s">
        <v>2779</v>
      </c>
      <c r="M712" t="str">
        <f t="shared" si="22"/>
        <v>B14</v>
      </c>
      <c r="N712" t="s">
        <v>2834</v>
      </c>
      <c r="O712" t="s">
        <v>2824</v>
      </c>
      <c r="P712" t="s">
        <v>2835</v>
      </c>
      <c r="R712" t="str">
        <f t="shared" si="23"/>
        <v>INSERT INTO stock (ticker, name, listing_date, sub_industry, industry, sector, status) VALUES ('PSAB', 'J Resources Asia Pasifik Tbk.', '2003-04-22', 'B143', 'B14', 'IDXBASIC', (SELECT id FROM attribute WHERE type = 'STOCK_STATUS' AND code = 'LISTED')) ON CONFLICT DO NOTHING;</v>
      </c>
    </row>
    <row r="713" spans="1:18" x14ac:dyDescent="0.2">
      <c r="A713" t="s">
        <v>2539</v>
      </c>
      <c r="B713" t="s">
        <v>3651</v>
      </c>
      <c r="C713" s="1">
        <v>45846</v>
      </c>
      <c r="D713" s="1"/>
      <c r="E713" t="s">
        <v>2540</v>
      </c>
      <c r="F713" t="s">
        <v>8</v>
      </c>
      <c r="G713" t="s">
        <v>3489</v>
      </c>
      <c r="H713" t="s">
        <v>2539</v>
      </c>
      <c r="I713" t="s">
        <v>3845</v>
      </c>
      <c r="K713" t="s">
        <v>2701</v>
      </c>
      <c r="L713" t="s">
        <v>2702</v>
      </c>
      <c r="M713" t="str">
        <f t="shared" si="22"/>
        <v>A12</v>
      </c>
      <c r="N713" t="s">
        <v>2742</v>
      </c>
      <c r="O713" t="s">
        <v>2724</v>
      </c>
      <c r="P713" t="s">
        <v>2743</v>
      </c>
      <c r="R713" t="str">
        <f t="shared" si="23"/>
        <v>INSERT INTO stock (ticker, name, listing_date, sub_industry, industry, sector, status) VALUES ('PSAT', 'Pancaran Samudera Transport Tbk.', '2025-07-08', 'A122', 'A12', 'IDXENERGY', (SELECT id FROM attribute WHERE type = 'STOCK_STATUS' AND code = 'LISTED')) ON CONFLICT DO NOTHING;</v>
      </c>
    </row>
    <row r="714" spans="1:18" x14ac:dyDescent="0.2">
      <c r="A714" t="s">
        <v>998</v>
      </c>
      <c r="B714" t="s">
        <v>3652</v>
      </c>
      <c r="C714" s="1">
        <v>34625</v>
      </c>
      <c r="D714" s="1"/>
      <c r="E714" t="s">
        <v>1000</v>
      </c>
      <c r="F714" t="s">
        <v>28</v>
      </c>
      <c r="G714" t="s">
        <v>3489</v>
      </c>
      <c r="H714" t="s">
        <v>998</v>
      </c>
      <c r="I714" t="s">
        <v>999</v>
      </c>
      <c r="K714" t="s">
        <v>2945</v>
      </c>
      <c r="L714" t="s">
        <v>2961</v>
      </c>
      <c r="M714" t="str">
        <f t="shared" si="22"/>
        <v>D22</v>
      </c>
      <c r="N714" t="s">
        <v>2978</v>
      </c>
      <c r="O714" t="s">
        <v>2973</v>
      </c>
      <c r="P714" t="s">
        <v>2973</v>
      </c>
      <c r="R714" t="str">
        <f t="shared" si="23"/>
        <v>INSERT INTO stock (ticker, name, listing_date, sub_industry, industry, sector, status) VALUES ('PSDN', 'Prasidha Aneka Niaga Tbk.', '1994-10-18', 'D222', 'D22', 'IDXNONCYC', (SELECT id FROM attribute WHERE type = 'STOCK_STATUS' AND code = 'LISTED')) ON CONFLICT DO NOTHING;</v>
      </c>
    </row>
    <row r="715" spans="1:18" x14ac:dyDescent="0.2">
      <c r="A715" t="s">
        <v>1771</v>
      </c>
      <c r="B715" t="s">
        <v>1772</v>
      </c>
      <c r="C715" s="1">
        <v>43794</v>
      </c>
      <c r="D715" s="1"/>
      <c r="E715" t="s">
        <v>1773</v>
      </c>
      <c r="F715" t="s">
        <v>8</v>
      </c>
      <c r="G715" t="s">
        <v>3489</v>
      </c>
      <c r="H715" t="s">
        <v>1771</v>
      </c>
      <c r="I715" t="s">
        <v>1772</v>
      </c>
      <c r="K715" t="s">
        <v>2945</v>
      </c>
      <c r="L715" t="s">
        <v>2961</v>
      </c>
      <c r="M715" t="str">
        <f t="shared" si="22"/>
        <v>D23</v>
      </c>
      <c r="N715" t="s">
        <v>3013</v>
      </c>
      <c r="O715" t="s">
        <v>2999</v>
      </c>
      <c r="P715" t="s">
        <v>3014</v>
      </c>
      <c r="R715" t="str">
        <f t="shared" si="23"/>
        <v>INSERT INTO stock (ticker, name, listing_date, sub_industry, industry, sector, status) VALUES ('PSGO', 'Palma Serasih Tbk.', '2019-11-25', 'D232', 'D23', 'IDXNONCYC', (SELECT id FROM attribute WHERE type = 'STOCK_STATUS' AND code = 'LISTED')) ON CONFLICT DO NOTHING;</v>
      </c>
    </row>
    <row r="716" spans="1:18" x14ac:dyDescent="0.2">
      <c r="A716" t="s">
        <v>1001</v>
      </c>
      <c r="B716" t="s">
        <v>1002</v>
      </c>
      <c r="C716" s="1">
        <v>34961</v>
      </c>
      <c r="D716" s="1"/>
      <c r="E716" t="s">
        <v>1003</v>
      </c>
      <c r="F716" t="s">
        <v>28</v>
      </c>
      <c r="G716" t="s">
        <v>3489</v>
      </c>
      <c r="H716" t="s">
        <v>1001</v>
      </c>
      <c r="I716" t="s">
        <v>3115</v>
      </c>
      <c r="K716" t="s">
        <v>3039</v>
      </c>
      <c r="L716" t="s">
        <v>3092</v>
      </c>
      <c r="M716" t="str">
        <f t="shared" si="22"/>
        <v>E51</v>
      </c>
      <c r="N716" t="s">
        <v>3093</v>
      </c>
      <c r="O716" t="s">
        <v>3094</v>
      </c>
      <c r="P716" t="s">
        <v>3095</v>
      </c>
      <c r="R716" t="str">
        <f t="shared" si="23"/>
        <v>INSERT INTO stock (ticker, name, listing_date, sub_industry, industry, sector, status) VALUES ('PSKT', 'Red Planet Indonesia Tbk.', '1995-09-19', 'E512', 'E51', 'IDXCYCLIC', (SELECT id FROM attribute WHERE type = 'STOCK_STATUS' AND code = 'LISTED')) ON CONFLICT DO NOTHING;</v>
      </c>
    </row>
    <row r="717" spans="1:18" x14ac:dyDescent="0.2">
      <c r="A717" t="s">
        <v>1470</v>
      </c>
      <c r="B717" t="s">
        <v>1471</v>
      </c>
      <c r="C717" s="1">
        <v>43074</v>
      </c>
      <c r="D717" s="1"/>
      <c r="E717" t="s">
        <v>1472</v>
      </c>
      <c r="F717" t="s">
        <v>8</v>
      </c>
      <c r="G717" t="s">
        <v>3489</v>
      </c>
      <c r="H717" t="s">
        <v>1470</v>
      </c>
      <c r="I717" t="s">
        <v>1471</v>
      </c>
      <c r="K717" t="s">
        <v>2701</v>
      </c>
      <c r="L717" t="s">
        <v>2702</v>
      </c>
      <c r="M717" t="str">
        <f t="shared" si="22"/>
        <v>A12</v>
      </c>
      <c r="N717" t="s">
        <v>2742</v>
      </c>
      <c r="O717" t="s">
        <v>2724</v>
      </c>
      <c r="P717" t="s">
        <v>2743</v>
      </c>
      <c r="R717" t="str">
        <f t="shared" si="23"/>
        <v>INSERT INTO stock (ticker, name, listing_date, sub_industry, industry, sector, status) VALUES ('PSSI', 'IMC Pelita Logistik Tbk.', '2017-12-05', 'A122', 'A12', 'IDXENERGY', (SELECT id FROM attribute WHERE type = 'STOCK_STATUS' AND code = 'LISTED')) ON CONFLICT DO NOTHING;</v>
      </c>
    </row>
    <row r="718" spans="1:18" x14ac:dyDescent="0.2">
      <c r="A718" t="s">
        <v>1004</v>
      </c>
      <c r="B718" t="s">
        <v>1005</v>
      </c>
      <c r="C718" s="1">
        <v>37613</v>
      </c>
      <c r="D718" s="1"/>
      <c r="E718" t="s">
        <v>1006</v>
      </c>
      <c r="F718" t="s">
        <v>8</v>
      </c>
      <c r="G718" t="s">
        <v>3489</v>
      </c>
      <c r="H718" t="s">
        <v>1004</v>
      </c>
      <c r="I718" t="s">
        <v>1005</v>
      </c>
      <c r="K718" t="s">
        <v>2701</v>
      </c>
      <c r="L718" t="s">
        <v>2702</v>
      </c>
      <c r="M718" t="str">
        <f t="shared" si="22"/>
        <v>A12</v>
      </c>
      <c r="N718" t="s">
        <v>2723</v>
      </c>
      <c r="O718" t="s">
        <v>2724</v>
      </c>
      <c r="P718" t="s">
        <v>2725</v>
      </c>
      <c r="R718" t="str">
        <f t="shared" si="23"/>
        <v>INSERT INTO stock (ticker, name, listing_date, sub_industry, industry, sector, status) VALUES ('PTBA', 'Bukit Asam (Persero) Tbk.', '2002-12-23', 'A121', 'A12', 'IDXENERGY', (SELECT id FROM attribute WHERE type = 'STOCK_STATUS' AND code = 'LISTED')) ON CONFLICT DO NOTHING;</v>
      </c>
    </row>
    <row r="719" spans="1:18" x14ac:dyDescent="0.2">
      <c r="A719" t="s">
        <v>1899</v>
      </c>
      <c r="B719" t="s">
        <v>1900</v>
      </c>
      <c r="C719" s="1">
        <v>44173</v>
      </c>
      <c r="D719" s="1"/>
      <c r="E719" t="s">
        <v>1792</v>
      </c>
      <c r="F719" t="s">
        <v>12</v>
      </c>
      <c r="G719" t="s">
        <v>3489</v>
      </c>
      <c r="H719" t="s">
        <v>1899</v>
      </c>
      <c r="I719" t="s">
        <v>3846</v>
      </c>
      <c r="K719" t="s">
        <v>3418</v>
      </c>
      <c r="L719" t="s">
        <v>3432</v>
      </c>
      <c r="M719" t="str">
        <f t="shared" si="22"/>
        <v>J21</v>
      </c>
      <c r="N719" t="s">
        <v>3433</v>
      </c>
      <c r="O719" t="s">
        <v>3432</v>
      </c>
      <c r="P719" t="s">
        <v>3432</v>
      </c>
      <c r="R719" t="str">
        <f t="shared" si="23"/>
        <v>INSERT INTO stock (ticker, name, listing_date, sub_industry, industry, sector, status) VALUES ('PTDU', 'Djasa Ubersakti Tbk.', '2020-12-08', 'J211', 'J21', 'IDXINFRA', (SELECT id FROM attribute WHERE type = 'STOCK_STATUS' AND code = 'LISTED')) ON CONFLICT DO NOTHING;</v>
      </c>
    </row>
    <row r="720" spans="1:18" x14ac:dyDescent="0.2">
      <c r="A720" t="s">
        <v>1007</v>
      </c>
      <c r="B720" t="s">
        <v>1008</v>
      </c>
      <c r="C720" s="1">
        <v>40736</v>
      </c>
      <c r="D720" s="1"/>
      <c r="E720" t="s">
        <v>1009</v>
      </c>
      <c r="F720" t="s">
        <v>28</v>
      </c>
      <c r="G720" t="s">
        <v>3489</v>
      </c>
      <c r="H720" t="s">
        <v>1007</v>
      </c>
      <c r="I720" t="s">
        <v>2751</v>
      </c>
      <c r="K720" t="s">
        <v>2701</v>
      </c>
      <c r="L720" t="s">
        <v>2702</v>
      </c>
      <c r="M720" t="str">
        <f t="shared" si="22"/>
        <v>A12</v>
      </c>
      <c r="N720" t="s">
        <v>2742</v>
      </c>
      <c r="O720" t="s">
        <v>2724</v>
      </c>
      <c r="P720" t="s">
        <v>2743</v>
      </c>
      <c r="R720" t="str">
        <f t="shared" si="23"/>
        <v>INSERT INTO stock (ticker, name, listing_date, sub_industry, industry, sector, status) VALUES ('PTIS', 'Indo Straits Tbk.', '2011-07-12', 'A122', 'A12', 'IDXENERGY', (SELECT id FROM attribute WHERE type = 'STOCK_STATUS' AND code = 'LISTED')) ON CONFLICT DO NOTHING;</v>
      </c>
    </row>
    <row r="721" spans="1:18" x14ac:dyDescent="0.2">
      <c r="A721" t="s">
        <v>2278</v>
      </c>
      <c r="B721" t="s">
        <v>2279</v>
      </c>
      <c r="C721" s="1">
        <v>44991</v>
      </c>
      <c r="D721" s="1"/>
      <c r="E721" t="s">
        <v>2280</v>
      </c>
      <c r="F721" t="s">
        <v>28</v>
      </c>
      <c r="G721" t="s">
        <v>3489</v>
      </c>
      <c r="H721" t="s">
        <v>2278</v>
      </c>
      <c r="I721" t="s">
        <v>2279</v>
      </c>
      <c r="K721" t="s">
        <v>2874</v>
      </c>
      <c r="L721" t="s">
        <v>2875</v>
      </c>
      <c r="M721" t="str">
        <f t="shared" si="22"/>
        <v>C14</v>
      </c>
      <c r="N721" t="s">
        <v>2907</v>
      </c>
      <c r="O721" t="s">
        <v>2899</v>
      </c>
      <c r="P721" t="s">
        <v>2908</v>
      </c>
      <c r="R721" t="str">
        <f t="shared" si="23"/>
        <v>INSERT INTO stock (ticker, name, listing_date, sub_industry, industry, sector, status) VALUES ('PTMP', 'Mitra Pack Tbk.', '2023-03-06', 'C143', 'C14', 'IDXINDUST', (SELECT id FROM attribute WHERE type = 'STOCK_STATUS' AND code = 'LISTED')) ON CONFLICT DO NOTHING;</v>
      </c>
    </row>
    <row r="722" spans="1:18" x14ac:dyDescent="0.2">
      <c r="A722" t="s">
        <v>2491</v>
      </c>
      <c r="B722" t="s">
        <v>2492</v>
      </c>
      <c r="C722" s="1">
        <v>45573</v>
      </c>
      <c r="D722" s="1"/>
      <c r="E722" t="s">
        <v>2493</v>
      </c>
      <c r="F722" t="s">
        <v>12</v>
      </c>
      <c r="G722" t="s">
        <v>3489</v>
      </c>
      <c r="H722" t="s">
        <v>2491</v>
      </c>
      <c r="I722" t="s">
        <v>3847</v>
      </c>
      <c r="K722" t="s">
        <v>2778</v>
      </c>
      <c r="L722" t="s">
        <v>2779</v>
      </c>
      <c r="M722" t="str">
        <f t="shared" si="22"/>
        <v>B13</v>
      </c>
      <c r="N722" t="s">
        <v>2812</v>
      </c>
      <c r="O722" t="s">
        <v>2813</v>
      </c>
      <c r="P722" t="s">
        <v>2813</v>
      </c>
      <c r="R722" t="str">
        <f t="shared" si="23"/>
        <v>INSERT INTO stock (ticker, name, listing_date, sub_industry, industry, sector, status) VALUES ('PTMR', 'Master Print Tbk.', '2024-10-08', 'B131', 'B13', 'IDXBASIC', (SELECT id FROM attribute WHERE type = 'STOCK_STATUS' AND code = 'LISTED')) ON CONFLICT DO NOTHING;</v>
      </c>
    </row>
    <row r="723" spans="1:18" x14ac:dyDescent="0.2">
      <c r="A723" t="s">
        <v>1010</v>
      </c>
      <c r="B723" t="s">
        <v>1011</v>
      </c>
      <c r="C723" s="1">
        <v>40218</v>
      </c>
      <c r="D723" s="1"/>
      <c r="E723" t="s">
        <v>1012</v>
      </c>
      <c r="F723" t="s">
        <v>8</v>
      </c>
      <c r="G723" t="s">
        <v>3489</v>
      </c>
      <c r="H723" t="s">
        <v>1010</v>
      </c>
      <c r="I723" t="s">
        <v>3437</v>
      </c>
      <c r="K723" t="s">
        <v>3418</v>
      </c>
      <c r="L723" t="s">
        <v>3432</v>
      </c>
      <c r="M723" t="str">
        <f t="shared" si="22"/>
        <v>J21</v>
      </c>
      <c r="N723" t="s">
        <v>3433</v>
      </c>
      <c r="O723" t="s">
        <v>3432</v>
      </c>
      <c r="P723" t="s">
        <v>3432</v>
      </c>
      <c r="R723" t="str">
        <f t="shared" si="23"/>
        <v>INSERT INTO stock (ticker, name, listing_date, sub_industry, industry, sector, status) VALUES ('PTPP', 'PP (Persero) Tbk.', '2010-02-09', 'J211', 'J21', 'IDXINFRA', (SELECT id FROM attribute WHERE type = 'STOCK_STATUS' AND code = 'LISTED')) ON CONFLICT DO NOTHING;</v>
      </c>
    </row>
    <row r="724" spans="1:18" x14ac:dyDescent="0.2">
      <c r="A724" t="s">
        <v>2384</v>
      </c>
      <c r="B724" t="s">
        <v>2385</v>
      </c>
      <c r="C724" s="1">
        <v>45208</v>
      </c>
      <c r="D724" s="1"/>
      <c r="E724" t="s">
        <v>2386</v>
      </c>
      <c r="F724" t="s">
        <v>28</v>
      </c>
      <c r="G724" t="s">
        <v>3489</v>
      </c>
      <c r="H724" t="s">
        <v>2384</v>
      </c>
      <c r="I724" t="s">
        <v>2385</v>
      </c>
      <c r="K724" t="s">
        <v>2945</v>
      </c>
      <c r="L724" t="s">
        <v>2961</v>
      </c>
      <c r="M724" t="str">
        <f t="shared" si="22"/>
        <v>D23</v>
      </c>
      <c r="N724" t="s">
        <v>3013</v>
      </c>
      <c r="O724" t="s">
        <v>2999</v>
      </c>
      <c r="P724" t="s">
        <v>3014</v>
      </c>
      <c r="R724" t="str">
        <f t="shared" si="23"/>
        <v>INSERT INTO stock (ticker, name, listing_date, sub_industry, industry, sector, status) VALUES ('PTPS', 'Pulau Subur Tbk.', '2023-10-09', 'D232', 'D23', 'IDXNONCYC', (SELECT id FROM attribute WHERE type = 'STOCK_STATUS' AND code = 'LISTED')) ON CONFLICT DO NOTHING;</v>
      </c>
    </row>
    <row r="725" spans="1:18" x14ac:dyDescent="0.2">
      <c r="A725" t="s">
        <v>1816</v>
      </c>
      <c r="B725" t="s">
        <v>1817</v>
      </c>
      <c r="C725" s="1">
        <v>43868</v>
      </c>
      <c r="D725" s="1"/>
      <c r="E725" t="s">
        <v>1818</v>
      </c>
      <c r="F725" t="s">
        <v>28</v>
      </c>
      <c r="G725" t="s">
        <v>3489</v>
      </c>
      <c r="H725" t="s">
        <v>1816</v>
      </c>
      <c r="I725" t="s">
        <v>1817</v>
      </c>
      <c r="K725" t="s">
        <v>3418</v>
      </c>
      <c r="L725" t="s">
        <v>3432</v>
      </c>
      <c r="M725" t="str">
        <f t="shared" si="22"/>
        <v>J21</v>
      </c>
      <c r="N725" t="s">
        <v>3433</v>
      </c>
      <c r="O725" t="s">
        <v>3432</v>
      </c>
      <c r="P725" t="s">
        <v>3432</v>
      </c>
      <c r="R725" t="str">
        <f t="shared" si="23"/>
        <v>INSERT INTO stock (ticker, name, listing_date, sub_industry, industry, sector, status) VALUES ('PTPW', 'Pratama Widya Tbk.', '2020-02-07', 'J211', 'J21', 'IDXINFRA', (SELECT id FROM attribute WHERE type = 'STOCK_STATUS' AND code = 'LISTED')) ON CONFLICT DO NOTHING;</v>
      </c>
    </row>
    <row r="726" spans="1:18" x14ac:dyDescent="0.2">
      <c r="A726" t="s">
        <v>1013</v>
      </c>
      <c r="B726" t="s">
        <v>1014</v>
      </c>
      <c r="C726" s="1">
        <v>33014</v>
      </c>
      <c r="D726" s="1"/>
      <c r="E726" t="s">
        <v>1015</v>
      </c>
      <c r="F726" t="s">
        <v>8</v>
      </c>
      <c r="G726" t="s">
        <v>3489</v>
      </c>
      <c r="H726" t="s">
        <v>1013</v>
      </c>
      <c r="I726" t="s">
        <v>2767</v>
      </c>
      <c r="K726" t="s">
        <v>2701</v>
      </c>
      <c r="L726" t="s">
        <v>2702</v>
      </c>
      <c r="M726" t="str">
        <f t="shared" si="22"/>
        <v>A13</v>
      </c>
      <c r="N726" t="s">
        <v>2763</v>
      </c>
      <c r="O726" t="s">
        <v>2760</v>
      </c>
      <c r="P726" t="s">
        <v>2764</v>
      </c>
      <c r="R726" t="str">
        <f t="shared" si="23"/>
        <v>INSERT INTO stock (ticker, name, listing_date, sub_industry, industry, sector, status) VALUES ('PTRO', 'Petrosea Tbk.', '1990-05-21', 'A132', 'A13', 'IDXENERGY', (SELECT id FROM attribute WHERE type = 'STOCK_STATUS' AND code = 'LISTED')) ON CONFLICT DO NOTHING;</v>
      </c>
    </row>
    <row r="727" spans="1:18" x14ac:dyDescent="0.2">
      <c r="A727" t="s">
        <v>1016</v>
      </c>
      <c r="B727" t="s">
        <v>3653</v>
      </c>
      <c r="C727" s="1">
        <v>39394</v>
      </c>
      <c r="D727" s="1"/>
      <c r="E727" t="s">
        <v>1018</v>
      </c>
      <c r="F727" t="s">
        <v>28</v>
      </c>
      <c r="G727" t="s">
        <v>3489</v>
      </c>
      <c r="H727" t="s">
        <v>1016</v>
      </c>
      <c r="I727" t="s">
        <v>1017</v>
      </c>
      <c r="K727" t="s">
        <v>3381</v>
      </c>
      <c r="L727" t="s">
        <v>3406</v>
      </c>
      <c r="M727" t="str">
        <f t="shared" si="22"/>
        <v>I21</v>
      </c>
      <c r="N727" t="s">
        <v>3407</v>
      </c>
      <c r="O727" t="s">
        <v>3408</v>
      </c>
      <c r="P727" t="s">
        <v>3408</v>
      </c>
      <c r="R727" t="str">
        <f t="shared" si="23"/>
        <v>INSERT INTO stock (ticker, name, listing_date, sub_industry, industry, sector, status) VALUES ('PTSN', 'Sat Nusapersada Tbk.', '2007-11-08', 'I211', 'I21', 'IDXTECHNO', (SELECT id FROM attribute WHERE type = 'STOCK_STATUS' AND code = 'LISTED')) ON CONFLICT DO NOTHING;</v>
      </c>
    </row>
    <row r="728" spans="1:18" x14ac:dyDescent="0.2">
      <c r="A728" t="s">
        <v>1019</v>
      </c>
      <c r="B728" t="s">
        <v>3654</v>
      </c>
      <c r="C728" s="1">
        <v>34484</v>
      </c>
      <c r="D728" s="1"/>
      <c r="E728" t="s">
        <v>1020</v>
      </c>
      <c r="F728" t="s">
        <v>28</v>
      </c>
      <c r="G728" t="s">
        <v>3489</v>
      </c>
      <c r="H728" t="s">
        <v>1019</v>
      </c>
      <c r="I728" t="s">
        <v>3137</v>
      </c>
      <c r="K728" t="s">
        <v>3039</v>
      </c>
      <c r="L728" t="s">
        <v>3092</v>
      </c>
      <c r="M728" t="str">
        <f t="shared" si="22"/>
        <v>E51</v>
      </c>
      <c r="N728" t="s">
        <v>3129</v>
      </c>
      <c r="O728" t="s">
        <v>3094</v>
      </c>
      <c r="P728" t="s">
        <v>3130</v>
      </c>
      <c r="R728" t="str">
        <f t="shared" si="23"/>
        <v>INSERT INTO stock (ticker, name, listing_date, sub_industry, industry, sector, status) VALUES ('PTSP', 'Pioneerindo Gourmet International Tbk.', '1994-05-30', 'E515', 'E51', 'IDXCYCLIC', (SELECT id FROM attribute WHERE type = 'STOCK_STATUS' AND code = 'LISTED')) ON CONFLICT DO NOTHING;</v>
      </c>
    </row>
    <row r="729" spans="1:18" x14ac:dyDescent="0.2">
      <c r="A729" t="s">
        <v>1021</v>
      </c>
      <c r="B729" t="s">
        <v>1022</v>
      </c>
      <c r="C729" s="1">
        <v>34656</v>
      </c>
      <c r="D729" s="1"/>
      <c r="E729" t="s">
        <v>1023</v>
      </c>
      <c r="F729" t="s">
        <v>28</v>
      </c>
      <c r="G729" t="s">
        <v>3489</v>
      </c>
      <c r="H729" t="s">
        <v>1021</v>
      </c>
      <c r="I729" t="s">
        <v>3365</v>
      </c>
      <c r="K729" t="s">
        <v>3306</v>
      </c>
      <c r="L729" t="s">
        <v>3307</v>
      </c>
      <c r="M729" t="str">
        <f t="shared" si="22"/>
        <v>H11</v>
      </c>
      <c r="N729" t="s">
        <v>3308</v>
      </c>
      <c r="O729" t="s">
        <v>3309</v>
      </c>
      <c r="P729" t="s">
        <v>3310</v>
      </c>
      <c r="R729" t="str">
        <f t="shared" si="23"/>
        <v>INSERT INTO stock (ticker, name, listing_date, sub_industry, industry, sector, status) VALUES ('PUDP', 'Pudjiadi Prestige Tbk.', '1994-11-18', 'H111', 'H11', 'IDXPROPERT', (SELECT id FROM attribute WHERE type = 'STOCK_STATUS' AND code = 'LISTED')) ON CONFLICT DO NOTHING;</v>
      </c>
    </row>
    <row r="730" spans="1:18" x14ac:dyDescent="0.2">
      <c r="A730" t="s">
        <v>1813</v>
      </c>
      <c r="B730" t="s">
        <v>1814</v>
      </c>
      <c r="C730" s="1">
        <v>43859</v>
      </c>
      <c r="D730" s="1"/>
      <c r="E730" t="s">
        <v>1815</v>
      </c>
      <c r="F730" t="s">
        <v>12</v>
      </c>
      <c r="G730" t="s">
        <v>3489</v>
      </c>
      <c r="H730" t="s">
        <v>1813</v>
      </c>
      <c r="I730" t="s">
        <v>1814</v>
      </c>
      <c r="K730" t="s">
        <v>3470</v>
      </c>
      <c r="L730" t="s">
        <v>3481</v>
      </c>
      <c r="M730" t="str">
        <f t="shared" si="22"/>
        <v>K21</v>
      </c>
      <c r="N730" t="s">
        <v>3482</v>
      </c>
      <c r="O730" t="s">
        <v>3481</v>
      </c>
      <c r="P730" t="s">
        <v>3481</v>
      </c>
      <c r="R730" t="str">
        <f t="shared" si="23"/>
        <v>INSERT INTO stock (ticker, name, listing_date, sub_industry, industry, sector, status) VALUES ('PURA', 'Putra Rajawali Kencana Tbk.', '2020-01-29', 'K211', 'K21', 'IDXTRANS', (SELECT id FROM attribute WHERE type = 'STOCK_STATUS' AND code = 'LISTED')) ON CONFLICT DO NOTHING;</v>
      </c>
    </row>
    <row r="731" spans="1:18" x14ac:dyDescent="0.2">
      <c r="A731" t="s">
        <v>1749</v>
      </c>
      <c r="B731" t="s">
        <v>3655</v>
      </c>
      <c r="C731" s="1">
        <v>43747</v>
      </c>
      <c r="D731" s="1"/>
      <c r="E731" t="s">
        <v>1750</v>
      </c>
      <c r="F731" t="s">
        <v>12</v>
      </c>
      <c r="G731" t="s">
        <v>3489</v>
      </c>
      <c r="H731" t="s">
        <v>1749</v>
      </c>
      <c r="I731" t="s">
        <v>2856</v>
      </c>
      <c r="K731" t="s">
        <v>2778</v>
      </c>
      <c r="L731" t="s">
        <v>2779</v>
      </c>
      <c r="M731" t="str">
        <f t="shared" si="22"/>
        <v>B14</v>
      </c>
      <c r="N731" t="s">
        <v>2848</v>
      </c>
      <c r="O731" t="s">
        <v>2824</v>
      </c>
      <c r="P731" t="s">
        <v>2849</v>
      </c>
      <c r="R731" t="str">
        <f t="shared" si="23"/>
        <v>INSERT INTO stock (ticker, name, listing_date, sub_industry, industry, sector, status) VALUES ('PURE', 'Trinitan Metals and Minerals Tbk.', '2019-10-09', 'B146', 'B14', 'IDXBASIC', (SELECT id FROM attribute WHERE type = 'STOCK_STATUS' AND code = 'LISTED')) ON CONFLICT DO NOTHING;</v>
      </c>
    </row>
    <row r="732" spans="1:18" x14ac:dyDescent="0.2">
      <c r="A732" t="s">
        <v>1883</v>
      </c>
      <c r="B732" t="s">
        <v>1884</v>
      </c>
      <c r="C732" s="1">
        <v>44082</v>
      </c>
      <c r="D732" s="1"/>
      <c r="E732" t="s">
        <v>355</v>
      </c>
      <c r="F732" t="s">
        <v>28</v>
      </c>
      <c r="G732" t="s">
        <v>3489</v>
      </c>
      <c r="H732" t="s">
        <v>1883</v>
      </c>
      <c r="I732" t="s">
        <v>3366</v>
      </c>
      <c r="K732" t="s">
        <v>3306</v>
      </c>
      <c r="L732" t="s">
        <v>3307</v>
      </c>
      <c r="M732" t="str">
        <f t="shared" si="22"/>
        <v>H11</v>
      </c>
      <c r="N732" t="s">
        <v>3308</v>
      </c>
      <c r="O732" t="s">
        <v>3309</v>
      </c>
      <c r="P732" t="s">
        <v>3310</v>
      </c>
      <c r="R732" t="str">
        <f t="shared" si="23"/>
        <v>INSERT INTO stock (ticker, name, listing_date, sub_industry, industry, sector, status) VALUES ('PURI', 'Puri Global Sukses Tbk.', '2020-09-08', 'H111', 'H11', 'IDXPROPERT', (SELECT id FROM attribute WHERE type = 'STOCK_STATUS' AND code = 'LISTED')) ON CONFLICT DO NOTHING;</v>
      </c>
    </row>
    <row r="733" spans="1:18" x14ac:dyDescent="0.2">
      <c r="A733" t="s">
        <v>1024</v>
      </c>
      <c r="B733" t="s">
        <v>1025</v>
      </c>
      <c r="C733" s="1">
        <v>32790</v>
      </c>
      <c r="D733" s="1"/>
      <c r="E733" t="s">
        <v>1026</v>
      </c>
      <c r="F733" t="s">
        <v>8</v>
      </c>
      <c r="G733" t="s">
        <v>3489</v>
      </c>
      <c r="H733" t="s">
        <v>1024</v>
      </c>
      <c r="I733" t="s">
        <v>3367</v>
      </c>
      <c r="K733" t="s">
        <v>3306</v>
      </c>
      <c r="L733" t="s">
        <v>3307</v>
      </c>
      <c r="M733" t="str">
        <f t="shared" si="22"/>
        <v>H11</v>
      </c>
      <c r="N733" t="s">
        <v>3308</v>
      </c>
      <c r="O733" t="s">
        <v>3309</v>
      </c>
      <c r="P733" t="s">
        <v>3310</v>
      </c>
      <c r="R733" t="str">
        <f t="shared" si="23"/>
        <v>INSERT INTO stock (ticker, name, listing_date, sub_industry, industry, sector, status) VALUES ('PWON', 'Pakuwon Jati Tbk.', '1989-10-09', 'H111', 'H11', 'IDXPROPERT', (SELECT id FROM attribute WHERE type = 'STOCK_STATUS' AND code = 'LISTED')) ON CONFLICT DO NOTHING;</v>
      </c>
    </row>
    <row r="734" spans="1:18" x14ac:dyDescent="0.2">
      <c r="A734" t="s">
        <v>1027</v>
      </c>
      <c r="B734" t="s">
        <v>3656</v>
      </c>
      <c r="C734" s="1">
        <v>37180</v>
      </c>
      <c r="D734" s="1"/>
      <c r="E734" t="s">
        <v>1029</v>
      </c>
      <c r="F734" t="s">
        <v>28</v>
      </c>
      <c r="G734" t="s">
        <v>3489</v>
      </c>
      <c r="H734" t="s">
        <v>1027</v>
      </c>
      <c r="I734" t="s">
        <v>1028</v>
      </c>
      <c r="K734" t="s">
        <v>3199</v>
      </c>
      <c r="L734" t="s">
        <v>3212</v>
      </c>
      <c r="M734" t="str">
        <f t="shared" si="22"/>
        <v>F21</v>
      </c>
      <c r="N734" t="s">
        <v>3213</v>
      </c>
      <c r="O734" t="s">
        <v>3214</v>
      </c>
      <c r="P734" t="s">
        <v>3214</v>
      </c>
      <c r="R734" t="str">
        <f t="shared" si="23"/>
        <v>INSERT INTO stock (ticker, name, listing_date, sub_industry, industry, sector, status) VALUES ('PYFA', 'Pyridam Farma Tbk.', '2001-10-16', 'F211', 'F21', 'IDXHEALTH', (SELECT id FROM attribute WHERE type = 'STOCK_STATUS' AND code = 'LISTED')) ON CONFLICT DO NOTHING;</v>
      </c>
    </row>
    <row r="735" spans="1:18" x14ac:dyDescent="0.2">
      <c r="A735" t="s">
        <v>1530</v>
      </c>
      <c r="B735" t="s">
        <v>1531</v>
      </c>
      <c r="C735" s="1">
        <v>43243</v>
      </c>
      <c r="D735" s="1"/>
      <c r="E735" t="s">
        <v>1532</v>
      </c>
      <c r="F735" t="s">
        <v>28</v>
      </c>
      <c r="G735" t="s">
        <v>3489</v>
      </c>
      <c r="H735" t="s">
        <v>1530</v>
      </c>
      <c r="I735" t="s">
        <v>3138</v>
      </c>
      <c r="K735" t="s">
        <v>3039</v>
      </c>
      <c r="L735" t="s">
        <v>3092</v>
      </c>
      <c r="M735" t="str">
        <f t="shared" si="22"/>
        <v>E51</v>
      </c>
      <c r="N735" t="s">
        <v>3129</v>
      </c>
      <c r="O735" t="s">
        <v>3094</v>
      </c>
      <c r="P735" t="s">
        <v>3130</v>
      </c>
      <c r="R735" t="str">
        <f t="shared" si="23"/>
        <v>INSERT INTO stock (ticker, name, listing_date, sub_industry, industry, sector, status) VALUES ('PZZA', 'Sarimelati Kencana Tbk.', '2018-05-23', 'E515', 'E51', 'IDXCYCLIC', (SELECT id FROM attribute WHERE type = 'STOCK_STATUS' AND code = 'LISTED')) ON CONFLICT DO NOTHING;</v>
      </c>
    </row>
    <row r="736" spans="1:18" x14ac:dyDescent="0.2">
      <c r="A736" t="s">
        <v>2619</v>
      </c>
      <c r="B736" t="s">
        <v>2620</v>
      </c>
      <c r="C736" s="1">
        <v>45054</v>
      </c>
      <c r="D736" s="1"/>
      <c r="E736" t="s">
        <v>2621</v>
      </c>
      <c r="F736" t="s">
        <v>8</v>
      </c>
      <c r="G736" t="s">
        <v>3489</v>
      </c>
      <c r="H736" t="s">
        <v>2619</v>
      </c>
      <c r="I736" t="s">
        <v>2620</v>
      </c>
      <c r="K736" t="s">
        <v>3039</v>
      </c>
      <c r="L736" t="s">
        <v>3145</v>
      </c>
      <c r="M736" t="str">
        <f t="shared" si="22"/>
        <v>E62</v>
      </c>
      <c r="N736" t="s">
        <v>3166</v>
      </c>
      <c r="O736" t="s">
        <v>3167</v>
      </c>
      <c r="P736" t="s">
        <v>3167</v>
      </c>
      <c r="R736" t="str">
        <f t="shared" si="23"/>
        <v>INSERT INTO stock (ticker, name, listing_date, sub_industry, industry, sector, status) VALUES ('RAAM', 'Tripar Multivision Plus Tbk.', '2023-05-08', 'E621', 'E62', 'IDXCYCLIC', (SELECT id FROM attribute WHERE type = 'STOCK_STATUS' AND code = 'LISTED')) ON CONFLICT DO NOTHING;</v>
      </c>
    </row>
    <row r="737" spans="1:18" x14ac:dyDescent="0.2">
      <c r="A737" t="s">
        <v>2149</v>
      </c>
      <c r="B737" t="s">
        <v>2150</v>
      </c>
      <c r="C737" s="1">
        <v>44778</v>
      </c>
      <c r="D737" s="1"/>
      <c r="E737" t="s">
        <v>2151</v>
      </c>
      <c r="F737" t="s">
        <v>12</v>
      </c>
      <c r="G737" t="s">
        <v>3489</v>
      </c>
      <c r="H737" t="s">
        <v>2149</v>
      </c>
      <c r="I737" t="s">
        <v>3848</v>
      </c>
      <c r="K737" t="s">
        <v>3039</v>
      </c>
      <c r="L737" t="s">
        <v>3092</v>
      </c>
      <c r="M737" t="str">
        <f t="shared" si="22"/>
        <v>E51</v>
      </c>
      <c r="N737" t="s">
        <v>3129</v>
      </c>
      <c r="O737" t="s">
        <v>3094</v>
      </c>
      <c r="P737" t="s">
        <v>3130</v>
      </c>
      <c r="R737" t="str">
        <f t="shared" si="23"/>
        <v>INSERT INTO stock (ticker, name, listing_date, sub_industry, industry, sector, status) VALUES ('RAFI', 'Sari Kreasi Boga Tbk.', '2022-08-05', 'E515', 'E51', 'IDXCYCLIC', (SELECT id FROM attribute WHERE type = 'STOCK_STATUS' AND code = 'LISTED')) ON CONFLICT DO NOTHING;</v>
      </c>
    </row>
    <row r="738" spans="1:18" x14ac:dyDescent="0.2">
      <c r="A738" t="s">
        <v>1030</v>
      </c>
      <c r="B738" t="s">
        <v>1031</v>
      </c>
      <c r="C738" s="1">
        <v>38826</v>
      </c>
      <c r="D738" s="1"/>
      <c r="E738" t="s">
        <v>1032</v>
      </c>
      <c r="F738" t="s">
        <v>8</v>
      </c>
      <c r="G738" t="s">
        <v>3489</v>
      </c>
      <c r="H738" t="s">
        <v>1030</v>
      </c>
      <c r="I738" t="s">
        <v>2720</v>
      </c>
      <c r="K738" t="s">
        <v>2701</v>
      </c>
      <c r="L738" t="s">
        <v>2702</v>
      </c>
      <c r="M738" t="str">
        <f t="shared" si="22"/>
        <v>A11</v>
      </c>
      <c r="N738" t="s">
        <v>2710</v>
      </c>
      <c r="O738" t="s">
        <v>2704</v>
      </c>
      <c r="P738" t="s">
        <v>2711</v>
      </c>
      <c r="R738" t="str">
        <f t="shared" si="23"/>
        <v>INSERT INTO stock (ticker, name, listing_date, sub_industry, industry, sector, status) VALUES ('RAJA', 'Rukun Raharja Tbk.', '2006-04-19', 'A112', 'A11', 'IDXENERGY', (SELECT id FROM attribute WHERE type = 'STOCK_STATUS' AND code = 'LISTED')) ON CONFLICT DO NOTHING;</v>
      </c>
    </row>
    <row r="739" spans="1:18" x14ac:dyDescent="0.2">
      <c r="A739" t="s">
        <v>1033</v>
      </c>
      <c r="B739" t="s">
        <v>1034</v>
      </c>
      <c r="C739" s="1">
        <v>35270</v>
      </c>
      <c r="D739" s="1"/>
      <c r="E739" t="s">
        <v>1035</v>
      </c>
      <c r="F739" t="s">
        <v>8</v>
      </c>
      <c r="G739" t="s">
        <v>3489</v>
      </c>
      <c r="H739" t="s">
        <v>1033</v>
      </c>
      <c r="I739" t="s">
        <v>3174</v>
      </c>
      <c r="K739" t="s">
        <v>3039</v>
      </c>
      <c r="L739" t="s">
        <v>3168</v>
      </c>
      <c r="M739" t="str">
        <f t="shared" si="22"/>
        <v>E73</v>
      </c>
      <c r="N739" t="s">
        <v>3172</v>
      </c>
      <c r="O739" t="s">
        <v>3173</v>
      </c>
      <c r="P739" t="s">
        <v>3173</v>
      </c>
      <c r="R739" t="str">
        <f t="shared" si="23"/>
        <v>INSERT INTO stock (ticker, name, listing_date, sub_industry, industry, sector, status) VALUES ('RALS', 'Ramayana Lestari Sentosa Tbk.', '1996-07-24', 'E731', 'E73', 'IDXCYCLIC', (SELECT id FROM attribute WHERE type = 'STOCK_STATUS' AND code = 'LISTED')) ON CONFLICT DO NOTHING;</v>
      </c>
    </row>
    <row r="740" spans="1:18" x14ac:dyDescent="0.2">
      <c r="A740" t="s">
        <v>1036</v>
      </c>
      <c r="B740" t="s">
        <v>1037</v>
      </c>
      <c r="C740" s="1">
        <v>41067</v>
      </c>
      <c r="D740" s="1"/>
      <c r="E740" t="s">
        <v>1038</v>
      </c>
      <c r="F740" t="s">
        <v>28</v>
      </c>
      <c r="G740" t="s">
        <v>3489</v>
      </c>
      <c r="H740" t="s">
        <v>1036</v>
      </c>
      <c r="I740" t="s">
        <v>2960</v>
      </c>
      <c r="K740" t="s">
        <v>2945</v>
      </c>
      <c r="L740" t="s">
        <v>2946</v>
      </c>
      <c r="M740" t="str">
        <f t="shared" si="22"/>
        <v>D11</v>
      </c>
      <c r="N740" t="s">
        <v>2956</v>
      </c>
      <c r="O740" t="s">
        <v>2946</v>
      </c>
      <c r="P740" t="s">
        <v>2957</v>
      </c>
      <c r="R740" t="str">
        <f t="shared" si="23"/>
        <v>INSERT INTO stock (ticker, name, listing_date, sub_industry, industry, sector, status) VALUES ('RANC', 'Supra Boga Lestari Tbk.', '2012-06-07', 'D113', 'D11', 'IDXNONCYC', (SELECT id FROM attribute WHERE type = 'STOCK_STATUS' AND code = 'LISTED')) ON CONFLICT DO NOTHING;</v>
      </c>
    </row>
    <row r="741" spans="1:18" x14ac:dyDescent="0.2">
      <c r="A741" t="s">
        <v>2514</v>
      </c>
      <c r="B741" t="s">
        <v>2515</v>
      </c>
      <c r="C741" s="1">
        <v>45665</v>
      </c>
      <c r="D741" s="1"/>
      <c r="E741" t="s">
        <v>2516</v>
      </c>
      <c r="F741" t="s">
        <v>28</v>
      </c>
      <c r="G741" t="s">
        <v>3489</v>
      </c>
      <c r="H741" t="s">
        <v>2514</v>
      </c>
      <c r="I741" t="s">
        <v>3849</v>
      </c>
      <c r="K741" t="s">
        <v>2701</v>
      </c>
      <c r="L741" t="s">
        <v>2702</v>
      </c>
      <c r="M741" t="str">
        <f t="shared" si="22"/>
        <v>A11</v>
      </c>
      <c r="N741" t="s">
        <v>2703</v>
      </c>
      <c r="O741" t="s">
        <v>2704</v>
      </c>
      <c r="P741" t="s">
        <v>2705</v>
      </c>
      <c r="R741" t="str">
        <f t="shared" si="23"/>
        <v>INSERT INTO stock (ticker, name, listing_date, sub_industry, industry, sector, status) VALUES ('RATU', 'Raharja Energi Cepu Tbk.', '2025-01-08', 'A111', 'A11', 'IDXENERGY', (SELECT id FROM attribute WHERE type = 'STOCK_STATUS' AND code = 'LISTED')) ON CONFLICT DO NOTHING;</v>
      </c>
    </row>
    <row r="742" spans="1:18" x14ac:dyDescent="0.2">
      <c r="A742" t="s">
        <v>1039</v>
      </c>
      <c r="B742" t="s">
        <v>3657</v>
      </c>
      <c r="C742" s="1">
        <v>35783</v>
      </c>
      <c r="D742" s="1"/>
      <c r="E742" t="s">
        <v>1040</v>
      </c>
      <c r="F742" t="s">
        <v>12</v>
      </c>
      <c r="G742" t="s">
        <v>3489</v>
      </c>
      <c r="H742" t="s">
        <v>1039</v>
      </c>
      <c r="I742" t="s">
        <v>3368</v>
      </c>
      <c r="K742" t="s">
        <v>3306</v>
      </c>
      <c r="L742" t="s">
        <v>3307</v>
      </c>
      <c r="M742" t="str">
        <f t="shared" si="22"/>
        <v>H11</v>
      </c>
      <c r="N742" t="s">
        <v>3308</v>
      </c>
      <c r="O742" t="s">
        <v>3309</v>
      </c>
      <c r="P742" t="s">
        <v>3310</v>
      </c>
      <c r="R742" t="str">
        <f t="shared" si="23"/>
        <v>INSERT INTO stock (ticker, name, listing_date, sub_industry, industry, sector, status) VALUES ('RBMS', 'Ristia Bintang Mahkotasejati Tbk.', '1997-12-19', 'H111', 'H11', 'IDXPROPERT', (SELECT id FROM attribute WHERE type = 'STOCK_STATUS' AND code = 'LISTED')) ON CONFLICT DO NOTHING;</v>
      </c>
    </row>
    <row r="743" spans="1:18" x14ac:dyDescent="0.2">
      <c r="A743" t="s">
        <v>2137</v>
      </c>
      <c r="B743" t="s">
        <v>2138</v>
      </c>
      <c r="C743" s="1">
        <v>44775</v>
      </c>
      <c r="D743" s="1"/>
      <c r="E743" t="s">
        <v>2139</v>
      </c>
      <c r="F743" t="s">
        <v>1847</v>
      </c>
      <c r="G743" t="s">
        <v>3489</v>
      </c>
      <c r="H743" t="s">
        <v>2137</v>
      </c>
      <c r="I743" t="s">
        <v>3850</v>
      </c>
      <c r="K743" t="s">
        <v>3470</v>
      </c>
      <c r="L743" t="s">
        <v>3481</v>
      </c>
      <c r="M743" t="str">
        <f t="shared" si="22"/>
        <v>K21</v>
      </c>
      <c r="N743" t="s">
        <v>3482</v>
      </c>
      <c r="O743" t="s">
        <v>3481</v>
      </c>
      <c r="P743" t="s">
        <v>3481</v>
      </c>
      <c r="R743" t="str">
        <f t="shared" si="23"/>
        <v>INSERT INTO stock (ticker, name, listing_date, sub_industry, industry, sector, status) VALUES ('RCCC', 'Utama Radar Cahaya Tbk.', '2022-08-02', 'K211', 'K21', 'IDXTRANS', (SELECT id FROM attribute WHERE type = 'STOCK_STATUS' AND code = 'LISTED')) ON CONFLICT DO NOTHING;</v>
      </c>
    </row>
    <row r="744" spans="1:18" x14ac:dyDescent="0.2">
      <c r="A744" t="s">
        <v>1041</v>
      </c>
      <c r="B744" t="s">
        <v>3658</v>
      </c>
      <c r="C744" s="1">
        <v>33007</v>
      </c>
      <c r="D744" s="1"/>
      <c r="E744" t="s">
        <v>1043</v>
      </c>
      <c r="F744" t="s">
        <v>28</v>
      </c>
      <c r="G744" t="s">
        <v>3489</v>
      </c>
      <c r="H744" t="s">
        <v>1041</v>
      </c>
      <c r="I744" t="s">
        <v>1042</v>
      </c>
      <c r="K744" t="s">
        <v>3306</v>
      </c>
      <c r="L744" t="s">
        <v>3307</v>
      </c>
      <c r="M744" t="str">
        <f t="shared" si="22"/>
        <v>H11</v>
      </c>
      <c r="N744" t="s">
        <v>3308</v>
      </c>
      <c r="O744" t="s">
        <v>3309</v>
      </c>
      <c r="P744" t="s">
        <v>3310</v>
      </c>
      <c r="R744" t="str">
        <f t="shared" si="23"/>
        <v>INSERT INTO stock (ticker, name, listing_date, sub_industry, industry, sector, status) VALUES ('RDTX', 'Roda Vivatex Tbk.', '1990-05-14', 'H111', 'H11', 'IDXPROPERT', (SELECT id FROM attribute WHERE type = 'STOCK_STATUS' AND code = 'LISTED')) ON CONFLICT DO NOTHING;</v>
      </c>
    </row>
    <row r="745" spans="1:18" x14ac:dyDescent="0.2">
      <c r="A745" t="s">
        <v>1779</v>
      </c>
      <c r="B745" t="s">
        <v>1780</v>
      </c>
      <c r="C745" s="1">
        <v>43805</v>
      </c>
      <c r="D745" s="1"/>
      <c r="E745" t="s">
        <v>1781</v>
      </c>
      <c r="F745" t="s">
        <v>28</v>
      </c>
      <c r="G745" t="s">
        <v>3489</v>
      </c>
      <c r="H745" t="s">
        <v>1779</v>
      </c>
      <c r="I745" t="s">
        <v>3369</v>
      </c>
      <c r="K745" t="s">
        <v>3306</v>
      </c>
      <c r="L745" t="s">
        <v>3307</v>
      </c>
      <c r="M745" t="str">
        <f t="shared" si="22"/>
        <v>H11</v>
      </c>
      <c r="N745" t="s">
        <v>3308</v>
      </c>
      <c r="O745" t="s">
        <v>3309</v>
      </c>
      <c r="P745" t="s">
        <v>3310</v>
      </c>
      <c r="R745" t="str">
        <f t="shared" si="23"/>
        <v>INSERT INTO stock (ticker, name, listing_date, sub_industry, industry, sector, status) VALUES ('REAL', 'Repower Asia Indonesia Tbk.', '2019-12-06', 'H111', 'H11', 'IDXPROPERT', (SELECT id FROM attribute WHERE type = 'STOCK_STATUS' AND code = 'LISTED')) ON CONFLICT DO NOTHING;</v>
      </c>
    </row>
    <row r="746" spans="1:18" x14ac:dyDescent="0.2">
      <c r="A746" t="s">
        <v>2316</v>
      </c>
      <c r="B746" t="s">
        <v>2317</v>
      </c>
      <c r="C746" s="1">
        <v>45099</v>
      </c>
      <c r="D746" s="1"/>
      <c r="E746" t="s">
        <v>2318</v>
      </c>
      <c r="F746" t="s">
        <v>1847</v>
      </c>
      <c r="G746" t="s">
        <v>3489</v>
      </c>
      <c r="H746" t="s">
        <v>2316</v>
      </c>
      <c r="I746" s="5" t="s">
        <v>2317</v>
      </c>
      <c r="K746" t="s">
        <v>3306</v>
      </c>
      <c r="L746" t="s">
        <v>3307</v>
      </c>
      <c r="M746" t="str">
        <f t="shared" si="22"/>
        <v>H11</v>
      </c>
      <c r="N746" t="s">
        <v>3308</v>
      </c>
      <c r="O746" t="s">
        <v>3309</v>
      </c>
      <c r="P746" t="s">
        <v>3310</v>
      </c>
      <c r="R746" t="str">
        <f t="shared" si="23"/>
        <v>INSERT INTO stock (ticker, name, listing_date, sub_industry, industry, sector, status) VALUES ('RELF', 'Graha Mitra Asia Tbk.', '2023-06-22', 'H111', 'H11', 'IDXPROPERT', (SELECT id FROM attribute WHERE type = 'STOCK_STATUS' AND code = 'LISTED')) ON CONFLICT DO NOTHING;</v>
      </c>
    </row>
    <row r="747" spans="1:18" x14ac:dyDescent="0.2">
      <c r="A747" t="s">
        <v>1044</v>
      </c>
      <c r="B747" t="s">
        <v>3659</v>
      </c>
      <c r="C747" s="1">
        <v>38546</v>
      </c>
      <c r="D747" s="1"/>
      <c r="E747" t="s">
        <v>146</v>
      </c>
      <c r="F747" t="s">
        <v>28</v>
      </c>
      <c r="G747" t="s">
        <v>3489</v>
      </c>
      <c r="H747" t="s">
        <v>1044</v>
      </c>
      <c r="I747" t="s">
        <v>3260</v>
      </c>
      <c r="K747" t="s">
        <v>3224</v>
      </c>
      <c r="L747" t="s">
        <v>3252</v>
      </c>
      <c r="M747" t="str">
        <f t="shared" si="22"/>
        <v>G31</v>
      </c>
      <c r="N747" t="s">
        <v>3257</v>
      </c>
      <c r="O747" t="s">
        <v>3254</v>
      </c>
      <c r="P747" t="s">
        <v>3258</v>
      </c>
      <c r="R747" t="str">
        <f t="shared" si="23"/>
        <v>INSERT INTO stock (ticker, name, listing_date, sub_industry, industry, sector, status) VALUES ('RELI', 'Reliance Sekuritas Indonesia Tbk.', '2005-07-13', 'G312', 'G31', 'IDXFINANCE', (SELECT id FROM attribute WHERE type = 'STOCK_STATUS' AND code = 'LISTED')) ON CONFLICT DO NOTHING;</v>
      </c>
    </row>
    <row r="748" spans="1:18" x14ac:dyDescent="0.2">
      <c r="A748" t="s">
        <v>2401</v>
      </c>
      <c r="B748" t="s">
        <v>2402</v>
      </c>
      <c r="C748" s="1">
        <v>45238</v>
      </c>
      <c r="D748" s="1"/>
      <c r="E748" t="s">
        <v>2403</v>
      </c>
      <c r="F748" t="s">
        <v>28</v>
      </c>
      <c r="G748" t="s">
        <v>3489</v>
      </c>
      <c r="H748" t="s">
        <v>2401</v>
      </c>
      <c r="I748" t="s">
        <v>2402</v>
      </c>
      <c r="K748" t="s">
        <v>2701</v>
      </c>
      <c r="L748" t="s">
        <v>2702</v>
      </c>
      <c r="M748" t="str">
        <f t="shared" si="22"/>
        <v>A13</v>
      </c>
      <c r="N748" t="s">
        <v>2763</v>
      </c>
      <c r="O748" t="s">
        <v>2760</v>
      </c>
      <c r="P748" t="s">
        <v>2764</v>
      </c>
      <c r="R748" t="str">
        <f t="shared" si="23"/>
        <v>INSERT INTO stock (ticker, name, listing_date, sub_industry, industry, sector, status) VALUES ('RGAS', 'Kian Santang Muliatama Tbk.', '2023-11-08', 'A132', 'A13', 'IDXENERGY', (SELECT id FROM attribute WHERE type = 'STOCK_STATUS' AND code = 'LISTED')) ON CONFLICT DO NOTHING;</v>
      </c>
    </row>
    <row r="749" spans="1:18" x14ac:dyDescent="0.2">
      <c r="A749" t="s">
        <v>1045</v>
      </c>
      <c r="B749" t="s">
        <v>3660</v>
      </c>
      <c r="C749" s="1">
        <v>35817</v>
      </c>
      <c r="D749" s="1"/>
      <c r="E749" t="s">
        <v>1047</v>
      </c>
      <c r="F749" t="s">
        <v>12</v>
      </c>
      <c r="G749" t="s">
        <v>3489</v>
      </c>
      <c r="H749" t="s">
        <v>1045</v>
      </c>
      <c r="I749" t="s">
        <v>1046</v>
      </c>
      <c r="K749" t="s">
        <v>3039</v>
      </c>
      <c r="L749" t="s">
        <v>3077</v>
      </c>
      <c r="M749" t="str">
        <f t="shared" si="22"/>
        <v>E41</v>
      </c>
      <c r="N749" t="s">
        <v>3078</v>
      </c>
      <c r="O749" t="s">
        <v>3077</v>
      </c>
      <c r="P749" t="s">
        <v>3079</v>
      </c>
      <c r="R749" t="str">
        <f t="shared" si="23"/>
        <v>INSERT INTO stock (ticker, name, listing_date, sub_industry, industry, sector, status) VALUES ('RICY', 'Ricky Putra Globalindo Tbk.', '1998-01-22', 'E411', 'E41', 'IDXCYCLIC', (SELECT id FROM attribute WHERE type = 'STOCK_STATUS' AND code = 'LISTED')) ON CONFLICT DO NOTHING;</v>
      </c>
    </row>
    <row r="750" spans="1:18" x14ac:dyDescent="0.2">
      <c r="A750" t="s">
        <v>1048</v>
      </c>
      <c r="B750" t="s">
        <v>1049</v>
      </c>
      <c r="C750" s="1">
        <v>32937</v>
      </c>
      <c r="D750" s="1"/>
      <c r="E750" t="s">
        <v>1050</v>
      </c>
      <c r="F750" t="s">
        <v>28</v>
      </c>
      <c r="G750" t="s">
        <v>3489</v>
      </c>
      <c r="H750" t="s">
        <v>1048</v>
      </c>
      <c r="I750" t="s">
        <v>2752</v>
      </c>
      <c r="K750" t="s">
        <v>2701</v>
      </c>
      <c r="L750" t="s">
        <v>2702</v>
      </c>
      <c r="M750" t="str">
        <f t="shared" si="22"/>
        <v>A12</v>
      </c>
      <c r="N750" t="s">
        <v>2742</v>
      </c>
      <c r="O750" t="s">
        <v>2724</v>
      </c>
      <c r="P750" t="s">
        <v>2743</v>
      </c>
      <c r="R750" t="str">
        <f t="shared" si="23"/>
        <v>INSERT INTO stock (ticker, name, listing_date, sub_industry, industry, sector, status) VALUES ('RIGS', 'Rig Tenders Indonesia Tbk.', '1990-03-05', 'A122', 'A12', 'IDXENERGY', (SELECT id FROM attribute WHERE type = 'STOCK_STATUS' AND code = 'LISTED')) ON CONFLICT DO NOTHING;</v>
      </c>
    </row>
    <row r="751" spans="1:18" x14ac:dyDescent="0.2">
      <c r="A751" t="s">
        <v>1051</v>
      </c>
      <c r="B751" t="s">
        <v>3661</v>
      </c>
      <c r="C751" s="1">
        <v>36840</v>
      </c>
      <c r="D751" s="1"/>
      <c r="E751" t="s">
        <v>1053</v>
      </c>
      <c r="F751" t="s">
        <v>12</v>
      </c>
      <c r="G751" t="s">
        <v>3489</v>
      </c>
      <c r="H751" t="s">
        <v>1051</v>
      </c>
      <c r="I751" t="s">
        <v>1052</v>
      </c>
      <c r="K751" t="s">
        <v>3306</v>
      </c>
      <c r="L751" t="s">
        <v>3307</v>
      </c>
      <c r="M751" t="str">
        <f t="shared" si="22"/>
        <v>H11</v>
      </c>
      <c r="N751" t="s">
        <v>3308</v>
      </c>
      <c r="O751" t="s">
        <v>3309</v>
      </c>
      <c r="P751" t="s">
        <v>3310</v>
      </c>
      <c r="R751" t="str">
        <f t="shared" si="23"/>
        <v>INSERT INTO stock (ticker, name, listing_date, sub_industry, industry, sector, status) VALUES ('RIMO', 'Rimo International Lestari Tbk.', '2000-11-10', 'H111', 'H11', 'IDXPROPERT', (SELECT id FROM attribute WHERE type = 'STOCK_STATUS' AND code = 'LISTED')) ON CONFLICT DO NOTHING;</v>
      </c>
    </row>
    <row r="752" spans="1:18" x14ac:dyDescent="0.2">
      <c r="A752" t="s">
        <v>1551</v>
      </c>
      <c r="B752" t="s">
        <v>3662</v>
      </c>
      <c r="C752" s="1">
        <v>43290</v>
      </c>
      <c r="D752" s="1"/>
      <c r="E752" t="s">
        <v>1553</v>
      </c>
      <c r="F752" t="s">
        <v>28</v>
      </c>
      <c r="G752" t="s">
        <v>3489</v>
      </c>
      <c r="H752" t="s">
        <v>1551</v>
      </c>
      <c r="I752" t="s">
        <v>1552</v>
      </c>
      <c r="K752" t="s">
        <v>3039</v>
      </c>
      <c r="L752" t="s">
        <v>3092</v>
      </c>
      <c r="M752" t="str">
        <f t="shared" si="22"/>
        <v>E51</v>
      </c>
      <c r="N752" t="s">
        <v>3093</v>
      </c>
      <c r="O752" t="s">
        <v>3094</v>
      </c>
      <c r="P752" t="s">
        <v>3095</v>
      </c>
      <c r="R752" t="str">
        <f t="shared" si="23"/>
        <v>INSERT INTO stock (ticker, name, listing_date, sub_industry, industry, sector, status) VALUES ('RISE', 'Jaya Sukses Makmur Sentosa Tbk.', '2018-07-09', 'E512', 'E51', 'IDXCYCLIC', (SELECT id FROM attribute WHERE type = 'STOCK_STATUS' AND code = 'LISTED')) ON CONFLICT DO NOTHING;</v>
      </c>
    </row>
    <row r="753" spans="1:18" x14ac:dyDescent="0.2">
      <c r="A753" t="s">
        <v>2564</v>
      </c>
      <c r="B753" t="s">
        <v>2565</v>
      </c>
      <c r="C753" s="1">
        <v>45999</v>
      </c>
      <c r="D753" s="1"/>
      <c r="E753" t="s">
        <v>1699</v>
      </c>
      <c r="F753" t="s">
        <v>28</v>
      </c>
      <c r="G753" t="s">
        <v>3489</v>
      </c>
      <c r="H753" t="s">
        <v>2564</v>
      </c>
      <c r="I753" t="s">
        <v>3851</v>
      </c>
      <c r="K753" t="s">
        <v>2945</v>
      </c>
      <c r="L753" t="s">
        <v>2961</v>
      </c>
      <c r="M753" t="str">
        <f t="shared" si="22"/>
        <v>D23</v>
      </c>
      <c r="N753" t="s">
        <v>2998</v>
      </c>
      <c r="O753" t="s">
        <v>2999</v>
      </c>
      <c r="P753" t="s">
        <v>3000</v>
      </c>
      <c r="R753" t="str">
        <f t="shared" si="23"/>
        <v>INSERT INTO stock (ticker, name, listing_date, sub_industry, industry, sector, status) VALUES ('RLCO', 'Abadi Lestari Indonesia Tbk.', '2025-12-08', 'D231', 'D23', 'IDXNONCYC', (SELECT id FROM attribute WHERE type = 'STOCK_STATUS' AND code = 'LISTED')) ON CONFLICT DO NOTHING;</v>
      </c>
    </row>
    <row r="754" spans="1:18" x14ac:dyDescent="0.2">
      <c r="A754" t="s">
        <v>2040</v>
      </c>
      <c r="B754" t="s">
        <v>2041</v>
      </c>
      <c r="C754" s="1">
        <v>44537</v>
      </c>
      <c r="D754" s="1"/>
      <c r="E754" t="s">
        <v>2042</v>
      </c>
      <c r="F754" t="s">
        <v>8</v>
      </c>
      <c r="G754" t="s">
        <v>3489</v>
      </c>
      <c r="H754" t="s">
        <v>2040</v>
      </c>
      <c r="I754" t="s">
        <v>2753</v>
      </c>
      <c r="K754" t="s">
        <v>2701</v>
      </c>
      <c r="L754" t="s">
        <v>2702</v>
      </c>
      <c r="M754" t="str">
        <f t="shared" si="22"/>
        <v>A12</v>
      </c>
      <c r="N754" t="s">
        <v>2742</v>
      </c>
      <c r="O754" t="s">
        <v>2724</v>
      </c>
      <c r="P754" t="s">
        <v>2743</v>
      </c>
      <c r="R754" t="str">
        <f t="shared" si="23"/>
        <v>INSERT INTO stock (ticker, name, listing_date, sub_industry, industry, sector, status) VALUES ('RMKE', 'RMK Energy Tbk.', '2021-12-07', 'A122', 'A12', 'IDXENERGY', (SELECT id FROM attribute WHERE type = 'STOCK_STATUS' AND code = 'LISTED')) ON CONFLICT DO NOTHING;</v>
      </c>
    </row>
    <row r="755" spans="1:18" x14ac:dyDescent="0.2">
      <c r="A755" t="s">
        <v>2338</v>
      </c>
      <c r="B755" t="s">
        <v>3663</v>
      </c>
      <c r="C755" s="1">
        <v>45138</v>
      </c>
      <c r="D755" s="1"/>
      <c r="E755" t="s">
        <v>1837</v>
      </c>
      <c r="F755" t="s">
        <v>28</v>
      </c>
      <c r="G755" t="s">
        <v>3489</v>
      </c>
      <c r="H755" t="s">
        <v>2338</v>
      </c>
      <c r="I755" t="s">
        <v>3663</v>
      </c>
      <c r="K755" t="s">
        <v>2701</v>
      </c>
      <c r="L755" t="s">
        <v>2702</v>
      </c>
      <c r="M755" t="str">
        <f t="shared" si="22"/>
        <v>A13</v>
      </c>
      <c r="N755" t="s">
        <v>2763</v>
      </c>
      <c r="O755" t="s">
        <v>2760</v>
      </c>
      <c r="P755" t="s">
        <v>2764</v>
      </c>
      <c r="R755" t="str">
        <f t="shared" si="23"/>
        <v>INSERT INTO stock (ticker, name, listing_date, sub_industry, industry, sector, status) VALUES ('RMKO', 'Royaltama Mulia Kontraktorindo Tbk.', '2023-07-31', 'A132', 'A13', 'IDXENERGY', (SELECT id FROM attribute WHERE type = 'STOCK_STATUS' AND code = 'LISTED')) ON CONFLICT DO NOTHING;</v>
      </c>
    </row>
    <row r="756" spans="1:18" x14ac:dyDescent="0.2">
      <c r="A756" t="s">
        <v>1891</v>
      </c>
      <c r="B756" t="s">
        <v>3664</v>
      </c>
      <c r="C756" s="1">
        <v>44084</v>
      </c>
      <c r="D756" s="1"/>
      <c r="E756" t="s">
        <v>1892</v>
      </c>
      <c r="F756" t="s">
        <v>28</v>
      </c>
      <c r="G756" t="s">
        <v>3489</v>
      </c>
      <c r="H756" t="s">
        <v>1891</v>
      </c>
      <c r="I756" t="s">
        <v>3370</v>
      </c>
      <c r="K756" t="s">
        <v>3306</v>
      </c>
      <c r="L756" t="s">
        <v>3307</v>
      </c>
      <c r="M756" t="str">
        <f t="shared" si="22"/>
        <v>H11</v>
      </c>
      <c r="N756" t="s">
        <v>3308</v>
      </c>
      <c r="O756" t="s">
        <v>3309</v>
      </c>
      <c r="P756" t="s">
        <v>3310</v>
      </c>
      <c r="R756" t="str">
        <f t="shared" si="23"/>
        <v>INSERT INTO stock (ticker, name, listing_date, sub_industry, industry, sector, status) VALUES ('ROCK', 'Rockfields Properti Indonesia Tbk.', '2020-09-10', 'H111', 'H11', 'IDXPROPERT', (SELECT id FROM attribute WHERE type = 'STOCK_STATUS' AND code = 'LISTED')) ON CONFLICT DO NOTHING;</v>
      </c>
    </row>
    <row r="757" spans="1:18" x14ac:dyDescent="0.2">
      <c r="A757" t="s">
        <v>1054</v>
      </c>
      <c r="B757" t="s">
        <v>1055</v>
      </c>
      <c r="C757" s="1">
        <v>37186</v>
      </c>
      <c r="D757" s="1"/>
      <c r="E757" t="s">
        <v>1056</v>
      </c>
      <c r="F757" t="s">
        <v>28</v>
      </c>
      <c r="G757" t="s">
        <v>3489</v>
      </c>
      <c r="H757" t="s">
        <v>1054</v>
      </c>
      <c r="I757" t="s">
        <v>3371</v>
      </c>
      <c r="K757" t="s">
        <v>3306</v>
      </c>
      <c r="L757" t="s">
        <v>3307</v>
      </c>
      <c r="M757" t="str">
        <f t="shared" si="22"/>
        <v>H11</v>
      </c>
      <c r="N757" t="s">
        <v>3308</v>
      </c>
      <c r="O757" t="s">
        <v>3309</v>
      </c>
      <c r="P757" t="s">
        <v>3310</v>
      </c>
      <c r="R757" t="str">
        <f t="shared" si="23"/>
        <v>INSERT INTO stock (ticker, name, listing_date, sub_industry, industry, sector, status) VALUES ('RODA', 'Pikko Land Development Tbk.', '2001-10-22', 'H111', 'H11', 'IDXPROPERT', (SELECT id FROM attribute WHERE type = 'STOCK_STATUS' AND code = 'LISTED')) ON CONFLICT DO NOTHING;</v>
      </c>
    </row>
    <row r="758" spans="1:18" x14ac:dyDescent="0.2">
      <c r="A758" t="s">
        <v>1835</v>
      </c>
      <c r="B758" t="s">
        <v>1836</v>
      </c>
      <c r="C758" s="1">
        <v>43930</v>
      </c>
      <c r="D758" s="1"/>
      <c r="E758" t="s">
        <v>1837</v>
      </c>
      <c r="F758" t="s">
        <v>28</v>
      </c>
      <c r="G758" t="s">
        <v>3489</v>
      </c>
      <c r="H758" t="s">
        <v>1835</v>
      </c>
      <c r="I758" t="s">
        <v>1836</v>
      </c>
      <c r="K758" t="s">
        <v>3418</v>
      </c>
      <c r="L758" t="s">
        <v>3432</v>
      </c>
      <c r="M758" t="str">
        <f t="shared" si="22"/>
        <v>J21</v>
      </c>
      <c r="N758" t="s">
        <v>3433</v>
      </c>
      <c r="O758" t="s">
        <v>3432</v>
      </c>
      <c r="P758" t="s">
        <v>3432</v>
      </c>
      <c r="R758" t="str">
        <f t="shared" si="23"/>
        <v>INSERT INTO stock (ticker, name, listing_date, sub_industry, industry, sector, status) VALUES ('RONY', 'Aracord Nusantara Group Tbk.', '2020-04-09', 'J211', 'J21', 'IDXINFRA', (SELECT id FROM attribute WHERE type = 'STOCK_STATUS' AND code = 'LISTED')) ON CONFLICT DO NOTHING;</v>
      </c>
    </row>
    <row r="759" spans="1:18" x14ac:dyDescent="0.2">
      <c r="A759" t="s">
        <v>1057</v>
      </c>
      <c r="B759" t="s">
        <v>1058</v>
      </c>
      <c r="C759" s="1">
        <v>40357</v>
      </c>
      <c r="D759" s="1"/>
      <c r="E759" t="s">
        <v>1059</v>
      </c>
      <c r="F759" t="s">
        <v>28</v>
      </c>
      <c r="G759" t="s">
        <v>3489</v>
      </c>
      <c r="H759" t="s">
        <v>1057</v>
      </c>
      <c r="I759" t="s">
        <v>2990</v>
      </c>
      <c r="K759" t="s">
        <v>2945</v>
      </c>
      <c r="L759" t="s">
        <v>2961</v>
      </c>
      <c r="M759" t="str">
        <f t="shared" si="22"/>
        <v>D22</v>
      </c>
      <c r="N759" t="s">
        <v>2978</v>
      </c>
      <c r="O759" t="s">
        <v>2973</v>
      </c>
      <c r="P759" t="s">
        <v>2973</v>
      </c>
      <c r="R759" t="str">
        <f t="shared" si="23"/>
        <v>INSERT INTO stock (ticker, name, listing_date, sub_industry, industry, sector, status) VALUES ('ROTI', 'Nippon Indosari Corpindo Tbk.', '2010-06-28', 'D222', 'D22', 'IDXNONCYC', (SELECT id FROM attribute WHERE type = 'STOCK_STATUS' AND code = 'LISTED')) ON CONFLICT DO NOTHING;</v>
      </c>
    </row>
    <row r="760" spans="1:18" x14ac:dyDescent="0.2">
      <c r="A760" t="s">
        <v>2370</v>
      </c>
      <c r="B760" t="s">
        <v>2371</v>
      </c>
      <c r="C760" s="1">
        <v>45166</v>
      </c>
      <c r="D760" s="1"/>
      <c r="E760" t="s">
        <v>2372</v>
      </c>
      <c r="F760" t="s">
        <v>28</v>
      </c>
      <c r="G760" t="s">
        <v>3489</v>
      </c>
      <c r="H760" t="s">
        <v>2370</v>
      </c>
      <c r="I760" t="s">
        <v>2371</v>
      </c>
      <c r="K760" t="s">
        <v>3199</v>
      </c>
      <c r="L760" t="s">
        <v>3200</v>
      </c>
      <c r="M760" t="str">
        <f t="shared" si="22"/>
        <v>F12</v>
      </c>
      <c r="N760" t="s">
        <v>3206</v>
      </c>
      <c r="O760" t="s">
        <v>3207</v>
      </c>
      <c r="P760" t="s">
        <v>3207</v>
      </c>
      <c r="R760" t="str">
        <f t="shared" si="23"/>
        <v>INSERT INTO stock (ticker, name, listing_date, sub_industry, industry, sector, status) VALUES ('RSCH', 'Charlie Hospital Semarang Tbk.', '2023-08-28', 'F121', 'F12', 'IDXHEALTH', (SELECT id FROM attribute WHERE type = 'STOCK_STATUS' AND code = 'LISTED')) ON CONFLICT DO NOTHING;</v>
      </c>
    </row>
    <row r="761" spans="1:18" x14ac:dyDescent="0.2">
      <c r="A761" t="s">
        <v>1995</v>
      </c>
      <c r="B761" t="s">
        <v>1996</v>
      </c>
      <c r="C761" s="1">
        <v>44447</v>
      </c>
      <c r="D761" s="1"/>
      <c r="E761" t="s">
        <v>1997</v>
      </c>
      <c r="F761" t="s">
        <v>12</v>
      </c>
      <c r="G761" t="s">
        <v>3489</v>
      </c>
      <c r="H761" t="s">
        <v>1995</v>
      </c>
      <c r="I761" t="s">
        <v>3208</v>
      </c>
      <c r="K761" t="s">
        <v>3199</v>
      </c>
      <c r="L761" t="s">
        <v>3200</v>
      </c>
      <c r="M761" t="str">
        <f t="shared" si="22"/>
        <v>F12</v>
      </c>
      <c r="N761" t="s">
        <v>3206</v>
      </c>
      <c r="O761" t="s">
        <v>3207</v>
      </c>
      <c r="P761" t="s">
        <v>3207</v>
      </c>
      <c r="R761" t="str">
        <f t="shared" si="23"/>
        <v>INSERT INTO stock (ticker, name, listing_date, sub_industry, industry, sector, status) VALUES ('RSGK', 'Kedoya Adyaraya Tbk.', '2021-09-08', 'F121', 'F12', 'IDXHEALTH', (SELECT id FROM attribute WHERE type = 'STOCK_STATUS' AND code = 'LISTED')) ON CONFLICT DO NOTHING;</v>
      </c>
    </row>
    <row r="762" spans="1:18" x14ac:dyDescent="0.2">
      <c r="A762" t="s">
        <v>1060</v>
      </c>
      <c r="B762" t="s">
        <v>1061</v>
      </c>
      <c r="C762" s="1">
        <v>38910</v>
      </c>
      <c r="D762" s="1"/>
      <c r="E762" t="s">
        <v>1062</v>
      </c>
      <c r="F762" t="s">
        <v>28</v>
      </c>
      <c r="G762" t="s">
        <v>3489</v>
      </c>
      <c r="H762" t="s">
        <v>1060</v>
      </c>
      <c r="I762" t="s">
        <v>2768</v>
      </c>
      <c r="K762" t="s">
        <v>2701</v>
      </c>
      <c r="L762" t="s">
        <v>2702</v>
      </c>
      <c r="M762" t="str">
        <f t="shared" si="22"/>
        <v>A13</v>
      </c>
      <c r="N762" t="s">
        <v>2763</v>
      </c>
      <c r="O762" t="s">
        <v>2760</v>
      </c>
      <c r="P762" t="s">
        <v>2764</v>
      </c>
      <c r="R762" t="str">
        <f t="shared" si="23"/>
        <v>INSERT INTO stock (ticker, name, listing_date, sub_industry, industry, sector, status) VALUES ('RUIS', 'Radiant Utama Interinsco Tbk.', '2006-07-12', 'A132', 'A13', 'IDXENERGY', (SELECT id FROM attribute WHERE type = 'STOCK_STATUS' AND code = 'LISTED')) ON CONFLICT DO NOTHING;</v>
      </c>
    </row>
    <row r="763" spans="1:18" x14ac:dyDescent="0.2">
      <c r="A763" t="s">
        <v>1998</v>
      </c>
      <c r="B763" t="s">
        <v>1999</v>
      </c>
      <c r="C763" s="1">
        <v>44447</v>
      </c>
      <c r="D763" s="1"/>
      <c r="E763" t="s">
        <v>2000</v>
      </c>
      <c r="F763" t="s">
        <v>1847</v>
      </c>
      <c r="G763" t="s">
        <v>3489</v>
      </c>
      <c r="H763" t="s">
        <v>1998</v>
      </c>
      <c r="I763" t="s">
        <v>3404</v>
      </c>
      <c r="K763" t="s">
        <v>3381</v>
      </c>
      <c r="L763" t="s">
        <v>3382</v>
      </c>
      <c r="M763" t="str">
        <f t="shared" si="22"/>
        <v>I13</v>
      </c>
      <c r="N763" t="s">
        <v>3402</v>
      </c>
      <c r="O763" t="s">
        <v>3403</v>
      </c>
      <c r="P763" t="s">
        <v>3403</v>
      </c>
      <c r="R763" t="str">
        <f t="shared" si="23"/>
        <v>INSERT INTO stock (ticker, name, listing_date, sub_industry, industry, sector, status) VALUES ('RUNS', 'Global Sukses Solusi Tbk.', '2021-09-08', 'I131', 'I13', 'IDXTECHNO', (SELECT id FROM attribute WHERE type = 'STOCK_STATUS' AND code = 'LISTED')) ON CONFLICT DO NOTHING;</v>
      </c>
    </row>
    <row r="764" spans="1:18" x14ac:dyDescent="0.2">
      <c r="A764" t="s">
        <v>1063</v>
      </c>
      <c r="B764" t="s">
        <v>3665</v>
      </c>
      <c r="C764" s="1">
        <v>34561</v>
      </c>
      <c r="D764" s="1"/>
      <c r="E764" t="s">
        <v>1065</v>
      </c>
      <c r="F764" t="s">
        <v>28</v>
      </c>
      <c r="G764" t="s">
        <v>3489</v>
      </c>
      <c r="H764" t="s">
        <v>1063</v>
      </c>
      <c r="I764" t="s">
        <v>1064</v>
      </c>
      <c r="K764" t="s">
        <v>3470</v>
      </c>
      <c r="L764" t="s">
        <v>3471</v>
      </c>
      <c r="M764" t="str">
        <f t="shared" si="22"/>
        <v>K13</v>
      </c>
      <c r="N764" t="s">
        <v>3477</v>
      </c>
      <c r="O764" t="s">
        <v>3478</v>
      </c>
      <c r="P764" t="s">
        <v>3479</v>
      </c>
      <c r="R764" t="str">
        <f t="shared" si="23"/>
        <v>INSERT INTO stock (ticker, name, listing_date, sub_industry, industry, sector, status) VALUES ('SAFE', 'Steady Safe Tbk.', '1994-08-15', 'K132', 'K13', 'IDXTRANS', (SELECT id FROM attribute WHERE type = 'STOCK_STATUS' AND code = 'LISTED')) ON CONFLICT DO NOTHING;</v>
      </c>
    </row>
    <row r="765" spans="1:18" x14ac:dyDescent="0.2">
      <c r="A765" t="s">
        <v>2281</v>
      </c>
      <c r="B765" t="s">
        <v>2282</v>
      </c>
      <c r="C765" s="1">
        <v>44993</v>
      </c>
      <c r="D765" s="1"/>
      <c r="E765" t="s">
        <v>2283</v>
      </c>
      <c r="F765" t="s">
        <v>12</v>
      </c>
      <c r="G765" t="s">
        <v>3489</v>
      </c>
      <c r="H765" t="s">
        <v>2281</v>
      </c>
      <c r="I765" t="s">
        <v>3852</v>
      </c>
      <c r="K765" t="s">
        <v>3306</v>
      </c>
      <c r="L765" t="s">
        <v>3307</v>
      </c>
      <c r="M765" t="str">
        <f t="shared" si="22"/>
        <v>H11</v>
      </c>
      <c r="N765" t="s">
        <v>3308</v>
      </c>
      <c r="O765" t="s">
        <v>3309</v>
      </c>
      <c r="P765" t="s">
        <v>3310</v>
      </c>
      <c r="R765" t="str">
        <f t="shared" si="23"/>
        <v>INSERT INTO stock (ticker, name, listing_date, sub_industry, industry, sector, status) VALUES ('SAGE', 'Saptausaha Gemilangindah Tbk.', '2023-03-08', 'H111', 'H11', 'IDXPROPERT', (SELECT id FROM attribute WHERE type = 'STOCK_STATUS' AND code = 'LISTED')) ON CONFLICT DO NOTHING;</v>
      </c>
    </row>
    <row r="766" spans="1:18" x14ac:dyDescent="0.2">
      <c r="A766" t="s">
        <v>1066</v>
      </c>
      <c r="B766" t="s">
        <v>3666</v>
      </c>
      <c r="C766" s="1">
        <v>41285</v>
      </c>
      <c r="D766" s="1"/>
      <c r="E766" t="s">
        <v>1067</v>
      </c>
      <c r="F766" t="s">
        <v>8</v>
      </c>
      <c r="G766" t="s">
        <v>3489</v>
      </c>
      <c r="H766" t="s">
        <v>1066</v>
      </c>
      <c r="I766" t="s">
        <v>3209</v>
      </c>
      <c r="K766" t="s">
        <v>3199</v>
      </c>
      <c r="L766" t="s">
        <v>3200</v>
      </c>
      <c r="M766" t="str">
        <f t="shared" si="22"/>
        <v>F12</v>
      </c>
      <c r="N766" t="s">
        <v>3206</v>
      </c>
      <c r="O766" t="s">
        <v>3207</v>
      </c>
      <c r="P766" t="s">
        <v>3207</v>
      </c>
      <c r="R766" t="str">
        <f t="shared" si="23"/>
        <v>INSERT INTO stock (ticker, name, listing_date, sub_industry, industry, sector, status) VALUES ('SAME', 'Sarana Meditama Metropolitan Tbk.', '2013-01-11', 'F121', 'F12', 'IDXHEALTH', (SELECT id FROM attribute WHERE type = 'STOCK_STATUS' AND code = 'LISTED')) ON CONFLICT DO NOTHING;</v>
      </c>
    </row>
    <row r="767" spans="1:18" x14ac:dyDescent="0.2">
      <c r="A767" t="s">
        <v>1825</v>
      </c>
      <c r="B767" t="s">
        <v>3667</v>
      </c>
      <c r="C767" s="1">
        <v>43921</v>
      </c>
      <c r="D767" s="1"/>
      <c r="E767" t="s">
        <v>1827</v>
      </c>
      <c r="F767" t="s">
        <v>8</v>
      </c>
      <c r="G767" t="s">
        <v>3489</v>
      </c>
      <c r="H767" t="s">
        <v>1825</v>
      </c>
      <c r="I767" t="s">
        <v>1826</v>
      </c>
      <c r="K767" t="s">
        <v>2778</v>
      </c>
      <c r="L767" t="s">
        <v>2779</v>
      </c>
      <c r="M767" t="str">
        <f t="shared" si="22"/>
        <v>B11</v>
      </c>
      <c r="N767" t="s">
        <v>2789</v>
      </c>
      <c r="O767" t="s">
        <v>2781</v>
      </c>
      <c r="P767" t="s">
        <v>2790</v>
      </c>
      <c r="R767" t="str">
        <f t="shared" si="23"/>
        <v>INSERT INTO stock (ticker, name, listing_date, sub_industry, industry, sector, status) VALUES ('SAMF', 'Saraswanti Anugerah Makmur Tbk.', '2020-03-31', 'B112', 'B11', 'IDXBASIC', (SELECT id FROM attribute WHERE type = 'STOCK_STATUS' AND code = 'LISTED')) ON CONFLICT DO NOTHING;</v>
      </c>
    </row>
    <row r="768" spans="1:18" x14ac:dyDescent="0.2">
      <c r="A768" t="s">
        <v>1589</v>
      </c>
      <c r="B768" t="s">
        <v>1590</v>
      </c>
      <c r="C768" s="1">
        <v>43376</v>
      </c>
      <c r="D768" s="1"/>
      <c r="E768" t="s">
        <v>1591</v>
      </c>
      <c r="F768" t="s">
        <v>28</v>
      </c>
      <c r="G768" t="s">
        <v>3489</v>
      </c>
      <c r="H768" t="s">
        <v>1589</v>
      </c>
      <c r="I768" t="s">
        <v>1590</v>
      </c>
      <c r="K768" t="s">
        <v>3470</v>
      </c>
      <c r="L768" t="s">
        <v>3481</v>
      </c>
      <c r="M768" t="str">
        <f t="shared" si="22"/>
        <v>K21</v>
      </c>
      <c r="N768" t="s">
        <v>3482</v>
      </c>
      <c r="O768" t="s">
        <v>3481</v>
      </c>
      <c r="P768" t="s">
        <v>3481</v>
      </c>
      <c r="R768" t="str">
        <f t="shared" si="23"/>
        <v>INSERT INTO stock (ticker, name, listing_date, sub_industry, industry, sector, status) VALUES ('SAPX', 'Satria Antaran Prima Tbk.', '2018-10-03', 'K211', 'K21', 'IDXTRANS', (SELECT id FROM attribute WHERE type = 'STOCK_STATUS' AND code = 'LISTED')) ON CONFLICT DO NOTHING;</v>
      </c>
    </row>
    <row r="769" spans="1:18" x14ac:dyDescent="0.2">
      <c r="A769" t="s">
        <v>1614</v>
      </c>
      <c r="B769" t="s">
        <v>1615</v>
      </c>
      <c r="C769" s="1">
        <v>43409</v>
      </c>
      <c r="D769" s="1"/>
      <c r="E769" t="s">
        <v>1616</v>
      </c>
      <c r="F769" t="s">
        <v>28</v>
      </c>
      <c r="G769" t="s">
        <v>3489</v>
      </c>
      <c r="H769" t="s">
        <v>1614</v>
      </c>
      <c r="I769" t="s">
        <v>3372</v>
      </c>
      <c r="K769" t="s">
        <v>3306</v>
      </c>
      <c r="L769" t="s">
        <v>3307</v>
      </c>
      <c r="M769" t="str">
        <f t="shared" si="22"/>
        <v>H11</v>
      </c>
      <c r="N769" t="s">
        <v>3308</v>
      </c>
      <c r="O769" t="s">
        <v>3309</v>
      </c>
      <c r="P769" t="s">
        <v>3310</v>
      </c>
      <c r="R769" t="str">
        <f t="shared" si="23"/>
        <v>INSERT INTO stock (ticker, name, listing_date, sub_industry, industry, sector, status) VALUES ('SATU', 'Kota Satu Properti Tbk.', '2018-11-05', 'H111', 'H11', 'IDXPROPERT', (SELECT id FROM attribute WHERE type = 'STOCK_STATUS' AND code = 'LISTED')) ON CONFLICT DO NOTHING;</v>
      </c>
    </row>
    <row r="770" spans="1:18" x14ac:dyDescent="0.2">
      <c r="A770" t="s">
        <v>1828</v>
      </c>
      <c r="B770" t="s">
        <v>3668</v>
      </c>
      <c r="C770" s="1">
        <v>43929</v>
      </c>
      <c r="D770" s="1"/>
      <c r="E770" t="s">
        <v>1829</v>
      </c>
      <c r="F770" t="s">
        <v>12</v>
      </c>
      <c r="G770" t="s">
        <v>3489</v>
      </c>
      <c r="H770" t="s">
        <v>1828</v>
      </c>
      <c r="I770" t="s">
        <v>3668</v>
      </c>
      <c r="K770" t="s">
        <v>3039</v>
      </c>
      <c r="L770" t="s">
        <v>3077</v>
      </c>
      <c r="M770" t="str">
        <f t="shared" ref="M770:M833" si="24">LEFT(N770, 3)</f>
        <v>E41</v>
      </c>
      <c r="N770" t="s">
        <v>3088</v>
      </c>
      <c r="O770" t="s">
        <v>3077</v>
      </c>
      <c r="P770" t="s">
        <v>3089</v>
      </c>
      <c r="R770" t="str">
        <f t="shared" si="23"/>
        <v>INSERT INTO stock (ticker, name, listing_date, sub_industry, industry, sector, status) VALUES ('SBAT', 'Sejahtera Bintang Abadi Textile Tbk.', '2020-04-08', 'E413', 'E41', 'IDXCYCLIC', (SELECT id FROM attribute WHERE type = 'STOCK_STATUS' AND code = 'LISTED')) ON CONFLICT DO NOTHING;</v>
      </c>
    </row>
    <row r="771" spans="1:18" x14ac:dyDescent="0.2">
      <c r="A771" t="s">
        <v>2001</v>
      </c>
      <c r="B771" t="s">
        <v>3669</v>
      </c>
      <c r="C771" s="1">
        <v>44447</v>
      </c>
      <c r="D771" s="1"/>
      <c r="E771" t="s">
        <v>2003</v>
      </c>
      <c r="F771" t="s">
        <v>28</v>
      </c>
      <c r="G771" t="s">
        <v>3489</v>
      </c>
      <c r="H771" t="s">
        <v>2001</v>
      </c>
      <c r="I771" t="s">
        <v>2002</v>
      </c>
      <c r="K771" t="s">
        <v>2778</v>
      </c>
      <c r="L771" t="s">
        <v>2779</v>
      </c>
      <c r="M771" t="str">
        <f t="shared" si="24"/>
        <v>B11</v>
      </c>
      <c r="N771" t="s">
        <v>2780</v>
      </c>
      <c r="O771" t="s">
        <v>2781</v>
      </c>
      <c r="P771" t="s">
        <v>2782</v>
      </c>
      <c r="R771" t="str">
        <f t="shared" ref="R771:R834" si="25">CONCATENATE($R$1, A771, "', '", B771, "', '", TEXT(C771, "YYYY-MM-DD"), "', '", N771, "', '", M771, "', '", K771, "', ", $S$1, ") ON CONFLICT DO NOTHING;")</f>
        <v>INSERT INTO stock (ticker, name, listing_date, sub_industry, industry, sector, status) VALUES ('SBMA', 'Surya Biru Murni Acetylene Tbk.', '2021-09-08', 'B111', 'B11', 'IDXBASIC', (SELECT id FROM attribute WHERE type = 'STOCK_STATUS' AND code = 'LISTED')) ON CONFLICT DO NOTHING;</v>
      </c>
    </row>
    <row r="772" spans="1:18" x14ac:dyDescent="0.2">
      <c r="A772" t="s">
        <v>1068</v>
      </c>
      <c r="B772" t="s">
        <v>3670</v>
      </c>
      <c r="C772" s="1">
        <v>30152</v>
      </c>
      <c r="D772" s="1"/>
      <c r="E772" t="s">
        <v>1069</v>
      </c>
      <c r="F772" t="s">
        <v>28</v>
      </c>
      <c r="G772" t="s">
        <v>3489</v>
      </c>
      <c r="H772" t="s">
        <v>1068</v>
      </c>
      <c r="I772" t="s">
        <v>2895</v>
      </c>
      <c r="K772" t="s">
        <v>2874</v>
      </c>
      <c r="L772" t="s">
        <v>2875</v>
      </c>
      <c r="M772" t="str">
        <f t="shared" si="24"/>
        <v>C13</v>
      </c>
      <c r="N772" t="s">
        <v>2888</v>
      </c>
      <c r="O772" t="s">
        <v>2889</v>
      </c>
      <c r="P772" t="s">
        <v>2890</v>
      </c>
      <c r="R772" t="str">
        <f t="shared" si="25"/>
        <v>INSERT INTO stock (ticker, name, listing_date, sub_industry, industry, sector, status) VALUES ('SCCO', 'SUCACO Tbk.', '1982-07-20', 'C131', 'C13', 'IDXINDUST', (SELECT id FROM attribute WHERE type = 'STOCK_STATUS' AND code = 'LISTED')) ON CONFLICT DO NOTHING;</v>
      </c>
    </row>
    <row r="773" spans="1:18" x14ac:dyDescent="0.2">
      <c r="A773" t="s">
        <v>1070</v>
      </c>
      <c r="B773" t="s">
        <v>1071</v>
      </c>
      <c r="C773" s="1">
        <v>37453</v>
      </c>
      <c r="D773" s="1"/>
      <c r="E773" t="s">
        <v>1072</v>
      </c>
      <c r="F773" t="s">
        <v>8</v>
      </c>
      <c r="G773" t="s">
        <v>3489</v>
      </c>
      <c r="H773" t="s">
        <v>1070</v>
      </c>
      <c r="I773" t="s">
        <v>3155</v>
      </c>
      <c r="K773" t="s">
        <v>3039</v>
      </c>
      <c r="L773" t="s">
        <v>3145</v>
      </c>
      <c r="M773" t="str">
        <f t="shared" si="24"/>
        <v>E61</v>
      </c>
      <c r="N773" t="s">
        <v>3151</v>
      </c>
      <c r="O773" t="s">
        <v>3147</v>
      </c>
      <c r="P773" t="s">
        <v>3152</v>
      </c>
      <c r="R773" t="str">
        <f t="shared" si="25"/>
        <v>INSERT INTO stock (ticker, name, listing_date, sub_industry, industry, sector, status) VALUES ('SCMA', 'Surya Citra Media Tbk.', '2002-07-16', 'E612', 'E61', 'IDXCYCLIC', (SELECT id FROM attribute WHERE type = 'STOCK_STATUS' AND code = 'LISTED')) ON CONFLICT DO NOTHING;</v>
      </c>
    </row>
    <row r="774" spans="1:18" x14ac:dyDescent="0.2">
      <c r="A774" t="s">
        <v>1877</v>
      </c>
      <c r="B774" t="s">
        <v>3671</v>
      </c>
      <c r="C774" s="1">
        <v>44081</v>
      </c>
      <c r="D774" s="1"/>
      <c r="E774" t="s">
        <v>544</v>
      </c>
      <c r="F774" t="s">
        <v>28</v>
      </c>
      <c r="G774" t="s">
        <v>3489</v>
      </c>
      <c r="H774" t="s">
        <v>1877</v>
      </c>
      <c r="I774" t="s">
        <v>3064</v>
      </c>
      <c r="K774" t="s">
        <v>3039</v>
      </c>
      <c r="L774" t="s">
        <v>3055</v>
      </c>
      <c r="M774" t="str">
        <f t="shared" si="24"/>
        <v>E21</v>
      </c>
      <c r="N774" t="s">
        <v>3065</v>
      </c>
      <c r="O774" t="s">
        <v>3055</v>
      </c>
      <c r="P774" t="s">
        <v>3066</v>
      </c>
      <c r="R774" t="str">
        <f t="shared" si="25"/>
        <v>INSERT INTO stock (ticker, name, listing_date, sub_industry, industry, sector, status) VALUES ('SCNP', 'Selaras Citra Nusantara Perkasa Tbk.', '2020-09-07', 'E212', 'E21', 'IDXCYCLIC', (SELECT id FROM attribute WHERE type = 'STOCK_STATUS' AND code = 'LISTED')) ON CONFLICT DO NOTHING;</v>
      </c>
    </row>
    <row r="775" spans="1:18" x14ac:dyDescent="0.2">
      <c r="A775" t="s">
        <v>1073</v>
      </c>
      <c r="B775" t="s">
        <v>1074</v>
      </c>
      <c r="C775" s="1">
        <v>33032</v>
      </c>
      <c r="D775" s="1"/>
      <c r="E775" t="s">
        <v>1075</v>
      </c>
      <c r="F775" t="s">
        <v>12</v>
      </c>
      <c r="G775" t="s">
        <v>3489</v>
      </c>
      <c r="H775" t="s">
        <v>1073</v>
      </c>
      <c r="I775" t="s">
        <v>3220</v>
      </c>
      <c r="K775" t="s">
        <v>3199</v>
      </c>
      <c r="L775" t="s">
        <v>3212</v>
      </c>
      <c r="M775" t="str">
        <f t="shared" si="24"/>
        <v>F21</v>
      </c>
      <c r="N775" t="s">
        <v>3213</v>
      </c>
      <c r="O775" t="s">
        <v>3214</v>
      </c>
      <c r="P775" t="s">
        <v>3214</v>
      </c>
      <c r="R775" t="str">
        <f t="shared" si="25"/>
        <v>INSERT INTO stock (ticker, name, listing_date, sub_industry, industry, sector, status) VALUES ('SCPI', 'Organon Pharma Indonesia Tbk.', '1990-06-08', 'F211', 'F21', 'IDXHEALTH', (SELECT id FROM attribute WHERE type = 'STOCK_STATUS' AND code = 'LISTED')) ON CONFLICT DO NOTHING;</v>
      </c>
    </row>
    <row r="776" spans="1:18" x14ac:dyDescent="0.2">
      <c r="A776" t="s">
        <v>1076</v>
      </c>
      <c r="B776" t="s">
        <v>1077</v>
      </c>
      <c r="C776" s="1">
        <v>40736</v>
      </c>
      <c r="D776" s="1"/>
      <c r="E776" t="s">
        <v>1078</v>
      </c>
      <c r="F776" t="s">
        <v>28</v>
      </c>
      <c r="G776" t="s">
        <v>3489</v>
      </c>
      <c r="H776" t="s">
        <v>1076</v>
      </c>
      <c r="I776" t="s">
        <v>3486</v>
      </c>
      <c r="K776" t="s">
        <v>3470</v>
      </c>
      <c r="L776" t="s">
        <v>3481</v>
      </c>
      <c r="M776" t="str">
        <f t="shared" si="24"/>
        <v>K21</v>
      </c>
      <c r="N776" t="s">
        <v>3482</v>
      </c>
      <c r="O776" t="s">
        <v>3481</v>
      </c>
      <c r="P776" t="s">
        <v>3481</v>
      </c>
      <c r="R776" t="str">
        <f t="shared" si="25"/>
        <v>INSERT INTO stock (ticker, name, listing_date, sub_industry, industry, sector, status) VALUES ('SDMU', 'Sidomulyo Selaras Tbk.', '2011-07-12', 'K211', 'K21', 'IDXTRANS', (SELECT id FROM attribute WHERE type = 'STOCK_STATUS' AND code = 'LISTED')) ON CONFLICT DO NOTHING;</v>
      </c>
    </row>
    <row r="777" spans="1:18" x14ac:dyDescent="0.2">
      <c r="A777" t="s">
        <v>1079</v>
      </c>
      <c r="B777" t="s">
        <v>3672</v>
      </c>
      <c r="C777" s="1">
        <v>33000</v>
      </c>
      <c r="D777" s="1"/>
      <c r="E777" t="s">
        <v>1080</v>
      </c>
      <c r="F777" t="s">
        <v>28</v>
      </c>
      <c r="G777" t="s">
        <v>3489</v>
      </c>
      <c r="H777" t="s">
        <v>1079</v>
      </c>
      <c r="I777" t="s">
        <v>2949</v>
      </c>
      <c r="K777" t="s">
        <v>2945</v>
      </c>
      <c r="L777" t="s">
        <v>2946</v>
      </c>
      <c r="M777" t="str">
        <f t="shared" si="24"/>
        <v>D11</v>
      </c>
      <c r="N777" t="s">
        <v>2947</v>
      </c>
      <c r="O777" t="s">
        <v>2946</v>
      </c>
      <c r="P777" t="s">
        <v>2948</v>
      </c>
      <c r="R777" t="str">
        <f t="shared" si="25"/>
        <v>INSERT INTO stock (ticker, name, listing_date, sub_industry, industry, sector, status) VALUES ('SDPC', 'Millennium Pharmacon International Tbk.', '1990-05-07', 'D111', 'D11', 'IDXNONCYC', (SELECT id FROM attribute WHERE type = 'STOCK_STATUS' AND code = 'LISTED')) ON CONFLICT DO NOTHING;</v>
      </c>
    </row>
    <row r="778" spans="1:18" x14ac:dyDescent="0.2">
      <c r="A778" t="s">
        <v>1081</v>
      </c>
      <c r="B778" t="s">
        <v>3673</v>
      </c>
      <c r="C778" s="1">
        <v>39066</v>
      </c>
      <c r="D778" s="1"/>
      <c r="E778" t="s">
        <v>1082</v>
      </c>
      <c r="F778" t="s">
        <v>28</v>
      </c>
      <c r="G778" t="s">
        <v>3489</v>
      </c>
      <c r="H778" t="s">
        <v>1081</v>
      </c>
      <c r="I778" t="s">
        <v>3853</v>
      </c>
      <c r="K778" t="s">
        <v>3224</v>
      </c>
      <c r="L778" t="s">
        <v>3225</v>
      </c>
      <c r="M778" t="str">
        <f t="shared" si="24"/>
        <v>G11</v>
      </c>
      <c r="N778" t="s">
        <v>3226</v>
      </c>
      <c r="O778" t="s">
        <v>3225</v>
      </c>
      <c r="P778" t="s">
        <v>3225</v>
      </c>
      <c r="R778" t="str">
        <f t="shared" si="25"/>
        <v>INSERT INTO stock (ticker, name, listing_date, sub_industry, industry, sector, status) VALUES ('SDRA', 'Bank Woori Saudara Indonesia 1906 Tbk.', '2006-12-15', 'G111', 'G11', 'IDXFINANCE', (SELECT id FROM attribute WHERE type = 'STOCK_STATUS' AND code = 'LISTED')) ON CONFLICT DO NOTHING;</v>
      </c>
    </row>
    <row r="779" spans="1:18" x14ac:dyDescent="0.2">
      <c r="A779" t="s">
        <v>2062</v>
      </c>
      <c r="B779" t="s">
        <v>2063</v>
      </c>
      <c r="C779" s="1">
        <v>44571</v>
      </c>
      <c r="D779" s="1"/>
      <c r="E779" t="s">
        <v>2064</v>
      </c>
      <c r="F779" t="s">
        <v>28</v>
      </c>
      <c r="G779" t="s">
        <v>3489</v>
      </c>
      <c r="H779" t="s">
        <v>2062</v>
      </c>
      <c r="I779" t="s">
        <v>2775</v>
      </c>
      <c r="K779" t="s">
        <v>2701</v>
      </c>
      <c r="L779" t="s">
        <v>2772</v>
      </c>
      <c r="M779" t="str">
        <f t="shared" si="24"/>
        <v>A21</v>
      </c>
      <c r="N779" t="s">
        <v>2773</v>
      </c>
      <c r="O779" t="s">
        <v>2774</v>
      </c>
      <c r="P779" t="s">
        <v>2774</v>
      </c>
      <c r="R779" t="str">
        <f t="shared" si="25"/>
        <v>INSERT INTO stock (ticker, name, listing_date, sub_industry, industry, sector, status) VALUES ('SEMA', 'Semacom Integrated Tbk.', '2022-01-10', 'A211', 'A21', 'IDXENERGY', (SELECT id FROM attribute WHERE type = 'STOCK_STATUS' AND code = 'LISTED')) ON CONFLICT DO NOTHING;</v>
      </c>
    </row>
    <row r="780" spans="1:18" x14ac:dyDescent="0.2">
      <c r="A780" t="s">
        <v>1682</v>
      </c>
      <c r="B780" t="s">
        <v>1683</v>
      </c>
      <c r="C780" s="1">
        <v>43635</v>
      </c>
      <c r="D780" s="1"/>
      <c r="E780" t="s">
        <v>1684</v>
      </c>
      <c r="F780" t="s">
        <v>28</v>
      </c>
      <c r="G780" t="s">
        <v>3489</v>
      </c>
      <c r="H780" t="s">
        <v>1682</v>
      </c>
      <c r="I780" t="s">
        <v>3299</v>
      </c>
      <c r="K780" t="s">
        <v>3224</v>
      </c>
      <c r="L780" t="s">
        <v>3289</v>
      </c>
      <c r="M780" t="str">
        <f t="shared" si="24"/>
        <v>G51</v>
      </c>
      <c r="N780" t="s">
        <v>3290</v>
      </c>
      <c r="O780" t="s">
        <v>3289</v>
      </c>
      <c r="P780" t="s">
        <v>3291</v>
      </c>
      <c r="R780" t="str">
        <f t="shared" si="25"/>
        <v>INSERT INTO stock (ticker, name, listing_date, sub_industry, industry, sector, status) VALUES ('SFAN', 'Surya Fajar Capital Tbk.', '2019-06-19', 'G511', 'G51', 'IDXFINANCE', (SELECT id FROM attribute WHERE type = 'STOCK_STATUS' AND code = 'LISTED')) ON CONFLICT DO NOTHING;</v>
      </c>
    </row>
    <row r="781" spans="1:18" x14ac:dyDescent="0.2">
      <c r="A781" t="s">
        <v>1868</v>
      </c>
      <c r="B781" t="s">
        <v>1869</v>
      </c>
      <c r="C781" s="1">
        <v>44053</v>
      </c>
      <c r="D781" s="1"/>
      <c r="E781" t="s">
        <v>1870</v>
      </c>
      <c r="F781" t="s">
        <v>8</v>
      </c>
      <c r="G781" t="s">
        <v>3489</v>
      </c>
      <c r="H781" t="s">
        <v>1868</v>
      </c>
      <c r="I781" t="s">
        <v>2754</v>
      </c>
      <c r="K781" t="s">
        <v>2701</v>
      </c>
      <c r="L781" t="s">
        <v>2702</v>
      </c>
      <c r="M781" t="str">
        <f t="shared" si="24"/>
        <v>A12</v>
      </c>
      <c r="N781" t="s">
        <v>2742</v>
      </c>
      <c r="O781" t="s">
        <v>2724</v>
      </c>
      <c r="P781" t="s">
        <v>2743</v>
      </c>
      <c r="R781" t="str">
        <f t="shared" si="25"/>
        <v>INSERT INTO stock (ticker, name, listing_date, sub_industry, industry, sector, status) VALUES ('SGER', 'Sumber Global Energy Tbk.', '2020-08-10', 'A122', 'A12', 'IDXENERGY', (SELECT id FROM attribute WHERE type = 'STOCK_STATUS' AND code = 'LISTED')) ON CONFLICT DO NOTHING;</v>
      </c>
    </row>
    <row r="782" spans="1:18" x14ac:dyDescent="0.2">
      <c r="A782" t="s">
        <v>1083</v>
      </c>
      <c r="B782" t="s">
        <v>1084</v>
      </c>
      <c r="C782" s="1">
        <v>39251</v>
      </c>
      <c r="D782" s="1"/>
      <c r="E782" t="s">
        <v>1085</v>
      </c>
      <c r="F782" t="s">
        <v>8</v>
      </c>
      <c r="G782" t="s">
        <v>3489</v>
      </c>
      <c r="H782" t="s">
        <v>1083</v>
      </c>
      <c r="I782" t="s">
        <v>1084</v>
      </c>
      <c r="K782" t="s">
        <v>2945</v>
      </c>
      <c r="L782" t="s">
        <v>2961</v>
      </c>
      <c r="M782" t="str">
        <f t="shared" si="24"/>
        <v>D23</v>
      </c>
      <c r="N782" t="s">
        <v>3013</v>
      </c>
      <c r="O782" t="s">
        <v>2999</v>
      </c>
      <c r="P782" t="s">
        <v>3014</v>
      </c>
      <c r="R782" t="str">
        <f t="shared" si="25"/>
        <v>INSERT INTO stock (ticker, name, listing_date, sub_industry, industry, sector, status) VALUES ('SGRO', 'Prime Agri Resources Tbk.', '2007-06-18', 'D232', 'D23', 'IDXNONCYC', (SELECT id FROM attribute WHERE type = 'STOCK_STATUS' AND code = 'LISTED')) ON CONFLICT DO NOTHING;</v>
      </c>
    </row>
    <row r="783" spans="1:18" x14ac:dyDescent="0.2">
      <c r="A783" t="s">
        <v>1086</v>
      </c>
      <c r="B783" t="s">
        <v>3674</v>
      </c>
      <c r="C783" s="1">
        <v>33001</v>
      </c>
      <c r="D783" s="1"/>
      <c r="E783" t="s">
        <v>1087</v>
      </c>
      <c r="F783" t="s">
        <v>28</v>
      </c>
      <c r="G783" t="s">
        <v>3489</v>
      </c>
      <c r="H783" t="s">
        <v>1086</v>
      </c>
      <c r="I783" t="s">
        <v>3116</v>
      </c>
      <c r="K783" t="s">
        <v>3039</v>
      </c>
      <c r="L783" t="s">
        <v>3092</v>
      </c>
      <c r="M783" t="str">
        <f t="shared" si="24"/>
        <v>E51</v>
      </c>
      <c r="N783" t="s">
        <v>3093</v>
      </c>
      <c r="O783" t="s">
        <v>3094</v>
      </c>
      <c r="P783" t="s">
        <v>3095</v>
      </c>
      <c r="R783" t="str">
        <f t="shared" si="25"/>
        <v>INSERT INTO stock (ticker, name, listing_date, sub_industry, industry, sector, status) VALUES ('SHID', 'Hotel Sahid Jaya International Tbk.', '1990-05-08', 'E512', 'E51', 'IDXCYCLIC', (SELECT id FROM attribute WHERE type = 'STOCK_STATUS' AND code = 'LISTED')) ON CONFLICT DO NOTHING;</v>
      </c>
    </row>
    <row r="784" spans="1:18" x14ac:dyDescent="0.2">
      <c r="A784" t="s">
        <v>1342</v>
      </c>
      <c r="B784" t="s">
        <v>1343</v>
      </c>
      <c r="C784" s="1">
        <v>42537</v>
      </c>
      <c r="D784" s="1"/>
      <c r="E784" t="s">
        <v>1344</v>
      </c>
      <c r="F784" t="s">
        <v>8</v>
      </c>
      <c r="G784" t="s">
        <v>3489</v>
      </c>
      <c r="H784" t="s">
        <v>1342</v>
      </c>
      <c r="I784" t="s">
        <v>2721</v>
      </c>
      <c r="K784" t="s">
        <v>2701</v>
      </c>
      <c r="L784" t="s">
        <v>2702</v>
      </c>
      <c r="M784" t="str">
        <f t="shared" si="24"/>
        <v>A11</v>
      </c>
      <c r="N784" t="s">
        <v>2710</v>
      </c>
      <c r="O784" t="s">
        <v>2704</v>
      </c>
      <c r="P784" t="s">
        <v>2711</v>
      </c>
      <c r="R784" t="str">
        <f t="shared" si="25"/>
        <v>INSERT INTO stock (ticker, name, listing_date, sub_industry, industry, sector, status) VALUES ('SHIP', 'Sillo Maritime Perdana Tbk.', '2016-06-16', 'A112', 'A11', 'IDXENERGY', (SELECT id FROM attribute WHERE type = 'STOCK_STATUS' AND code = 'LISTED')) ON CONFLICT DO NOTHING;</v>
      </c>
    </row>
    <row r="785" spans="1:18" x14ac:dyDescent="0.2">
      <c r="A785" t="s">
        <v>2094</v>
      </c>
      <c r="B785" t="s">
        <v>2095</v>
      </c>
      <c r="C785" s="1">
        <v>44659</v>
      </c>
      <c r="D785" s="1"/>
      <c r="E785" t="s">
        <v>2096</v>
      </c>
      <c r="F785" t="s">
        <v>28</v>
      </c>
      <c r="G785" t="s">
        <v>3489</v>
      </c>
      <c r="H785" t="s">
        <v>2094</v>
      </c>
      <c r="I785" t="s">
        <v>3854</v>
      </c>
      <c r="K785" t="s">
        <v>2701</v>
      </c>
      <c r="L785" t="s">
        <v>2702</v>
      </c>
      <c r="M785" t="str">
        <f t="shared" si="24"/>
        <v>A13</v>
      </c>
      <c r="N785" t="s">
        <v>2763</v>
      </c>
      <c r="O785" t="s">
        <v>2760</v>
      </c>
      <c r="P785" t="s">
        <v>2764</v>
      </c>
      <c r="R785" t="str">
        <f t="shared" si="25"/>
        <v>INSERT INTO stock (ticker, name, listing_date, sub_industry, industry, sector, status) VALUES ('SICO', 'Sigma Energy Compressindo Tbk.', '2022-04-08', 'A132', 'A13', 'IDXENERGY', (SELECT id FROM attribute WHERE type = 'STOCK_STATUS' AND code = 'LISTED')) ON CONFLICT DO NOTHING;</v>
      </c>
    </row>
    <row r="786" spans="1:18" x14ac:dyDescent="0.2">
      <c r="A786" t="s">
        <v>1088</v>
      </c>
      <c r="B786" t="s">
        <v>3675</v>
      </c>
      <c r="C786" s="1">
        <v>41626</v>
      </c>
      <c r="D786" s="1"/>
      <c r="E786" t="s">
        <v>1089</v>
      </c>
      <c r="F786" t="s">
        <v>8</v>
      </c>
      <c r="G786" t="s">
        <v>3489</v>
      </c>
      <c r="H786" t="s">
        <v>1088</v>
      </c>
      <c r="I786" t="s">
        <v>3221</v>
      </c>
      <c r="K786" t="s">
        <v>3199</v>
      </c>
      <c r="L786" t="s">
        <v>3212</v>
      </c>
      <c r="M786" t="str">
        <f t="shared" si="24"/>
        <v>F21</v>
      </c>
      <c r="N786" t="s">
        <v>3213</v>
      </c>
      <c r="O786" t="s">
        <v>3214</v>
      </c>
      <c r="P786" t="s">
        <v>3214</v>
      </c>
      <c r="R786" t="str">
        <f t="shared" si="25"/>
        <v>INSERT INTO stock (ticker, name, listing_date, sub_industry, industry, sector, status) VALUES ('SIDO', 'Industri Jamu dan Farmasi Sido Muncul Tbk.', '2013-12-18', 'F211', 'F21', 'IDXHEALTH', (SELECT id FROM attribute WHERE type = 'STOCK_STATUS' AND code = 'LISTED')) ON CONFLICT DO NOTHING;</v>
      </c>
    </row>
    <row r="787" spans="1:18" x14ac:dyDescent="0.2">
      <c r="A787" t="s">
        <v>1090</v>
      </c>
      <c r="B787" t="s">
        <v>3676</v>
      </c>
      <c r="C787" s="1">
        <v>41529</v>
      </c>
      <c r="D787" s="1"/>
      <c r="E787" t="s">
        <v>1091</v>
      </c>
      <c r="F787" t="s">
        <v>8</v>
      </c>
      <c r="G787" t="s">
        <v>3489</v>
      </c>
      <c r="H787" t="s">
        <v>1090</v>
      </c>
      <c r="I787" t="s">
        <v>3676</v>
      </c>
      <c r="K787" t="s">
        <v>3199</v>
      </c>
      <c r="L787" t="s">
        <v>3200</v>
      </c>
      <c r="M787" t="str">
        <f t="shared" si="24"/>
        <v>F12</v>
      </c>
      <c r="N787" t="s">
        <v>3206</v>
      </c>
      <c r="O787" t="s">
        <v>3207</v>
      </c>
      <c r="P787" t="s">
        <v>3207</v>
      </c>
      <c r="R787" t="str">
        <f t="shared" si="25"/>
        <v>INSERT INTO stock (ticker, name, listing_date, sub_industry, industry, sector, status) VALUES ('SILO', 'Siloam International Hospitals Tbk.', '2013-09-12', 'F121', 'F12', 'IDXHEALTH', (SELECT id FROM attribute WHERE type = 'STOCK_STATUS' AND code = 'LISTED')) ON CONFLICT DO NOTHING;</v>
      </c>
    </row>
    <row r="788" spans="1:18" x14ac:dyDescent="0.2">
      <c r="A788" t="s">
        <v>1092</v>
      </c>
      <c r="B788" t="s">
        <v>3677</v>
      </c>
      <c r="C788" s="1">
        <v>34488</v>
      </c>
      <c r="D788" s="1"/>
      <c r="E788" t="s">
        <v>1094</v>
      </c>
      <c r="F788" t="s">
        <v>12</v>
      </c>
      <c r="G788" t="s">
        <v>3489</v>
      </c>
      <c r="H788" t="s">
        <v>1092</v>
      </c>
      <c r="I788" t="s">
        <v>1093</v>
      </c>
      <c r="K788" t="s">
        <v>2778</v>
      </c>
      <c r="L788" t="s">
        <v>2779</v>
      </c>
      <c r="M788" t="str">
        <f t="shared" si="24"/>
        <v>B13</v>
      </c>
      <c r="N788" t="s">
        <v>2812</v>
      </c>
      <c r="O788" t="s">
        <v>2813</v>
      </c>
      <c r="P788" t="s">
        <v>2813</v>
      </c>
      <c r="R788" t="str">
        <f t="shared" si="25"/>
        <v>INSERT INTO stock (ticker, name, listing_date, sub_industry, industry, sector, status) VALUES ('SIMA', 'Siwani Makmur Tbk.', '1994-06-03', 'B131', 'B13', 'IDXBASIC', (SELECT id FROM attribute WHERE type = 'STOCK_STATUS' AND code = 'LISTED')) ON CONFLICT DO NOTHING;</v>
      </c>
    </row>
    <row r="789" spans="1:18" x14ac:dyDescent="0.2">
      <c r="A789" t="s">
        <v>1095</v>
      </c>
      <c r="B789" t="s">
        <v>1096</v>
      </c>
      <c r="C789" s="1">
        <v>40703</v>
      </c>
      <c r="D789" s="1"/>
      <c r="E789" t="s">
        <v>1097</v>
      </c>
      <c r="F789" t="s">
        <v>8</v>
      </c>
      <c r="G789" t="s">
        <v>3489</v>
      </c>
      <c r="H789" t="s">
        <v>1095</v>
      </c>
      <c r="I789" t="s">
        <v>3024</v>
      </c>
      <c r="K789" t="s">
        <v>2945</v>
      </c>
      <c r="L789" t="s">
        <v>2961</v>
      </c>
      <c r="M789" t="str">
        <f t="shared" si="24"/>
        <v>D23</v>
      </c>
      <c r="N789" t="s">
        <v>3013</v>
      </c>
      <c r="O789" t="s">
        <v>2999</v>
      </c>
      <c r="P789" t="s">
        <v>3014</v>
      </c>
      <c r="R789" t="str">
        <f t="shared" si="25"/>
        <v>INSERT INTO stock (ticker, name, listing_date, sub_industry, industry, sector, status) VALUES ('SIMP', 'Salim Ivomas Pratama Tbk.', '2011-06-09', 'D232', 'D23', 'IDXNONCYC', (SELECT id FROM attribute WHERE type = 'STOCK_STATUS' AND code = 'LISTED')) ON CONFLICT DO NOTHING;</v>
      </c>
    </row>
    <row r="790" spans="1:18" x14ac:dyDescent="0.2">
      <c r="A790" t="s">
        <v>1756</v>
      </c>
      <c r="B790" t="s">
        <v>1757</v>
      </c>
      <c r="C790" s="1">
        <v>43777</v>
      </c>
      <c r="D790" s="1"/>
      <c r="E790" t="s">
        <v>1758</v>
      </c>
      <c r="F790" t="s">
        <v>12</v>
      </c>
      <c r="G790" t="s">
        <v>3489</v>
      </c>
      <c r="H790" t="s">
        <v>1756</v>
      </c>
      <c r="I790" t="s">
        <v>2884</v>
      </c>
      <c r="K790" t="s">
        <v>2874</v>
      </c>
      <c r="L790" t="s">
        <v>2875</v>
      </c>
      <c r="M790" t="str">
        <f t="shared" si="24"/>
        <v>C12</v>
      </c>
      <c r="N790" t="s">
        <v>2876</v>
      </c>
      <c r="O790" t="s">
        <v>2877</v>
      </c>
      <c r="P790" t="s">
        <v>2877</v>
      </c>
      <c r="R790" t="str">
        <f t="shared" si="25"/>
        <v>INSERT INTO stock (ticker, name, listing_date, sub_industry, industry, sector, status) VALUES ('SINI', 'Singaraja Putra Tbk.', '2019-11-08', 'C121', 'C12', 'IDXINDUST', (SELECT id FROM attribute WHERE type = 'STOCK_STATUS' AND code = 'LISTED')) ON CONFLICT DO NOTHING;</v>
      </c>
    </row>
    <row r="791" spans="1:18" x14ac:dyDescent="0.2">
      <c r="A791" t="s">
        <v>1098</v>
      </c>
      <c r="B791" t="s">
        <v>1099</v>
      </c>
      <c r="C791" s="1">
        <v>35426</v>
      </c>
      <c r="D791" s="1"/>
      <c r="E791" t="s">
        <v>1100</v>
      </c>
      <c r="F791" t="s">
        <v>28</v>
      </c>
      <c r="G791" t="s">
        <v>3489</v>
      </c>
      <c r="H791" t="s">
        <v>1098</v>
      </c>
      <c r="I791" t="s">
        <v>3009</v>
      </c>
      <c r="K791" t="s">
        <v>2945</v>
      </c>
      <c r="L791" t="s">
        <v>2961</v>
      </c>
      <c r="M791" t="str">
        <f t="shared" si="24"/>
        <v>D23</v>
      </c>
      <c r="N791" t="s">
        <v>2998</v>
      </c>
      <c r="O791" t="s">
        <v>2999</v>
      </c>
      <c r="P791" t="s">
        <v>3000</v>
      </c>
      <c r="R791" t="str">
        <f t="shared" si="25"/>
        <v>INSERT INTO stock (ticker, name, listing_date, sub_industry, industry, sector, status) VALUES ('SIPD', 'Sreeya Sewu Indonesia Tbk.', '1996-12-27', 'D231', 'D23', 'IDXNONCYC', (SELECT id FROM attribute WHERE type = 'STOCK_STATUS' AND code = 'LISTED')) ON CONFLICT DO NOTHING;</v>
      </c>
    </row>
    <row r="792" spans="1:18" x14ac:dyDescent="0.2">
      <c r="A792" t="s">
        <v>1101</v>
      </c>
      <c r="B792" t="s">
        <v>1102</v>
      </c>
      <c r="C792" s="1">
        <v>41180</v>
      </c>
      <c r="D792" s="1"/>
      <c r="E792" t="s">
        <v>1103</v>
      </c>
      <c r="F792" t="s">
        <v>28</v>
      </c>
      <c r="G792" t="s">
        <v>3489</v>
      </c>
      <c r="H792" t="s">
        <v>1101</v>
      </c>
      <c r="I792" t="s">
        <v>2991</v>
      </c>
      <c r="K792" t="s">
        <v>2945</v>
      </c>
      <c r="L792" t="s">
        <v>2961</v>
      </c>
      <c r="M792" t="str">
        <f t="shared" si="24"/>
        <v>D22</v>
      </c>
      <c r="N792" t="s">
        <v>2978</v>
      </c>
      <c r="O792" t="s">
        <v>2973</v>
      </c>
      <c r="P792" t="s">
        <v>2973</v>
      </c>
      <c r="R792" t="str">
        <f t="shared" si="25"/>
        <v>INSERT INTO stock (ticker, name, listing_date, sub_industry, industry, sector, status) VALUES ('SKBM', 'Sekar Bumi Tbk.', '2012-09-28', 'D222', 'D22', 'IDXNONCYC', (SELECT id FROM attribute WHERE type = 'STOCK_STATUS' AND code = 'LISTED')) ON CONFLICT DO NOTHING;</v>
      </c>
    </row>
    <row r="793" spans="1:18" x14ac:dyDescent="0.2">
      <c r="A793" t="s">
        <v>1104</v>
      </c>
      <c r="B793" t="s">
        <v>1105</v>
      </c>
      <c r="C793" s="1">
        <v>34220</v>
      </c>
      <c r="D793" s="1"/>
      <c r="E793" t="s">
        <v>1106</v>
      </c>
      <c r="F793" t="s">
        <v>28</v>
      </c>
      <c r="G793" t="s">
        <v>3489</v>
      </c>
      <c r="H793" t="s">
        <v>1104</v>
      </c>
      <c r="I793" t="s">
        <v>2992</v>
      </c>
      <c r="K793" t="s">
        <v>2945</v>
      </c>
      <c r="L793" t="s">
        <v>2961</v>
      </c>
      <c r="M793" t="str">
        <f t="shared" si="24"/>
        <v>D22</v>
      </c>
      <c r="N793" t="s">
        <v>2978</v>
      </c>
      <c r="O793" t="s">
        <v>2973</v>
      </c>
      <c r="P793" t="s">
        <v>2973</v>
      </c>
      <c r="R793" t="str">
        <f t="shared" si="25"/>
        <v>INSERT INTO stock (ticker, name, listing_date, sub_industry, industry, sector, status) VALUES ('SKLT', 'Sekar Laut Tbk.', '1993-09-08', 'D222', 'D22', 'IDXNONCYC', (SELECT id FROM attribute WHERE type = 'STOCK_STATUS' AND code = 'LISTED')) ON CONFLICT DO NOTHING;</v>
      </c>
    </row>
    <row r="794" spans="1:18" x14ac:dyDescent="0.2">
      <c r="A794" t="s">
        <v>1606</v>
      </c>
      <c r="B794" t="s">
        <v>1607</v>
      </c>
      <c r="C794" s="1">
        <v>43384</v>
      </c>
      <c r="D794" s="1"/>
      <c r="E794" t="s">
        <v>1481</v>
      </c>
      <c r="F794" t="s">
        <v>8</v>
      </c>
      <c r="G794" t="s">
        <v>3489</v>
      </c>
      <c r="H794" t="s">
        <v>1606</v>
      </c>
      <c r="I794" t="s">
        <v>2905</v>
      </c>
      <c r="K794" t="s">
        <v>2874</v>
      </c>
      <c r="L794" t="s">
        <v>2875</v>
      </c>
      <c r="M794" t="str">
        <f t="shared" si="24"/>
        <v>C14</v>
      </c>
      <c r="N794" t="s">
        <v>2898</v>
      </c>
      <c r="O794" t="s">
        <v>2899</v>
      </c>
      <c r="P794" t="s">
        <v>2900</v>
      </c>
      <c r="R794" t="str">
        <f t="shared" si="25"/>
        <v>INSERT INTO stock (ticker, name, listing_date, sub_industry, industry, sector, status) VALUES ('SKRN', 'Superkrane Mitra Utama Tbk.', '2018-10-11', 'C141', 'C14', 'IDXINDUST', (SELECT id FROM attribute WHERE type = 'STOCK_STATUS' AND code = 'LISTED')) ON CONFLICT DO NOTHING;</v>
      </c>
    </row>
    <row r="795" spans="1:18" x14ac:dyDescent="0.2">
      <c r="A795" t="s">
        <v>1107</v>
      </c>
      <c r="B795" t="s">
        <v>3678</v>
      </c>
      <c r="C795" s="1">
        <v>40366</v>
      </c>
      <c r="D795" s="1"/>
      <c r="E795" t="s">
        <v>1108</v>
      </c>
      <c r="F795" t="s">
        <v>12</v>
      </c>
      <c r="G795" t="s">
        <v>3489</v>
      </c>
      <c r="H795" t="s">
        <v>1107</v>
      </c>
      <c r="I795" t="s">
        <v>3678</v>
      </c>
      <c r="K795" t="s">
        <v>3381</v>
      </c>
      <c r="L795" t="s">
        <v>3382</v>
      </c>
      <c r="M795" t="str">
        <f t="shared" si="24"/>
        <v>I13</v>
      </c>
      <c r="N795" t="s">
        <v>3402</v>
      </c>
      <c r="O795" t="s">
        <v>3403</v>
      </c>
      <c r="P795" t="s">
        <v>3403</v>
      </c>
      <c r="R795" t="str">
        <f t="shared" si="25"/>
        <v>INSERT INTO stock (ticker, name, listing_date, sub_industry, industry, sector, status) VALUES ('SKYB', 'Northcliff Citranusa Indonesia Tbk.', '2010-07-07', 'I131', 'I13', 'IDXTECHNO', (SELECT id FROM attribute WHERE type = 'STOCK_STATUS' AND code = 'LISTED')) ON CONFLICT DO NOTHING;</v>
      </c>
    </row>
    <row r="796" spans="1:18" x14ac:dyDescent="0.2">
      <c r="A796" t="s">
        <v>1746</v>
      </c>
      <c r="B796" t="s">
        <v>1747</v>
      </c>
      <c r="C796" s="1">
        <v>43745</v>
      </c>
      <c r="D796" s="1"/>
      <c r="E796" t="s">
        <v>1748</v>
      </c>
      <c r="F796" t="s">
        <v>28</v>
      </c>
      <c r="G796" t="s">
        <v>3489</v>
      </c>
      <c r="H796" t="s">
        <v>1746</v>
      </c>
      <c r="I796" t="s">
        <v>3187</v>
      </c>
      <c r="K796" t="s">
        <v>3039</v>
      </c>
      <c r="L796" t="s">
        <v>3168</v>
      </c>
      <c r="M796" t="str">
        <f t="shared" si="24"/>
        <v>E74</v>
      </c>
      <c r="N796" t="s">
        <v>3183</v>
      </c>
      <c r="O796" t="s">
        <v>3177</v>
      </c>
      <c r="P796" t="s">
        <v>3184</v>
      </c>
      <c r="R796" t="str">
        <f t="shared" si="25"/>
        <v>INSERT INTO stock (ticker, name, listing_date, sub_industry, industry, sector, status) VALUES ('SLIS', 'Gaya Abadi Sempurna Tbk.', '2019-10-07', 'E742', 'E74', 'IDXCYCLIC', (SELECT id FROM attribute WHERE type = 'STOCK_STATUS' AND code = 'LISTED')) ON CONFLICT DO NOTHING;</v>
      </c>
    </row>
    <row r="797" spans="1:18" x14ac:dyDescent="0.2">
      <c r="A797" t="s">
        <v>1109</v>
      </c>
      <c r="B797" t="s">
        <v>3891</v>
      </c>
      <c r="C797" s="1">
        <v>33928</v>
      </c>
      <c r="D797" s="1"/>
      <c r="E797" t="s">
        <v>1110</v>
      </c>
      <c r="F797" t="s">
        <v>8</v>
      </c>
      <c r="G797" t="s">
        <v>3489</v>
      </c>
      <c r="H797" t="s">
        <v>1109</v>
      </c>
      <c r="I797" t="s">
        <v>3891</v>
      </c>
      <c r="K797" t="s">
        <v>2945</v>
      </c>
      <c r="L797" t="s">
        <v>2961</v>
      </c>
      <c r="M797" t="str">
        <f t="shared" si="24"/>
        <v>D23</v>
      </c>
      <c r="N797" t="s">
        <v>3013</v>
      </c>
      <c r="O797" t="s">
        <v>2999</v>
      </c>
      <c r="P797" t="s">
        <v>3014</v>
      </c>
      <c r="R797" t="str">
        <f t="shared" si="25"/>
        <v>INSERT INTO stock (ticker, name, listing_date, sub_industry, industry, sector, status) VALUES ('SMAR', 'Sinar Mas Agro Resources and Technology Tbk.', '1992-11-20', 'D232', 'D23', 'IDXNONCYC', (SELECT id FROM attribute WHERE type = 'STOCK_STATUS' AND code = 'LISTED')) ON CONFLICT DO NOTHING;</v>
      </c>
    </row>
    <row r="798" spans="1:18" x14ac:dyDescent="0.2">
      <c r="A798" t="s">
        <v>1111</v>
      </c>
      <c r="B798" t="s">
        <v>1112</v>
      </c>
      <c r="C798" s="1">
        <v>41453</v>
      </c>
      <c r="D798" s="1"/>
      <c r="E798" t="s">
        <v>1113</v>
      </c>
      <c r="F798" t="s">
        <v>8</v>
      </c>
      <c r="G798" t="s">
        <v>3489</v>
      </c>
      <c r="H798" t="s">
        <v>1111</v>
      </c>
      <c r="I798" t="s">
        <v>2806</v>
      </c>
      <c r="K798" t="s">
        <v>2778</v>
      </c>
      <c r="L798" t="s">
        <v>2779</v>
      </c>
      <c r="M798" t="str">
        <f t="shared" si="24"/>
        <v>B12</v>
      </c>
      <c r="N798" t="s">
        <v>2801</v>
      </c>
      <c r="O798" t="s">
        <v>2802</v>
      </c>
      <c r="P798" t="s">
        <v>2802</v>
      </c>
      <c r="R798" t="str">
        <f t="shared" si="25"/>
        <v>INSERT INTO stock (ticker, name, listing_date, sub_industry, industry, sector, status) VALUES ('SMBR', 'Semen Baturaja (Persero) Tbk.', '2013-06-28', 'B121', 'B12', 'IDXBASIC', (SELECT id FROM attribute WHERE type = 'STOCK_STATUS' AND code = 'LISTED')) ON CONFLICT DO NOTHING;</v>
      </c>
    </row>
    <row r="799" spans="1:18" x14ac:dyDescent="0.2">
      <c r="A799" t="s">
        <v>1114</v>
      </c>
      <c r="B799" t="s">
        <v>1115</v>
      </c>
      <c r="C799" s="1">
        <v>28347</v>
      </c>
      <c r="D799" s="1"/>
      <c r="E799" t="s">
        <v>1116</v>
      </c>
      <c r="F799" t="s">
        <v>12</v>
      </c>
      <c r="G799" t="s">
        <v>3489</v>
      </c>
      <c r="H799" t="s">
        <v>1114</v>
      </c>
      <c r="I799" t="s">
        <v>2807</v>
      </c>
      <c r="K799" t="s">
        <v>2778</v>
      </c>
      <c r="L799" t="s">
        <v>2779</v>
      </c>
      <c r="M799" t="str">
        <f t="shared" si="24"/>
        <v>B12</v>
      </c>
      <c r="N799" t="s">
        <v>2801</v>
      </c>
      <c r="O799" t="s">
        <v>2802</v>
      </c>
      <c r="P799" t="s">
        <v>2802</v>
      </c>
      <c r="R799" t="str">
        <f t="shared" si="25"/>
        <v>INSERT INTO stock (ticker, name, listing_date, sub_industry, industry, sector, status) VALUES ('SMCB', 'Solusi Bangun Indonesia Tbk.', '1977-08-10', 'B121', 'B12', 'IDXBASIC', (SELECT id FROM attribute WHERE type = 'STOCK_STATUS' AND code = 'LISTED')) ON CONFLICT DO NOTHING;</v>
      </c>
    </row>
    <row r="800" spans="1:18" x14ac:dyDescent="0.2">
      <c r="A800" t="s">
        <v>1117</v>
      </c>
      <c r="B800" t="s">
        <v>1118</v>
      </c>
      <c r="C800" s="1">
        <v>34984</v>
      </c>
      <c r="D800" s="1"/>
      <c r="E800" t="s">
        <v>1119</v>
      </c>
      <c r="F800" t="s">
        <v>28</v>
      </c>
      <c r="G800" t="s">
        <v>3489</v>
      </c>
      <c r="H800" t="s">
        <v>1117</v>
      </c>
      <c r="I800" t="s">
        <v>3373</v>
      </c>
      <c r="K800" t="s">
        <v>3306</v>
      </c>
      <c r="L800" t="s">
        <v>3307</v>
      </c>
      <c r="M800" t="str">
        <f t="shared" si="24"/>
        <v>H11</v>
      </c>
      <c r="N800" t="s">
        <v>3308</v>
      </c>
      <c r="O800" t="s">
        <v>3309</v>
      </c>
      <c r="P800" t="s">
        <v>3310</v>
      </c>
      <c r="R800" t="str">
        <f t="shared" si="25"/>
        <v>INSERT INTO stock (ticker, name, listing_date, sub_industry, industry, sector, status) VALUES ('SMDM', 'Suryamas Dutamakmur Tbk.', '1995-10-12', 'H111', 'H11', 'IDXPROPERT', (SELECT id FROM attribute WHERE type = 'STOCK_STATUS' AND code = 'LISTED')) ON CONFLICT DO NOTHING;</v>
      </c>
    </row>
    <row r="801" spans="1:18" x14ac:dyDescent="0.2">
      <c r="A801" t="s">
        <v>1120</v>
      </c>
      <c r="B801" t="s">
        <v>3892</v>
      </c>
      <c r="C801" s="1">
        <v>36346</v>
      </c>
      <c r="D801" s="1"/>
      <c r="E801" t="s">
        <v>1121</v>
      </c>
      <c r="F801" t="s">
        <v>8</v>
      </c>
      <c r="G801" t="s">
        <v>3489</v>
      </c>
      <c r="H801" t="s">
        <v>1120</v>
      </c>
      <c r="I801" t="s">
        <v>3487</v>
      </c>
      <c r="K801" t="s">
        <v>3470</v>
      </c>
      <c r="L801" t="s">
        <v>3481</v>
      </c>
      <c r="M801" t="str">
        <f t="shared" si="24"/>
        <v>K21</v>
      </c>
      <c r="N801" t="s">
        <v>3482</v>
      </c>
      <c r="O801" t="s">
        <v>3481</v>
      </c>
      <c r="P801" t="s">
        <v>3481</v>
      </c>
      <c r="R801" t="str">
        <f t="shared" si="25"/>
        <v>INSERT INTO stock (ticker, name, listing_date, sub_industry, industry, sector, status) VALUES ('SMDR', 'Samudera Indonesia Tbk.', '1999-07-05', 'K211', 'K21', 'IDXTRANS', (SELECT id FROM attribute WHERE type = 'STOCK_STATUS' AND code = 'LISTED')) ON CONFLICT DO NOTHING;</v>
      </c>
    </row>
    <row r="802" spans="1:18" x14ac:dyDescent="0.2">
      <c r="A802" t="s">
        <v>2419</v>
      </c>
      <c r="B802" t="s">
        <v>3679</v>
      </c>
      <c r="C802" s="1">
        <v>45321</v>
      </c>
      <c r="D802" s="1"/>
      <c r="E802" t="s">
        <v>2420</v>
      </c>
      <c r="F802" t="s">
        <v>28</v>
      </c>
      <c r="G802" t="s">
        <v>3489</v>
      </c>
      <c r="H802" t="s">
        <v>2419</v>
      </c>
      <c r="I802" t="s">
        <v>3855</v>
      </c>
      <c r="K802" t="s">
        <v>2778</v>
      </c>
      <c r="L802" t="s">
        <v>2779</v>
      </c>
      <c r="M802" t="str">
        <f t="shared" si="24"/>
        <v>B14</v>
      </c>
      <c r="N802" t="s">
        <v>2848</v>
      </c>
      <c r="O802" t="s">
        <v>2824</v>
      </c>
      <c r="P802" t="s">
        <v>2849</v>
      </c>
      <c r="R802" t="str">
        <f t="shared" si="25"/>
        <v>INSERT INTO stock (ticker, name, listing_date, sub_industry, industry, sector, status) VALUES ('SMGA', 'Sumber Mineral Global Abadi Tbk.', '2024-01-30', 'B146', 'B14', 'IDXBASIC', (SELECT id FROM attribute WHERE type = 'STOCK_STATUS' AND code = 'LISTED')) ON CONFLICT DO NOTHING;</v>
      </c>
    </row>
    <row r="803" spans="1:18" x14ac:dyDescent="0.2">
      <c r="A803" t="s">
        <v>1122</v>
      </c>
      <c r="B803" t="s">
        <v>1123</v>
      </c>
      <c r="C803" s="1">
        <v>33427</v>
      </c>
      <c r="D803" s="1"/>
      <c r="E803" t="s">
        <v>1124</v>
      </c>
      <c r="F803" t="s">
        <v>8</v>
      </c>
      <c r="G803" t="s">
        <v>3489</v>
      </c>
      <c r="H803" t="s">
        <v>1122</v>
      </c>
      <c r="I803" t="s">
        <v>2808</v>
      </c>
      <c r="K803" t="s">
        <v>2778</v>
      </c>
      <c r="L803" t="s">
        <v>2779</v>
      </c>
      <c r="M803" t="str">
        <f t="shared" si="24"/>
        <v>B12</v>
      </c>
      <c r="N803" t="s">
        <v>2801</v>
      </c>
      <c r="O803" t="s">
        <v>2802</v>
      </c>
      <c r="P803" t="s">
        <v>2802</v>
      </c>
      <c r="R803" t="str">
        <f t="shared" si="25"/>
        <v>INSERT INTO stock (ticker, name, listing_date, sub_industry, industry, sector, status) VALUES ('SMGR', 'Semen Indonesia (Persero) Tbk.', '1991-07-08', 'B121', 'B12', 'IDXBASIC', (SELECT id FROM attribute WHERE type = 'STOCK_STATUS' AND code = 'LISTED')) ON CONFLICT DO NOTHING;</v>
      </c>
    </row>
    <row r="804" spans="1:18" x14ac:dyDescent="0.2">
      <c r="A804" t="s">
        <v>2305</v>
      </c>
      <c r="B804" t="s">
        <v>2306</v>
      </c>
      <c r="C804" s="1">
        <v>45058</v>
      </c>
      <c r="D804" s="1"/>
      <c r="E804" t="s">
        <v>2307</v>
      </c>
      <c r="F804" t="s">
        <v>8</v>
      </c>
      <c r="G804" t="s">
        <v>3489</v>
      </c>
      <c r="H804" t="s">
        <v>2305</v>
      </c>
      <c r="I804" t="s">
        <v>3856</v>
      </c>
      <c r="K804" t="s">
        <v>2874</v>
      </c>
      <c r="L804" t="s">
        <v>2875</v>
      </c>
      <c r="M804" t="str">
        <f t="shared" si="24"/>
        <v>C14</v>
      </c>
      <c r="N804" t="s">
        <v>2898</v>
      </c>
      <c r="O804" t="s">
        <v>2899</v>
      </c>
      <c r="P804" t="s">
        <v>2900</v>
      </c>
      <c r="R804" t="str">
        <f t="shared" si="25"/>
        <v>INSERT INTO stock (ticker, name, listing_date, sub_industry, industry, sector, status) VALUES ('SMIL', 'Sarana Mitra Luas Tbk.', '2023-05-12', 'C141', 'C14', 'IDXINDUST', (SELECT id FROM attribute WHERE type = 'STOCK_STATUS' AND code = 'LISTED')) ON CONFLICT DO NOTHING;</v>
      </c>
    </row>
    <row r="805" spans="1:18" x14ac:dyDescent="0.2">
      <c r="A805" t="s">
        <v>1723</v>
      </c>
      <c r="B805" t="s">
        <v>1724</v>
      </c>
      <c r="C805" s="1">
        <v>43657</v>
      </c>
      <c r="D805" s="1"/>
      <c r="E805" t="s">
        <v>1725</v>
      </c>
      <c r="F805" t="s">
        <v>28</v>
      </c>
      <c r="G805" t="s">
        <v>3489</v>
      </c>
      <c r="H805" t="s">
        <v>1723</v>
      </c>
      <c r="I805" t="s">
        <v>2820</v>
      </c>
      <c r="K805" t="s">
        <v>2778</v>
      </c>
      <c r="L805" t="s">
        <v>2779</v>
      </c>
      <c r="M805" t="str">
        <f t="shared" si="24"/>
        <v>B13</v>
      </c>
      <c r="N805" t="s">
        <v>2812</v>
      </c>
      <c r="O805" t="s">
        <v>2813</v>
      </c>
      <c r="P805" t="s">
        <v>2813</v>
      </c>
      <c r="R805" t="str">
        <f t="shared" si="25"/>
        <v>INSERT INTO stock (ticker, name, listing_date, sub_industry, industry, sector, status) VALUES ('SMKL', 'Satyamitra Kemas Lestari Tbk.', '2019-07-11', 'B131', 'B13', 'IDXBASIC', (SELECT id FROM attribute WHERE type = 'STOCK_STATUS' AND code = 'LISTED')) ON CONFLICT DO NOTHING;</v>
      </c>
    </row>
    <row r="806" spans="1:18" x14ac:dyDescent="0.2">
      <c r="A806" t="s">
        <v>2080</v>
      </c>
      <c r="B806" t="s">
        <v>2081</v>
      </c>
      <c r="C806" s="1">
        <v>44629</v>
      </c>
      <c r="D806" s="1"/>
      <c r="E806" t="s">
        <v>2082</v>
      </c>
      <c r="F806" t="s">
        <v>1847</v>
      </c>
      <c r="G806" t="s">
        <v>3489</v>
      </c>
      <c r="H806" t="s">
        <v>2080</v>
      </c>
      <c r="I806" t="s">
        <v>3857</v>
      </c>
      <c r="K806" t="s">
        <v>3418</v>
      </c>
      <c r="L806" t="s">
        <v>3432</v>
      </c>
      <c r="M806" t="str">
        <f t="shared" si="24"/>
        <v>J21</v>
      </c>
      <c r="N806" t="s">
        <v>3433</v>
      </c>
      <c r="O806" t="s">
        <v>3432</v>
      </c>
      <c r="P806" t="s">
        <v>3432</v>
      </c>
      <c r="R806" t="str">
        <f t="shared" si="25"/>
        <v>INSERT INTO stock (ticker, name, listing_date, sub_industry, industry, sector, status) VALUES ('SMKM', 'Sumber Mas Konstruksi Tbk.', '2022-03-09', 'J211', 'J21', 'IDXINFRA', (SELECT id FROM attribute WHERE type = 'STOCK_STATUS' AND code = 'LISTED')) ON CONFLICT DO NOTHING;</v>
      </c>
    </row>
    <row r="807" spans="1:18" x14ac:dyDescent="0.2">
      <c r="A807" t="s">
        <v>2634</v>
      </c>
      <c r="B807" t="s">
        <v>2635</v>
      </c>
      <c r="C807" s="1">
        <v>45301</v>
      </c>
      <c r="D807" s="1"/>
      <c r="E807" t="s">
        <v>2636</v>
      </c>
      <c r="F807" t="s">
        <v>28</v>
      </c>
      <c r="G807" t="s">
        <v>3489</v>
      </c>
      <c r="H807" t="s">
        <v>2634</v>
      </c>
      <c r="I807" t="s">
        <v>3858</v>
      </c>
      <c r="K807" t="s">
        <v>2778</v>
      </c>
      <c r="L807" t="s">
        <v>2779</v>
      </c>
      <c r="M807" t="str">
        <f t="shared" si="24"/>
        <v>B11</v>
      </c>
      <c r="N807" t="s">
        <v>2780</v>
      </c>
      <c r="O807" t="s">
        <v>2781</v>
      </c>
      <c r="P807" t="s">
        <v>2782</v>
      </c>
      <c r="R807" t="str">
        <f t="shared" si="25"/>
        <v>INSERT INTO stock (ticker, name, listing_date, sub_industry, industry, sector, status) VALUES ('SMLE', 'Sinergi Multi Lestarindo Tbk.', '2024-01-10', 'B111', 'B11', 'IDXBASIC', (SELECT id FROM attribute WHERE type = 'STOCK_STATUS' AND code = 'LISTED')) ON CONFLICT DO NOTHING;</v>
      </c>
    </row>
    <row r="808" spans="1:18" x14ac:dyDescent="0.2">
      <c r="A808" t="s">
        <v>1125</v>
      </c>
      <c r="B808" t="s">
        <v>1126</v>
      </c>
      <c r="C808" s="1">
        <v>34885</v>
      </c>
      <c r="D808" s="1"/>
      <c r="E808" t="s">
        <v>1127</v>
      </c>
      <c r="F808" t="s">
        <v>8</v>
      </c>
      <c r="G808" t="s">
        <v>3489</v>
      </c>
      <c r="H808" t="s">
        <v>1125</v>
      </c>
      <c r="I808" t="s">
        <v>3300</v>
      </c>
      <c r="K808" t="s">
        <v>3224</v>
      </c>
      <c r="L808" t="s">
        <v>3289</v>
      </c>
      <c r="M808" t="str">
        <f t="shared" si="24"/>
        <v>G51</v>
      </c>
      <c r="N808" t="s">
        <v>3290</v>
      </c>
      <c r="O808" t="s">
        <v>3289</v>
      </c>
      <c r="P808" t="s">
        <v>3291</v>
      </c>
      <c r="R808" t="str">
        <f t="shared" si="25"/>
        <v>INSERT INTO stock (ticker, name, listing_date, sub_industry, industry, sector, status) VALUES ('SMMA', 'Sinarmas Multiartha Tbk.', '1995-07-05', 'G511', 'G51', 'IDXFINANCE', (SELECT id FROM attribute WHERE type = 'STOCK_STATUS' AND code = 'LISTED')) ON CONFLICT DO NOTHING;</v>
      </c>
    </row>
    <row r="809" spans="1:18" x14ac:dyDescent="0.2">
      <c r="A809" t="s">
        <v>1128</v>
      </c>
      <c r="B809" t="s">
        <v>1129</v>
      </c>
      <c r="C809" s="1">
        <v>35765</v>
      </c>
      <c r="D809" s="1"/>
      <c r="E809" t="s">
        <v>1130</v>
      </c>
      <c r="F809" t="s">
        <v>28</v>
      </c>
      <c r="G809" t="s">
        <v>3489</v>
      </c>
      <c r="H809" t="s">
        <v>1128</v>
      </c>
      <c r="I809" t="s">
        <v>2739</v>
      </c>
      <c r="K809" t="s">
        <v>2701</v>
      </c>
      <c r="L809" t="s">
        <v>2702</v>
      </c>
      <c r="M809" t="str">
        <f t="shared" si="24"/>
        <v>A12</v>
      </c>
      <c r="N809" t="s">
        <v>2723</v>
      </c>
      <c r="O809" t="s">
        <v>2724</v>
      </c>
      <c r="P809" t="s">
        <v>2725</v>
      </c>
      <c r="R809" t="str">
        <f t="shared" si="25"/>
        <v>INSERT INTO stock (ticker, name, listing_date, sub_industry, industry, sector, status) VALUES ('SMMT', 'Golden Eagle Energy Tbk.', '1997-12-01', 'A121', 'A12', 'IDXENERGY', (SELECT id FROM attribute WHERE type = 'STOCK_STATUS' AND code = 'LISTED')) ON CONFLICT DO NOTHING;</v>
      </c>
    </row>
    <row r="810" spans="1:18" x14ac:dyDescent="0.2">
      <c r="A810" t="s">
        <v>1131</v>
      </c>
      <c r="B810" t="s">
        <v>1132</v>
      </c>
      <c r="C810" s="1">
        <v>33000</v>
      </c>
      <c r="D810" s="1"/>
      <c r="E810" t="s">
        <v>1133</v>
      </c>
      <c r="F810" t="s">
        <v>8</v>
      </c>
      <c r="G810" t="s">
        <v>3489</v>
      </c>
      <c r="H810" t="s">
        <v>1131</v>
      </c>
      <c r="I810" t="s">
        <v>3374</v>
      </c>
      <c r="K810" t="s">
        <v>3306</v>
      </c>
      <c r="L810" t="s">
        <v>3307</v>
      </c>
      <c r="M810" t="str">
        <f t="shared" si="24"/>
        <v>H11</v>
      </c>
      <c r="N810" t="s">
        <v>3308</v>
      </c>
      <c r="O810" t="s">
        <v>3309</v>
      </c>
      <c r="P810" t="s">
        <v>3310</v>
      </c>
      <c r="R810" t="str">
        <f t="shared" si="25"/>
        <v>INSERT INTO stock (ticker, name, listing_date, sub_industry, industry, sector, status) VALUES ('SMRA', 'Summarecon Agung Tbk.', '1990-05-07', 'H111', 'H11', 'IDXPROPERT', (SELECT id FROM attribute WHERE type = 'STOCK_STATUS' AND code = 'LISTED')) ON CONFLICT DO NOTHING;</v>
      </c>
    </row>
    <row r="811" spans="1:18" x14ac:dyDescent="0.2">
      <c r="A811" t="s">
        <v>1134</v>
      </c>
      <c r="B811" t="s">
        <v>1135</v>
      </c>
      <c r="C811" s="1">
        <v>40826</v>
      </c>
      <c r="D811" s="1"/>
      <c r="E811" t="s">
        <v>1136</v>
      </c>
      <c r="F811" t="s">
        <v>12</v>
      </c>
      <c r="G811" t="s">
        <v>3489</v>
      </c>
      <c r="H811" t="s">
        <v>1134</v>
      </c>
      <c r="I811" t="s">
        <v>2769</v>
      </c>
      <c r="K811" t="s">
        <v>2701</v>
      </c>
      <c r="L811" t="s">
        <v>2702</v>
      </c>
      <c r="M811" t="str">
        <f t="shared" si="24"/>
        <v>A13</v>
      </c>
      <c r="N811" t="s">
        <v>2763</v>
      </c>
      <c r="O811" t="s">
        <v>2760</v>
      </c>
      <c r="P811" t="s">
        <v>2764</v>
      </c>
      <c r="R811" t="str">
        <f t="shared" si="25"/>
        <v>INSERT INTO stock (ticker, name, listing_date, sub_industry, industry, sector, status) VALUES ('SMRU', 'SMR Utama Tbk.', '2011-10-10', 'A132', 'A13', 'IDXENERGY', (SELECT id FROM attribute WHERE type = 'STOCK_STATUS' AND code = 'LISTED')) ON CONFLICT DO NOTHING;</v>
      </c>
    </row>
    <row r="812" spans="1:18" x14ac:dyDescent="0.2">
      <c r="A812" t="s">
        <v>1137</v>
      </c>
      <c r="B812" t="s">
        <v>1138</v>
      </c>
      <c r="C812" s="1">
        <v>35317</v>
      </c>
      <c r="D812" s="1"/>
      <c r="E812" t="s">
        <v>1139</v>
      </c>
      <c r="F812" t="s">
        <v>8</v>
      </c>
      <c r="G812" t="s">
        <v>3489</v>
      </c>
      <c r="H812" t="s">
        <v>1137</v>
      </c>
      <c r="I812" t="s">
        <v>3048</v>
      </c>
      <c r="K812" t="s">
        <v>3039</v>
      </c>
      <c r="L812" t="s">
        <v>3040</v>
      </c>
      <c r="M812" t="str">
        <f t="shared" si="24"/>
        <v>E11</v>
      </c>
      <c r="N812" t="s">
        <v>3041</v>
      </c>
      <c r="O812" t="s">
        <v>3042</v>
      </c>
      <c r="P812" t="s">
        <v>3043</v>
      </c>
      <c r="R812" t="str">
        <f t="shared" si="25"/>
        <v>INSERT INTO stock (ticker, name, listing_date, sub_industry, industry, sector, status) VALUES ('SMSM', 'Selamat Sempurna Tbk.', '1996-09-09', 'E111', 'E11', 'IDXCYCLIC', (SELECT id FROM attribute WHERE type = 'STOCK_STATUS' AND code = 'LISTED')) ON CONFLICT DO NOTHING;</v>
      </c>
    </row>
    <row r="813" spans="1:18" x14ac:dyDescent="0.2">
      <c r="A813" t="s">
        <v>1924</v>
      </c>
      <c r="B813" t="s">
        <v>1925</v>
      </c>
      <c r="C813" s="1">
        <v>44284</v>
      </c>
      <c r="D813" s="1"/>
      <c r="E813" t="s">
        <v>1926</v>
      </c>
      <c r="F813" t="s">
        <v>28</v>
      </c>
      <c r="G813" t="s">
        <v>3489</v>
      </c>
      <c r="H813" t="s">
        <v>1924</v>
      </c>
      <c r="I813" t="s">
        <v>3117</v>
      </c>
      <c r="K813" t="s">
        <v>3039</v>
      </c>
      <c r="L813" t="s">
        <v>3092</v>
      </c>
      <c r="M813" t="str">
        <f t="shared" si="24"/>
        <v>E51</v>
      </c>
      <c r="N813" t="s">
        <v>3093</v>
      </c>
      <c r="O813" t="s">
        <v>3094</v>
      </c>
      <c r="P813" t="s">
        <v>3095</v>
      </c>
      <c r="R813" t="str">
        <f t="shared" si="25"/>
        <v>INSERT INTO stock (ticker, name, listing_date, sub_industry, industry, sector, status) VALUES ('SNLK', 'Sunter Lakeside Hotel Tbk.', '2021-03-29', 'E512', 'E51', 'IDXCYCLIC', (SELECT id FROM attribute WHERE type = 'STOCK_STATUS' AND code = 'LISTED')) ON CONFLICT DO NOTHING;</v>
      </c>
    </row>
    <row r="814" spans="1:18" x14ac:dyDescent="0.2">
      <c r="A814" t="s">
        <v>1140</v>
      </c>
      <c r="B814" t="s">
        <v>1141</v>
      </c>
      <c r="C814" s="1">
        <v>41976</v>
      </c>
      <c r="D814" s="1"/>
      <c r="E814" t="s">
        <v>1142</v>
      </c>
      <c r="F814" t="s">
        <v>28</v>
      </c>
      <c r="G814" t="s">
        <v>3489</v>
      </c>
      <c r="H814" t="s">
        <v>1140</v>
      </c>
      <c r="I814" t="s">
        <v>2722</v>
      </c>
      <c r="K814" t="s">
        <v>2701</v>
      </c>
      <c r="L814" t="s">
        <v>2702</v>
      </c>
      <c r="M814" t="str">
        <f t="shared" si="24"/>
        <v>A11</v>
      </c>
      <c r="N814" t="s">
        <v>2710</v>
      </c>
      <c r="O814" t="s">
        <v>2704</v>
      </c>
      <c r="P814" t="s">
        <v>2711</v>
      </c>
      <c r="R814" t="str">
        <f t="shared" si="25"/>
        <v>INSERT INTO stock (ticker, name, listing_date, sub_industry, industry, sector, status) VALUES ('SOCI', 'Soechi Lines Tbk.', '2014-12-03', 'A112', 'A11', 'IDXENERGY', (SELECT id FROM attribute WHERE type = 'STOCK_STATUS' AND code = 'LISTED')) ON CONFLICT DO NOTHING;</v>
      </c>
    </row>
    <row r="815" spans="1:18" x14ac:dyDescent="0.2">
      <c r="A815" t="s">
        <v>1859</v>
      </c>
      <c r="B815" t="s">
        <v>1860</v>
      </c>
      <c r="C815" s="1">
        <v>44019</v>
      </c>
      <c r="D815" s="1"/>
      <c r="E815" t="s">
        <v>1861</v>
      </c>
      <c r="F815" t="s">
        <v>1847</v>
      </c>
      <c r="G815" t="s">
        <v>3489</v>
      </c>
      <c r="H815" t="s">
        <v>1859</v>
      </c>
      <c r="I815" t="s">
        <v>1860</v>
      </c>
      <c r="K815" t="s">
        <v>3039</v>
      </c>
      <c r="L815" t="s">
        <v>3055</v>
      </c>
      <c r="M815" t="str">
        <f t="shared" si="24"/>
        <v>E21</v>
      </c>
      <c r="N815" t="s">
        <v>3056</v>
      </c>
      <c r="O815" t="s">
        <v>3055</v>
      </c>
      <c r="P815" t="s">
        <v>3057</v>
      </c>
      <c r="R815" t="str">
        <f t="shared" si="25"/>
        <v>INSERT INTO stock (ticker, name, listing_date, sub_industry, industry, sector, status) VALUES ('SOFA', 'Solusi Environment Asia Tbk.', '2020-07-07', 'E211', 'E21', 'IDXCYCLIC', (SELECT id FROM attribute WHERE type = 'STOCK_STATUS' AND code = 'LISTED')) ON CONFLICT DO NOTHING;</v>
      </c>
    </row>
    <row r="816" spans="1:18" x14ac:dyDescent="0.2">
      <c r="A816" t="s">
        <v>1885</v>
      </c>
      <c r="B816" t="s">
        <v>1886</v>
      </c>
      <c r="C816" s="1">
        <v>44082</v>
      </c>
      <c r="D816" s="1"/>
      <c r="E816" t="s">
        <v>1887</v>
      </c>
      <c r="F816" t="s">
        <v>28</v>
      </c>
      <c r="G816" t="s">
        <v>3489</v>
      </c>
      <c r="H816" t="s">
        <v>1885</v>
      </c>
      <c r="I816" t="s">
        <v>3222</v>
      </c>
      <c r="K816" t="s">
        <v>3199</v>
      </c>
      <c r="L816" t="s">
        <v>3212</v>
      </c>
      <c r="M816" t="str">
        <f t="shared" si="24"/>
        <v>F21</v>
      </c>
      <c r="N816" t="s">
        <v>3213</v>
      </c>
      <c r="O816" t="s">
        <v>3214</v>
      </c>
      <c r="P816" t="s">
        <v>3214</v>
      </c>
      <c r="R816" t="str">
        <f t="shared" si="25"/>
        <v>INSERT INTO stock (ticker, name, listing_date, sub_industry, industry, sector, status) VALUES ('SOHO', 'Soho Global Health Tbk.', '2020-09-08', 'F211', 'F21', 'IDXHEALTH', (SELECT id FROM attribute WHERE type = 'STOCK_STATUS' AND code = 'LISTED')) ON CONFLICT DO NOTHING;</v>
      </c>
    </row>
    <row r="817" spans="1:18" x14ac:dyDescent="0.2">
      <c r="A817" t="s">
        <v>2460</v>
      </c>
      <c r="B817" t="s">
        <v>2461</v>
      </c>
      <c r="C817" s="1">
        <v>45420</v>
      </c>
      <c r="D817" s="1"/>
      <c r="E817" t="s">
        <v>2462</v>
      </c>
      <c r="F817" t="s">
        <v>28</v>
      </c>
      <c r="G817" t="s">
        <v>3489</v>
      </c>
      <c r="H817" t="s">
        <v>2460</v>
      </c>
      <c r="I817" t="s">
        <v>3859</v>
      </c>
      <c r="K817" t="s">
        <v>2778</v>
      </c>
      <c r="L817" t="s">
        <v>2779</v>
      </c>
      <c r="M817" t="str">
        <f t="shared" si="24"/>
        <v>B12</v>
      </c>
      <c r="N817" t="s">
        <v>2801</v>
      </c>
      <c r="O817" t="s">
        <v>2802</v>
      </c>
      <c r="P817" t="s">
        <v>2802</v>
      </c>
      <c r="R817" t="str">
        <f t="shared" si="25"/>
        <v>INSERT INTO stock (ticker, name, listing_date, sub_industry, industry, sector, status) VALUES ('SOLA', 'Xolare RCR Energy Tbk.', '2024-05-08', 'B121', 'B12', 'IDXBASIC', (SELECT id FROM attribute WHERE type = 'STOCK_STATUS' AND code = 'LISTED')) ON CONFLICT DO NOTHING;</v>
      </c>
    </row>
    <row r="818" spans="1:18" x14ac:dyDescent="0.2">
      <c r="A818" t="s">
        <v>1143</v>
      </c>
      <c r="B818" t="s">
        <v>3680</v>
      </c>
      <c r="C818" s="1">
        <v>33806</v>
      </c>
      <c r="D818" s="1"/>
      <c r="E818" t="s">
        <v>1144</v>
      </c>
      <c r="F818" t="s">
        <v>28</v>
      </c>
      <c r="G818" t="s">
        <v>3489</v>
      </c>
      <c r="H818" t="s">
        <v>1143</v>
      </c>
      <c r="I818" t="s">
        <v>3175</v>
      </c>
      <c r="K818" t="s">
        <v>3039</v>
      </c>
      <c r="L818" t="s">
        <v>3168</v>
      </c>
      <c r="M818" t="str">
        <f t="shared" si="24"/>
        <v>E73</v>
      </c>
      <c r="N818" t="s">
        <v>3172</v>
      </c>
      <c r="O818" t="s">
        <v>3173</v>
      </c>
      <c r="P818" t="s">
        <v>3173</v>
      </c>
      <c r="R818" t="str">
        <f t="shared" si="25"/>
        <v>INSERT INTO stock (ticker, name, listing_date, sub_industry, industry, sector, status) VALUES ('SONA', 'Sona Topas Tourism Industry Tbk.', '1992-07-21', 'E731', 'E73', 'IDXCYCLIC', (SELECT id FROM attribute WHERE type = 'STOCK_STATUS' AND code = 'LISTED')) ON CONFLICT DO NOTHING;</v>
      </c>
    </row>
    <row r="819" spans="1:18" x14ac:dyDescent="0.2">
      <c r="A819" t="s">
        <v>1617</v>
      </c>
      <c r="B819" t="s">
        <v>1618</v>
      </c>
      <c r="C819" s="1">
        <v>43410</v>
      </c>
      <c r="D819" s="1"/>
      <c r="E819" t="s">
        <v>1619</v>
      </c>
      <c r="F819" t="s">
        <v>12</v>
      </c>
      <c r="G819" t="s">
        <v>3489</v>
      </c>
      <c r="H819" t="s">
        <v>1617</v>
      </c>
      <c r="I819" t="s">
        <v>2935</v>
      </c>
      <c r="K819" t="s">
        <v>2874</v>
      </c>
      <c r="L819" t="s">
        <v>2910</v>
      </c>
      <c r="M819" t="str">
        <f t="shared" si="24"/>
        <v>C23</v>
      </c>
      <c r="N819" t="s">
        <v>2932</v>
      </c>
      <c r="O819" t="s">
        <v>2933</v>
      </c>
      <c r="P819" t="s">
        <v>2934</v>
      </c>
      <c r="R819" t="str">
        <f t="shared" si="25"/>
        <v>INSERT INTO stock (ticker, name, listing_date, sub_industry, industry, sector, status) VALUES ('SOSS', 'Shield On Service Tbk.', '2018-11-06', 'C231', 'C23', 'IDXINDUST', (SELECT id FROM attribute WHERE type = 'STOCK_STATUS' AND code = 'LISTED')) ON CONFLICT DO NOTHING;</v>
      </c>
    </row>
    <row r="820" spans="1:18" x14ac:dyDescent="0.2">
      <c r="A820" t="s">
        <v>1633</v>
      </c>
      <c r="B820" t="s">
        <v>1634</v>
      </c>
      <c r="C820" s="1">
        <v>43444</v>
      </c>
      <c r="D820" s="1"/>
      <c r="E820" t="s">
        <v>1635</v>
      </c>
      <c r="F820" t="s">
        <v>28</v>
      </c>
      <c r="G820" t="s">
        <v>3489</v>
      </c>
      <c r="H820" t="s">
        <v>1633</v>
      </c>
      <c r="I820" t="s">
        <v>3118</v>
      </c>
      <c r="K820" t="s">
        <v>3039</v>
      </c>
      <c r="L820" t="s">
        <v>3092</v>
      </c>
      <c r="M820" t="str">
        <f t="shared" si="24"/>
        <v>E51</v>
      </c>
      <c r="N820" t="s">
        <v>3093</v>
      </c>
      <c r="O820" t="s">
        <v>3094</v>
      </c>
      <c r="P820" t="s">
        <v>3095</v>
      </c>
      <c r="R820" t="str">
        <f t="shared" si="25"/>
        <v>INSERT INTO stock (ticker, name, listing_date, sub_industry, industry, sector, status) VALUES ('SOTS', 'Satria Mega Kencana Tbk.', '2018-12-10', 'E512', 'E51', 'IDXCYCLIC', (SELECT id FROM attribute WHERE type = 'STOCK_STATUS' AND code = 'LISTED')) ON CONFLICT DO NOTHING;</v>
      </c>
    </row>
    <row r="821" spans="1:18" x14ac:dyDescent="0.2">
      <c r="A821" t="s">
        <v>2216</v>
      </c>
      <c r="B821" t="s">
        <v>2217</v>
      </c>
      <c r="C821" s="1">
        <v>44932</v>
      </c>
      <c r="D821" s="1"/>
      <c r="E821" t="s">
        <v>2218</v>
      </c>
      <c r="F821" t="s">
        <v>1847</v>
      </c>
      <c r="G821" t="s">
        <v>3489</v>
      </c>
      <c r="H821" t="s">
        <v>2216</v>
      </c>
      <c r="I821" t="s">
        <v>3860</v>
      </c>
      <c r="K821" t="s">
        <v>2945</v>
      </c>
      <c r="L821" t="s">
        <v>2961</v>
      </c>
      <c r="M821" t="str">
        <f t="shared" si="24"/>
        <v>D21</v>
      </c>
      <c r="N821" t="s">
        <v>2968</v>
      </c>
      <c r="O821" t="s">
        <v>2963</v>
      </c>
      <c r="P821" t="s">
        <v>2969</v>
      </c>
      <c r="R821" t="str">
        <f t="shared" si="25"/>
        <v>INSERT INTO stock (ticker, name, listing_date, sub_industry, industry, sector, status) VALUES ('SOUL', 'Mitra Tirta Buwana Tbk.', '2023-01-06', 'D212', 'D21', 'IDXNONCYC', (SELECT id FROM attribute WHERE type = 'STOCK_STATUS' AND code = 'LISTED')) ON CONFLICT DO NOTHING;</v>
      </c>
    </row>
    <row r="822" spans="1:18" x14ac:dyDescent="0.2">
      <c r="A822" t="s">
        <v>1145</v>
      </c>
      <c r="B822" t="s">
        <v>1146</v>
      </c>
      <c r="C822" s="1">
        <v>34654</v>
      </c>
      <c r="D822" s="1"/>
      <c r="E822" t="s">
        <v>1147</v>
      </c>
      <c r="F822" t="s">
        <v>28</v>
      </c>
      <c r="G822" t="s">
        <v>3489</v>
      </c>
      <c r="H822" t="s">
        <v>1145</v>
      </c>
      <c r="I822" t="s">
        <v>2821</v>
      </c>
      <c r="K822" t="s">
        <v>2778</v>
      </c>
      <c r="L822" t="s">
        <v>2779</v>
      </c>
      <c r="M822" t="str">
        <f t="shared" si="24"/>
        <v>B13</v>
      </c>
      <c r="N822" t="s">
        <v>2812</v>
      </c>
      <c r="O822" t="s">
        <v>2813</v>
      </c>
      <c r="P822" t="s">
        <v>2813</v>
      </c>
      <c r="R822" t="str">
        <f t="shared" si="25"/>
        <v>INSERT INTO stock (ticker, name, listing_date, sub_industry, industry, sector, status) VALUES ('SPMA', 'Suparma Tbk.', '1994-11-16', 'B131', 'B13', 'IDXBASIC', (SELECT id FROM attribute WHERE type = 'STOCK_STATUS' AND code = 'LISTED')) ON CONFLICT DO NOTHING;</v>
      </c>
    </row>
    <row r="823" spans="1:18" x14ac:dyDescent="0.2">
      <c r="A823" t="s">
        <v>2466</v>
      </c>
      <c r="B823" t="s">
        <v>2467</v>
      </c>
      <c r="C823" s="1">
        <v>45476</v>
      </c>
      <c r="D823" s="1"/>
      <c r="E823" t="s">
        <v>1274</v>
      </c>
      <c r="F823" t="s">
        <v>1847</v>
      </c>
      <c r="G823" t="s">
        <v>3489</v>
      </c>
      <c r="H823" t="s">
        <v>2466</v>
      </c>
      <c r="I823" t="s">
        <v>3861</v>
      </c>
      <c r="K823" t="s">
        <v>3039</v>
      </c>
      <c r="L823" t="s">
        <v>3077</v>
      </c>
      <c r="M823" t="str">
        <f t="shared" si="24"/>
        <v>E41</v>
      </c>
      <c r="N823" t="s">
        <v>3088</v>
      </c>
      <c r="O823" t="s">
        <v>3077</v>
      </c>
      <c r="P823" t="s">
        <v>3089</v>
      </c>
      <c r="R823" t="str">
        <f t="shared" si="25"/>
        <v>INSERT INTO stock (ticker, name, listing_date, sub_industry, industry, sector, status) VALUES ('SPRE', 'Soraya Berjaya Indonesia Tbk.', '2024-07-03', 'E413', 'E41', 'IDXCYCLIC', (SELECT id FROM attribute WHERE type = 'STOCK_STATUS' AND code = 'LISTED')) ON CONFLICT DO NOTHING;</v>
      </c>
    </row>
    <row r="824" spans="1:18" x14ac:dyDescent="0.2">
      <c r="A824" t="s">
        <v>1518</v>
      </c>
      <c r="B824" t="s">
        <v>1519</v>
      </c>
      <c r="C824" s="1">
        <v>43234</v>
      </c>
      <c r="D824" s="1"/>
      <c r="E824" t="s">
        <v>1520</v>
      </c>
      <c r="F824" t="s">
        <v>8</v>
      </c>
      <c r="G824" t="s">
        <v>3489</v>
      </c>
      <c r="H824" t="s">
        <v>1518</v>
      </c>
      <c r="I824" t="s">
        <v>2885</v>
      </c>
      <c r="K824" t="s">
        <v>2874</v>
      </c>
      <c r="L824" t="s">
        <v>2875</v>
      </c>
      <c r="M824" t="str">
        <f t="shared" si="24"/>
        <v>C12</v>
      </c>
      <c r="N824" t="s">
        <v>2876</v>
      </c>
      <c r="O824" t="s">
        <v>2877</v>
      </c>
      <c r="P824" t="s">
        <v>2877</v>
      </c>
      <c r="R824" t="str">
        <f t="shared" si="25"/>
        <v>INSERT INTO stock (ticker, name, listing_date, sub_industry, industry, sector, status) VALUES ('SPTO', 'Surya Pertiwi Tbk.', '2018-05-14', 'C121', 'C12', 'IDXINDUST', (SELECT id FROM attribute WHERE type = 'STOCK_STATUS' AND code = 'LISTED')) ON CONFLICT DO NOTHING;</v>
      </c>
    </row>
    <row r="825" spans="1:18" x14ac:dyDescent="0.2">
      <c r="A825" t="s">
        <v>1148</v>
      </c>
      <c r="B825" t="s">
        <v>1149</v>
      </c>
      <c r="C825" s="1">
        <v>38183</v>
      </c>
      <c r="D825" s="1"/>
      <c r="E825" t="s">
        <v>1150</v>
      </c>
      <c r="F825" t="s">
        <v>12</v>
      </c>
      <c r="G825" t="s">
        <v>3489</v>
      </c>
      <c r="H825" t="s">
        <v>1148</v>
      </c>
      <c r="I825" t="s">
        <v>2837</v>
      </c>
      <c r="K825" t="s">
        <v>2778</v>
      </c>
      <c r="L825" t="s">
        <v>2779</v>
      </c>
      <c r="M825" t="str">
        <f t="shared" si="24"/>
        <v>B14</v>
      </c>
      <c r="N825" t="s">
        <v>2834</v>
      </c>
      <c r="O825" t="s">
        <v>2824</v>
      </c>
      <c r="P825" t="s">
        <v>2835</v>
      </c>
      <c r="R825" t="str">
        <f t="shared" si="25"/>
        <v>INSERT INTO stock (ticker, name, listing_date, sub_industry, industry, sector, status) VALUES ('SQMI', 'Wilton Makmur Indonesia Tbk.', '2004-07-15', 'B143', 'B14', 'IDXBASIC', (SELECT id FROM attribute WHERE type = 'STOCK_STATUS' AND code = 'LISTED')) ON CONFLICT DO NOTHING;</v>
      </c>
    </row>
    <row r="826" spans="1:18" x14ac:dyDescent="0.2">
      <c r="A826" t="s">
        <v>1151</v>
      </c>
      <c r="B826" t="s">
        <v>1152</v>
      </c>
      <c r="C826" s="1">
        <v>40644</v>
      </c>
      <c r="D826" s="1"/>
      <c r="E826" t="s">
        <v>1153</v>
      </c>
      <c r="F826" t="s">
        <v>28</v>
      </c>
      <c r="G826" t="s">
        <v>3489</v>
      </c>
      <c r="H826" t="s">
        <v>1151</v>
      </c>
      <c r="I826" t="s">
        <v>3210</v>
      </c>
      <c r="K826" t="s">
        <v>3199</v>
      </c>
      <c r="L826" t="s">
        <v>3200</v>
      </c>
      <c r="M826" t="str">
        <f t="shared" si="24"/>
        <v>F12</v>
      </c>
      <c r="N826" t="s">
        <v>3206</v>
      </c>
      <c r="O826" t="s">
        <v>3207</v>
      </c>
      <c r="P826" t="s">
        <v>3207</v>
      </c>
      <c r="R826" t="str">
        <f t="shared" si="25"/>
        <v>INSERT INTO stock (ticker, name, listing_date, sub_industry, industry, sector, status) VALUES ('SRAJ', 'Sejahteraraya Anugrahjaya Tbk.', '2011-04-11', 'F121', 'F12', 'IDXHEALTH', (SELECT id FROM attribute WHERE type = 'STOCK_STATUS' AND code = 'LISTED')) ON CONFLICT DO NOTHING;</v>
      </c>
    </row>
    <row r="827" spans="1:18" x14ac:dyDescent="0.2">
      <c r="A827" t="s">
        <v>1154</v>
      </c>
      <c r="B827" t="s">
        <v>1155</v>
      </c>
      <c r="C827" s="1">
        <v>41442</v>
      </c>
      <c r="D827" s="1"/>
      <c r="E827" t="s">
        <v>1156</v>
      </c>
      <c r="F827" t="s">
        <v>12</v>
      </c>
      <c r="G827" t="s">
        <v>3489</v>
      </c>
      <c r="H827" t="s">
        <v>1154</v>
      </c>
      <c r="I827" t="s">
        <v>3862</v>
      </c>
      <c r="K827" t="s">
        <v>3039</v>
      </c>
      <c r="L827" t="s">
        <v>3077</v>
      </c>
      <c r="M827" t="str">
        <f t="shared" si="24"/>
        <v>E41</v>
      </c>
      <c r="N827" t="s">
        <v>3088</v>
      </c>
      <c r="O827" t="s">
        <v>3077</v>
      </c>
      <c r="P827" t="s">
        <v>3089</v>
      </c>
      <c r="R827" t="str">
        <f t="shared" si="25"/>
        <v>INSERT INTO stock (ticker, name, listing_date, sub_industry, industry, sector, status) VALUES ('SRIL', 'Sri Rejeki Isman Tbk.', '2013-06-17', 'E413', 'E41', 'IDXCYCLIC', (SELECT id FROM attribute WHERE type = 'STOCK_STATUS' AND code = 'LISTED')) ON CONFLICT DO NOTHING;</v>
      </c>
    </row>
    <row r="828" spans="1:18" x14ac:dyDescent="0.2">
      <c r="A828" t="s">
        <v>1157</v>
      </c>
      <c r="B828" t="s">
        <v>3681</v>
      </c>
      <c r="C828" s="1">
        <v>33980</v>
      </c>
      <c r="D828" s="1"/>
      <c r="E828" t="s">
        <v>1159</v>
      </c>
      <c r="F828" t="s">
        <v>28</v>
      </c>
      <c r="G828" t="s">
        <v>3489</v>
      </c>
      <c r="H828" t="s">
        <v>1157</v>
      </c>
      <c r="I828" t="s">
        <v>1158</v>
      </c>
      <c r="K828" t="s">
        <v>2778</v>
      </c>
      <c r="L828" t="s">
        <v>2779</v>
      </c>
      <c r="M828" t="str">
        <f t="shared" si="24"/>
        <v>B11</v>
      </c>
      <c r="N828" t="s">
        <v>2780</v>
      </c>
      <c r="O828" t="s">
        <v>2781</v>
      </c>
      <c r="P828" t="s">
        <v>2782</v>
      </c>
      <c r="R828" t="str">
        <f t="shared" si="25"/>
        <v>INSERT INTO stock (ticker, name, listing_date, sub_industry, industry, sector, status) VALUES ('SRSN', 'Indo Acidatama Tbk.', '1993-01-11', 'B111', 'B11', 'IDXBASIC', (SELECT id FROM attribute WHERE type = 'STOCK_STATUS' AND code = 'LISTED')) ON CONFLICT DO NOTHING;</v>
      </c>
    </row>
    <row r="829" spans="1:18" x14ac:dyDescent="0.2">
      <c r="A829" t="s">
        <v>1160</v>
      </c>
      <c r="B829" t="s">
        <v>1161</v>
      </c>
      <c r="C829" s="1">
        <v>41451</v>
      </c>
      <c r="D829" s="1"/>
      <c r="E829" t="s">
        <v>1162</v>
      </c>
      <c r="F829" t="s">
        <v>8</v>
      </c>
      <c r="G829" t="s">
        <v>3489</v>
      </c>
      <c r="H829" t="s">
        <v>1160</v>
      </c>
      <c r="I829" t="s">
        <v>1161</v>
      </c>
      <c r="K829" t="s">
        <v>3224</v>
      </c>
      <c r="L829" t="s">
        <v>3289</v>
      </c>
      <c r="M829" t="str">
        <f t="shared" si="24"/>
        <v>G51</v>
      </c>
      <c r="N829" t="s">
        <v>3303</v>
      </c>
      <c r="O829" t="s">
        <v>3289</v>
      </c>
      <c r="P829" t="s">
        <v>3304</v>
      </c>
      <c r="R829" t="str">
        <f t="shared" si="25"/>
        <v>INSERT INTO stock (ticker, name, listing_date, sub_industry, industry, sector, status) VALUES ('SRTG', 'Saratoga Investama Sedaya Tbk.', '2013-06-26', 'G512', 'G51', 'IDXFINANCE', (SELECT id FROM attribute WHERE type = 'STOCK_STATUS' AND code = 'LISTED')) ON CONFLICT DO NOTHING;</v>
      </c>
    </row>
    <row r="830" spans="1:18" x14ac:dyDescent="0.2">
      <c r="A830" t="s">
        <v>1163</v>
      </c>
      <c r="B830" t="s">
        <v>1164</v>
      </c>
      <c r="C830" s="1">
        <v>35516</v>
      </c>
      <c r="D830" s="1"/>
      <c r="E830" t="s">
        <v>1165</v>
      </c>
      <c r="F830" t="s">
        <v>8</v>
      </c>
      <c r="G830" t="s">
        <v>3489</v>
      </c>
      <c r="H830" t="s">
        <v>1163</v>
      </c>
      <c r="I830" t="s">
        <v>3863</v>
      </c>
      <c r="K830" t="s">
        <v>3418</v>
      </c>
      <c r="L830" t="s">
        <v>3432</v>
      </c>
      <c r="M830" t="str">
        <f t="shared" si="24"/>
        <v>J21</v>
      </c>
      <c r="N830" t="s">
        <v>3433</v>
      </c>
      <c r="O830" t="s">
        <v>3432</v>
      </c>
      <c r="P830" t="s">
        <v>3432</v>
      </c>
      <c r="R830" t="str">
        <f t="shared" si="25"/>
        <v>INSERT INTO stock (ticker, name, listing_date, sub_industry, industry, sector, status) VALUES ('SSIA', 'Surya Semesta Internusa Tbk.', '1997-03-27', 'J211', 'J21', 'IDXINFRA', (SELECT id FROM attribute WHERE type = 'STOCK_STATUS' AND code = 'LISTED')) ON CONFLICT DO NOTHING;</v>
      </c>
    </row>
    <row r="831" spans="1:18" x14ac:dyDescent="0.2">
      <c r="A831" t="s">
        <v>1166</v>
      </c>
      <c r="B831" t="s">
        <v>1167</v>
      </c>
      <c r="C831" s="1">
        <v>41620</v>
      </c>
      <c r="D831" s="1"/>
      <c r="E831" t="s">
        <v>1168</v>
      </c>
      <c r="F831" t="s">
        <v>8</v>
      </c>
      <c r="G831" t="s">
        <v>3489</v>
      </c>
      <c r="H831" t="s">
        <v>1166</v>
      </c>
      <c r="I831" t="s">
        <v>1167</v>
      </c>
      <c r="K831" t="s">
        <v>2945</v>
      </c>
      <c r="L831" t="s">
        <v>2961</v>
      </c>
      <c r="M831" t="str">
        <f t="shared" si="24"/>
        <v>D23</v>
      </c>
      <c r="N831" t="s">
        <v>3013</v>
      </c>
      <c r="O831" t="s">
        <v>2999</v>
      </c>
      <c r="P831" t="s">
        <v>3014</v>
      </c>
      <c r="R831" t="str">
        <f t="shared" si="25"/>
        <v>INSERT INTO stock (ticker, name, listing_date, sub_industry, industry, sector, status) VALUES ('SSMS', 'Sawit Sumbermas Sarana Tbk.', '2013-12-12', 'D232', 'D23', 'IDXNONCYC', (SELECT id FROM attribute WHERE type = 'STOCK_STATUS' AND code = 'LISTED')) ON CONFLICT DO NOTHING;</v>
      </c>
    </row>
    <row r="832" spans="1:18" x14ac:dyDescent="0.2">
      <c r="A832" t="s">
        <v>1169</v>
      </c>
      <c r="B832" t="s">
        <v>3682</v>
      </c>
      <c r="C832" s="1">
        <v>35662</v>
      </c>
      <c r="D832" s="1"/>
      <c r="E832" t="s">
        <v>1170</v>
      </c>
      <c r="F832" t="s">
        <v>28</v>
      </c>
      <c r="G832" t="s">
        <v>3489</v>
      </c>
      <c r="H832" t="s">
        <v>1169</v>
      </c>
      <c r="I832" t="s">
        <v>3682</v>
      </c>
      <c r="K832" t="s">
        <v>3039</v>
      </c>
      <c r="L832" t="s">
        <v>3077</v>
      </c>
      <c r="M832" t="str">
        <f t="shared" si="24"/>
        <v>E41</v>
      </c>
      <c r="N832" t="s">
        <v>3088</v>
      </c>
      <c r="O832" t="s">
        <v>3077</v>
      </c>
      <c r="P832" t="s">
        <v>3089</v>
      </c>
      <c r="R832" t="str">
        <f t="shared" si="25"/>
        <v>INSERT INTO stock (ticker, name, listing_date, sub_industry, industry, sector, status) VALUES ('SSTM', 'Sunson Textile Manufacture Tbk.', '1997-08-20', 'E413', 'E41', 'IDXCYCLIC', (SELECT id FROM attribute WHERE type = 'STOCK_STATUS' AND code = 'LISTED')) ON CONFLICT DO NOTHING;</v>
      </c>
    </row>
    <row r="833" spans="1:18" x14ac:dyDescent="0.2">
      <c r="A833" t="s">
        <v>2083</v>
      </c>
      <c r="B833" t="s">
        <v>3683</v>
      </c>
      <c r="C833" s="1">
        <v>44630</v>
      </c>
      <c r="D833" s="1"/>
      <c r="E833" t="s">
        <v>2084</v>
      </c>
      <c r="F833" t="s">
        <v>8</v>
      </c>
      <c r="G833" t="s">
        <v>3489</v>
      </c>
      <c r="H833" t="s">
        <v>2083</v>
      </c>
      <c r="I833" t="s">
        <v>3864</v>
      </c>
      <c r="K833" t="s">
        <v>2945</v>
      </c>
      <c r="L833" t="s">
        <v>2961</v>
      </c>
      <c r="M833" t="str">
        <f t="shared" si="24"/>
        <v>D23</v>
      </c>
      <c r="N833" t="s">
        <v>3013</v>
      </c>
      <c r="O833" t="s">
        <v>2999</v>
      </c>
      <c r="P833" t="s">
        <v>3014</v>
      </c>
      <c r="R833" t="str">
        <f t="shared" si="25"/>
        <v>INSERT INTO stock (ticker, name, listing_date, sub_industry, industry, sector, status) VALUES ('STAA', 'Sumber Tani Agung Resources Tbk.', '2022-03-10', 'D232', 'D23', 'IDXNONCYC', (SELECT id FROM attribute WHERE type = 'STOCK_STATUS' AND code = 'LISTED')) ON CONFLICT DO NOTHING;</v>
      </c>
    </row>
    <row r="834" spans="1:18" x14ac:dyDescent="0.2">
      <c r="A834" t="s">
        <v>1171</v>
      </c>
      <c r="B834" t="s">
        <v>1172</v>
      </c>
      <c r="C834" s="1">
        <v>40737</v>
      </c>
      <c r="D834" s="1"/>
      <c r="E834" t="s">
        <v>1173</v>
      </c>
      <c r="F834" t="s">
        <v>28</v>
      </c>
      <c r="G834" t="s">
        <v>3489</v>
      </c>
      <c r="H834" t="s">
        <v>1171</v>
      </c>
      <c r="I834" t="s">
        <v>3301</v>
      </c>
      <c r="K834" t="s">
        <v>3224</v>
      </c>
      <c r="L834" t="s">
        <v>3289</v>
      </c>
      <c r="M834" t="str">
        <f t="shared" ref="M834:M897" si="26">LEFT(N834, 3)</f>
        <v>G51</v>
      </c>
      <c r="N834" t="s">
        <v>3290</v>
      </c>
      <c r="O834" t="s">
        <v>3289</v>
      </c>
      <c r="P834" t="s">
        <v>3291</v>
      </c>
      <c r="R834" t="str">
        <f t="shared" si="25"/>
        <v>INSERT INTO stock (ticker, name, listing_date, sub_industry, industry, sector, status) VALUES ('STAR', 'Buana Artha Anugerah Tbk.', '2011-07-13', 'G511', 'G51', 'IDXFINANCE', (SELECT id FROM attribute WHERE type = 'STOCK_STATUS' AND code = 'LISTED')) ON CONFLICT DO NOTHING;</v>
      </c>
    </row>
    <row r="835" spans="1:18" x14ac:dyDescent="0.2">
      <c r="A835" t="s">
        <v>2390</v>
      </c>
      <c r="B835" t="s">
        <v>2391</v>
      </c>
      <c r="C835" s="1">
        <v>45209</v>
      </c>
      <c r="D835" s="1"/>
      <c r="E835" t="s">
        <v>2392</v>
      </c>
      <c r="F835" t="s">
        <v>28</v>
      </c>
      <c r="G835" t="s">
        <v>3489</v>
      </c>
      <c r="H835" t="s">
        <v>2390</v>
      </c>
      <c r="I835" t="s">
        <v>2391</v>
      </c>
      <c r="K835" t="s">
        <v>2945</v>
      </c>
      <c r="L835" t="s">
        <v>2961</v>
      </c>
      <c r="M835" t="str">
        <f t="shared" si="26"/>
        <v>D21</v>
      </c>
      <c r="N835" t="s">
        <v>2962</v>
      </c>
      <c r="O835" t="s">
        <v>2963</v>
      </c>
      <c r="P835" t="s">
        <v>2964</v>
      </c>
      <c r="R835" t="str">
        <f t="shared" ref="R835:R898" si="27">CONCATENATE($R$1, A835, "', '", B835, "', '", TEXT(C835, "YYYY-MM-DD"), "', '", N835, "', '", M835, "', '", K835, "', ", $S$1, ") ON CONFLICT DO NOTHING;")</f>
        <v>INSERT INTO stock (ticker, name, listing_date, sub_industry, industry, sector, status) VALUES ('STRK', 'Lovina Beach Brewery Tbk.', '2023-10-10', 'D211', 'D21', 'IDXNONCYC', (SELECT id FROM attribute WHERE type = 'STOCK_STATUS' AND code = 'LISTED')) ON CONFLICT DO NOTHING;</v>
      </c>
    </row>
    <row r="836" spans="1:18" x14ac:dyDescent="0.2">
      <c r="A836" t="s">
        <v>1174</v>
      </c>
      <c r="B836" t="s">
        <v>1175</v>
      </c>
      <c r="C836" s="1">
        <v>35415</v>
      </c>
      <c r="D836" s="1"/>
      <c r="E836" t="s">
        <v>1176</v>
      </c>
      <c r="F836" t="s">
        <v>28</v>
      </c>
      <c r="G836" t="s">
        <v>3489</v>
      </c>
      <c r="H836" t="s">
        <v>1174</v>
      </c>
      <c r="I836" t="s">
        <v>2993</v>
      </c>
      <c r="K836" t="s">
        <v>2945</v>
      </c>
      <c r="L836" t="s">
        <v>2961</v>
      </c>
      <c r="M836" t="str">
        <f t="shared" si="26"/>
        <v>D22</v>
      </c>
      <c r="N836" t="s">
        <v>2978</v>
      </c>
      <c r="O836" t="s">
        <v>2973</v>
      </c>
      <c r="P836" t="s">
        <v>2973</v>
      </c>
      <c r="R836" t="str">
        <f t="shared" si="27"/>
        <v>INSERT INTO stock (ticker, name, listing_date, sub_industry, industry, sector, status) VALUES ('STTP', 'Siantar Top Tbk.', '1996-12-16', 'D222', 'D22', 'IDXNONCYC', (SELECT id FROM attribute WHERE type = 'STOCK_STATUS' AND code = 'LISTED')) ON CONFLICT DO NOTHING;</v>
      </c>
    </row>
    <row r="837" spans="1:18" x14ac:dyDescent="0.2">
      <c r="A837" t="s">
        <v>1177</v>
      </c>
      <c r="B837" t="s">
        <v>1178</v>
      </c>
      <c r="C837" s="1">
        <v>37426</v>
      </c>
      <c r="D837" s="1"/>
      <c r="E837" t="s">
        <v>1179</v>
      </c>
      <c r="F837" t="s">
        <v>12</v>
      </c>
      <c r="G837" t="s">
        <v>3489</v>
      </c>
      <c r="H837" t="s">
        <v>1177</v>
      </c>
      <c r="I837" t="s">
        <v>2708</v>
      </c>
      <c r="K837" t="s">
        <v>2701</v>
      </c>
      <c r="L837" t="s">
        <v>2702</v>
      </c>
      <c r="M837" t="str">
        <f t="shared" si="26"/>
        <v>A11</v>
      </c>
      <c r="N837" t="s">
        <v>2703</v>
      </c>
      <c r="O837" t="s">
        <v>2704</v>
      </c>
      <c r="P837" t="s">
        <v>2705</v>
      </c>
      <c r="R837" t="str">
        <f t="shared" si="27"/>
        <v>INSERT INTO stock (ticker, name, listing_date, sub_industry, industry, sector, status) VALUES ('SUGI', 'Sugih Energy Tbk.', '2002-06-19', 'A111', 'A11', 'IDXENERGY', (SELECT id FROM attribute WHERE type = 'STOCK_STATUS' AND code = 'LISTED')) ON CONFLICT DO NOTHING;</v>
      </c>
    </row>
    <row r="838" spans="1:18" x14ac:dyDescent="0.2">
      <c r="A838" t="s">
        <v>1180</v>
      </c>
      <c r="B838" t="s">
        <v>1181</v>
      </c>
      <c r="C838" s="1">
        <v>34414</v>
      </c>
      <c r="D838" s="1"/>
      <c r="E838" t="s">
        <v>1182</v>
      </c>
      <c r="F838" t="s">
        <v>28</v>
      </c>
      <c r="G838" t="s">
        <v>3489</v>
      </c>
      <c r="H838" t="s">
        <v>1180</v>
      </c>
      <c r="I838" t="s">
        <v>2864</v>
      </c>
      <c r="K838" t="s">
        <v>2778</v>
      </c>
      <c r="L838" t="s">
        <v>2779</v>
      </c>
      <c r="M838" t="str">
        <f t="shared" si="26"/>
        <v>B15</v>
      </c>
      <c r="N838" t="s">
        <v>2860</v>
      </c>
      <c r="O838" t="s">
        <v>2861</v>
      </c>
      <c r="P838" t="s">
        <v>2862</v>
      </c>
      <c r="R838" t="str">
        <f t="shared" si="27"/>
        <v>INSERT INTO stock (ticker, name, listing_date, sub_industry, industry, sector, status) VALUES ('SULI', 'SLJ Global Tbk.', '1994-03-21', 'B151', 'B15', 'IDXBASIC', (SELECT id FROM attribute WHERE type = 'STOCK_STATUS' AND code = 'LISTED')) ON CONFLICT DO NOTHING;</v>
      </c>
    </row>
    <row r="839" spans="1:18" x14ac:dyDescent="0.2">
      <c r="A839" t="s">
        <v>2228</v>
      </c>
      <c r="B839" t="s">
        <v>2229</v>
      </c>
      <c r="C839" s="1">
        <v>44935</v>
      </c>
      <c r="D839" s="1"/>
      <c r="E839" t="s">
        <v>544</v>
      </c>
      <c r="F839" t="s">
        <v>8</v>
      </c>
      <c r="G839" t="s">
        <v>3489</v>
      </c>
      <c r="H839" t="s">
        <v>2228</v>
      </c>
      <c r="I839" t="s">
        <v>3865</v>
      </c>
      <c r="K839" t="s">
        <v>2701</v>
      </c>
      <c r="L839" t="s">
        <v>2702</v>
      </c>
      <c r="M839" t="str">
        <f t="shared" si="26"/>
        <v>A13</v>
      </c>
      <c r="N839" t="s">
        <v>2763</v>
      </c>
      <c r="O839" t="s">
        <v>2760</v>
      </c>
      <c r="P839" t="s">
        <v>2764</v>
      </c>
      <c r="R839" t="str">
        <f t="shared" si="27"/>
        <v>INSERT INTO stock (ticker, name, listing_date, sub_industry, industry, sector, status) VALUES ('SUNI', 'Sunindo Pratama Tbk.', '2023-01-09', 'A132', 'A13', 'IDXENERGY', (SELECT id FROM attribute WHERE type = 'STOCK_STATUS' AND code = 'LISTED')) ON CONFLICT DO NOTHING;</v>
      </c>
    </row>
    <row r="840" spans="1:18" x14ac:dyDescent="0.2">
      <c r="A840" t="s">
        <v>2566</v>
      </c>
      <c r="B840" t="s">
        <v>2567</v>
      </c>
      <c r="C840" s="1">
        <v>46008</v>
      </c>
      <c r="D840" s="1"/>
      <c r="E840" t="s">
        <v>2568</v>
      </c>
      <c r="F840" t="s">
        <v>28</v>
      </c>
      <c r="G840" t="s">
        <v>3489</v>
      </c>
      <c r="H840" t="s">
        <v>2566</v>
      </c>
      <c r="I840" t="s">
        <v>3866</v>
      </c>
      <c r="K840" t="s">
        <v>3224</v>
      </c>
      <c r="L840" t="s">
        <v>3225</v>
      </c>
      <c r="M840" t="str">
        <f t="shared" si="26"/>
        <v>G11</v>
      </c>
      <c r="N840" t="s">
        <v>3226</v>
      </c>
      <c r="O840" t="s">
        <v>3225</v>
      </c>
      <c r="P840" t="s">
        <v>3225</v>
      </c>
      <c r="R840" t="str">
        <f t="shared" si="27"/>
        <v>INSERT INTO stock (ticker, name, listing_date, sub_industry, industry, sector, status) VALUES ('SUPA', 'Super Bank Indonesia Tbk.', '2025-12-17', 'G111', 'G11', 'IDXFINANCE', (SELECT id FROM attribute WHERE type = 'STOCK_STATUS' AND code = 'LISTED')) ON CONFLICT DO NOTHING;</v>
      </c>
    </row>
    <row r="841" spans="1:18" x14ac:dyDescent="0.2">
      <c r="A841" t="s">
        <v>1183</v>
      </c>
      <c r="B841" t="s">
        <v>1184</v>
      </c>
      <c r="C841" s="1">
        <v>40827</v>
      </c>
      <c r="D841" s="1"/>
      <c r="E841" t="s">
        <v>1185</v>
      </c>
      <c r="F841" t="s">
        <v>12</v>
      </c>
      <c r="G841" t="s">
        <v>3489</v>
      </c>
      <c r="H841" t="s">
        <v>1183</v>
      </c>
      <c r="I841" t="s">
        <v>3456</v>
      </c>
      <c r="K841" t="s">
        <v>3418</v>
      </c>
      <c r="L841" t="s">
        <v>3439</v>
      </c>
      <c r="M841" t="str">
        <f t="shared" si="26"/>
        <v>J32</v>
      </c>
      <c r="N841" t="s">
        <v>3449</v>
      </c>
      <c r="O841" t="s">
        <v>3450</v>
      </c>
      <c r="P841" t="s">
        <v>3450</v>
      </c>
      <c r="R841" t="str">
        <f t="shared" si="27"/>
        <v>INSERT INTO stock (ticker, name, listing_date, sub_industry, industry, sector, status) VALUES ('SUPR', 'Solusi Tunas Pratama Tbk.', '2011-10-11', 'J321', 'J32', 'IDXINFRA', (SELECT id FROM attribute WHERE type = 'STOCK_STATUS' AND code = 'LISTED')) ON CONFLICT DO NOTHING;</v>
      </c>
    </row>
    <row r="842" spans="1:18" x14ac:dyDescent="0.2">
      <c r="A842" t="s">
        <v>1592</v>
      </c>
      <c r="B842" t="s">
        <v>1593</v>
      </c>
      <c r="C842" s="1">
        <v>43378</v>
      </c>
      <c r="D842" s="1"/>
      <c r="E842" t="s">
        <v>1594</v>
      </c>
      <c r="F842" t="s">
        <v>28</v>
      </c>
      <c r="G842" t="s">
        <v>3489</v>
      </c>
      <c r="H842" t="s">
        <v>1592</v>
      </c>
      <c r="I842" t="s">
        <v>2709</v>
      </c>
      <c r="K842" t="s">
        <v>2701</v>
      </c>
      <c r="L842" t="s">
        <v>2702</v>
      </c>
      <c r="M842" t="str">
        <f t="shared" si="26"/>
        <v>A11</v>
      </c>
      <c r="N842" t="s">
        <v>2703</v>
      </c>
      <c r="O842" t="s">
        <v>2704</v>
      </c>
      <c r="P842" t="s">
        <v>2705</v>
      </c>
      <c r="R842" t="str">
        <f t="shared" si="27"/>
        <v>INSERT INTO stock (ticker, name, listing_date, sub_industry, industry, sector, status) VALUES ('SURE', 'Super Energy Tbk.', '2018-10-05', 'A111', 'A11', 'IDXENERGY', (SELECT id FROM attribute WHERE type = 'STOCK_STATUS' AND code = 'LISTED')) ON CONFLICT DO NOTHING;</v>
      </c>
    </row>
    <row r="843" spans="1:18" x14ac:dyDescent="0.2">
      <c r="A843" t="s">
        <v>2412</v>
      </c>
      <c r="B843" t="s">
        <v>2413</v>
      </c>
      <c r="C843" s="1">
        <v>45267</v>
      </c>
      <c r="D843" s="1"/>
      <c r="E843" t="s">
        <v>2414</v>
      </c>
      <c r="F843" t="s">
        <v>28</v>
      </c>
      <c r="G843" t="s">
        <v>3489</v>
      </c>
      <c r="H843" t="s">
        <v>2412</v>
      </c>
      <c r="I843" t="s">
        <v>2413</v>
      </c>
      <c r="K843" t="s">
        <v>3199</v>
      </c>
      <c r="L843" t="s">
        <v>3200</v>
      </c>
      <c r="M843" t="str">
        <f t="shared" si="26"/>
        <v>F11</v>
      </c>
      <c r="N843" t="s">
        <v>3201</v>
      </c>
      <c r="O843" t="s">
        <v>3202</v>
      </c>
      <c r="P843" t="s">
        <v>3203</v>
      </c>
      <c r="R843" t="str">
        <f t="shared" si="27"/>
        <v>INSERT INTO stock (ticker, name, listing_date, sub_industry, industry, sector, status) VALUES ('SURI', 'Maja Agung Latexindo Tbk.', '2023-12-07', 'F112', 'F11', 'IDXHEALTH', (SELECT id FROM attribute WHERE type = 'STOCK_STATUS' AND code = 'LISTED')) ON CONFLICT DO NOTHING;</v>
      </c>
    </row>
    <row r="844" spans="1:18" x14ac:dyDescent="0.2">
      <c r="A844" t="s">
        <v>1538</v>
      </c>
      <c r="B844" t="s">
        <v>1539</v>
      </c>
      <c r="C844" s="1">
        <v>43259</v>
      </c>
      <c r="D844" s="1"/>
      <c r="E844" t="s">
        <v>1540</v>
      </c>
      <c r="F844" t="s">
        <v>12</v>
      </c>
      <c r="G844" t="s">
        <v>3489</v>
      </c>
      <c r="H844" t="s">
        <v>1538</v>
      </c>
      <c r="I844" t="s">
        <v>2869</v>
      </c>
      <c r="K844" t="s">
        <v>2778</v>
      </c>
      <c r="L844" t="s">
        <v>2779</v>
      </c>
      <c r="M844" t="str">
        <f t="shared" si="26"/>
        <v>B15</v>
      </c>
      <c r="N844" t="s">
        <v>2866</v>
      </c>
      <c r="O844" t="s">
        <v>2861</v>
      </c>
      <c r="P844" t="s">
        <v>2867</v>
      </c>
      <c r="R844" t="str">
        <f t="shared" si="27"/>
        <v>INSERT INTO stock (ticker, name, listing_date, sub_industry, industry, sector, status) VALUES ('SWAT', 'Sriwahana Adityakarta Tbk.', '2018-06-08', 'B152', 'B15', 'IDXBASIC', (SELECT id FROM attribute WHERE type = 'STOCK_STATUS' AND code = 'LISTED')) ON CONFLICT DO NOTHING;</v>
      </c>
    </row>
    <row r="845" spans="1:18" x14ac:dyDescent="0.2">
      <c r="A845" t="s">
        <v>2115</v>
      </c>
      <c r="B845" t="s">
        <v>3684</v>
      </c>
      <c r="C845" s="1">
        <v>44749</v>
      </c>
      <c r="D845" s="1"/>
      <c r="E845" t="s">
        <v>2116</v>
      </c>
      <c r="F845" t="s">
        <v>28</v>
      </c>
      <c r="G845" t="s">
        <v>3489</v>
      </c>
      <c r="H845" t="s">
        <v>2115</v>
      </c>
      <c r="I845" t="s">
        <v>3867</v>
      </c>
      <c r="K845" t="s">
        <v>3306</v>
      </c>
      <c r="L845" t="s">
        <v>3307</v>
      </c>
      <c r="M845" t="str">
        <f t="shared" si="26"/>
        <v>H11</v>
      </c>
      <c r="N845" t="s">
        <v>3308</v>
      </c>
      <c r="O845" t="s">
        <v>3309</v>
      </c>
      <c r="P845" t="s">
        <v>3310</v>
      </c>
      <c r="R845" t="str">
        <f t="shared" si="27"/>
        <v>INSERT INTO stock (ticker, name, listing_date, sub_industry, industry, sector, status) VALUES ('SWID', 'Saraswanti Indoland Development Tbk.', '2022-07-07', 'H111', 'H11', 'IDXPROPERT', (SELECT id FROM attribute WHERE type = 'STOCK_STATUS' AND code = 'LISTED')) ON CONFLICT DO NOTHING;</v>
      </c>
    </row>
    <row r="846" spans="1:18" x14ac:dyDescent="0.2">
      <c r="A846" t="s">
        <v>1186</v>
      </c>
      <c r="B846" t="s">
        <v>1187</v>
      </c>
      <c r="C846" s="1">
        <v>41656</v>
      </c>
      <c r="D846" s="1"/>
      <c r="E846" t="s">
        <v>1188</v>
      </c>
      <c r="F846" t="s">
        <v>28</v>
      </c>
      <c r="G846" t="s">
        <v>3489</v>
      </c>
      <c r="H846" t="s">
        <v>1186</v>
      </c>
      <c r="I846" t="s">
        <v>1187</v>
      </c>
      <c r="K846" t="s">
        <v>2778</v>
      </c>
      <c r="L846" t="s">
        <v>2779</v>
      </c>
      <c r="M846" t="str">
        <f t="shared" si="26"/>
        <v>B13</v>
      </c>
      <c r="N846" t="s">
        <v>2812</v>
      </c>
      <c r="O846" t="s">
        <v>2813</v>
      </c>
      <c r="P846" t="s">
        <v>2813</v>
      </c>
      <c r="R846" t="str">
        <f t="shared" si="27"/>
        <v>INSERT INTO stock (ticker, name, listing_date, sub_industry, industry, sector, status) VALUES ('TALF', 'Tunas Alfin Tbk.', '2014-01-17', 'B131', 'B13', 'IDXBASIC', (SELECT id FROM attribute WHERE type = 'STOCK_STATUS' AND code = 'LISTED')) ON CONFLICT DO NOTHING;</v>
      </c>
    </row>
    <row r="847" spans="1:18" x14ac:dyDescent="0.2">
      <c r="A847" t="s">
        <v>1819</v>
      </c>
      <c r="B847" t="s">
        <v>1820</v>
      </c>
      <c r="C847" s="1">
        <v>43871</v>
      </c>
      <c r="D847" s="1"/>
      <c r="E847" t="s">
        <v>1821</v>
      </c>
      <c r="F847" t="s">
        <v>12</v>
      </c>
      <c r="G847" t="s">
        <v>3489</v>
      </c>
      <c r="H847" t="s">
        <v>1819</v>
      </c>
      <c r="I847" t="s">
        <v>1820</v>
      </c>
      <c r="K847" t="s">
        <v>3418</v>
      </c>
      <c r="L847" t="s">
        <v>3432</v>
      </c>
      <c r="M847" t="str">
        <f t="shared" si="26"/>
        <v>J21</v>
      </c>
      <c r="N847" t="s">
        <v>3433</v>
      </c>
      <c r="O847" t="s">
        <v>3432</v>
      </c>
      <c r="P847" t="s">
        <v>3432</v>
      </c>
      <c r="R847" t="str">
        <f t="shared" si="27"/>
        <v>INSERT INTO stock (ticker, name, listing_date, sub_industry, industry, sector, status) VALUES ('TAMA', 'Lancartama Sejati Tbk.', '2020-02-10', 'J211', 'J21', 'IDXINFRA', (SELECT id FROM attribute WHERE type = 'STOCK_STATUS' AND code = 'LISTED')) ON CONFLICT DO NOTHING;</v>
      </c>
    </row>
    <row r="848" spans="1:18" x14ac:dyDescent="0.2">
      <c r="A848" t="s">
        <v>1402</v>
      </c>
      <c r="B848" t="s">
        <v>1403</v>
      </c>
      <c r="C848" s="1">
        <v>42865</v>
      </c>
      <c r="D848" s="1"/>
      <c r="E848" t="s">
        <v>1404</v>
      </c>
      <c r="F848" t="s">
        <v>12</v>
      </c>
      <c r="G848" t="s">
        <v>3489</v>
      </c>
      <c r="H848" t="s">
        <v>1402</v>
      </c>
      <c r="I848" t="s">
        <v>1403</v>
      </c>
      <c r="K848" t="s">
        <v>2701</v>
      </c>
      <c r="L848" t="s">
        <v>2702</v>
      </c>
      <c r="M848" t="str">
        <f t="shared" si="26"/>
        <v>A13</v>
      </c>
      <c r="N848" t="s">
        <v>2763</v>
      </c>
      <c r="O848" t="s">
        <v>2760</v>
      </c>
      <c r="P848" t="s">
        <v>2764</v>
      </c>
      <c r="R848" t="str">
        <f t="shared" si="27"/>
        <v>INSERT INTO stock (ticker, name, listing_date, sub_industry, industry, sector, status) VALUES ('TAMU', 'Pelayaran Tamarin Samudra Tbk.', '2017-05-10', 'A132', 'A13', 'IDXENERGY', (SELECT id FROM attribute WHERE type = 'STOCK_STATUS' AND code = 'LISTED')) ON CONFLICT DO NOTHING;</v>
      </c>
    </row>
    <row r="849" spans="1:18" x14ac:dyDescent="0.2">
      <c r="A849" t="s">
        <v>1936</v>
      </c>
      <c r="B849" t="s">
        <v>1937</v>
      </c>
      <c r="C849" s="1">
        <v>44298</v>
      </c>
      <c r="D849" s="1"/>
      <c r="E849" t="s">
        <v>1938</v>
      </c>
      <c r="F849" t="s">
        <v>8</v>
      </c>
      <c r="G849" t="s">
        <v>3489</v>
      </c>
      <c r="H849" t="s">
        <v>1936</v>
      </c>
      <c r="I849" t="s">
        <v>3025</v>
      </c>
      <c r="K849" t="s">
        <v>2945</v>
      </c>
      <c r="L849" t="s">
        <v>2961</v>
      </c>
      <c r="M849" t="str">
        <f t="shared" si="26"/>
        <v>D23</v>
      </c>
      <c r="N849" t="s">
        <v>3013</v>
      </c>
      <c r="O849" t="s">
        <v>2999</v>
      </c>
      <c r="P849" t="s">
        <v>3014</v>
      </c>
      <c r="R849" t="str">
        <f t="shared" si="27"/>
        <v>INSERT INTO stock (ticker, name, listing_date, sub_industry, industry, sector, status) VALUES ('TAPG', 'Triputra Agro Persada Tbk.', '2021-04-12', 'D232', 'D23', 'IDXNONCYC', (SELECT id FROM attribute WHERE type = 'STOCK_STATUS' AND code = 'LISTED')) ON CONFLICT DO NOTHING;</v>
      </c>
    </row>
    <row r="850" spans="1:18" x14ac:dyDescent="0.2">
      <c r="A850" t="s">
        <v>1189</v>
      </c>
      <c r="B850" t="s">
        <v>1190</v>
      </c>
      <c r="C850" s="1">
        <v>41831</v>
      </c>
      <c r="D850" s="1"/>
      <c r="E850" t="s">
        <v>1191</v>
      </c>
      <c r="F850" t="s">
        <v>12</v>
      </c>
      <c r="G850" t="s">
        <v>3489</v>
      </c>
      <c r="H850" t="s">
        <v>1189</v>
      </c>
      <c r="I850" t="s">
        <v>3375</v>
      </c>
      <c r="K850" t="s">
        <v>3306</v>
      </c>
      <c r="L850" t="s">
        <v>3307</v>
      </c>
      <c r="M850" t="str">
        <f t="shared" si="26"/>
        <v>H11</v>
      </c>
      <c r="N850" t="s">
        <v>3308</v>
      </c>
      <c r="O850" t="s">
        <v>3309</v>
      </c>
      <c r="P850" t="s">
        <v>3310</v>
      </c>
      <c r="R850" t="str">
        <f t="shared" si="27"/>
        <v>INSERT INTO stock (ticker, name, listing_date, sub_industry, industry, sector, status) VALUES ('TARA', 'Agung Semesta Sejahtera Tbk.', '2014-07-11', 'H111', 'H11', 'IDXPROPERT', (SELECT id FROM attribute WHERE type = 'STOCK_STATUS' AND code = 'LISTED')) ON CONFLICT DO NOTHING;</v>
      </c>
    </row>
    <row r="851" spans="1:18" x14ac:dyDescent="0.2">
      <c r="A851" t="s">
        <v>1192</v>
      </c>
      <c r="B851" t="s">
        <v>1193</v>
      </c>
      <c r="C851" s="1">
        <v>41215</v>
      </c>
      <c r="D851" s="1"/>
      <c r="E851" t="s">
        <v>1194</v>
      </c>
      <c r="F851" t="s">
        <v>12</v>
      </c>
      <c r="G851" t="s">
        <v>3489</v>
      </c>
      <c r="H851" t="s">
        <v>1192</v>
      </c>
      <c r="I851" t="s">
        <v>3480</v>
      </c>
      <c r="K851" t="s">
        <v>3470</v>
      </c>
      <c r="L851" t="s">
        <v>3471</v>
      </c>
      <c r="M851" t="str">
        <f t="shared" si="26"/>
        <v>K13</v>
      </c>
      <c r="N851" t="s">
        <v>3477</v>
      </c>
      <c r="O851" t="s">
        <v>3478</v>
      </c>
      <c r="P851" t="s">
        <v>3479</v>
      </c>
      <c r="R851" t="str">
        <f t="shared" si="27"/>
        <v>INSERT INTO stock (ticker, name, listing_date, sub_industry, industry, sector, status) VALUES ('TAXI', 'Express Transindo Utama Tbk.', '2012-11-02', 'K132', 'K13', 'IDXTRANS', (SELECT id FROM attribute WHERE type = 'STOCK_STATUS' AND code = 'LISTED')) ON CONFLICT DO NOTHING;</v>
      </c>
    </row>
    <row r="852" spans="1:18" x14ac:dyDescent="0.2">
      <c r="A852" t="s">
        <v>2034</v>
      </c>
      <c r="B852" t="s">
        <v>2035</v>
      </c>
      <c r="C852" s="1">
        <v>44536</v>
      </c>
      <c r="D852" s="1"/>
      <c r="E852" t="s">
        <v>2036</v>
      </c>
      <c r="F852" t="s">
        <v>28</v>
      </c>
      <c r="G852" t="s">
        <v>3489</v>
      </c>
      <c r="H852" t="s">
        <v>2034</v>
      </c>
      <c r="I852" t="s">
        <v>2994</v>
      </c>
      <c r="K852" t="s">
        <v>2945</v>
      </c>
      <c r="L852" t="s">
        <v>2961</v>
      </c>
      <c r="M852" t="str">
        <f t="shared" si="26"/>
        <v>D22</v>
      </c>
      <c r="N852" t="s">
        <v>2978</v>
      </c>
      <c r="O852" t="s">
        <v>2973</v>
      </c>
      <c r="P852" t="s">
        <v>2973</v>
      </c>
      <c r="R852" t="str">
        <f t="shared" si="27"/>
        <v>INSERT INTO stock (ticker, name, listing_date, sub_industry, industry, sector, status) VALUES ('TAYS', 'Jaya Swarasa Agung Tbk.', '2021-12-06', 'D222', 'D22', 'IDXNONCYC', (SELECT id FROM attribute WHERE type = 'STOCK_STATUS' AND code = 'LISTED')) ON CONFLICT DO NOTHING;</v>
      </c>
    </row>
    <row r="853" spans="1:18" x14ac:dyDescent="0.2">
      <c r="A853" t="s">
        <v>1195</v>
      </c>
      <c r="B853" t="s">
        <v>3685</v>
      </c>
      <c r="C853" s="1">
        <v>40477</v>
      </c>
      <c r="D853" s="1"/>
      <c r="E853" t="s">
        <v>1196</v>
      </c>
      <c r="F853" t="s">
        <v>8</v>
      </c>
      <c r="G853" t="s">
        <v>3489</v>
      </c>
      <c r="H853" t="s">
        <v>1195</v>
      </c>
      <c r="I853" t="s">
        <v>3868</v>
      </c>
      <c r="K853" t="s">
        <v>3418</v>
      </c>
      <c r="L853" t="s">
        <v>3439</v>
      </c>
      <c r="M853" t="str">
        <f t="shared" si="26"/>
        <v>J32</v>
      </c>
      <c r="N853" t="s">
        <v>3449</v>
      </c>
      <c r="O853" t="s">
        <v>3450</v>
      </c>
      <c r="P853" t="s">
        <v>3450</v>
      </c>
      <c r="R853" t="str">
        <f t="shared" si="27"/>
        <v>INSERT INTO stock (ticker, name, listing_date, sub_industry, industry, sector, status) VALUES ('TBIG', 'Tower Bersama Infrastructure Tbk.', '2010-10-26', 'J321', 'J32', 'IDXINFRA', (SELECT id FROM attribute WHERE type = 'STOCK_STATUS' AND code = 'LISTED')) ON CONFLICT DO NOTHING;</v>
      </c>
    </row>
    <row r="854" spans="1:18" x14ac:dyDescent="0.2">
      <c r="A854" t="s">
        <v>1197</v>
      </c>
      <c r="B854" t="s">
        <v>1198</v>
      </c>
      <c r="C854" s="1">
        <v>36570</v>
      </c>
      <c r="D854" s="1"/>
      <c r="E854" t="s">
        <v>1199</v>
      </c>
      <c r="F854" t="s">
        <v>8</v>
      </c>
      <c r="G854" t="s">
        <v>3489</v>
      </c>
      <c r="H854" t="s">
        <v>1197</v>
      </c>
      <c r="I854" t="s">
        <v>2995</v>
      </c>
      <c r="K854" t="s">
        <v>2945</v>
      </c>
      <c r="L854" t="s">
        <v>2961</v>
      </c>
      <c r="M854" t="str">
        <f t="shared" si="26"/>
        <v>D22</v>
      </c>
      <c r="N854" t="s">
        <v>2978</v>
      </c>
      <c r="O854" t="s">
        <v>2973</v>
      </c>
      <c r="P854" t="s">
        <v>2973</v>
      </c>
      <c r="R854" t="str">
        <f t="shared" si="27"/>
        <v>INSERT INTO stock (ticker, name, listing_date, sub_industry, industry, sector, status) VALUES ('TBLA', 'Tunas Baru Lampung Tbk.', '2000-02-14', 'D222', 'D22', 'IDXNONCYC', (SELECT id FROM attribute WHERE type = 'STOCK_STATUS' AND code = 'LISTED')) ON CONFLICT DO NOTHING;</v>
      </c>
    </row>
    <row r="855" spans="1:18" x14ac:dyDescent="0.2">
      <c r="A855" t="s">
        <v>1200</v>
      </c>
      <c r="B855" t="s">
        <v>1201</v>
      </c>
      <c r="C855" s="1">
        <v>33016</v>
      </c>
      <c r="D855" s="1"/>
      <c r="E855" t="s">
        <v>1202</v>
      </c>
      <c r="F855" t="s">
        <v>28</v>
      </c>
      <c r="G855" t="s">
        <v>3489</v>
      </c>
      <c r="H855" t="s">
        <v>1200</v>
      </c>
      <c r="I855" t="s">
        <v>2832</v>
      </c>
      <c r="K855" t="s">
        <v>2778</v>
      </c>
      <c r="L855" t="s">
        <v>2779</v>
      </c>
      <c r="M855" t="str">
        <f t="shared" si="26"/>
        <v>B14</v>
      </c>
      <c r="N855" t="s">
        <v>2830</v>
      </c>
      <c r="O855" t="s">
        <v>2824</v>
      </c>
      <c r="P855" t="s">
        <v>2831</v>
      </c>
      <c r="R855" t="str">
        <f t="shared" si="27"/>
        <v>INSERT INTO stock (ticker, name, listing_date, sub_industry, industry, sector, status) VALUES ('TBMS', 'Tembaga Mulia Semanan Tbk.', '1990-05-23', 'B142', 'B14', 'IDXBASIC', (SELECT id FROM attribute WHERE type = 'STOCK_STATUS' AND code = 'LISTED')) ON CONFLICT DO NOTHING;</v>
      </c>
    </row>
    <row r="856" spans="1:18" x14ac:dyDescent="0.2">
      <c r="A856" t="s">
        <v>1203</v>
      </c>
      <c r="B856" t="s">
        <v>1204</v>
      </c>
      <c r="C856" s="1">
        <v>34242</v>
      </c>
      <c r="D856" s="1"/>
      <c r="E856" t="s">
        <v>1205</v>
      </c>
      <c r="F856" t="s">
        <v>28</v>
      </c>
      <c r="G856" t="s">
        <v>3489</v>
      </c>
      <c r="H856" t="s">
        <v>1203</v>
      </c>
      <c r="I856" t="s">
        <v>3038</v>
      </c>
      <c r="K856" t="s">
        <v>2945</v>
      </c>
      <c r="L856" t="s">
        <v>3032</v>
      </c>
      <c r="M856" t="str">
        <f t="shared" si="26"/>
        <v>D42</v>
      </c>
      <c r="N856" t="s">
        <v>3033</v>
      </c>
      <c r="O856" t="s">
        <v>3034</v>
      </c>
      <c r="P856" t="s">
        <v>3034</v>
      </c>
      <c r="R856" t="str">
        <f t="shared" si="27"/>
        <v>INSERT INTO stock (ticker, name, listing_date, sub_industry, industry, sector, status) VALUES ('TCID', 'Mandom Indonesia Tbk.', '1993-09-30', 'D421', 'D42', 'IDXNONCYC', (SELECT id FROM attribute WHERE type = 'STOCK_STATUS' AND code = 'LISTED')) ON CONFLICT DO NOTHING;</v>
      </c>
    </row>
    <row r="857" spans="1:18" x14ac:dyDescent="0.2">
      <c r="A857" t="s">
        <v>1547</v>
      </c>
      <c r="B857" t="s">
        <v>1548</v>
      </c>
      <c r="C857" s="1">
        <v>43287</v>
      </c>
      <c r="D857" s="1"/>
      <c r="E857" t="s">
        <v>722</v>
      </c>
      <c r="F857" t="s">
        <v>28</v>
      </c>
      <c r="G857" t="s">
        <v>3489</v>
      </c>
      <c r="H857" t="s">
        <v>1547</v>
      </c>
      <c r="I857" t="s">
        <v>2755</v>
      </c>
      <c r="K857" t="s">
        <v>2701</v>
      </c>
      <c r="L857" t="s">
        <v>2702</v>
      </c>
      <c r="M857" t="str">
        <f t="shared" si="26"/>
        <v>A12</v>
      </c>
      <c r="N857" t="s">
        <v>2742</v>
      </c>
      <c r="O857" t="s">
        <v>2724</v>
      </c>
      <c r="P857" t="s">
        <v>2743</v>
      </c>
      <c r="R857" t="str">
        <f t="shared" si="27"/>
        <v>INSERT INTO stock (ticker, name, listing_date, sub_industry, industry, sector, status) VALUES ('TCPI', 'Transcoal Pacific Tbk.', '2018-07-06', 'A122', 'A12', 'IDXENERGY', (SELECT id FROM attribute WHERE type = 'STOCK_STATUS' AND code = 'LISTED')) ON CONFLICT DO NOTHING;</v>
      </c>
    </row>
    <row r="858" spans="1:18" x14ac:dyDescent="0.2">
      <c r="A858" t="s">
        <v>1507</v>
      </c>
      <c r="B858" t="s">
        <v>3686</v>
      </c>
      <c r="C858" s="1">
        <v>43199</v>
      </c>
      <c r="D858" s="1"/>
      <c r="E858" t="s">
        <v>1508</v>
      </c>
      <c r="F858" t="s">
        <v>12</v>
      </c>
      <c r="G858" t="s">
        <v>3489</v>
      </c>
      <c r="H858" t="s">
        <v>1507</v>
      </c>
      <c r="I858" t="s">
        <v>3869</v>
      </c>
      <c r="K858" t="s">
        <v>2778</v>
      </c>
      <c r="L858" t="s">
        <v>2779</v>
      </c>
      <c r="M858" t="str">
        <f t="shared" si="26"/>
        <v>B11</v>
      </c>
      <c r="N858" t="s">
        <v>2780</v>
      </c>
      <c r="O858" t="s">
        <v>2781</v>
      </c>
      <c r="P858" t="s">
        <v>2782</v>
      </c>
      <c r="R858" t="str">
        <f t="shared" si="27"/>
        <v>INSERT INTO stock (ticker, name, listing_date, sub_industry, industry, sector, status) VALUES ('TDPM', 'Tianrong Chemicals Industry Tbk.', '2018-04-09', 'B111', 'B11', 'IDXBASIC', (SELECT id FROM attribute WHERE type = 'STOCK_STATUS' AND code = 'LISTED')) ON CONFLICT DO NOTHING;</v>
      </c>
    </row>
    <row r="859" spans="1:18" x14ac:dyDescent="0.2">
      <c r="A859" t="s">
        <v>1765</v>
      </c>
      <c r="B859" t="s">
        <v>1766</v>
      </c>
      <c r="C859" s="1">
        <v>43787</v>
      </c>
      <c r="D859" s="1"/>
      <c r="E859" t="s">
        <v>1767</v>
      </c>
      <c r="F859" t="s">
        <v>8</v>
      </c>
      <c r="G859" t="s">
        <v>3489</v>
      </c>
      <c r="H859" t="s">
        <v>1765</v>
      </c>
      <c r="I859" t="s">
        <v>2756</v>
      </c>
      <c r="K859" t="s">
        <v>2701</v>
      </c>
      <c r="L859" t="s">
        <v>2702</v>
      </c>
      <c r="M859" t="str">
        <f t="shared" si="26"/>
        <v>A12</v>
      </c>
      <c r="N859" t="s">
        <v>2742</v>
      </c>
      <c r="O859" t="s">
        <v>2724</v>
      </c>
      <c r="P859" t="s">
        <v>2743</v>
      </c>
      <c r="R859" t="str">
        <f t="shared" si="27"/>
        <v>INSERT INTO stock (ticker, name, listing_date, sub_industry, industry, sector, status) VALUES ('TEBE', 'Dana Brata Luhur Tbk.', '2019-11-18', 'A122', 'A12', 'IDXENERGY', (SELECT id FROM attribute WHERE type = 'STOCK_STATUS' AND code = 'LISTED')) ON CONFLICT DO NOTHING;</v>
      </c>
    </row>
    <row r="860" spans="1:18" x14ac:dyDescent="0.2">
      <c r="A860" t="s">
        <v>1848</v>
      </c>
      <c r="B860" t="s">
        <v>1849</v>
      </c>
      <c r="C860" s="1">
        <v>43986</v>
      </c>
      <c r="D860" s="1"/>
      <c r="E860" t="s">
        <v>1850</v>
      </c>
      <c r="F860" t="s">
        <v>12</v>
      </c>
      <c r="G860" t="s">
        <v>3489</v>
      </c>
      <c r="H860" t="s">
        <v>1848</v>
      </c>
      <c r="I860" t="s">
        <v>3401</v>
      </c>
      <c r="K860" t="s">
        <v>3381</v>
      </c>
      <c r="L860" t="s">
        <v>3382</v>
      </c>
      <c r="M860" t="str">
        <f t="shared" si="26"/>
        <v>I12</v>
      </c>
      <c r="N860" t="s">
        <v>3393</v>
      </c>
      <c r="O860" t="s">
        <v>3394</v>
      </c>
      <c r="P860" t="s">
        <v>3394</v>
      </c>
      <c r="R860" t="str">
        <f t="shared" si="27"/>
        <v>INSERT INTO stock (ticker, name, listing_date, sub_industry, industry, sector, status) VALUES ('TECH', 'Indosterling Technomedia Tbk.', '2020-06-04', 'I121', 'I12', 'IDXTECHNO', (SELECT id FROM attribute WHERE type = 'STOCK_STATUS' AND code = 'LISTED')) ON CONFLICT DO NOTHING;</v>
      </c>
    </row>
    <row r="861" spans="1:18" x14ac:dyDescent="0.2">
      <c r="A861" s="3" t="s">
        <v>1206</v>
      </c>
      <c r="B861" s="3" t="s">
        <v>1207</v>
      </c>
      <c r="C861" s="4">
        <v>40920</v>
      </c>
      <c r="D861" s="4"/>
      <c r="E861" s="3" t="s">
        <v>1208</v>
      </c>
      <c r="F861" s="3" t="s">
        <v>12</v>
      </c>
      <c r="G861" s="3" t="s">
        <v>3893</v>
      </c>
      <c r="H861" s="3" t="s">
        <v>1206</v>
      </c>
      <c r="I861" s="3" t="s">
        <v>1207</v>
      </c>
      <c r="J861" s="3"/>
      <c r="K861" s="3" t="s">
        <v>3039</v>
      </c>
      <c r="L861" s="3" t="s">
        <v>3168</v>
      </c>
      <c r="M861" s="3" t="str">
        <f t="shared" si="26"/>
        <v>E74</v>
      </c>
      <c r="N861" s="3" t="s">
        <v>3183</v>
      </c>
      <c r="O861" s="3" t="s">
        <v>3177</v>
      </c>
      <c r="P861" s="3" t="s">
        <v>3184</v>
      </c>
      <c r="R861" t="str">
        <f t="shared" si="27"/>
        <v>INSERT INTO stock (ticker, name, listing_date, sub_industry, industry, sector, status) VALUES ('TELE', 'Omni Inovasi Indonesia Tbk.', '2012-01-12', 'E742', 'E74', 'IDXCYCLIC', (SELECT id FROM attribute WHERE type = 'STOCK_STATUS' AND code = 'LISTED')) ON CONFLICT DO NOTHING;</v>
      </c>
    </row>
    <row r="862" spans="1:18" x14ac:dyDescent="0.2">
      <c r="A862" t="s">
        <v>1735</v>
      </c>
      <c r="B862" t="s">
        <v>1736</v>
      </c>
      <c r="C862" s="1">
        <v>43725</v>
      </c>
      <c r="D862" s="1"/>
      <c r="E862" t="s">
        <v>1737</v>
      </c>
      <c r="F862" t="s">
        <v>28</v>
      </c>
      <c r="G862" t="s">
        <v>3489</v>
      </c>
      <c r="H862" t="s">
        <v>1735</v>
      </c>
      <c r="I862" t="s">
        <v>3391</v>
      </c>
      <c r="K862" t="s">
        <v>3381</v>
      </c>
      <c r="L862" t="s">
        <v>3382</v>
      </c>
      <c r="M862" t="str">
        <f t="shared" si="26"/>
        <v>I11</v>
      </c>
      <c r="N862" t="s">
        <v>3383</v>
      </c>
      <c r="O862" t="s">
        <v>3384</v>
      </c>
      <c r="P862" t="s">
        <v>3384</v>
      </c>
      <c r="R862" t="str">
        <f t="shared" si="27"/>
        <v>INSERT INTO stock (ticker, name, listing_date, sub_industry, industry, sector, status) VALUES ('TFAS', 'Telefast Indonesia Tbk.', '2019-09-17', 'I111', 'I11', 'IDXTECHNO', (SELECT id FROM attribute WHERE type = 'STOCK_STATUS' AND code = 'LISTED')) ON CONFLICT DO NOTHING;</v>
      </c>
    </row>
    <row r="863" spans="1:18" x14ac:dyDescent="0.2">
      <c r="A863" t="s">
        <v>1209</v>
      </c>
      <c r="B863" t="s">
        <v>1210</v>
      </c>
      <c r="C863" s="1">
        <v>29277</v>
      </c>
      <c r="D863" s="1"/>
      <c r="E863" t="s">
        <v>1211</v>
      </c>
      <c r="F863" t="s">
        <v>12</v>
      </c>
      <c r="G863" t="s">
        <v>3489</v>
      </c>
      <c r="H863" t="s">
        <v>1209</v>
      </c>
      <c r="I863" t="s">
        <v>3091</v>
      </c>
      <c r="K863" t="s">
        <v>3039</v>
      </c>
      <c r="L863" t="s">
        <v>3077</v>
      </c>
      <c r="M863" t="str">
        <f t="shared" si="26"/>
        <v>E41</v>
      </c>
      <c r="N863" t="s">
        <v>3088</v>
      </c>
      <c r="O863" t="s">
        <v>3077</v>
      </c>
      <c r="P863" t="s">
        <v>3089</v>
      </c>
      <c r="R863" t="str">
        <f t="shared" si="27"/>
        <v>INSERT INTO stock (ticker, name, listing_date, sub_industry, industry, sector, status) VALUES ('TFCO', 'Tifico Fiber Indonesia Tbk.', '1980-02-26', 'E413', 'E41', 'IDXCYCLIC', (SELECT id FROM attribute WHERE type = 'STOCK_STATUS' AND code = 'LISTED')) ON CONFLICT DO NOTHING;</v>
      </c>
    </row>
    <row r="864" spans="1:18" x14ac:dyDescent="0.2">
      <c r="A864" t="s">
        <v>1212</v>
      </c>
      <c r="B864" t="s">
        <v>1213</v>
      </c>
      <c r="C864" s="1">
        <v>33035</v>
      </c>
      <c r="D864" s="1"/>
      <c r="E864" t="s">
        <v>1214</v>
      </c>
      <c r="F864" t="s">
        <v>28</v>
      </c>
      <c r="G864" t="s">
        <v>3489</v>
      </c>
      <c r="H864" t="s">
        <v>1212</v>
      </c>
      <c r="I864" t="s">
        <v>2996</v>
      </c>
      <c r="K864" t="s">
        <v>2945</v>
      </c>
      <c r="L864" t="s">
        <v>2961</v>
      </c>
      <c r="M864" t="str">
        <f t="shared" si="26"/>
        <v>D22</v>
      </c>
      <c r="N864" t="s">
        <v>2978</v>
      </c>
      <c r="O864" t="s">
        <v>2973</v>
      </c>
      <c r="P864" t="s">
        <v>2973</v>
      </c>
      <c r="R864" t="str">
        <f t="shared" si="27"/>
        <v>INSERT INTO stock (ticker, name, listing_date, sub_industry, industry, sector, status) VALUES ('TGKA', 'Tigaraksa Satria Tbk.', '1990-06-11', 'D222', 'D22', 'IDXNONCYC', (SELECT id FROM attribute WHERE type = 'STOCK_STATUS' AND code = 'LISTED')) ON CONFLICT DO NOTHING;</v>
      </c>
    </row>
    <row r="865" spans="1:18" x14ac:dyDescent="0.2">
      <c r="A865" t="s">
        <v>1407</v>
      </c>
      <c r="B865" t="s">
        <v>1408</v>
      </c>
      <c r="C865" s="1">
        <v>42871</v>
      </c>
      <c r="D865" s="1"/>
      <c r="E865" t="s">
        <v>1409</v>
      </c>
      <c r="F865" t="s">
        <v>12</v>
      </c>
      <c r="G865" t="s">
        <v>3489</v>
      </c>
      <c r="H865" t="s">
        <v>1407</v>
      </c>
      <c r="I865" t="s">
        <v>3465</v>
      </c>
      <c r="K865" t="s">
        <v>3418</v>
      </c>
      <c r="L865" t="s">
        <v>3458</v>
      </c>
      <c r="M865" t="str">
        <f t="shared" si="26"/>
        <v>J41</v>
      </c>
      <c r="N865" t="s">
        <v>3459</v>
      </c>
      <c r="O865" t="s">
        <v>3460</v>
      </c>
      <c r="P865" t="s">
        <v>3460</v>
      </c>
      <c r="R865" t="str">
        <f t="shared" si="27"/>
        <v>INSERT INTO stock (ticker, name, listing_date, sub_industry, industry, sector, status) VALUES ('TGRA', 'Terregra Asia Energy Tbk.', '2017-05-16', 'J411', 'J41', 'IDXINFRA', (SELECT id FROM attribute WHERE type = 'STOCK_STATUS' AND code = 'LISTED')) ON CONFLICT DO NOTHING;</v>
      </c>
    </row>
    <row r="866" spans="1:18" x14ac:dyDescent="0.2">
      <c r="A866" t="s">
        <v>2330</v>
      </c>
      <c r="B866" t="s">
        <v>2331</v>
      </c>
      <c r="C866" s="1">
        <v>45117</v>
      </c>
      <c r="D866" s="1"/>
      <c r="E866" t="s">
        <v>2332</v>
      </c>
      <c r="F866" t="s">
        <v>12</v>
      </c>
      <c r="G866" t="s">
        <v>3489</v>
      </c>
      <c r="H866" t="s">
        <v>2330</v>
      </c>
      <c r="I866" t="s">
        <v>2331</v>
      </c>
      <c r="K866" t="s">
        <v>2945</v>
      </c>
      <c r="L866" t="s">
        <v>2961</v>
      </c>
      <c r="M866" t="str">
        <f t="shared" si="26"/>
        <v>D22</v>
      </c>
      <c r="N866" t="s">
        <v>2972</v>
      </c>
      <c r="O866" t="s">
        <v>2973</v>
      </c>
      <c r="P866" t="s">
        <v>2974</v>
      </c>
      <c r="R866" t="str">
        <f t="shared" si="27"/>
        <v>INSERT INTO stock (ticker, name, listing_date, sub_industry, industry, sector, status) VALUES ('TGUK', 'Platinum Wahab Nusantara Tbk.', '2023-07-10', 'D221', 'D22', 'IDXNONCYC', (SELECT id FROM attribute WHERE type = 'STOCK_STATUS' AND code = 'LISTED')) ON CONFLICT DO NOTHING;</v>
      </c>
    </row>
    <row r="867" spans="1:18" x14ac:dyDescent="0.2">
      <c r="A867" t="s">
        <v>1215</v>
      </c>
      <c r="B867" t="s">
        <v>1216</v>
      </c>
      <c r="C867" s="1">
        <v>40732</v>
      </c>
      <c r="D867" s="1"/>
      <c r="E867" t="s">
        <v>1217</v>
      </c>
      <c r="F867" t="s">
        <v>28</v>
      </c>
      <c r="G867" t="s">
        <v>3489</v>
      </c>
      <c r="H867" t="s">
        <v>1215</v>
      </c>
      <c r="I867" t="s">
        <v>3249</v>
      </c>
      <c r="K867" t="s">
        <v>3224</v>
      </c>
      <c r="L867" t="s">
        <v>3238</v>
      </c>
      <c r="M867" t="str">
        <f t="shared" si="26"/>
        <v>G21</v>
      </c>
      <c r="N867" t="s">
        <v>3239</v>
      </c>
      <c r="O867" t="s">
        <v>3240</v>
      </c>
      <c r="P867" t="s">
        <v>3240</v>
      </c>
      <c r="R867" t="str">
        <f t="shared" si="27"/>
        <v>INSERT INTO stock (ticker, name, listing_date, sub_industry, industry, sector, status) VALUES ('TIFA', 'KDB Tifa Finance Tbk.', '2011-07-08', 'G211', 'G21', 'IDXFINANCE', (SELECT id FROM attribute WHERE type = 'STOCK_STATUS' AND code = 'LISTED')) ON CONFLICT DO NOTHING;</v>
      </c>
    </row>
    <row r="868" spans="1:18" x14ac:dyDescent="0.2">
      <c r="A868" t="s">
        <v>1218</v>
      </c>
      <c r="B868" t="s">
        <v>1219</v>
      </c>
      <c r="C868" s="1">
        <v>34991</v>
      </c>
      <c r="D868" s="1"/>
      <c r="E868" t="s">
        <v>1220</v>
      </c>
      <c r="F868" t="s">
        <v>8</v>
      </c>
      <c r="G868" t="s">
        <v>3489</v>
      </c>
      <c r="H868" t="s">
        <v>1218</v>
      </c>
      <c r="I868" t="s">
        <v>2857</v>
      </c>
      <c r="K868" t="s">
        <v>2778</v>
      </c>
      <c r="L868" t="s">
        <v>2779</v>
      </c>
      <c r="M868" t="str">
        <f t="shared" si="26"/>
        <v>B14</v>
      </c>
      <c r="N868" t="s">
        <v>2848</v>
      </c>
      <c r="O868" t="s">
        <v>2824</v>
      </c>
      <c r="P868" t="s">
        <v>2849</v>
      </c>
      <c r="R868" t="str">
        <f t="shared" si="27"/>
        <v>INSERT INTO stock (ticker, name, listing_date, sub_industry, industry, sector, status) VALUES ('TINS', 'Timah Tbk.', '1995-10-19', 'B146', 'B14', 'IDXBASIC', (SELECT id FROM attribute WHERE type = 'STOCK_STATUS' AND code = 'LISTED')) ON CONFLICT DO NOTHING;</v>
      </c>
    </row>
    <row r="869" spans="1:18" x14ac:dyDescent="0.2">
      <c r="A869" t="s">
        <v>1221</v>
      </c>
      <c r="B869" t="s">
        <v>3687</v>
      </c>
      <c r="C869" s="1">
        <v>34177</v>
      </c>
      <c r="D869" s="1"/>
      <c r="E869" t="s">
        <v>1223</v>
      </c>
      <c r="F869" t="s">
        <v>28</v>
      </c>
      <c r="G869" t="s">
        <v>3489</v>
      </c>
      <c r="H869" t="s">
        <v>1221</v>
      </c>
      <c r="I869" t="s">
        <v>1222</v>
      </c>
      <c r="K869" t="s">
        <v>2874</v>
      </c>
      <c r="L869" t="s">
        <v>2910</v>
      </c>
      <c r="M869" t="str">
        <f t="shared" si="26"/>
        <v>C21</v>
      </c>
      <c r="N869" t="s">
        <v>2911</v>
      </c>
      <c r="O869" t="s">
        <v>2912</v>
      </c>
      <c r="P869" t="s">
        <v>2912</v>
      </c>
      <c r="R869" t="str">
        <f t="shared" si="27"/>
        <v>INSERT INTO stock (ticker, name, listing_date, sub_industry, industry, sector, status) VALUES ('TIRA', 'Tira Austenite Tbk.', '1993-07-27', 'C211', 'C21', 'IDXINDUST', (SELECT id FROM attribute WHERE type = 'STOCK_STATUS' AND code = 'LISTED')) ON CONFLICT DO NOTHING;</v>
      </c>
    </row>
    <row r="870" spans="1:18" x14ac:dyDescent="0.2">
      <c r="A870" t="s">
        <v>1224</v>
      </c>
      <c r="B870" t="s">
        <v>3688</v>
      </c>
      <c r="C870" s="1">
        <v>36507</v>
      </c>
      <c r="D870" s="1"/>
      <c r="E870" t="s">
        <v>1226</v>
      </c>
      <c r="F870" t="s">
        <v>12</v>
      </c>
      <c r="G870" t="s">
        <v>3489</v>
      </c>
      <c r="H870" t="s">
        <v>1224</v>
      </c>
      <c r="I870" t="s">
        <v>1225</v>
      </c>
      <c r="K870" t="s">
        <v>2778</v>
      </c>
      <c r="L870" t="s">
        <v>2779</v>
      </c>
      <c r="M870" t="str">
        <f t="shared" si="26"/>
        <v>B15</v>
      </c>
      <c r="N870" t="s">
        <v>2860</v>
      </c>
      <c r="O870" t="s">
        <v>2861</v>
      </c>
      <c r="P870" t="s">
        <v>2862</v>
      </c>
      <c r="R870" t="str">
        <f t="shared" si="27"/>
        <v>INSERT INTO stock (ticker, name, listing_date, sub_industry, industry, sector, status) VALUES ('TIRT', 'Tirta Mahakam Resources Tbk.', '1999-12-13', 'B151', 'B15', 'IDXBASIC', (SELECT id FROM attribute WHERE type = 'STOCK_STATUS' AND code = 'LISTED')) ON CONFLICT DO NOTHING;</v>
      </c>
    </row>
    <row r="871" spans="1:18" x14ac:dyDescent="0.2">
      <c r="A871" t="s">
        <v>1227</v>
      </c>
      <c r="B871" t="s">
        <v>1228</v>
      </c>
      <c r="C871" s="1">
        <v>32966</v>
      </c>
      <c r="D871" s="1"/>
      <c r="E871" t="s">
        <v>1229</v>
      </c>
      <c r="F871" t="s">
        <v>8</v>
      </c>
      <c r="G871" t="s">
        <v>3489</v>
      </c>
      <c r="H871" t="s">
        <v>1227</v>
      </c>
      <c r="I871" t="s">
        <v>2870</v>
      </c>
      <c r="K871" t="s">
        <v>2778</v>
      </c>
      <c r="L871" t="s">
        <v>2779</v>
      </c>
      <c r="M871" t="str">
        <f t="shared" si="26"/>
        <v>B15</v>
      </c>
      <c r="N871" t="s">
        <v>2866</v>
      </c>
      <c r="O871" t="s">
        <v>2861</v>
      </c>
      <c r="P871" t="s">
        <v>2867</v>
      </c>
      <c r="R871" t="str">
        <f t="shared" si="27"/>
        <v>INSERT INTO stock (ticker, name, listing_date, sub_industry, industry, sector, status) VALUES ('TKIM', 'Pabrik Kertas Tjiwi Kimia Tbk.', '1990-04-03', 'B152', 'B15', 'IDXBASIC', (SELECT id FROM attribute WHERE type = 'STOCK_STATUS' AND code = 'LISTED')) ON CONFLICT DO NOTHING;</v>
      </c>
    </row>
    <row r="872" spans="1:18" x14ac:dyDescent="0.2">
      <c r="A872" t="s">
        <v>2100</v>
      </c>
      <c r="B872" t="s">
        <v>2101</v>
      </c>
      <c r="C872" s="1">
        <v>44663</v>
      </c>
      <c r="D872" s="1"/>
      <c r="E872" t="s">
        <v>2102</v>
      </c>
      <c r="F872" t="s">
        <v>28</v>
      </c>
      <c r="G872" t="s">
        <v>3489</v>
      </c>
      <c r="H872" t="s">
        <v>2100</v>
      </c>
      <c r="I872" t="s">
        <v>3870</v>
      </c>
      <c r="K872" t="s">
        <v>2945</v>
      </c>
      <c r="L872" t="s">
        <v>2961</v>
      </c>
      <c r="M872" t="str">
        <f t="shared" si="26"/>
        <v>D23</v>
      </c>
      <c r="N872" t="s">
        <v>3013</v>
      </c>
      <c r="O872" t="s">
        <v>2999</v>
      </c>
      <c r="P872" t="s">
        <v>3014</v>
      </c>
      <c r="R872" t="str">
        <f t="shared" si="27"/>
        <v>INSERT INTO stock (ticker, name, listing_date, sub_industry, industry, sector, status) VALUES ('TLDN', 'Teladan Prima Agro Tbk.', '2022-04-12', 'D232', 'D23', 'IDXNONCYC', (SELECT id FROM attribute WHERE type = 'STOCK_STATUS' AND code = 'LISTED')) ON CONFLICT DO NOTHING;</v>
      </c>
    </row>
    <row r="873" spans="1:18" x14ac:dyDescent="0.2">
      <c r="A873" t="s">
        <v>1230</v>
      </c>
      <c r="B873" t="s">
        <v>3446</v>
      </c>
      <c r="C873" s="1">
        <v>35017</v>
      </c>
      <c r="D873" s="1"/>
      <c r="E873" t="s">
        <v>1231</v>
      </c>
      <c r="F873" t="s">
        <v>8</v>
      </c>
      <c r="G873" t="s">
        <v>3489</v>
      </c>
      <c r="H873" t="s">
        <v>1230</v>
      </c>
      <c r="I873" t="s">
        <v>3446</v>
      </c>
      <c r="K873" t="s">
        <v>3418</v>
      </c>
      <c r="L873" t="s">
        <v>3439</v>
      </c>
      <c r="M873" t="str">
        <f t="shared" si="26"/>
        <v>J31</v>
      </c>
      <c r="N873" t="s">
        <v>3447</v>
      </c>
      <c r="O873" t="s">
        <v>3441</v>
      </c>
      <c r="P873" t="s">
        <v>3448</v>
      </c>
      <c r="R873" t="str">
        <f t="shared" si="27"/>
        <v>INSERT INTO stock (ticker, name, listing_date, sub_industry, industry, sector, status) VALUES ('TLKM', 'Telkom Indonesia (Persero) Tbk.', '1995-11-14', 'J312', 'J31', 'IDXINFRA', (SELECT id FROM attribute WHERE type = 'STOCK_STATUS' AND code = 'LISTED')) ON CONFLICT DO NOTHING;</v>
      </c>
    </row>
    <row r="874" spans="1:18" x14ac:dyDescent="0.2">
      <c r="A874" t="s">
        <v>1232</v>
      </c>
      <c r="B874" t="s">
        <v>1233</v>
      </c>
      <c r="C874" s="1">
        <v>37811</v>
      </c>
      <c r="D874" s="1"/>
      <c r="E874" t="s">
        <v>1234</v>
      </c>
      <c r="F874" t="s">
        <v>8</v>
      </c>
      <c r="G874" t="s">
        <v>3489</v>
      </c>
      <c r="H874" t="s">
        <v>1232</v>
      </c>
      <c r="I874" t="s">
        <v>1233</v>
      </c>
      <c r="K874" t="s">
        <v>3470</v>
      </c>
      <c r="L874" t="s">
        <v>3481</v>
      </c>
      <c r="M874" t="str">
        <f t="shared" si="26"/>
        <v>K21</v>
      </c>
      <c r="N874" t="s">
        <v>3482</v>
      </c>
      <c r="O874" t="s">
        <v>3481</v>
      </c>
      <c r="P874" t="s">
        <v>3481</v>
      </c>
      <c r="R874" t="str">
        <f t="shared" si="27"/>
        <v>INSERT INTO stock (ticker, name, listing_date, sub_industry, industry, sector, status) VALUES ('TMAS', 'Temas Tbk.', '2003-07-09', 'K211', 'K21', 'IDXTRANS', (SELECT id FROM attribute WHERE type = 'STOCK_STATUS' AND code = 'LISTED')) ON CONFLICT DO NOTHING;</v>
      </c>
    </row>
    <row r="875" spans="1:18" x14ac:dyDescent="0.2">
      <c r="A875" t="s">
        <v>1235</v>
      </c>
      <c r="B875" t="s">
        <v>1236</v>
      </c>
      <c r="C875" s="1">
        <v>36899</v>
      </c>
      <c r="D875" s="1"/>
      <c r="E875" t="s">
        <v>1237</v>
      </c>
      <c r="F875" t="s">
        <v>28</v>
      </c>
      <c r="G875" t="s">
        <v>3489</v>
      </c>
      <c r="H875" t="s">
        <v>1235</v>
      </c>
      <c r="I875" t="s">
        <v>3165</v>
      </c>
      <c r="K875" t="s">
        <v>3039</v>
      </c>
      <c r="L875" t="s">
        <v>3145</v>
      </c>
      <c r="M875" t="str">
        <f t="shared" si="26"/>
        <v>E61</v>
      </c>
      <c r="N875" t="s">
        <v>3162</v>
      </c>
      <c r="O875" t="s">
        <v>3147</v>
      </c>
      <c r="P875" t="s">
        <v>3163</v>
      </c>
      <c r="R875" t="str">
        <f t="shared" si="27"/>
        <v>INSERT INTO stock (ticker, name, listing_date, sub_industry, industry, sector, status) VALUES ('TMPO', 'Tempo Intimedia Tbk.', '2001-01-08', 'E614', 'E61', 'IDXCYCLIC', (SELECT id FROM attribute WHERE type = 'STOCK_STATUS' AND code = 'LISTED')) ON CONFLICT DO NOTHING;</v>
      </c>
    </row>
    <row r="876" spans="1:18" x14ac:dyDescent="0.2">
      <c r="A876" t="s">
        <v>1541</v>
      </c>
      <c r="B876" t="s">
        <v>1542</v>
      </c>
      <c r="C876" s="1">
        <v>43279</v>
      </c>
      <c r="D876" s="1"/>
      <c r="E876" t="s">
        <v>1543</v>
      </c>
      <c r="F876" t="s">
        <v>28</v>
      </c>
      <c r="G876" t="s">
        <v>3489</v>
      </c>
      <c r="H876" t="s">
        <v>1541</v>
      </c>
      <c r="I876" t="s">
        <v>1542</v>
      </c>
      <c r="K876" t="s">
        <v>3470</v>
      </c>
      <c r="L876" t="s">
        <v>3481</v>
      </c>
      <c r="M876" t="str">
        <f t="shared" si="26"/>
        <v>K21</v>
      </c>
      <c r="N876" t="s">
        <v>3482</v>
      </c>
      <c r="O876" t="s">
        <v>3481</v>
      </c>
      <c r="P876" t="s">
        <v>3481</v>
      </c>
      <c r="R876" t="str">
        <f t="shared" si="27"/>
        <v>INSERT INTO stock (ticker, name, listing_date, sub_industry, industry, sector, status) VALUES ('TNCA', 'Trimuda Nuansa Citra Tbk.', '2018-06-28', 'K211', 'K21', 'IDXTRANS', (SELECT id FROM attribute WHERE type = 'STOCK_STATUS' AND code = 'LISTED')) ON CONFLICT DO NOTHING;</v>
      </c>
    </row>
    <row r="877" spans="1:18" x14ac:dyDescent="0.2">
      <c r="A877" t="s">
        <v>1238</v>
      </c>
      <c r="B877" t="s">
        <v>1239</v>
      </c>
      <c r="C877" s="1">
        <v>41096</v>
      </c>
      <c r="D877" s="1"/>
      <c r="E877" t="s">
        <v>1240</v>
      </c>
      <c r="F877" t="s">
        <v>8</v>
      </c>
      <c r="G877" t="s">
        <v>3489</v>
      </c>
      <c r="H877" t="s">
        <v>1238</v>
      </c>
      <c r="I877" t="s">
        <v>2740</v>
      </c>
      <c r="K877" t="s">
        <v>2701</v>
      </c>
      <c r="L877" t="s">
        <v>2702</v>
      </c>
      <c r="M877" t="str">
        <f t="shared" si="26"/>
        <v>A12</v>
      </c>
      <c r="N877" t="s">
        <v>2723</v>
      </c>
      <c r="O877" t="s">
        <v>2724</v>
      </c>
      <c r="P877" t="s">
        <v>2725</v>
      </c>
      <c r="R877" t="str">
        <f t="shared" si="27"/>
        <v>INSERT INTO stock (ticker, name, listing_date, sub_industry, industry, sector, status) VALUES ('TOBA', 'TBS Energi Utama Tbk.', '2012-07-06', 'A121', 'A12', 'IDXENERGY', (SELECT id FROM attribute WHERE type = 'STOCK_STATUS' AND code = 'LISTED')) ON CONFLICT DO NOTHING;</v>
      </c>
    </row>
    <row r="878" spans="1:18" x14ac:dyDescent="0.2">
      <c r="A878" t="s">
        <v>2162</v>
      </c>
      <c r="B878" t="s">
        <v>2163</v>
      </c>
      <c r="C878" s="1">
        <v>44782</v>
      </c>
      <c r="D878" s="1"/>
      <c r="E878" t="s">
        <v>2164</v>
      </c>
      <c r="F878" t="s">
        <v>28</v>
      </c>
      <c r="G878" t="s">
        <v>3489</v>
      </c>
      <c r="H878" t="s">
        <v>2162</v>
      </c>
      <c r="I878" t="s">
        <v>3871</v>
      </c>
      <c r="K878" t="s">
        <v>3039</v>
      </c>
      <c r="L878" t="s">
        <v>3168</v>
      </c>
      <c r="M878" t="str">
        <f t="shared" si="26"/>
        <v>E74</v>
      </c>
      <c r="N878" t="s">
        <v>3190</v>
      </c>
      <c r="O878" t="s">
        <v>3177</v>
      </c>
      <c r="P878" t="s">
        <v>3191</v>
      </c>
      <c r="R878" t="str">
        <f t="shared" si="27"/>
        <v>INSERT INTO stock (ticker, name, listing_date, sub_industry, industry, sector, status) VALUES ('TOOL', 'Rohartindo Nusantara Luas Tbk.', '2022-08-09', 'E743', 'E74', 'IDXCYCLIC', (SELECT id FROM attribute WHERE type = 'STOCK_STATUS' AND code = 'LISTED')) ON CONFLICT DO NOTHING;</v>
      </c>
    </row>
    <row r="879" spans="1:18" x14ac:dyDescent="0.2">
      <c r="A879" t="s">
        <v>1413</v>
      </c>
      <c r="B879" t="s">
        <v>1414</v>
      </c>
      <c r="C879" s="1">
        <v>42902</v>
      </c>
      <c r="D879" s="1"/>
      <c r="E879" t="s">
        <v>1415</v>
      </c>
      <c r="F879" t="s">
        <v>12</v>
      </c>
      <c r="G879" t="s">
        <v>3489</v>
      </c>
      <c r="H879" t="s">
        <v>1413</v>
      </c>
      <c r="I879" t="s">
        <v>1414</v>
      </c>
      <c r="K879" t="s">
        <v>3418</v>
      </c>
      <c r="L879" t="s">
        <v>3432</v>
      </c>
      <c r="M879" t="str">
        <f t="shared" si="26"/>
        <v>J21</v>
      </c>
      <c r="N879" t="s">
        <v>3433</v>
      </c>
      <c r="O879" t="s">
        <v>3432</v>
      </c>
      <c r="P879" t="s">
        <v>3432</v>
      </c>
      <c r="R879" t="str">
        <f t="shared" si="27"/>
        <v>INSERT INTO stock (ticker, name, listing_date, sub_industry, industry, sector, status) VALUES ('TOPS', 'Totalindo Eka Persada Tbk.', '2017-06-16', 'J211', 'J21', 'IDXINFRA', (SELECT id FROM attribute WHERE type = 'STOCK_STATUS' AND code = 'LISTED')) ON CONFLICT DO NOTHING;</v>
      </c>
    </row>
    <row r="880" spans="1:18" x14ac:dyDescent="0.2">
      <c r="A880" t="s">
        <v>2424</v>
      </c>
      <c r="B880" t="s">
        <v>2425</v>
      </c>
      <c r="C880" s="1">
        <v>45329</v>
      </c>
      <c r="D880" s="1"/>
      <c r="E880" t="s">
        <v>2426</v>
      </c>
      <c r="F880" t="s">
        <v>28</v>
      </c>
      <c r="G880" t="s">
        <v>3489</v>
      </c>
      <c r="H880" t="s">
        <v>2424</v>
      </c>
      <c r="I880" t="s">
        <v>2425</v>
      </c>
      <c r="K880" t="s">
        <v>3381</v>
      </c>
      <c r="L880" t="s">
        <v>3382</v>
      </c>
      <c r="M880" t="str">
        <f t="shared" si="26"/>
        <v>I11</v>
      </c>
      <c r="N880" t="s">
        <v>3383</v>
      </c>
      <c r="O880" t="s">
        <v>3384</v>
      </c>
      <c r="P880" t="s">
        <v>3384</v>
      </c>
      <c r="R880" t="str">
        <f t="shared" si="27"/>
        <v>INSERT INTO stock (ticker, name, listing_date, sub_industry, industry, sector, status) VALUES ('TOSK', 'Topindo Solusi Komunika Tbk.', '2024-02-07', 'I111', 'I11', 'IDXTECHNO', (SELECT id FROM attribute WHERE type = 'STOCK_STATUS' AND code = 'LISTED')) ON CONFLICT DO NOTHING;</v>
      </c>
    </row>
    <row r="881" spans="1:18" x14ac:dyDescent="0.2">
      <c r="A881" t="s">
        <v>1241</v>
      </c>
      <c r="B881" t="s">
        <v>1242</v>
      </c>
      <c r="C881" s="1">
        <v>38923</v>
      </c>
      <c r="D881" s="1"/>
      <c r="E881" t="s">
        <v>1243</v>
      </c>
      <c r="F881" t="s">
        <v>8</v>
      </c>
      <c r="G881" t="s">
        <v>3489</v>
      </c>
      <c r="H881" t="s">
        <v>1241</v>
      </c>
      <c r="I881" t="s">
        <v>3438</v>
      </c>
      <c r="K881" t="s">
        <v>3418</v>
      </c>
      <c r="L881" t="s">
        <v>3432</v>
      </c>
      <c r="M881" t="str">
        <f t="shared" si="26"/>
        <v>J21</v>
      </c>
      <c r="N881" t="s">
        <v>3433</v>
      </c>
      <c r="O881" t="s">
        <v>3432</v>
      </c>
      <c r="P881" t="s">
        <v>3432</v>
      </c>
      <c r="R881" t="str">
        <f t="shared" si="27"/>
        <v>INSERT INTO stock (ticker, name, listing_date, sub_industry, industry, sector, status) VALUES ('TOTL', 'Total Bangun Persada Tbk.', '2006-07-25', 'J211', 'J21', 'IDXINFRA', (SELECT id FROM attribute WHERE type = 'STOCK_STATUS' AND code = 'LISTED')) ON CONFLICT DO NOTHING;</v>
      </c>
    </row>
    <row r="882" spans="1:18" x14ac:dyDescent="0.2">
      <c r="A882" t="s">
        <v>1244</v>
      </c>
      <c r="B882" t="s">
        <v>1245</v>
      </c>
      <c r="C882" s="1">
        <v>33176</v>
      </c>
      <c r="D882" s="1"/>
      <c r="E882" t="s">
        <v>1246</v>
      </c>
      <c r="F882" t="s">
        <v>28</v>
      </c>
      <c r="G882" t="s">
        <v>3489</v>
      </c>
      <c r="H882" t="s">
        <v>1244</v>
      </c>
      <c r="I882" t="s">
        <v>2886</v>
      </c>
      <c r="K882" t="s">
        <v>2874</v>
      </c>
      <c r="L882" t="s">
        <v>2875</v>
      </c>
      <c r="M882" t="str">
        <f t="shared" si="26"/>
        <v>C12</v>
      </c>
      <c r="N882" t="s">
        <v>2876</v>
      </c>
      <c r="O882" t="s">
        <v>2877</v>
      </c>
      <c r="P882" t="s">
        <v>2877</v>
      </c>
      <c r="R882" t="str">
        <f t="shared" si="27"/>
        <v>INSERT INTO stock (ticker, name, listing_date, sub_industry, industry, sector, status) VALUES ('TOTO', 'Surya Toto Indonesia Tbk.', '1990-10-30', 'C121', 'C12', 'IDXINDUST', (SELECT id FROM attribute WHERE type = 'STOCK_STATUS' AND code = 'LISTED')) ON CONFLICT DO NOTHING;</v>
      </c>
    </row>
    <row r="883" spans="1:18" x14ac:dyDescent="0.2">
      <c r="A883" t="s">
        <v>1247</v>
      </c>
      <c r="B883" t="s">
        <v>1248</v>
      </c>
      <c r="C883" s="1">
        <v>40245</v>
      </c>
      <c r="D883" s="1"/>
      <c r="E883" t="s">
        <v>1249</v>
      </c>
      <c r="F883" t="s">
        <v>8</v>
      </c>
      <c r="G883" t="s">
        <v>3489</v>
      </c>
      <c r="H883" t="s">
        <v>1247</v>
      </c>
      <c r="I883" t="s">
        <v>3457</v>
      </c>
      <c r="K883" t="s">
        <v>3418</v>
      </c>
      <c r="L883" t="s">
        <v>3439</v>
      </c>
      <c r="M883" t="str">
        <f t="shared" si="26"/>
        <v>J32</v>
      </c>
      <c r="N883" t="s">
        <v>3449</v>
      </c>
      <c r="O883" t="s">
        <v>3450</v>
      </c>
      <c r="P883" t="s">
        <v>3450</v>
      </c>
      <c r="R883" t="str">
        <f t="shared" si="27"/>
        <v>INSERT INTO stock (ticker, name, listing_date, sub_industry, industry, sector, status) VALUES ('TOWR', 'Sarana Menara Nusantara Tbk.', '2010-03-08', 'J321', 'J32', 'IDXINFRA', (SELECT id FROM attribute WHERE type = 'STOCK_STATUS' AND code = 'LISTED')) ON CONFLICT DO NOTHING;</v>
      </c>
    </row>
    <row r="884" spans="1:18" x14ac:dyDescent="0.2">
      <c r="A884" t="s">
        <v>1865</v>
      </c>
      <c r="B884" t="s">
        <v>1866</v>
      </c>
      <c r="C884" s="1">
        <v>44049</v>
      </c>
      <c r="D884" s="1"/>
      <c r="E884" t="s">
        <v>1867</v>
      </c>
      <c r="F884" t="s">
        <v>12</v>
      </c>
      <c r="G884" t="s">
        <v>3489</v>
      </c>
      <c r="H884" t="s">
        <v>1865</v>
      </c>
      <c r="I884" t="s">
        <v>1866</v>
      </c>
      <c r="K884" t="s">
        <v>3039</v>
      </c>
      <c r="L884" t="s">
        <v>3071</v>
      </c>
      <c r="M884" t="str">
        <f t="shared" si="26"/>
        <v>E32</v>
      </c>
      <c r="N884" t="s">
        <v>3074</v>
      </c>
      <c r="O884" t="s">
        <v>3075</v>
      </c>
      <c r="P884" t="s">
        <v>3075</v>
      </c>
      <c r="R884" t="str">
        <f t="shared" si="27"/>
        <v>INSERT INTO stock (ticker, name, listing_date, sub_industry, industry, sector, status) VALUES ('TOYS', 'Sunindo Adipersada Tbk.', '2020-08-06', 'E321', 'E32', 'IDXCYCLIC', (SELECT id FROM attribute WHERE type = 'STOCK_STATUS' AND code = 'LISTED')) ON CONFLICT DO NOTHING;</v>
      </c>
    </row>
    <row r="885" spans="1:18" x14ac:dyDescent="0.2">
      <c r="A885" t="s">
        <v>1250</v>
      </c>
      <c r="B885" t="s">
        <v>1251</v>
      </c>
      <c r="C885" s="1">
        <v>39594</v>
      </c>
      <c r="D885" s="1"/>
      <c r="E885" t="s">
        <v>1252</v>
      </c>
      <c r="F885" t="s">
        <v>28</v>
      </c>
      <c r="G885" t="s">
        <v>3489</v>
      </c>
      <c r="H885" t="s">
        <v>1250</v>
      </c>
      <c r="I885" t="s">
        <v>1251</v>
      </c>
      <c r="K885" t="s">
        <v>2778</v>
      </c>
      <c r="L885" t="s">
        <v>2779</v>
      </c>
      <c r="M885" t="str">
        <f t="shared" si="26"/>
        <v>B11</v>
      </c>
      <c r="N885" t="s">
        <v>2780</v>
      </c>
      <c r="O885" t="s">
        <v>2781</v>
      </c>
      <c r="P885" t="s">
        <v>2782</v>
      </c>
      <c r="R885" t="str">
        <f t="shared" si="27"/>
        <v>INSERT INTO stock (ticker, name, listing_date, sub_industry, industry, sector, status) VALUES ('TPIA', 'Chandra Asri Pacific Tbk.', '2008-05-26', 'B111', 'B11', 'IDXBASIC', (SELECT id FROM attribute WHERE type = 'STOCK_STATUS' AND code = 'LISTED')) ON CONFLICT DO NOTHING;</v>
      </c>
    </row>
    <row r="886" spans="1:18" x14ac:dyDescent="0.2">
      <c r="A886" t="s">
        <v>1253</v>
      </c>
      <c r="B886" t="s">
        <v>1254</v>
      </c>
      <c r="C886" s="1">
        <v>41325</v>
      </c>
      <c r="D886" s="1"/>
      <c r="E886" t="s">
        <v>1255</v>
      </c>
      <c r="F886" t="s">
        <v>8</v>
      </c>
      <c r="G886" t="s">
        <v>3489</v>
      </c>
      <c r="H886" t="s">
        <v>1253</v>
      </c>
      <c r="I886" t="s">
        <v>2757</v>
      </c>
      <c r="K886" t="s">
        <v>2701</v>
      </c>
      <c r="L886" t="s">
        <v>2702</v>
      </c>
      <c r="M886" t="str">
        <f t="shared" si="26"/>
        <v>A12</v>
      </c>
      <c r="N886" t="s">
        <v>2742</v>
      </c>
      <c r="O886" t="s">
        <v>2724</v>
      </c>
      <c r="P886" t="s">
        <v>2743</v>
      </c>
      <c r="R886" t="str">
        <f t="shared" si="27"/>
        <v>INSERT INTO stock (ticker, name, listing_date, sub_industry, industry, sector, status) VALUES ('TPMA', 'Trans Power Marine Tbk.', '2013-02-20', 'A122', 'A12', 'IDXENERGY', (SELECT id FROM attribute WHERE type = 'STOCK_STATUS' AND code = 'LISTED')) ON CONFLICT DO NOTHING;</v>
      </c>
    </row>
    <row r="887" spans="1:18" x14ac:dyDescent="0.2">
      <c r="A887" t="s">
        <v>1256</v>
      </c>
      <c r="B887" t="s">
        <v>1257</v>
      </c>
      <c r="C887" s="1">
        <v>39701</v>
      </c>
      <c r="D887" s="1"/>
      <c r="E887" t="s">
        <v>1258</v>
      </c>
      <c r="F887" t="s">
        <v>12</v>
      </c>
      <c r="G887" t="s">
        <v>3489</v>
      </c>
      <c r="H887" t="s">
        <v>1256</v>
      </c>
      <c r="I887" t="s">
        <v>2741</v>
      </c>
      <c r="K887" t="s">
        <v>2701</v>
      </c>
      <c r="L887" t="s">
        <v>2702</v>
      </c>
      <c r="M887" t="str">
        <f t="shared" si="26"/>
        <v>A12</v>
      </c>
      <c r="N887" t="s">
        <v>2723</v>
      </c>
      <c r="O887" t="s">
        <v>2724</v>
      </c>
      <c r="P887" t="s">
        <v>2725</v>
      </c>
      <c r="R887" t="str">
        <f t="shared" si="27"/>
        <v>INSERT INTO stock (ticker, name, listing_date, sub_industry, industry, sector, status) VALUES ('TRAM', 'Trada Alam Minera Tbk.', '2008-09-10', 'A121', 'A12', 'IDXENERGY', (SELECT id FROM attribute WHERE type = 'STOCK_STATUS' AND code = 'LISTED')) ON CONFLICT DO NOTHING;</v>
      </c>
    </row>
    <row r="888" spans="1:18" x14ac:dyDescent="0.2">
      <c r="A888" t="s">
        <v>2117</v>
      </c>
      <c r="B888" t="s">
        <v>2118</v>
      </c>
      <c r="C888" s="1">
        <v>44750</v>
      </c>
      <c r="D888" s="1"/>
      <c r="E888" t="s">
        <v>2119</v>
      </c>
      <c r="F888" t="s">
        <v>8</v>
      </c>
      <c r="G888" t="s">
        <v>3489</v>
      </c>
      <c r="H888" t="s">
        <v>2117</v>
      </c>
      <c r="I888" t="s">
        <v>3872</v>
      </c>
      <c r="K888" t="s">
        <v>2945</v>
      </c>
      <c r="L888" t="s">
        <v>2961</v>
      </c>
      <c r="M888" t="str">
        <f t="shared" si="26"/>
        <v>D22</v>
      </c>
      <c r="N888" t="s">
        <v>2978</v>
      </c>
      <c r="O888" t="s">
        <v>2973</v>
      </c>
      <c r="P888" t="s">
        <v>2973</v>
      </c>
      <c r="R888" t="str">
        <f t="shared" si="27"/>
        <v>INSERT INTO stock (ticker, name, listing_date, sub_industry, industry, sector, status) VALUES ('TRGU', 'Cerestar Indonesia Tbk.', '2022-07-08', 'D222', 'D22', 'IDXNONCYC', (SELECT id FROM attribute WHERE type = 'STOCK_STATUS' AND code = 'LISTED')) ON CONFLICT DO NOTHING;</v>
      </c>
    </row>
    <row r="889" spans="1:18" x14ac:dyDescent="0.2">
      <c r="A889" t="s">
        <v>1259</v>
      </c>
      <c r="B889" t="s">
        <v>1260</v>
      </c>
      <c r="C889" s="1">
        <v>39475</v>
      </c>
      <c r="D889" s="1"/>
      <c r="E889" t="s">
        <v>976</v>
      </c>
      <c r="F889" t="s">
        <v>12</v>
      </c>
      <c r="G889" t="s">
        <v>3489</v>
      </c>
      <c r="H889" t="s">
        <v>1259</v>
      </c>
      <c r="I889" t="s">
        <v>2913</v>
      </c>
      <c r="K889" t="s">
        <v>2874</v>
      </c>
      <c r="L889" t="s">
        <v>2910</v>
      </c>
      <c r="M889" t="str">
        <f t="shared" si="26"/>
        <v>C21</v>
      </c>
      <c r="N889" t="s">
        <v>2911</v>
      </c>
      <c r="O889" t="s">
        <v>2912</v>
      </c>
      <c r="P889" t="s">
        <v>2912</v>
      </c>
      <c r="R889" t="str">
        <f t="shared" si="27"/>
        <v>INSERT INTO stock (ticker, name, listing_date, sub_industry, industry, sector, status) VALUES ('TRIL', 'Triwira Insanlestari Tbk.', '2008-01-28', 'C211', 'C21', 'IDXINDUST', (SELECT id FROM attribute WHERE type = 'STOCK_STATUS' AND code = 'LISTED')) ON CONFLICT DO NOTHING;</v>
      </c>
    </row>
    <row r="890" spans="1:18" x14ac:dyDescent="0.2">
      <c r="A890" t="s">
        <v>1261</v>
      </c>
      <c r="B890" t="s">
        <v>3689</v>
      </c>
      <c r="C890" s="1">
        <v>36556</v>
      </c>
      <c r="D890" s="1"/>
      <c r="E890" t="s">
        <v>1262</v>
      </c>
      <c r="F890" t="s">
        <v>8</v>
      </c>
      <c r="G890" t="s">
        <v>3489</v>
      </c>
      <c r="H890" t="s">
        <v>1261</v>
      </c>
      <c r="I890" t="s">
        <v>3261</v>
      </c>
      <c r="K890" t="s">
        <v>3224</v>
      </c>
      <c r="L890" t="s">
        <v>3252</v>
      </c>
      <c r="M890" t="str">
        <f t="shared" si="26"/>
        <v>G31</v>
      </c>
      <c r="N890" t="s">
        <v>3257</v>
      </c>
      <c r="O890" t="s">
        <v>3254</v>
      </c>
      <c r="P890" t="s">
        <v>3258</v>
      </c>
      <c r="R890" t="str">
        <f t="shared" si="27"/>
        <v>INSERT INTO stock (ticker, name, listing_date, sub_industry, industry, sector, status) VALUES ('TRIM', 'Trimegah Sekuritas Indonesia Tbk.', '2000-01-31', 'G312', 'G31', 'IDXFINANCE', (SELECT id FROM attribute WHERE type = 'STOCK_STATUS' AND code = 'LISTED')) ON CONFLICT DO NOTHING;</v>
      </c>
    </row>
    <row r="891" spans="1:18" x14ac:dyDescent="0.2">
      <c r="A891" t="s">
        <v>1807</v>
      </c>
      <c r="B891" t="s">
        <v>1808</v>
      </c>
      <c r="C891" s="1">
        <v>43845</v>
      </c>
      <c r="D891" s="1"/>
      <c r="E891" t="s">
        <v>1809</v>
      </c>
      <c r="F891" t="s">
        <v>28</v>
      </c>
      <c r="G891" t="s">
        <v>3489</v>
      </c>
      <c r="H891" t="s">
        <v>1807</v>
      </c>
      <c r="I891" t="s">
        <v>3376</v>
      </c>
      <c r="K891" t="s">
        <v>3306</v>
      </c>
      <c r="L891" t="s">
        <v>3307</v>
      </c>
      <c r="M891" t="str">
        <f t="shared" si="26"/>
        <v>H11</v>
      </c>
      <c r="N891" t="s">
        <v>3308</v>
      </c>
      <c r="O891" t="s">
        <v>3309</v>
      </c>
      <c r="P891" t="s">
        <v>3310</v>
      </c>
      <c r="R891" t="str">
        <f t="shared" si="27"/>
        <v>INSERT INTO stock (ticker, name, listing_date, sub_industry, industry, sector, status) VALUES ('TRIN', 'Perintis Triniti Properti Tbk.', '2020-01-15', 'H111', 'H11', 'IDXPROPERT', (SELECT id FROM attribute WHERE type = 'STOCK_STATUS' AND code = 'LISTED')) ON CONFLICT DO NOTHING;</v>
      </c>
    </row>
    <row r="892" spans="1:18" x14ac:dyDescent="0.2">
      <c r="A892" t="s">
        <v>1263</v>
      </c>
      <c r="B892" t="s">
        <v>1264</v>
      </c>
      <c r="C892" s="1">
        <v>39917</v>
      </c>
      <c r="D892" s="1"/>
      <c r="E892" t="s">
        <v>1265</v>
      </c>
      <c r="F892" t="s">
        <v>12</v>
      </c>
      <c r="G892" t="s">
        <v>3489</v>
      </c>
      <c r="H892" t="s">
        <v>1263</v>
      </c>
      <c r="I892" t="s">
        <v>3188</v>
      </c>
      <c r="K892" t="s">
        <v>3039</v>
      </c>
      <c r="L892" t="s">
        <v>3168</v>
      </c>
      <c r="M892" t="str">
        <f t="shared" si="26"/>
        <v>E74</v>
      </c>
      <c r="N892" t="s">
        <v>3183</v>
      </c>
      <c r="O892" t="s">
        <v>3177</v>
      </c>
      <c r="P892" t="s">
        <v>3184</v>
      </c>
      <c r="R892" t="str">
        <f t="shared" si="27"/>
        <v>INSERT INTO stock (ticker, name, listing_date, sub_industry, industry, sector, status) VALUES ('TRIO', 'Trikomsel Oke Tbk.', '2009-04-14', 'E742', 'E74', 'IDXCYCLIC', (SELECT id FROM attribute WHERE type = 'STOCK_STATUS' AND code = 'LISTED')) ON CONFLICT DO NOTHING;</v>
      </c>
    </row>
    <row r="893" spans="1:18" x14ac:dyDescent="0.2">
      <c r="A893" t="s">
        <v>1266</v>
      </c>
      <c r="B893" t="s">
        <v>1267</v>
      </c>
      <c r="C893" s="1">
        <v>41088</v>
      </c>
      <c r="D893" s="1"/>
      <c r="E893" t="s">
        <v>1268</v>
      </c>
      <c r="F893" t="s">
        <v>28</v>
      </c>
      <c r="G893" t="s">
        <v>3489</v>
      </c>
      <c r="H893" t="s">
        <v>1266</v>
      </c>
      <c r="I893" t="s">
        <v>3083</v>
      </c>
      <c r="K893" t="s">
        <v>3039</v>
      </c>
      <c r="L893" t="s">
        <v>3077</v>
      </c>
      <c r="M893" t="str">
        <f t="shared" si="26"/>
        <v>E41</v>
      </c>
      <c r="N893" t="s">
        <v>3078</v>
      </c>
      <c r="O893" t="s">
        <v>3077</v>
      </c>
      <c r="P893" t="s">
        <v>3079</v>
      </c>
      <c r="R893" t="str">
        <f t="shared" si="27"/>
        <v>INSERT INTO stock (ticker, name, listing_date, sub_industry, industry, sector, status) VALUES ('TRIS', 'Trisula International Tbk.', '2012-06-28', 'E411', 'E41', 'IDXCYCLIC', (SELECT id FROM attribute WHERE type = 'STOCK_STATUS' AND code = 'LISTED')) ON CONFLICT DO NOTHING;</v>
      </c>
    </row>
    <row r="894" spans="1:18" x14ac:dyDescent="0.2">
      <c r="A894" t="s">
        <v>1871</v>
      </c>
      <c r="B894" t="s">
        <v>1872</v>
      </c>
      <c r="C894" s="1">
        <v>44070</v>
      </c>
      <c r="D894" s="1"/>
      <c r="E894" t="s">
        <v>1873</v>
      </c>
      <c r="F894" t="s">
        <v>28</v>
      </c>
      <c r="G894" t="s">
        <v>3489</v>
      </c>
      <c r="H894" t="s">
        <v>1871</v>
      </c>
      <c r="I894" t="s">
        <v>1872</v>
      </c>
      <c r="K894" t="s">
        <v>3470</v>
      </c>
      <c r="L894" t="s">
        <v>3471</v>
      </c>
      <c r="M894" t="str">
        <f t="shared" si="26"/>
        <v>K13</v>
      </c>
      <c r="N894" t="s">
        <v>3477</v>
      </c>
      <c r="O894" t="s">
        <v>3478</v>
      </c>
      <c r="P894" t="s">
        <v>3479</v>
      </c>
      <c r="R894" t="str">
        <f t="shared" si="27"/>
        <v>INSERT INTO stock (ticker, name, listing_date, sub_industry, industry, sector, status) VALUES ('TRJA', 'Transkon Jaya Tbk.', '2020-08-27', 'K132', 'K13', 'IDXTRANS', (SELECT id FROM attribute WHERE type = 'STOCK_STATUS' AND code = 'LISTED')) ON CONFLICT DO NOTHING;</v>
      </c>
    </row>
    <row r="895" spans="1:18" x14ac:dyDescent="0.2">
      <c r="A895" t="s">
        <v>2284</v>
      </c>
      <c r="B895" t="s">
        <v>3690</v>
      </c>
      <c r="C895" s="1">
        <v>44993</v>
      </c>
      <c r="D895" s="1"/>
      <c r="E895" t="s">
        <v>2285</v>
      </c>
      <c r="F895" t="s">
        <v>28</v>
      </c>
      <c r="G895" t="s">
        <v>3489</v>
      </c>
      <c r="H895" t="s">
        <v>2284</v>
      </c>
      <c r="I895" t="s">
        <v>3690</v>
      </c>
      <c r="K895" t="s">
        <v>3381</v>
      </c>
      <c r="L895" t="s">
        <v>3382</v>
      </c>
      <c r="M895" t="str">
        <f t="shared" si="26"/>
        <v>I13</v>
      </c>
      <c r="N895" t="s">
        <v>3402</v>
      </c>
      <c r="O895" t="s">
        <v>3403</v>
      </c>
      <c r="P895" t="s">
        <v>3403</v>
      </c>
      <c r="R895" t="str">
        <f t="shared" si="27"/>
        <v>INSERT INTO stock (ticker, name, listing_date, sub_industry, industry, sector, status) VALUES ('TRON', 'Teknologi Karya Digital Nusa Tbk.', '2023-03-08', 'I131', 'I13', 'IDXTECHNO', (SELECT id FROM attribute WHERE type = 'STOCK_STATUS' AND code = 'LISTED')) ON CONFLICT DO NOTHING;</v>
      </c>
    </row>
    <row r="896" spans="1:18" x14ac:dyDescent="0.2">
      <c r="A896" t="s">
        <v>1269</v>
      </c>
      <c r="B896" t="s">
        <v>1270</v>
      </c>
      <c r="C896" s="1">
        <v>33056</v>
      </c>
      <c r="D896" s="1"/>
      <c r="E896" t="s">
        <v>1271</v>
      </c>
      <c r="F896" t="s">
        <v>28</v>
      </c>
      <c r="G896" t="s">
        <v>3489</v>
      </c>
      <c r="H896" t="s">
        <v>1269</v>
      </c>
      <c r="I896" t="s">
        <v>2822</v>
      </c>
      <c r="K896" t="s">
        <v>2778</v>
      </c>
      <c r="L896" t="s">
        <v>2779</v>
      </c>
      <c r="M896" t="str">
        <f t="shared" si="26"/>
        <v>B13</v>
      </c>
      <c r="N896" t="s">
        <v>2812</v>
      </c>
      <c r="O896" t="s">
        <v>2813</v>
      </c>
      <c r="P896" t="s">
        <v>2813</v>
      </c>
      <c r="R896" t="str">
        <f t="shared" si="27"/>
        <v>INSERT INTO stock (ticker, name, listing_date, sub_industry, industry, sector, status) VALUES ('TRST', 'Trias Sentosa Tbk.', '1990-07-02', 'B131', 'B13', 'IDXBASIC', (SELECT id FROM attribute WHERE type = 'STOCK_STATUS' AND code = 'LISTED')) ON CONFLICT DO NOTHING;</v>
      </c>
    </row>
    <row r="897" spans="1:18" x14ac:dyDescent="0.2">
      <c r="A897" t="s">
        <v>1954</v>
      </c>
      <c r="B897" t="s">
        <v>1955</v>
      </c>
      <c r="C897" s="1">
        <v>44357</v>
      </c>
      <c r="D897" s="1"/>
      <c r="E897" t="s">
        <v>1956</v>
      </c>
      <c r="F897" t="s">
        <v>28</v>
      </c>
      <c r="G897" t="s">
        <v>3489</v>
      </c>
      <c r="H897" t="s">
        <v>1954</v>
      </c>
      <c r="I897" t="s">
        <v>3377</v>
      </c>
      <c r="K897" t="s">
        <v>3306</v>
      </c>
      <c r="L897" t="s">
        <v>3307</v>
      </c>
      <c r="M897" t="str">
        <f t="shared" si="26"/>
        <v>H11</v>
      </c>
      <c r="N897" t="s">
        <v>3308</v>
      </c>
      <c r="O897" t="s">
        <v>3309</v>
      </c>
      <c r="P897" t="s">
        <v>3310</v>
      </c>
      <c r="R897" t="str">
        <f t="shared" si="27"/>
        <v>INSERT INTO stock (ticker, name, listing_date, sub_industry, industry, sector, status) VALUES ('TRUE', 'Triniti Dinamik Tbk.', '2021-06-10', 'H111', 'H11', 'IDXPROPERT', (SELECT id FROM attribute WHERE type = 'STOCK_STATUS' AND code = 'LISTED')) ON CONFLICT DO NOTHING;</v>
      </c>
    </row>
    <row r="898" spans="1:18" x14ac:dyDescent="0.2">
      <c r="A898" t="s">
        <v>1527</v>
      </c>
      <c r="B898" t="s">
        <v>1528</v>
      </c>
      <c r="C898" s="1">
        <v>43243</v>
      </c>
      <c r="D898" s="1"/>
      <c r="E898" t="s">
        <v>1529</v>
      </c>
      <c r="F898" t="s">
        <v>28</v>
      </c>
      <c r="G898" t="s">
        <v>3489</v>
      </c>
      <c r="H898" t="s">
        <v>1527</v>
      </c>
      <c r="I898" t="s">
        <v>1528</v>
      </c>
      <c r="K898" t="s">
        <v>3470</v>
      </c>
      <c r="L898" t="s">
        <v>3481</v>
      </c>
      <c r="M898" t="str">
        <f t="shared" ref="M898:M958" si="28">LEFT(N898, 3)</f>
        <v>K21</v>
      </c>
      <c r="N898" t="s">
        <v>3482</v>
      </c>
      <c r="O898" t="s">
        <v>3481</v>
      </c>
      <c r="P898" t="s">
        <v>3481</v>
      </c>
      <c r="R898" t="str">
        <f t="shared" si="27"/>
        <v>INSERT INTO stock (ticker, name, listing_date, sub_industry, industry, sector, status) VALUES ('TRUK', 'Guna Timur Raya Tbk.', '2018-05-23', 'K211', 'K21', 'IDXTRANS', (SELECT id FROM attribute WHERE type = 'STOCK_STATUS' AND code = 'LISTED')) ON CONFLICT DO NOTHING;</v>
      </c>
    </row>
    <row r="899" spans="1:18" x14ac:dyDescent="0.2">
      <c r="A899" t="s">
        <v>1272</v>
      </c>
      <c r="B899" t="s">
        <v>3691</v>
      </c>
      <c r="C899" s="1">
        <v>37588</v>
      </c>
      <c r="D899" s="1"/>
      <c r="E899" t="s">
        <v>1274</v>
      </c>
      <c r="F899" t="s">
        <v>28</v>
      </c>
      <c r="G899" t="s">
        <v>3489</v>
      </c>
      <c r="H899" t="s">
        <v>1272</v>
      </c>
      <c r="I899" t="s">
        <v>1273</v>
      </c>
      <c r="K899" t="s">
        <v>3224</v>
      </c>
      <c r="L899" t="s">
        <v>3238</v>
      </c>
      <c r="M899" t="str">
        <f t="shared" si="28"/>
        <v>G21</v>
      </c>
      <c r="N899" t="s">
        <v>3239</v>
      </c>
      <c r="O899" t="s">
        <v>3240</v>
      </c>
      <c r="P899" t="s">
        <v>3240</v>
      </c>
      <c r="R899" t="str">
        <f t="shared" ref="R899:R958" si="29">CONCATENATE($R$1, A899, "', '", B899, "', '", TEXT(C899, "YYYY-MM-DD"), "', '", N899, "', '", M899, "', '", K899, "', ", $S$1, ") ON CONFLICT DO NOTHING;")</f>
        <v>INSERT INTO stock (ticker, name, listing_date, sub_industry, industry, sector, status) VALUES ('TRUS', 'Trust Finance Indonesia Tbk.', '2002-11-28', 'G211', 'G21', 'IDXFINANCE', (SELECT id FROM attribute WHERE type = 'STOCK_STATUS' AND code = 'LISTED')) ON CONFLICT DO NOTHING;</v>
      </c>
    </row>
    <row r="900" spans="1:18" x14ac:dyDescent="0.2">
      <c r="A900" t="s">
        <v>1275</v>
      </c>
      <c r="B900" t="s">
        <v>1276</v>
      </c>
      <c r="C900" s="1">
        <v>34502</v>
      </c>
      <c r="D900" s="1"/>
      <c r="E900" t="s">
        <v>1277</v>
      </c>
      <c r="F900" t="s">
        <v>8</v>
      </c>
      <c r="G900" t="s">
        <v>3489</v>
      </c>
      <c r="H900" t="s">
        <v>1275</v>
      </c>
      <c r="I900" t="s">
        <v>3223</v>
      </c>
      <c r="K900" t="s">
        <v>3199</v>
      </c>
      <c r="L900" t="s">
        <v>3212</v>
      </c>
      <c r="M900" t="str">
        <f t="shared" si="28"/>
        <v>F21</v>
      </c>
      <c r="N900" t="s">
        <v>3213</v>
      </c>
      <c r="O900" t="s">
        <v>3214</v>
      </c>
      <c r="P900" t="s">
        <v>3214</v>
      </c>
      <c r="R900" t="str">
        <f t="shared" si="29"/>
        <v>INSERT INTO stock (ticker, name, listing_date, sub_industry, industry, sector, status) VALUES ('TSPC', 'Tempo Scan Pacific Tbk.', '1994-06-17', 'F211', 'F21', 'IDXHEALTH', (SELECT id FROM attribute WHERE type = 'STOCK_STATUS' AND code = 'LISTED')) ON CONFLICT DO NOTHING;</v>
      </c>
    </row>
    <row r="901" spans="1:18" x14ac:dyDescent="0.2">
      <c r="A901" t="s">
        <v>1533</v>
      </c>
      <c r="B901" t="s">
        <v>3692</v>
      </c>
      <c r="C901" s="1">
        <v>43248</v>
      </c>
      <c r="D901" s="1"/>
      <c r="E901" t="s">
        <v>1534</v>
      </c>
      <c r="F901" t="s">
        <v>8</v>
      </c>
      <c r="G901" t="s">
        <v>3489</v>
      </c>
      <c r="H901" t="s">
        <v>1533</v>
      </c>
      <c r="I901" t="s">
        <v>3277</v>
      </c>
      <c r="K901" t="s">
        <v>3224</v>
      </c>
      <c r="L901" t="s">
        <v>3264</v>
      </c>
      <c r="M901" t="str">
        <f t="shared" si="28"/>
        <v>G41</v>
      </c>
      <c r="N901" t="s">
        <v>3265</v>
      </c>
      <c r="O901" t="s">
        <v>3264</v>
      </c>
      <c r="P901" t="s">
        <v>3266</v>
      </c>
      <c r="R901" t="str">
        <f t="shared" si="29"/>
        <v>INSERT INTO stock (ticker, name, listing_date, sub_industry, industry, sector, status) VALUES ('TUGU', 'Asuransi Tugu Pratama Indonesia Tbk.', '2018-05-28', 'G412', 'G41', 'IDXFINANCE', (SELECT id FROM attribute WHERE type = 'STOCK_STATUS' AND code = 'LISTED')) ON CONFLICT DO NOTHING;</v>
      </c>
    </row>
    <row r="902" spans="1:18" x14ac:dyDescent="0.2">
      <c r="A902" t="s">
        <v>2300</v>
      </c>
      <c r="B902" t="s">
        <v>2301</v>
      </c>
      <c r="C902" s="1">
        <v>45054</v>
      </c>
      <c r="D902" s="1"/>
      <c r="E902" t="s">
        <v>2302</v>
      </c>
      <c r="F902" t="s">
        <v>28</v>
      </c>
      <c r="G902" t="s">
        <v>3489</v>
      </c>
      <c r="H902" t="s">
        <v>2300</v>
      </c>
      <c r="I902" t="s">
        <v>2301</v>
      </c>
      <c r="K902" t="s">
        <v>3039</v>
      </c>
      <c r="L902" t="s">
        <v>3040</v>
      </c>
      <c r="M902" t="str">
        <f t="shared" si="28"/>
        <v>E11</v>
      </c>
      <c r="N902" t="s">
        <v>3050</v>
      </c>
      <c r="O902" t="s">
        <v>3042</v>
      </c>
      <c r="P902" t="s">
        <v>3051</v>
      </c>
      <c r="R902" t="str">
        <f t="shared" si="29"/>
        <v>INSERT INTO stock (ticker, name, listing_date, sub_industry, industry, sector, status) VALUES ('TYRE', 'King Tire Indonesia Tbk.', '2023-05-08', 'E112', 'E11', 'IDXCYCLIC', (SELECT id FROM attribute WHERE type = 'STOCK_STATUS' AND code = 'LISTED')) ON CONFLICT DO NOTHING;</v>
      </c>
    </row>
    <row r="903" spans="1:18" x14ac:dyDescent="0.2">
      <c r="A903" t="s">
        <v>1853</v>
      </c>
      <c r="B903" t="s">
        <v>1854</v>
      </c>
      <c r="C903" s="1">
        <v>44018</v>
      </c>
      <c r="D903" s="1"/>
      <c r="E903" t="s">
        <v>1855</v>
      </c>
      <c r="F903" t="s">
        <v>28</v>
      </c>
      <c r="G903" t="s">
        <v>3489</v>
      </c>
      <c r="H903" t="s">
        <v>1853</v>
      </c>
      <c r="I903" t="s">
        <v>3119</v>
      </c>
      <c r="K903" t="s">
        <v>3039</v>
      </c>
      <c r="L903" t="s">
        <v>3092</v>
      </c>
      <c r="M903" t="str">
        <f t="shared" si="28"/>
        <v>E51</v>
      </c>
      <c r="N903" t="s">
        <v>3093</v>
      </c>
      <c r="O903" t="s">
        <v>3094</v>
      </c>
      <c r="P903" t="s">
        <v>3095</v>
      </c>
      <c r="R903" t="str">
        <f t="shared" si="29"/>
        <v>INSERT INTO stock (ticker, name, listing_date, sub_industry, industry, sector, status) VALUES ('UANG', 'Pakuan Tbk.', '2020-07-06', 'E512', 'E51', 'IDXCYCLIC', (SELECT id FROM attribute WHERE type = 'STOCK_STATUS' AND code = 'LISTED')) ON CONFLICT DO NOTHING;</v>
      </c>
    </row>
    <row r="904" spans="1:18" x14ac:dyDescent="0.2">
      <c r="A904" t="s">
        <v>1787</v>
      </c>
      <c r="B904" t="s">
        <v>1788</v>
      </c>
      <c r="C904" s="1">
        <v>43819</v>
      </c>
      <c r="D904" s="1"/>
      <c r="E904" t="s">
        <v>1789</v>
      </c>
      <c r="F904" t="s">
        <v>8</v>
      </c>
      <c r="G904" t="s">
        <v>3489</v>
      </c>
      <c r="H904" t="s">
        <v>1787</v>
      </c>
      <c r="I904" t="s">
        <v>1788</v>
      </c>
      <c r="K904" t="s">
        <v>2945</v>
      </c>
      <c r="L904" t="s">
        <v>3032</v>
      </c>
      <c r="M904" t="str">
        <f t="shared" si="28"/>
        <v>D42</v>
      </c>
      <c r="N904" t="s">
        <v>3033</v>
      </c>
      <c r="O904" t="s">
        <v>3034</v>
      </c>
      <c r="P904" t="s">
        <v>3034</v>
      </c>
      <c r="R904" t="str">
        <f t="shared" si="29"/>
        <v>INSERT INTO stock (ticker, name, listing_date, sub_industry, industry, sector, status) VALUES ('UCID', 'Uni-Charm Indonesia Tbk.', '2019-12-20', 'D421', 'D42', 'IDXNONCYC', (SELECT id FROM attribute WHERE type = 'STOCK_STATUS' AND code = 'LISTED')) ON CONFLICT DO NOTHING;</v>
      </c>
    </row>
    <row r="905" spans="1:18" x14ac:dyDescent="0.2">
      <c r="A905" t="s">
        <v>2398</v>
      </c>
      <c r="B905" t="s">
        <v>2399</v>
      </c>
      <c r="C905" s="1">
        <v>45230</v>
      </c>
      <c r="D905" s="1"/>
      <c r="E905" t="s">
        <v>2400</v>
      </c>
      <c r="F905" t="s">
        <v>1847</v>
      </c>
      <c r="G905" t="s">
        <v>3489</v>
      </c>
      <c r="H905" t="s">
        <v>2398</v>
      </c>
      <c r="I905" t="s">
        <v>3873</v>
      </c>
      <c r="K905" t="s">
        <v>2945</v>
      </c>
      <c r="L905" t="s">
        <v>2961</v>
      </c>
      <c r="M905" t="str">
        <f t="shared" si="28"/>
        <v>D23</v>
      </c>
      <c r="N905" t="s">
        <v>2998</v>
      </c>
      <c r="O905" t="s">
        <v>2999</v>
      </c>
      <c r="P905" t="s">
        <v>3000</v>
      </c>
      <c r="R905" t="str">
        <f t="shared" si="29"/>
        <v>INSERT INTO stock (ticker, name, listing_date, sub_industry, industry, sector, status) VALUES ('UDNG', 'Agro Bahari Nusantara Tbk.', '2023-10-31', 'D231', 'D23', 'IDXNONCYC', (SELECT id FROM attribute WHERE type = 'STOCK_STATUS' AND code = 'LISTED')) ON CONFLICT DO NOTHING;</v>
      </c>
    </row>
    <row r="906" spans="1:18" x14ac:dyDescent="0.2">
      <c r="A906" t="s">
        <v>2657</v>
      </c>
      <c r="B906" t="s">
        <v>2658</v>
      </c>
      <c r="C906" s="1">
        <v>44228</v>
      </c>
      <c r="D906" s="1"/>
      <c r="E906" t="s">
        <v>2659</v>
      </c>
      <c r="F906" t="s">
        <v>28</v>
      </c>
      <c r="G906" t="s">
        <v>3489</v>
      </c>
      <c r="H906" t="s">
        <v>2657</v>
      </c>
      <c r="I906" t="s">
        <v>3189</v>
      </c>
      <c r="K906" t="s">
        <v>3039</v>
      </c>
      <c r="L906" t="s">
        <v>3168</v>
      </c>
      <c r="M906" t="str">
        <f t="shared" si="28"/>
        <v>E74</v>
      </c>
      <c r="N906" t="s">
        <v>3183</v>
      </c>
      <c r="O906" t="s">
        <v>3177</v>
      </c>
      <c r="P906" t="s">
        <v>3184</v>
      </c>
      <c r="R906" t="str">
        <f t="shared" si="29"/>
        <v>INSERT INTO stock (ticker, name, listing_date, sub_industry, industry, sector, status) VALUES ('UFOE', 'Damai Sejahtera Abadi Tbk.', '2021-02-01', 'E742', 'E74', 'IDXCYCLIC', (SELECT id FROM attribute WHERE type = 'STOCK_STATUS' AND code = 'LISTED')) ON CONFLICT DO NOTHING;</v>
      </c>
    </row>
    <row r="907" spans="1:18" x14ac:dyDescent="0.2">
      <c r="A907" t="s">
        <v>1278</v>
      </c>
      <c r="B907" t="s">
        <v>3693</v>
      </c>
      <c r="C907" s="1">
        <v>33056</v>
      </c>
      <c r="D907" s="1"/>
      <c r="E907" t="s">
        <v>1279</v>
      </c>
      <c r="F907" t="s">
        <v>8</v>
      </c>
      <c r="G907" t="s">
        <v>3489</v>
      </c>
      <c r="H907" t="s">
        <v>1278</v>
      </c>
      <c r="I907" t="s">
        <v>3693</v>
      </c>
      <c r="K907" t="s">
        <v>2945</v>
      </c>
      <c r="L907" t="s">
        <v>2961</v>
      </c>
      <c r="M907" t="str">
        <f t="shared" si="28"/>
        <v>D22</v>
      </c>
      <c r="N907" t="s">
        <v>2972</v>
      </c>
      <c r="O907" t="s">
        <v>2973</v>
      </c>
      <c r="P907" t="s">
        <v>2974</v>
      </c>
      <c r="R907" t="str">
        <f t="shared" si="29"/>
        <v>INSERT INTO stock (ticker, name, listing_date, sub_industry, industry, sector, status) VALUES ('ULTJ', 'Ultrajaya Milk Industry &amp; Trading Company Tbk.', '1990-07-02', 'D221', 'D22', 'IDXNONCYC', (SELECT id FROM attribute WHERE type = 'STOCK_STATUS' AND code = 'LISTED')) ON CONFLICT DO NOTHING;</v>
      </c>
    </row>
    <row r="908" spans="1:18" x14ac:dyDescent="0.2">
      <c r="A908" t="s">
        <v>1280</v>
      </c>
      <c r="B908" t="s">
        <v>1281</v>
      </c>
      <c r="C908" s="1">
        <v>32818</v>
      </c>
      <c r="D908" s="1"/>
      <c r="E908" t="s">
        <v>1282</v>
      </c>
      <c r="F908" t="s">
        <v>8</v>
      </c>
      <c r="G908" t="s">
        <v>3489</v>
      </c>
      <c r="H908" t="s">
        <v>1280</v>
      </c>
      <c r="I908" t="s">
        <v>2788</v>
      </c>
      <c r="K908" t="s">
        <v>2778</v>
      </c>
      <c r="L908" t="s">
        <v>2779</v>
      </c>
      <c r="M908" t="str">
        <f t="shared" si="28"/>
        <v>B11</v>
      </c>
      <c r="N908" t="s">
        <v>2780</v>
      </c>
      <c r="O908" t="s">
        <v>2781</v>
      </c>
      <c r="P908" t="s">
        <v>2782</v>
      </c>
      <c r="R908" t="str">
        <f t="shared" si="29"/>
        <v>INSERT INTO stock (ticker, name, listing_date, sub_industry, industry, sector, status) VALUES ('UNIC', 'Unggul Indah Cahaya Tbk.', '1989-11-06', 'B111', 'B11', 'IDXBASIC', (SELECT id FROM attribute WHERE type = 'STOCK_STATUS' AND code = 'LISTED')) ON CONFLICT DO NOTHING;</v>
      </c>
    </row>
    <row r="909" spans="1:18" x14ac:dyDescent="0.2">
      <c r="A909" t="s">
        <v>1918</v>
      </c>
      <c r="B909" t="s">
        <v>1919</v>
      </c>
      <c r="C909" s="1">
        <v>44263</v>
      </c>
      <c r="D909" s="1"/>
      <c r="E909" t="s">
        <v>1920</v>
      </c>
      <c r="F909" t="s">
        <v>8</v>
      </c>
      <c r="G909" t="s">
        <v>3489</v>
      </c>
      <c r="H909" t="s">
        <v>1918</v>
      </c>
      <c r="I909" t="s">
        <v>3874</v>
      </c>
      <c r="K909" t="s">
        <v>2701</v>
      </c>
      <c r="L909" t="s">
        <v>2702</v>
      </c>
      <c r="M909" t="str">
        <f t="shared" si="28"/>
        <v>A13</v>
      </c>
      <c r="N909" t="s">
        <v>2763</v>
      </c>
      <c r="O909" t="s">
        <v>2760</v>
      </c>
      <c r="P909" t="s">
        <v>2764</v>
      </c>
      <c r="R909" t="str">
        <f t="shared" si="29"/>
        <v>INSERT INTO stock (ticker, name, listing_date, sub_industry, industry, sector, status) VALUES ('UNIQ', 'Ulima Nitra Tbk.', '2021-03-08', 'A132', 'A13', 'IDXENERGY', (SELECT id FROM attribute WHERE type = 'STOCK_STATUS' AND code = 'LISTED')) ON CONFLICT DO NOTHING;</v>
      </c>
    </row>
    <row r="910" spans="1:18" x14ac:dyDescent="0.2">
      <c r="A910" t="s">
        <v>1283</v>
      </c>
      <c r="B910" t="s">
        <v>3694</v>
      </c>
      <c r="C910" s="1">
        <v>37364</v>
      </c>
      <c r="D910" s="1"/>
      <c r="E910" t="s">
        <v>1285</v>
      </c>
      <c r="F910" t="s">
        <v>28</v>
      </c>
      <c r="G910" t="s">
        <v>3489</v>
      </c>
      <c r="H910" t="s">
        <v>1283</v>
      </c>
      <c r="I910" t="s">
        <v>1284</v>
      </c>
      <c r="K910" t="s">
        <v>3039</v>
      </c>
      <c r="L910" t="s">
        <v>3077</v>
      </c>
      <c r="M910" t="str">
        <f t="shared" si="28"/>
        <v>E41</v>
      </c>
      <c r="N910" t="s">
        <v>3088</v>
      </c>
      <c r="O910" t="s">
        <v>3077</v>
      </c>
      <c r="P910" t="s">
        <v>3089</v>
      </c>
      <c r="R910" t="str">
        <f t="shared" si="29"/>
        <v>INSERT INTO stock (ticker, name, listing_date, sub_industry, industry, sector, status) VALUES ('UNIT', 'Nusantara Inti Corpora Tbk.', '2002-04-18', 'E413', 'E41', 'IDXCYCLIC', (SELECT id FROM attribute WHERE type = 'STOCK_STATUS' AND code = 'LISTED')) ON CONFLICT DO NOTHING;</v>
      </c>
    </row>
    <row r="911" spans="1:18" x14ac:dyDescent="0.2">
      <c r="A911" t="s">
        <v>1286</v>
      </c>
      <c r="B911" t="s">
        <v>3695</v>
      </c>
      <c r="C911" s="1">
        <v>32938</v>
      </c>
      <c r="D911" s="1"/>
      <c r="E911" t="s">
        <v>1287</v>
      </c>
      <c r="F911" t="s">
        <v>12</v>
      </c>
      <c r="G911" t="s">
        <v>3489</v>
      </c>
      <c r="H911" t="s">
        <v>1286</v>
      </c>
      <c r="I911" t="s">
        <v>3026</v>
      </c>
      <c r="K911" t="s">
        <v>2945</v>
      </c>
      <c r="L911" t="s">
        <v>2961</v>
      </c>
      <c r="M911" t="str">
        <f t="shared" si="28"/>
        <v>D23</v>
      </c>
      <c r="N911" t="s">
        <v>3013</v>
      </c>
      <c r="O911" t="s">
        <v>2999</v>
      </c>
      <c r="P911" t="s">
        <v>3014</v>
      </c>
      <c r="R911" t="str">
        <f t="shared" si="29"/>
        <v>INSERT INTO stock (ticker, name, listing_date, sub_industry, industry, sector, status) VALUES ('UNSP', 'Bakrie Sumatera Plantations Tbk.', '1990-03-06', 'D232', 'D23', 'IDXNONCYC', (SELECT id FROM attribute WHERE type = 'STOCK_STATUS' AND code = 'LISTED')) ON CONFLICT DO NOTHING;</v>
      </c>
    </row>
    <row r="912" spans="1:18" x14ac:dyDescent="0.2">
      <c r="A912" t="s">
        <v>2421</v>
      </c>
      <c r="B912" t="s">
        <v>2422</v>
      </c>
      <c r="C912" s="1">
        <v>45329</v>
      </c>
      <c r="D912" s="1"/>
      <c r="E912" t="s">
        <v>2423</v>
      </c>
      <c r="F912" t="s">
        <v>28</v>
      </c>
      <c r="G912" t="s">
        <v>3489</v>
      </c>
      <c r="H912" t="s">
        <v>2421</v>
      </c>
      <c r="I912" t="s">
        <v>2422</v>
      </c>
      <c r="K912" t="s">
        <v>3039</v>
      </c>
      <c r="L912" t="s">
        <v>3071</v>
      </c>
      <c r="M912" t="str">
        <f t="shared" si="28"/>
        <v>E32</v>
      </c>
      <c r="N912" t="s">
        <v>3074</v>
      </c>
      <c r="O912" t="s">
        <v>3075</v>
      </c>
      <c r="P912" t="s">
        <v>3075</v>
      </c>
      <c r="R912" t="str">
        <f t="shared" si="29"/>
        <v>INSERT INTO stock (ticker, name, listing_date, sub_industry, industry, sector, status) VALUES ('UNTD', 'Terang Dunia Internusa Tbk.', '2024-02-07', 'E321', 'E32', 'IDXCYCLIC', (SELECT id FROM attribute WHERE type = 'STOCK_STATUS' AND code = 'LISTED')) ON CONFLICT DO NOTHING;</v>
      </c>
    </row>
    <row r="913" spans="1:18" x14ac:dyDescent="0.2">
      <c r="A913" t="s">
        <v>1288</v>
      </c>
      <c r="B913" t="s">
        <v>1289</v>
      </c>
      <c r="C913" s="1">
        <v>32770</v>
      </c>
      <c r="D913" s="1"/>
      <c r="E913" t="s">
        <v>1290</v>
      </c>
      <c r="F913" t="s">
        <v>8</v>
      </c>
      <c r="G913" t="s">
        <v>3489</v>
      </c>
      <c r="H913" t="s">
        <v>1288</v>
      </c>
      <c r="I913" t="s">
        <v>2906</v>
      </c>
      <c r="K913" t="s">
        <v>2874</v>
      </c>
      <c r="L913" t="s">
        <v>2875</v>
      </c>
      <c r="M913" t="str">
        <f t="shared" si="28"/>
        <v>C14</v>
      </c>
      <c r="N913" t="s">
        <v>2898</v>
      </c>
      <c r="O913" t="s">
        <v>2899</v>
      </c>
      <c r="P913" t="s">
        <v>2900</v>
      </c>
      <c r="R913" t="str">
        <f t="shared" si="29"/>
        <v>INSERT INTO stock (ticker, name, listing_date, sub_industry, industry, sector, status) VALUES ('UNTR', 'United Tractors Tbk.', '1989-09-19', 'C141', 'C14', 'IDXINDUST', (SELECT id FROM attribute WHERE type = 'STOCK_STATUS' AND code = 'LISTED')) ON CONFLICT DO NOTHING;</v>
      </c>
    </row>
    <row r="914" spans="1:18" x14ac:dyDescent="0.2">
      <c r="A914" t="s">
        <v>1291</v>
      </c>
      <c r="B914" t="s">
        <v>1292</v>
      </c>
      <c r="C914" s="1">
        <v>29962</v>
      </c>
      <c r="D914" s="1"/>
      <c r="E914" t="s">
        <v>1293</v>
      </c>
      <c r="F914" t="s">
        <v>8</v>
      </c>
      <c r="G914" t="s">
        <v>3489</v>
      </c>
      <c r="H914" t="s">
        <v>1291</v>
      </c>
      <c r="I914" t="s">
        <v>1292</v>
      </c>
      <c r="K914" t="s">
        <v>2945</v>
      </c>
      <c r="L914" t="s">
        <v>3032</v>
      </c>
      <c r="M914" t="str">
        <f t="shared" si="28"/>
        <v>D42</v>
      </c>
      <c r="N914" t="s">
        <v>3033</v>
      </c>
      <c r="O914" t="s">
        <v>3034</v>
      </c>
      <c r="P914" t="s">
        <v>3034</v>
      </c>
      <c r="R914" t="str">
        <f t="shared" si="29"/>
        <v>INSERT INTO stock (ticker, name, listing_date, sub_industry, industry, sector, status) VALUES ('UNVR', 'Unilever Indonesia Tbk.', '1982-01-11', 'D421', 'D42', 'IDXNONCYC', (SELECT id FROM attribute WHERE type = 'STOCK_STATUS' AND code = 'LISTED')) ON CONFLICT DO NOTHING;</v>
      </c>
    </row>
    <row r="915" spans="1:18" x14ac:dyDescent="0.2">
      <c r="A915" t="s">
        <v>1630</v>
      </c>
      <c r="B915" t="s">
        <v>1631</v>
      </c>
      <c r="C915" s="1">
        <v>43444</v>
      </c>
      <c r="D915" s="1"/>
      <c r="E915" t="s">
        <v>1632</v>
      </c>
      <c r="F915" t="s">
        <v>28</v>
      </c>
      <c r="G915" t="s">
        <v>3489</v>
      </c>
      <c r="H915" t="s">
        <v>1630</v>
      </c>
      <c r="I915" t="s">
        <v>3378</v>
      </c>
      <c r="K915" t="s">
        <v>3306</v>
      </c>
      <c r="L915" t="s">
        <v>3307</v>
      </c>
      <c r="M915" t="str">
        <f t="shared" si="28"/>
        <v>H11</v>
      </c>
      <c r="N915" t="s">
        <v>3308</v>
      </c>
      <c r="O915" t="s">
        <v>3309</v>
      </c>
      <c r="P915" t="s">
        <v>3310</v>
      </c>
      <c r="R915" t="str">
        <f t="shared" si="29"/>
        <v>INSERT INTO stock (ticker, name, listing_date, sub_industry, industry, sector, status) VALUES ('URBN', 'Urban Jakarta Propertindo Tbk.', '2018-12-10', 'H111', 'H11', 'IDXPROPERT', (SELECT id FROM attribute WHERE type = 'STOCK_STATUS' AND code = 'LISTED')) ON CONFLICT DO NOTHING;</v>
      </c>
    </row>
    <row r="916" spans="1:18" x14ac:dyDescent="0.2">
      <c r="A916" t="s">
        <v>1977</v>
      </c>
      <c r="B916" t="s">
        <v>1978</v>
      </c>
      <c r="C916" s="1">
        <v>44404</v>
      </c>
      <c r="D916" s="1"/>
      <c r="E916" t="s">
        <v>1979</v>
      </c>
      <c r="F916" t="s">
        <v>28</v>
      </c>
      <c r="G916" t="s">
        <v>3489</v>
      </c>
      <c r="H916" t="s">
        <v>1977</v>
      </c>
      <c r="I916" t="s">
        <v>3392</v>
      </c>
      <c r="K916" t="s">
        <v>3381</v>
      </c>
      <c r="L916" t="s">
        <v>3382</v>
      </c>
      <c r="M916" t="str">
        <f t="shared" si="28"/>
        <v>I11</v>
      </c>
      <c r="N916" t="s">
        <v>3383</v>
      </c>
      <c r="O916" t="s">
        <v>3384</v>
      </c>
      <c r="P916" t="s">
        <v>3384</v>
      </c>
      <c r="R916" t="str">
        <f t="shared" si="29"/>
        <v>INSERT INTO stock (ticker, name, listing_date, sub_industry, industry, sector, status) VALUES ('UVCR', 'Trimegah Karya Pratama Tbk.', '2021-07-27', 'I111', 'I11', 'IDXTECHNO', (SELECT id FROM attribute WHERE type = 'STOCK_STATUS' AND code = 'LISTED')) ON CONFLICT DO NOTHING;</v>
      </c>
    </row>
    <row r="917" spans="1:18" x14ac:dyDescent="0.2">
      <c r="A917" t="s">
        <v>2255</v>
      </c>
      <c r="B917" t="s">
        <v>2256</v>
      </c>
      <c r="C917" s="1">
        <v>44965</v>
      </c>
      <c r="D917" s="1"/>
      <c r="E917" t="s">
        <v>2257</v>
      </c>
      <c r="F917" t="s">
        <v>28</v>
      </c>
      <c r="G917" t="s">
        <v>3489</v>
      </c>
      <c r="H917" t="s">
        <v>2255</v>
      </c>
      <c r="I917" t="s">
        <v>3875</v>
      </c>
      <c r="K917" t="s">
        <v>3306</v>
      </c>
      <c r="L917" t="s">
        <v>3307</v>
      </c>
      <c r="M917" t="str">
        <f t="shared" si="28"/>
        <v>H11</v>
      </c>
      <c r="N917" t="s">
        <v>3308</v>
      </c>
      <c r="O917" t="s">
        <v>3309</v>
      </c>
      <c r="P917" t="s">
        <v>3310</v>
      </c>
      <c r="R917" t="str">
        <f t="shared" si="29"/>
        <v>INSERT INTO stock (ticker, name, listing_date, sub_industry, industry, sector, status) VALUES ('VAST', 'Vastland Indonesia Tbk.', '2023-02-08', 'H111', 'H11', 'IDXPROPERT', (SELECT id FROM attribute WHERE type = 'STOCK_STATUS' AND code = 'LISTED')) ON CONFLICT DO NOTHING;</v>
      </c>
    </row>
    <row r="918" spans="1:18" x14ac:dyDescent="0.2">
      <c r="A918" t="s">
        <v>2494</v>
      </c>
      <c r="B918" t="s">
        <v>2495</v>
      </c>
      <c r="C918" s="1">
        <v>45573</v>
      </c>
      <c r="D918" s="1"/>
      <c r="E918" t="s">
        <v>2496</v>
      </c>
      <c r="F918" t="s">
        <v>28</v>
      </c>
      <c r="G918" t="s">
        <v>3489</v>
      </c>
      <c r="H918" t="s">
        <v>2494</v>
      </c>
      <c r="I918" t="s">
        <v>3876</v>
      </c>
      <c r="K918" t="s">
        <v>3039</v>
      </c>
      <c r="L918" t="s">
        <v>3145</v>
      </c>
      <c r="M918" t="str">
        <f t="shared" si="28"/>
        <v>E62</v>
      </c>
      <c r="N918" t="s">
        <v>3166</v>
      </c>
      <c r="O918" t="s">
        <v>3167</v>
      </c>
      <c r="P918" t="s">
        <v>3167</v>
      </c>
      <c r="R918" t="str">
        <f t="shared" si="29"/>
        <v>INSERT INTO stock (ticker, name, listing_date, sub_industry, industry, sector, status) VALUES ('VERN', 'Verona Indah Pictures Tbk.', '2024-10-08', 'E621', 'E62', 'IDXCYCLIC', (SELECT id FROM attribute WHERE type = 'STOCK_STATUS' AND code = 'LISTED')) ON CONFLICT DO NOTHING;</v>
      </c>
    </row>
    <row r="919" spans="1:18" x14ac:dyDescent="0.2">
      <c r="A919" t="s">
        <v>1903</v>
      </c>
      <c r="B919" t="s">
        <v>1904</v>
      </c>
      <c r="C919" s="1">
        <v>44182</v>
      </c>
      <c r="D919" s="1"/>
      <c r="E919" t="s">
        <v>1905</v>
      </c>
      <c r="F919" t="s">
        <v>8</v>
      </c>
      <c r="G919" t="s">
        <v>3489</v>
      </c>
      <c r="H919" t="s">
        <v>1903</v>
      </c>
      <c r="I919" t="s">
        <v>1904</v>
      </c>
      <c r="K919" t="s">
        <v>2945</v>
      </c>
      <c r="L919" t="s">
        <v>3032</v>
      </c>
      <c r="M919" t="str">
        <f t="shared" si="28"/>
        <v>D42</v>
      </c>
      <c r="N919" t="s">
        <v>3033</v>
      </c>
      <c r="O919" t="s">
        <v>3034</v>
      </c>
      <c r="P919" t="s">
        <v>3034</v>
      </c>
      <c r="R919" t="str">
        <f t="shared" si="29"/>
        <v>INSERT INTO stock (ticker, name, listing_date, sub_industry, industry, sector, status) VALUES ('VICI', 'Victoria Care Indonesia Tbk.', '2020-12-17', 'D421', 'D42', 'IDXNONCYC', (SELECT id FROM attribute WHERE type = 'STOCK_STATUS' AND code = 'LISTED')) ON CONFLICT DO NOTHING;</v>
      </c>
    </row>
    <row r="920" spans="1:18" x14ac:dyDescent="0.2">
      <c r="A920" t="s">
        <v>1294</v>
      </c>
      <c r="B920" t="s">
        <v>1295</v>
      </c>
      <c r="C920" s="1">
        <v>41463</v>
      </c>
      <c r="D920" s="1"/>
      <c r="E920" t="s">
        <v>1296</v>
      </c>
      <c r="F920" t="s">
        <v>8</v>
      </c>
      <c r="G920" t="s">
        <v>3489</v>
      </c>
      <c r="H920" t="s">
        <v>1294</v>
      </c>
      <c r="I920" t="s">
        <v>3302</v>
      </c>
      <c r="K920" t="s">
        <v>3224</v>
      </c>
      <c r="L920" t="s">
        <v>3289</v>
      </c>
      <c r="M920" t="str">
        <f t="shared" si="28"/>
        <v>G51</v>
      </c>
      <c r="N920" t="s">
        <v>3290</v>
      </c>
      <c r="O920" t="s">
        <v>3289</v>
      </c>
      <c r="P920" t="s">
        <v>3291</v>
      </c>
      <c r="R920" t="str">
        <f t="shared" si="29"/>
        <v>INSERT INTO stock (ticker, name, listing_date, sub_industry, industry, sector, status) VALUES ('VICO', 'Victoria Investama Tbk.', '2013-07-08', 'G511', 'G51', 'IDXFINANCE', (SELECT id FROM attribute WHERE type = 'STOCK_STATUS' AND code = 'LISTED')) ON CONFLICT DO NOTHING;</v>
      </c>
    </row>
    <row r="921" spans="1:18" x14ac:dyDescent="0.2">
      <c r="A921" t="s">
        <v>1297</v>
      </c>
      <c r="B921" t="s">
        <v>1298</v>
      </c>
      <c r="C921" s="1">
        <v>42275</v>
      </c>
      <c r="D921" s="1"/>
      <c r="E921" t="s">
        <v>1299</v>
      </c>
      <c r="F921" t="s">
        <v>28</v>
      </c>
      <c r="G921" t="s">
        <v>3489</v>
      </c>
      <c r="H921" t="s">
        <v>1297</v>
      </c>
      <c r="I921" t="s">
        <v>3278</v>
      </c>
      <c r="K921" t="s">
        <v>3224</v>
      </c>
      <c r="L921" t="s">
        <v>3264</v>
      </c>
      <c r="M921" t="str">
        <f t="shared" si="28"/>
        <v>G41</v>
      </c>
      <c r="N921" t="s">
        <v>3265</v>
      </c>
      <c r="O921" t="s">
        <v>3264</v>
      </c>
      <c r="P921" t="s">
        <v>3266</v>
      </c>
      <c r="R921" t="str">
        <f t="shared" si="29"/>
        <v>INSERT INTO stock (ticker, name, listing_date, sub_industry, industry, sector, status) VALUES ('VINS', 'Victoria Insurance Tbk.', '2015-09-28', 'G412', 'G41', 'IDXFINANCE', (SELECT id FROM attribute WHERE type = 'STOCK_STATUS' AND code = 'LISTED')) ON CONFLICT DO NOTHING;</v>
      </c>
    </row>
    <row r="922" spans="1:18" x14ac:dyDescent="0.2">
      <c r="A922" t="s">
        <v>2447</v>
      </c>
      <c r="B922" t="s">
        <v>2448</v>
      </c>
      <c r="C922" s="1">
        <v>45349</v>
      </c>
      <c r="D922" s="1"/>
      <c r="E922" t="s">
        <v>2449</v>
      </c>
      <c r="F922" t="s">
        <v>28</v>
      </c>
      <c r="G922" t="s">
        <v>3489</v>
      </c>
      <c r="H922" t="s">
        <v>2447</v>
      </c>
      <c r="I922" t="s">
        <v>2448</v>
      </c>
      <c r="K922" t="s">
        <v>2874</v>
      </c>
      <c r="L922" t="s">
        <v>2910</v>
      </c>
      <c r="M922" t="str">
        <f t="shared" si="28"/>
        <v>C22</v>
      </c>
      <c r="N922" t="s">
        <v>2921</v>
      </c>
      <c r="O922" t="s">
        <v>2916</v>
      </c>
      <c r="P922" t="s">
        <v>2922</v>
      </c>
      <c r="R922" t="str">
        <f t="shared" si="29"/>
        <v>INSERT INTO stock (ticker, name, listing_date, sub_industry, industry, sector, status) VALUES ('VISI', 'Satu Visi Putra Tbk.', '2024-02-27', 'C223', 'C22', 'IDXINDUST', (SELECT id FROM attribute WHERE type = 'STOCK_STATUS' AND code = 'LISTED')) ON CONFLICT DO NOTHING;</v>
      </c>
    </row>
    <row r="923" spans="1:18" x14ac:dyDescent="0.2">
      <c r="A923" t="s">
        <v>1300</v>
      </c>
      <c r="B923" t="s">
        <v>1301</v>
      </c>
      <c r="C923" s="1">
        <v>40868</v>
      </c>
      <c r="D923" s="1"/>
      <c r="E923" t="s">
        <v>1302</v>
      </c>
      <c r="F923" t="s">
        <v>12</v>
      </c>
      <c r="G923" t="s">
        <v>3489</v>
      </c>
      <c r="H923" t="s">
        <v>1300</v>
      </c>
      <c r="I923" t="s">
        <v>3156</v>
      </c>
      <c r="K923" t="s">
        <v>3039</v>
      </c>
      <c r="L923" t="s">
        <v>3145</v>
      </c>
      <c r="M923" t="str">
        <f t="shared" si="28"/>
        <v>E61</v>
      </c>
      <c r="N923" t="s">
        <v>3151</v>
      </c>
      <c r="O923" t="s">
        <v>3147</v>
      </c>
      <c r="P923" t="s">
        <v>3152</v>
      </c>
      <c r="R923" t="str">
        <f t="shared" si="29"/>
        <v>INSERT INTO stock (ticker, name, listing_date, sub_industry, industry, sector, status) VALUES ('VIVA', 'Visi Media Asia Tbk.', '2011-11-21', 'E612', 'E61', 'IDXCYCLIC', (SELECT id FROM attribute WHERE type = 'STOCK_STATUS' AND code = 'LISTED')) ON CONFLICT DO NOTHING;</v>
      </c>
    </row>
    <row r="924" spans="1:18" x14ac:dyDescent="0.2">
      <c r="A924" t="s">
        <v>2313</v>
      </c>
      <c r="B924" t="s">
        <v>2314</v>
      </c>
      <c r="C924" s="1">
        <v>45096</v>
      </c>
      <c r="D924" s="1"/>
      <c r="E924" t="s">
        <v>2315</v>
      </c>
      <c r="F924" t="s">
        <v>28</v>
      </c>
      <c r="G924" t="s">
        <v>3489</v>
      </c>
      <c r="H924" t="s">
        <v>2313</v>
      </c>
      <c r="I924" t="s">
        <v>3877</v>
      </c>
      <c r="K924" t="s">
        <v>3039</v>
      </c>
      <c r="L924" t="s">
        <v>3040</v>
      </c>
      <c r="M924" t="str">
        <f t="shared" si="28"/>
        <v>E11</v>
      </c>
      <c r="N924" t="s">
        <v>3041</v>
      </c>
      <c r="O924" t="s">
        <v>3042</v>
      </c>
      <c r="P924" t="s">
        <v>3043</v>
      </c>
      <c r="R924" t="str">
        <f t="shared" si="29"/>
        <v>INSERT INTO stock (ticker, name, listing_date, sub_industry, industry, sector, status) VALUES ('VKTR', 'VKTR Teknologi Mobilitas Tbk.', '2023-06-19', 'E111', 'E11', 'IDXCYCLIC', (SELECT id FROM attribute WHERE type = 'STOCK_STATUS' AND code = 'LISTED')) ON CONFLICT DO NOTHING;</v>
      </c>
    </row>
    <row r="925" spans="1:18" x14ac:dyDescent="0.2">
      <c r="A925" t="s">
        <v>1303</v>
      </c>
      <c r="B925" t="s">
        <v>1304</v>
      </c>
      <c r="C925" s="1">
        <v>33227</v>
      </c>
      <c r="D925" s="1"/>
      <c r="E925" t="s">
        <v>1305</v>
      </c>
      <c r="F925" t="s">
        <v>28</v>
      </c>
      <c r="G925" t="s">
        <v>3489</v>
      </c>
      <c r="H925" t="s">
        <v>1303</v>
      </c>
      <c r="I925" t="s">
        <v>2896</v>
      </c>
      <c r="K925" t="s">
        <v>2874</v>
      </c>
      <c r="L925" t="s">
        <v>2875</v>
      </c>
      <c r="M925" t="str">
        <f t="shared" si="28"/>
        <v>C13</v>
      </c>
      <c r="N925" t="s">
        <v>2888</v>
      </c>
      <c r="O925" t="s">
        <v>2889</v>
      </c>
      <c r="P925" t="s">
        <v>2890</v>
      </c>
      <c r="R925" t="str">
        <f t="shared" si="29"/>
        <v>INSERT INTO stock (ticker, name, listing_date, sub_industry, industry, sector, status) VALUES ('VOKS', 'Voksel Electric Tbk.', '1990-12-20', 'C131', 'C13', 'IDXINDUST', (SELECT id FROM attribute WHERE type = 'STOCK_STATUS' AND code = 'LISTED')) ON CONFLICT DO NOTHING;</v>
      </c>
    </row>
    <row r="926" spans="1:18" x14ac:dyDescent="0.2">
      <c r="A926" t="s">
        <v>1306</v>
      </c>
      <c r="B926" t="s">
        <v>1307</v>
      </c>
      <c r="C926" s="1">
        <v>39624</v>
      </c>
      <c r="D926" s="1"/>
      <c r="E926" t="s">
        <v>1308</v>
      </c>
      <c r="F926" t="s">
        <v>28</v>
      </c>
      <c r="G926" t="s">
        <v>3489</v>
      </c>
      <c r="H926" t="s">
        <v>1306</v>
      </c>
      <c r="I926" t="s">
        <v>1307</v>
      </c>
      <c r="K926" t="s">
        <v>3224</v>
      </c>
      <c r="L926" t="s">
        <v>3238</v>
      </c>
      <c r="M926" t="str">
        <f t="shared" si="28"/>
        <v>G21</v>
      </c>
      <c r="N926" t="s">
        <v>3239</v>
      </c>
      <c r="O926" t="s">
        <v>3240</v>
      </c>
      <c r="P926" t="s">
        <v>3240</v>
      </c>
      <c r="R926" t="str">
        <f t="shared" si="29"/>
        <v>INSERT INTO stock (ticker, name, listing_date, sub_industry, industry, sector, status) VALUES ('VRNA', 'Mizuho Leasing Indonesia Tbk.', '2008-06-25', 'G211', 'G21', 'IDXFINANCE', (SELECT id FROM attribute WHERE type = 'STOCK_STATUS' AND code = 'LISTED')) ON CONFLICT DO NOTHING;</v>
      </c>
    </row>
    <row r="927" spans="1:18" x14ac:dyDescent="0.2">
      <c r="A927" t="s">
        <v>2214</v>
      </c>
      <c r="B927" t="s">
        <v>3894</v>
      </c>
      <c r="C927" s="1">
        <v>44910</v>
      </c>
      <c r="D927" s="1"/>
      <c r="E927" t="s">
        <v>2215</v>
      </c>
      <c r="F927" t="s">
        <v>28</v>
      </c>
      <c r="G927" t="s">
        <v>3489</v>
      </c>
      <c r="H927" t="s">
        <v>2214</v>
      </c>
      <c r="I927" t="s">
        <v>3894</v>
      </c>
      <c r="K927" t="s">
        <v>3224</v>
      </c>
      <c r="L927" t="s">
        <v>3238</v>
      </c>
      <c r="M927" t="str">
        <f t="shared" si="28"/>
        <v>G21</v>
      </c>
      <c r="N927" t="s">
        <v>3239</v>
      </c>
      <c r="O927" t="s">
        <v>3240</v>
      </c>
      <c r="P927" t="s">
        <v>3240</v>
      </c>
      <c r="R927" t="str">
        <f t="shared" si="29"/>
        <v>INSERT INTO stock (ticker, name, listing_date, sub_industry, industry, sector, status) VALUES ('VTNY', 'Venteny Fortuna International Tbk.', '2022-12-15', 'G211', 'G21', 'IDXFINANCE', (SELECT id FROM attribute WHERE type = 'STOCK_STATUS' AND code = 'LISTED')) ON CONFLICT DO NOTHING;</v>
      </c>
    </row>
    <row r="928" spans="1:18" x14ac:dyDescent="0.2">
      <c r="A928" t="s">
        <v>1309</v>
      </c>
      <c r="B928" t="s">
        <v>1310</v>
      </c>
      <c r="C928" s="1">
        <v>37064</v>
      </c>
      <c r="D928" s="1"/>
      <c r="E928" t="s">
        <v>1311</v>
      </c>
      <c r="F928" t="s">
        <v>28</v>
      </c>
      <c r="G928" t="s">
        <v>3489</v>
      </c>
      <c r="H928" t="s">
        <v>1309</v>
      </c>
      <c r="I928" t="s">
        <v>3027</v>
      </c>
      <c r="K928" t="s">
        <v>2945</v>
      </c>
      <c r="L928" t="s">
        <v>2961</v>
      </c>
      <c r="M928" t="str">
        <f t="shared" si="28"/>
        <v>D23</v>
      </c>
      <c r="N928" t="s">
        <v>3013</v>
      </c>
      <c r="O928" t="s">
        <v>2999</v>
      </c>
      <c r="P928" t="s">
        <v>3014</v>
      </c>
      <c r="R928" t="str">
        <f t="shared" si="29"/>
        <v>INSERT INTO stock (ticker, name, listing_date, sub_industry, industry, sector, status) VALUES ('WAPO', 'Wahana Pronatural Tbk.', '2001-06-22', 'D232', 'D23', 'IDXNONCYC', (SELECT id FROM attribute WHERE type = 'STOCK_STATUS' AND code = 'LISTED')) ON CONFLICT DO NOTHING;</v>
      </c>
    </row>
    <row r="929" spans="1:18" x14ac:dyDescent="0.2">
      <c r="A929" t="s">
        <v>1468</v>
      </c>
      <c r="B929" t="s">
        <v>3696</v>
      </c>
      <c r="C929" s="1">
        <v>43069</v>
      </c>
      <c r="D929" s="1"/>
      <c r="E929" t="s">
        <v>1469</v>
      </c>
      <c r="F929" t="s">
        <v>28</v>
      </c>
      <c r="G929" t="s">
        <v>3489</v>
      </c>
      <c r="H929" t="s">
        <v>1468</v>
      </c>
      <c r="I929" t="s">
        <v>3696</v>
      </c>
      <c r="K929" t="s">
        <v>3418</v>
      </c>
      <c r="L929" t="s">
        <v>3432</v>
      </c>
      <c r="M929" t="str">
        <f t="shared" si="28"/>
        <v>J21</v>
      </c>
      <c r="N929" t="s">
        <v>3433</v>
      </c>
      <c r="O929" t="s">
        <v>3432</v>
      </c>
      <c r="P929" t="s">
        <v>3432</v>
      </c>
      <c r="R929" t="str">
        <f t="shared" si="29"/>
        <v>INSERT INTO stock (ticker, name, listing_date, sub_industry, industry, sector, status) VALUES ('WEGE', 'Wijaya Karya Bangunan Gedung Tbk.', '2017-11-30', 'J211', 'J21', 'IDXINFRA', (SELECT id FROM attribute WHERE type = 'STOCK_STATUS' AND code = 'LISTED')) ON CONFLICT DO NOTHING;</v>
      </c>
    </row>
    <row r="930" spans="1:18" x14ac:dyDescent="0.2">
      <c r="A930" t="s">
        <v>1312</v>
      </c>
      <c r="B930" t="s">
        <v>3697</v>
      </c>
      <c r="C930" s="1">
        <v>39233</v>
      </c>
      <c r="D930" s="1"/>
      <c r="E930" t="s">
        <v>1313</v>
      </c>
      <c r="F930" t="s">
        <v>28</v>
      </c>
      <c r="G930" t="s">
        <v>3489</v>
      </c>
      <c r="H930" t="s">
        <v>1312</v>
      </c>
      <c r="I930" t="s">
        <v>3878</v>
      </c>
      <c r="K930" t="s">
        <v>3470</v>
      </c>
      <c r="L930" t="s">
        <v>3471</v>
      </c>
      <c r="M930" t="str">
        <f t="shared" si="28"/>
        <v>K13</v>
      </c>
      <c r="N930" t="s">
        <v>3477</v>
      </c>
      <c r="O930" t="s">
        <v>3478</v>
      </c>
      <c r="P930" t="s">
        <v>3479</v>
      </c>
      <c r="R930" t="str">
        <f t="shared" si="29"/>
        <v>INSERT INTO stock (ticker, name, listing_date, sub_industry, industry, sector, status) VALUES ('WEHA', 'WEHA Transportasi Indonesia Tbk.', '2007-05-31', 'K132', 'K13', 'IDXTRANS', (SELECT id FROM attribute WHERE type = 'STOCK_STATUS' AND code = 'LISTED')) ON CONFLICT DO NOTHING;</v>
      </c>
    </row>
    <row r="931" spans="1:18" x14ac:dyDescent="0.2">
      <c r="A931" t="s">
        <v>2031</v>
      </c>
      <c r="B931" t="s">
        <v>2032</v>
      </c>
      <c r="C931" s="1">
        <v>44536</v>
      </c>
      <c r="D931" s="1"/>
      <c r="E931" t="s">
        <v>2033</v>
      </c>
      <c r="F931" t="s">
        <v>1847</v>
      </c>
      <c r="G931" t="s">
        <v>3489</v>
      </c>
      <c r="H931" t="s">
        <v>2031</v>
      </c>
      <c r="I931" t="s">
        <v>3405</v>
      </c>
      <c r="K931" t="s">
        <v>3381</v>
      </c>
      <c r="L931" t="s">
        <v>3382</v>
      </c>
      <c r="M931" t="str">
        <f t="shared" si="28"/>
        <v>I13</v>
      </c>
      <c r="N931" t="s">
        <v>3402</v>
      </c>
      <c r="O931" t="s">
        <v>3403</v>
      </c>
      <c r="P931" t="s">
        <v>3403</v>
      </c>
      <c r="R931" t="str">
        <f t="shared" si="29"/>
        <v>INSERT INTO stock (ticker, name, listing_date, sub_industry, industry, sector, status) VALUES ('WGSH', 'Wira Global Solusi Tbk.', '2021-12-06', 'I131', 'I13', 'IDXTECHNO', (SELECT id FROM attribute WHERE type = 'STOCK_STATUS' AND code = 'LISTED')) ON CONFLICT DO NOTHING;</v>
      </c>
    </row>
    <row r="932" spans="1:18" x14ac:dyDescent="0.2">
      <c r="A932" t="s">
        <v>1314</v>
      </c>
      <c r="B932" t="s">
        <v>3698</v>
      </c>
      <c r="C932" s="1">
        <v>34554</v>
      </c>
      <c r="D932" s="1"/>
      <c r="E932" t="s">
        <v>1315</v>
      </c>
      <c r="F932" t="s">
        <v>12</v>
      </c>
      <c r="G932" t="s">
        <v>3489</v>
      </c>
      <c r="H932" t="s">
        <v>1314</v>
      </c>
      <c r="I932" t="s">
        <v>2955</v>
      </c>
      <c r="K932" t="s">
        <v>2945</v>
      </c>
      <c r="L932" t="s">
        <v>2946</v>
      </c>
      <c r="M932" t="str">
        <f t="shared" si="28"/>
        <v>D11</v>
      </c>
      <c r="N932" t="s">
        <v>2950</v>
      </c>
      <c r="O932" t="s">
        <v>2946</v>
      </c>
      <c r="P932" t="s">
        <v>2951</v>
      </c>
      <c r="R932" t="str">
        <f t="shared" si="29"/>
        <v>INSERT INTO stock (ticker, name, listing_date, sub_industry, industry, sector, status) VALUES ('WICO', 'Wicaksana Overseas International Tbk.', '1994-08-08', 'D112', 'D11', 'IDXNONCYC', (SELECT id FROM attribute WHERE type = 'STOCK_STATUS' AND code = 'LISTED')) ON CONFLICT DO NOTHING;</v>
      </c>
    </row>
    <row r="933" spans="1:18" x14ac:dyDescent="0.2">
      <c r="A933" t="s">
        <v>2327</v>
      </c>
      <c r="B933" t="s">
        <v>2328</v>
      </c>
      <c r="C933" s="1">
        <v>45117</v>
      </c>
      <c r="D933" s="1"/>
      <c r="E933" t="s">
        <v>2329</v>
      </c>
      <c r="F933" t="s">
        <v>1847</v>
      </c>
      <c r="G933" t="s">
        <v>3489</v>
      </c>
      <c r="H933" t="s">
        <v>2327</v>
      </c>
      <c r="I933" t="s">
        <v>2328</v>
      </c>
      <c r="K933" t="s">
        <v>2874</v>
      </c>
      <c r="L933" t="s">
        <v>2875</v>
      </c>
      <c r="M933" t="str">
        <f t="shared" si="28"/>
        <v>C14</v>
      </c>
      <c r="N933" t="s">
        <v>2898</v>
      </c>
      <c r="O933" t="s">
        <v>2899</v>
      </c>
      <c r="P933" t="s">
        <v>2900</v>
      </c>
      <c r="R933" t="str">
        <f t="shared" si="29"/>
        <v>INSERT INTO stock (ticker, name, listing_date, sub_industry, industry, sector, status) VALUES ('WIDI', 'Widiant Jaya Krenindo Tbk.', '2023-07-10', 'C141', 'C14', 'IDXINDUST', (SELECT id FROM attribute WHERE type = 'STOCK_STATUS' AND code = 'LISTED')) ON CONFLICT DO NOTHING;</v>
      </c>
    </row>
    <row r="934" spans="1:18" x14ac:dyDescent="0.2">
      <c r="A934" t="s">
        <v>2643</v>
      </c>
      <c r="B934" t="s">
        <v>2644</v>
      </c>
      <c r="C934" s="1">
        <v>44195</v>
      </c>
      <c r="D934" s="1"/>
      <c r="E934" t="s">
        <v>2645</v>
      </c>
      <c r="F934" t="s">
        <v>28</v>
      </c>
      <c r="G934" t="s">
        <v>3489</v>
      </c>
      <c r="H934" t="s">
        <v>2643</v>
      </c>
      <c r="I934" t="s">
        <v>3149</v>
      </c>
      <c r="K934" t="s">
        <v>3039</v>
      </c>
      <c r="L934" t="s">
        <v>3145</v>
      </c>
      <c r="M934" t="str">
        <f t="shared" si="28"/>
        <v>E61</v>
      </c>
      <c r="N934" t="s">
        <v>3146</v>
      </c>
      <c r="O934" t="s">
        <v>3147</v>
      </c>
      <c r="P934" t="s">
        <v>3148</v>
      </c>
      <c r="R934" t="str">
        <f t="shared" si="29"/>
        <v>INSERT INTO stock (ticker, name, listing_date, sub_industry, industry, sector, status) VALUES ('WIFI', 'Solusi Sinergi Digital Tbk.', '2020-12-30', 'E611', 'E61', 'IDXCYCLIC', (SELECT id FROM attribute WHERE type = 'STOCK_STATUS' AND code = 'LISTED')) ON CONFLICT DO NOTHING;</v>
      </c>
    </row>
    <row r="935" spans="1:18" x14ac:dyDescent="0.2">
      <c r="A935" t="s">
        <v>1316</v>
      </c>
      <c r="B935" t="s">
        <v>1317</v>
      </c>
      <c r="C935" s="1">
        <v>41261</v>
      </c>
      <c r="D935" s="1"/>
      <c r="E935" t="s">
        <v>1318</v>
      </c>
      <c r="F935" t="s">
        <v>8</v>
      </c>
      <c r="G935" t="s">
        <v>3489</v>
      </c>
      <c r="H935" t="s">
        <v>1316</v>
      </c>
      <c r="I935" t="s">
        <v>3031</v>
      </c>
      <c r="K935" t="s">
        <v>2945</v>
      </c>
      <c r="L935" t="s">
        <v>3029</v>
      </c>
      <c r="M935" t="str">
        <f t="shared" si="28"/>
        <v>D31</v>
      </c>
      <c r="N935" t="s">
        <v>3030</v>
      </c>
      <c r="O935" t="s">
        <v>3029</v>
      </c>
      <c r="P935" t="s">
        <v>3029</v>
      </c>
      <c r="R935" t="str">
        <f t="shared" si="29"/>
        <v>INSERT INTO stock (ticker, name, listing_date, sub_industry, industry, sector, status) VALUES ('WIIM', 'Wismilak Inti Makmur Tbk.', '2012-12-18', 'D311', 'D31', 'IDXNONCYC', (SELECT id FROM attribute WHERE type = 'STOCK_STATUS' AND code = 'LISTED')) ON CONFLICT DO NOTHING;</v>
      </c>
    </row>
    <row r="936" spans="1:18" x14ac:dyDescent="0.2">
      <c r="A936" t="s">
        <v>1319</v>
      </c>
      <c r="B936" t="s">
        <v>1320</v>
      </c>
      <c r="C936" s="1">
        <v>39384</v>
      </c>
      <c r="D936" s="1"/>
      <c r="E936" t="s">
        <v>1321</v>
      </c>
      <c r="F936" t="s">
        <v>12</v>
      </c>
      <c r="G936" t="s">
        <v>3489</v>
      </c>
      <c r="H936" t="s">
        <v>1319</v>
      </c>
      <c r="I936" t="s">
        <v>3879</v>
      </c>
      <c r="K936" t="s">
        <v>3418</v>
      </c>
      <c r="L936" t="s">
        <v>3432</v>
      </c>
      <c r="M936" t="str">
        <f t="shared" si="28"/>
        <v>J21</v>
      </c>
      <c r="N936" t="s">
        <v>3433</v>
      </c>
      <c r="O936" t="s">
        <v>3432</v>
      </c>
      <c r="P936" t="s">
        <v>3432</v>
      </c>
      <c r="R936" t="str">
        <f t="shared" si="29"/>
        <v>INSERT INTO stock (ticker, name, listing_date, sub_industry, industry, sector, status) VALUES ('WIKA', 'Wijaya Karya (Persero) Tbk.', '2007-10-29', 'J211', 'J21', 'IDXINFRA', (SELECT id FROM attribute WHERE type = 'STOCK_STATUS' AND code = 'LISTED')) ON CONFLICT DO NOTHING;</v>
      </c>
    </row>
    <row r="937" spans="1:18" x14ac:dyDescent="0.2">
      <c r="A937" t="s">
        <v>2232</v>
      </c>
      <c r="B937" t="s">
        <v>2233</v>
      </c>
      <c r="C937" s="1">
        <v>44936</v>
      </c>
      <c r="D937" s="1"/>
      <c r="E937" t="s">
        <v>2234</v>
      </c>
      <c r="F937" t="s">
        <v>28</v>
      </c>
      <c r="G937" t="s">
        <v>3489</v>
      </c>
      <c r="H937" t="s">
        <v>2232</v>
      </c>
      <c r="I937" t="s">
        <v>3880</v>
      </c>
      <c r="K937" t="s">
        <v>2945</v>
      </c>
      <c r="L937" t="s">
        <v>2961</v>
      </c>
      <c r="M937" t="str">
        <f t="shared" si="28"/>
        <v>D21</v>
      </c>
      <c r="N937" t="s">
        <v>2962</v>
      </c>
      <c r="O937" t="s">
        <v>2963</v>
      </c>
      <c r="P937" t="s">
        <v>2964</v>
      </c>
      <c r="R937" t="str">
        <f t="shared" si="29"/>
        <v>INSERT INTO stock (ticker, name, listing_date, sub_industry, industry, sector, status) VALUES ('WINE', 'Hatten Bali Tbk.', '2023-01-10', 'D211', 'D21', 'IDXNONCYC', (SELECT id FROM attribute WHERE type = 'STOCK_STATUS' AND code = 'LISTED')) ON CONFLICT DO NOTHING;</v>
      </c>
    </row>
    <row r="938" spans="1:18" x14ac:dyDescent="0.2">
      <c r="A938" t="s">
        <v>2106</v>
      </c>
      <c r="B938" t="s">
        <v>2107</v>
      </c>
      <c r="C938" s="1">
        <v>44676</v>
      </c>
      <c r="D938" s="1"/>
      <c r="E938" t="s">
        <v>2108</v>
      </c>
      <c r="F938" t="s">
        <v>12</v>
      </c>
      <c r="G938" t="s">
        <v>3489</v>
      </c>
      <c r="H938" t="s">
        <v>2106</v>
      </c>
      <c r="I938" t="s">
        <v>3881</v>
      </c>
      <c r="K938" t="s">
        <v>3306</v>
      </c>
      <c r="L938" t="s">
        <v>3307</v>
      </c>
      <c r="M938" t="str">
        <f t="shared" si="28"/>
        <v>H11</v>
      </c>
      <c r="N938" t="s">
        <v>3379</v>
      </c>
      <c r="O938" t="s">
        <v>3309</v>
      </c>
      <c r="P938" t="s">
        <v>3380</v>
      </c>
      <c r="R938" t="str">
        <f t="shared" si="29"/>
        <v>INSERT INTO stock (ticker, name, listing_date, sub_industry, industry, sector, status) VALUES ('WINR', 'Winner Nusantara Jaya Tbk.', '2022-04-25', 'H112', 'H11', 'IDXPROPERT', (SELECT id FROM attribute WHERE type = 'STOCK_STATUS' AND code = 'LISTED')) ON CONFLICT DO NOTHING;</v>
      </c>
    </row>
    <row r="939" spans="1:18" x14ac:dyDescent="0.2">
      <c r="A939" t="s">
        <v>1322</v>
      </c>
      <c r="B939" t="s">
        <v>1323</v>
      </c>
      <c r="C939" s="1">
        <v>40511</v>
      </c>
      <c r="D939" s="1"/>
      <c r="E939" t="s">
        <v>1324</v>
      </c>
      <c r="F939" t="s">
        <v>8</v>
      </c>
      <c r="G939" t="s">
        <v>3489</v>
      </c>
      <c r="H939" t="s">
        <v>1322</v>
      </c>
      <c r="I939" t="s">
        <v>2770</v>
      </c>
      <c r="K939" t="s">
        <v>2701</v>
      </c>
      <c r="L939" t="s">
        <v>2702</v>
      </c>
      <c r="M939" t="str">
        <f t="shared" si="28"/>
        <v>A13</v>
      </c>
      <c r="N939" t="s">
        <v>2763</v>
      </c>
      <c r="O939" t="s">
        <v>2760</v>
      </c>
      <c r="P939" t="s">
        <v>2764</v>
      </c>
      <c r="R939" t="str">
        <f t="shared" si="29"/>
        <v>INSERT INTO stock (ticker, name, listing_date, sub_industry, industry, sector, status) VALUES ('WINS', 'Wintermar Offshore Marine Tbk.', '2010-11-29', 'A132', 'A13', 'IDXENERGY', (SELECT id FROM attribute WHERE type = 'STOCK_STATUS' AND code = 'LISTED')) ON CONFLICT DO NOTHING;</v>
      </c>
    </row>
    <row r="940" spans="1:18" x14ac:dyDescent="0.2">
      <c r="A940" t="s">
        <v>2091</v>
      </c>
      <c r="B940" t="s">
        <v>2092</v>
      </c>
      <c r="C940" s="1">
        <v>44655</v>
      </c>
      <c r="D940" s="1"/>
      <c r="E940" t="s">
        <v>2093</v>
      </c>
      <c r="F940" t="s">
        <v>28</v>
      </c>
      <c r="G940" t="s">
        <v>3489</v>
      </c>
      <c r="H940" t="s">
        <v>2091</v>
      </c>
      <c r="I940" t="s">
        <v>3882</v>
      </c>
      <c r="K940" t="s">
        <v>3381</v>
      </c>
      <c r="L940" t="s">
        <v>3382</v>
      </c>
      <c r="M940" t="str">
        <f t="shared" si="28"/>
        <v>I13</v>
      </c>
      <c r="N940" t="s">
        <v>3402</v>
      </c>
      <c r="O940" t="s">
        <v>3403</v>
      </c>
      <c r="P940" t="s">
        <v>3403</v>
      </c>
      <c r="R940" t="str">
        <f t="shared" si="29"/>
        <v>INSERT INTO stock (ticker, name, listing_date, sub_industry, industry, sector, status) VALUES ('WIRG', 'WIR ASIA Tbk.', '2022-04-04', 'I131', 'I13', 'IDXTECHNO', (SELECT id FROM attribute WHERE type = 'STOCK_STATUS' AND code = 'LISTED')) ON CONFLICT DO NOTHING;</v>
      </c>
    </row>
    <row r="941" spans="1:18" x14ac:dyDescent="0.2">
      <c r="A941" t="s">
        <v>2037</v>
      </c>
      <c r="B941" t="s">
        <v>2038</v>
      </c>
      <c r="C941" s="1">
        <v>44536</v>
      </c>
      <c r="D941" s="1"/>
      <c r="E941" t="s">
        <v>2039</v>
      </c>
      <c r="F941" t="s">
        <v>12</v>
      </c>
      <c r="G941" t="s">
        <v>3489</v>
      </c>
      <c r="H941" t="s">
        <v>2037</v>
      </c>
      <c r="I941" t="s">
        <v>3010</v>
      </c>
      <c r="K941" t="s">
        <v>2945</v>
      </c>
      <c r="L941" t="s">
        <v>2961</v>
      </c>
      <c r="M941" t="str">
        <f t="shared" si="28"/>
        <v>D23</v>
      </c>
      <c r="N941" t="s">
        <v>2998</v>
      </c>
      <c r="O941" t="s">
        <v>2999</v>
      </c>
      <c r="P941" t="s">
        <v>3000</v>
      </c>
      <c r="R941" t="str">
        <f t="shared" si="29"/>
        <v>INSERT INTO stock (ticker, name, listing_date, sub_industry, industry, sector, status) VALUES ('WMPP', 'Widodo Makmur Perkasa Tbk.', '2021-12-06', 'D231', 'D23', 'IDXNONCYC', (SELECT id FROM attribute WHERE type = 'STOCK_STATUS' AND code = 'LISTED')) ON CONFLICT DO NOTHING;</v>
      </c>
    </row>
    <row r="942" spans="1:18" x14ac:dyDescent="0.2">
      <c r="A942" t="s">
        <v>1912</v>
      </c>
      <c r="B942" t="s">
        <v>1913</v>
      </c>
      <c r="C942" s="1">
        <v>44229</v>
      </c>
      <c r="D942" s="1"/>
      <c r="E942" t="s">
        <v>1914</v>
      </c>
      <c r="F942" t="s">
        <v>8</v>
      </c>
      <c r="G942" t="s">
        <v>3489</v>
      </c>
      <c r="H942" t="s">
        <v>1912</v>
      </c>
      <c r="I942" t="s">
        <v>3011</v>
      </c>
      <c r="K942" t="s">
        <v>2945</v>
      </c>
      <c r="L942" t="s">
        <v>2961</v>
      </c>
      <c r="M942" t="str">
        <f t="shared" si="28"/>
        <v>D23</v>
      </c>
      <c r="N942" t="s">
        <v>2998</v>
      </c>
      <c r="O942" t="s">
        <v>2999</v>
      </c>
      <c r="P942" t="s">
        <v>3000</v>
      </c>
      <c r="R942" t="str">
        <f t="shared" si="29"/>
        <v>INSERT INTO stock (ticker, name, listing_date, sub_industry, industry, sector, status) VALUES ('WMUU', 'Widodo Makmur Unggas Tbk.', '2021-02-02', 'D231', 'D23', 'IDXNONCYC', (SELECT id FROM attribute WHERE type = 'STOCK_STATUS' AND code = 'LISTED')) ON CONFLICT DO NOTHING;</v>
      </c>
    </row>
    <row r="943" spans="1:18" x14ac:dyDescent="0.2">
      <c r="A943" t="s">
        <v>1325</v>
      </c>
      <c r="B943" t="s">
        <v>3699</v>
      </c>
      <c r="C943" s="1">
        <v>38334</v>
      </c>
      <c r="D943" s="1"/>
      <c r="E943" t="s">
        <v>1326</v>
      </c>
      <c r="F943" t="s">
        <v>28</v>
      </c>
      <c r="G943" t="s">
        <v>3489</v>
      </c>
      <c r="H943" t="s">
        <v>1325</v>
      </c>
      <c r="I943" t="s">
        <v>3250</v>
      </c>
      <c r="K943" t="s">
        <v>3224</v>
      </c>
      <c r="L943" t="s">
        <v>3238</v>
      </c>
      <c r="M943" t="str">
        <f t="shared" si="28"/>
        <v>G21</v>
      </c>
      <c r="N943" t="s">
        <v>3239</v>
      </c>
      <c r="O943" t="s">
        <v>3240</v>
      </c>
      <c r="P943" t="s">
        <v>3240</v>
      </c>
      <c r="R943" t="str">
        <f t="shared" si="29"/>
        <v>INSERT INTO stock (ticker, name, listing_date, sub_industry, industry, sector, status) VALUES ('WOMF', 'Wahana Ottomitra Multiartha Tbk.', '2004-12-13', 'G211', 'G21', 'IDXFINANCE', (SELECT id FROM attribute WHERE type = 'STOCK_STATUS' AND code = 'LISTED')) ON CONFLICT DO NOTHING;</v>
      </c>
    </row>
    <row r="944" spans="1:18" x14ac:dyDescent="0.2">
      <c r="A944" t="s">
        <v>1425</v>
      </c>
      <c r="B944" t="s">
        <v>1426</v>
      </c>
      <c r="C944" s="1">
        <v>42907</v>
      </c>
      <c r="D944" s="1"/>
      <c r="E944" t="s">
        <v>1427</v>
      </c>
      <c r="F944" t="s">
        <v>8</v>
      </c>
      <c r="G944" t="s">
        <v>3489</v>
      </c>
      <c r="H944" t="s">
        <v>1425</v>
      </c>
      <c r="I944" t="s">
        <v>3063</v>
      </c>
      <c r="K944" t="s">
        <v>3039</v>
      </c>
      <c r="L944" t="s">
        <v>3055</v>
      </c>
      <c r="M944" t="str">
        <f t="shared" si="28"/>
        <v>E21</v>
      </c>
      <c r="N944" t="s">
        <v>3056</v>
      </c>
      <c r="O944" t="s">
        <v>3055</v>
      </c>
      <c r="P944" t="s">
        <v>3057</v>
      </c>
      <c r="R944" t="str">
        <f t="shared" si="29"/>
        <v>INSERT INTO stock (ticker, name, listing_date, sub_industry, industry, sector, status) VALUES ('WOOD', 'Integra Indocabinet Tbk.', '2017-06-21', 'E211', 'E21', 'IDXCYCLIC', (SELECT id FROM attribute WHERE type = 'STOCK_STATUS' AND code = 'LISTED')) ON CONFLICT DO NOTHING;</v>
      </c>
    </row>
    <row r="945" spans="1:18" x14ac:dyDescent="0.2">
      <c r="A945" t="s">
        <v>1759</v>
      </c>
      <c r="B945" t="s">
        <v>1760</v>
      </c>
      <c r="C945" s="1">
        <v>43777</v>
      </c>
      <c r="D945" s="1"/>
      <c r="E945" t="s">
        <v>1761</v>
      </c>
      <c r="F945" t="s">
        <v>28</v>
      </c>
      <c r="G945" t="s">
        <v>3489</v>
      </c>
      <c r="H945" t="s">
        <v>1759</v>
      </c>
      <c r="I945" t="s">
        <v>3883</v>
      </c>
      <c r="K945" t="s">
        <v>2701</v>
      </c>
      <c r="L945" t="s">
        <v>2702</v>
      </c>
      <c r="M945" t="str">
        <f t="shared" si="28"/>
        <v>A13</v>
      </c>
      <c r="N945" t="s">
        <v>2763</v>
      </c>
      <c r="O945" t="s">
        <v>2760</v>
      </c>
      <c r="P945" t="s">
        <v>2764</v>
      </c>
      <c r="R945" t="str">
        <f t="shared" si="29"/>
        <v>INSERT INTO stock (ticker, name, listing_date, sub_industry, industry, sector, status) VALUES ('WOWS', 'Ginting Jaya Energi Tbk.', '2019-11-08', 'A132', 'A13', 'IDXENERGY', (SELECT id FROM attribute WHERE type = 'STOCK_STATUS' AND code = 'LISTED')) ON CONFLICT DO NOTHING;</v>
      </c>
    </row>
    <row r="946" spans="1:18" x14ac:dyDescent="0.2">
      <c r="A946" t="s">
        <v>1378</v>
      </c>
      <c r="B946" t="s">
        <v>1379</v>
      </c>
      <c r="C946" s="1">
        <v>42633</v>
      </c>
      <c r="D946" s="1"/>
      <c r="E946" t="s">
        <v>1380</v>
      </c>
      <c r="F946" t="s">
        <v>12</v>
      </c>
      <c r="G946" t="s">
        <v>3489</v>
      </c>
      <c r="H946" t="s">
        <v>1378</v>
      </c>
      <c r="I946" t="s">
        <v>2809</v>
      </c>
      <c r="K946" t="s">
        <v>2778</v>
      </c>
      <c r="L946" t="s">
        <v>2779</v>
      </c>
      <c r="M946" t="str">
        <f t="shared" si="28"/>
        <v>B12</v>
      </c>
      <c r="N946" t="s">
        <v>2801</v>
      </c>
      <c r="O946" t="s">
        <v>2802</v>
      </c>
      <c r="P946" t="s">
        <v>2802</v>
      </c>
      <c r="R946" t="str">
        <f t="shared" si="29"/>
        <v>INSERT INTO stock (ticker, name, listing_date, sub_industry, industry, sector, status) VALUES ('WSBP', 'Waskita Beton Precast Tbk.', '2016-09-20', 'B121', 'B12', 'IDXBASIC', (SELECT id FROM attribute WHERE type = 'STOCK_STATUS' AND code = 'LISTED')) ON CONFLICT DO NOTHING;</v>
      </c>
    </row>
    <row r="947" spans="1:18" x14ac:dyDescent="0.2">
      <c r="A947" t="s">
        <v>1327</v>
      </c>
      <c r="B947" t="s">
        <v>1328</v>
      </c>
      <c r="C947" s="1">
        <v>41262</v>
      </c>
      <c r="D947" s="1"/>
      <c r="E947" t="s">
        <v>1329</v>
      </c>
      <c r="F947" t="s">
        <v>12</v>
      </c>
      <c r="G947" t="s">
        <v>3489</v>
      </c>
      <c r="H947" t="s">
        <v>1327</v>
      </c>
      <c r="I947" t="s">
        <v>3884</v>
      </c>
      <c r="K947" t="s">
        <v>3418</v>
      </c>
      <c r="L947" t="s">
        <v>3432</v>
      </c>
      <c r="M947" t="str">
        <f t="shared" si="28"/>
        <v>J21</v>
      </c>
      <c r="N947" t="s">
        <v>3433</v>
      </c>
      <c r="O947" t="s">
        <v>3432</v>
      </c>
      <c r="P947" t="s">
        <v>3432</v>
      </c>
      <c r="R947" t="str">
        <f t="shared" si="29"/>
        <v>INSERT INTO stock (ticker, name, listing_date, sub_industry, industry, sector, status) VALUES ('WSKT', 'Waskita Karya (Persero) Tbk.', '2012-12-19', 'J211', 'J21', 'IDXINFRA', (SELECT id FROM attribute WHERE type = 'STOCK_STATUS' AND code = 'LISTED')) ON CONFLICT DO NOTHING;</v>
      </c>
    </row>
    <row r="948" spans="1:18" x14ac:dyDescent="0.2">
      <c r="A948" t="s">
        <v>1330</v>
      </c>
      <c r="B948" t="s">
        <v>1331</v>
      </c>
      <c r="C948" s="1">
        <v>41737</v>
      </c>
      <c r="D948" s="1"/>
      <c r="E948" t="s">
        <v>1332</v>
      </c>
      <c r="F948" t="s">
        <v>8</v>
      </c>
      <c r="G948" t="s">
        <v>3489</v>
      </c>
      <c r="H948" t="s">
        <v>1330</v>
      </c>
      <c r="I948" t="s">
        <v>2810</v>
      </c>
      <c r="K948" t="s">
        <v>2778</v>
      </c>
      <c r="L948" t="s">
        <v>2779</v>
      </c>
      <c r="M948" t="str">
        <f t="shared" si="28"/>
        <v>B12</v>
      </c>
      <c r="N948" t="s">
        <v>2801</v>
      </c>
      <c r="O948" t="s">
        <v>2802</v>
      </c>
      <c r="P948" t="s">
        <v>2802</v>
      </c>
      <c r="R948" t="str">
        <f t="shared" si="29"/>
        <v>INSERT INTO stock (ticker, name, listing_date, sub_industry, industry, sector, status) VALUES ('WTON', 'Wijaya Karya Beton Tbk.', '2014-04-08', 'B121', 'B12', 'IDXBASIC', (SELECT id FROM attribute WHERE type = 'STOCK_STATUS' AND code = 'LISTED')) ON CONFLICT DO NOTHING;</v>
      </c>
    </row>
    <row r="949" spans="1:18" x14ac:dyDescent="0.2">
      <c r="A949" t="s">
        <v>1608</v>
      </c>
      <c r="B949" t="s">
        <v>1609</v>
      </c>
      <c r="C949" s="1">
        <v>43402</v>
      </c>
      <c r="D949" s="1"/>
      <c r="E949" t="s">
        <v>1610</v>
      </c>
      <c r="F949" t="s">
        <v>28</v>
      </c>
      <c r="G949" t="s">
        <v>3489</v>
      </c>
      <c r="H949" t="s">
        <v>1608</v>
      </c>
      <c r="I949" t="s">
        <v>1609</v>
      </c>
      <c r="K949" t="s">
        <v>3039</v>
      </c>
      <c r="L949" t="s">
        <v>3092</v>
      </c>
      <c r="M949" t="str">
        <f t="shared" si="28"/>
        <v>E52</v>
      </c>
      <c r="N949" t="s">
        <v>3143</v>
      </c>
      <c r="O949" t="s">
        <v>3140</v>
      </c>
      <c r="P949" t="s">
        <v>3144</v>
      </c>
      <c r="R949" t="str">
        <f t="shared" si="29"/>
        <v>INSERT INTO stock (ticker, name, listing_date, sub_industry, industry, sector, status) VALUES ('YELO', 'Yelooo Integra Datanet Tbk.', '2018-10-29', 'E522', 'E52', 'IDXCYCLIC', (SELECT id FROM attribute WHERE type = 'STOCK_STATUS' AND code = 'LISTED')) ON CONFLICT DO NOTHING;</v>
      </c>
    </row>
    <row r="950" spans="1:18" x14ac:dyDescent="0.2">
      <c r="A950" t="s">
        <v>2517</v>
      </c>
      <c r="B950" t="s">
        <v>2518</v>
      </c>
      <c r="C950" s="1">
        <v>45665</v>
      </c>
      <c r="D950" s="1"/>
      <c r="E950" t="s">
        <v>2519</v>
      </c>
      <c r="F950" t="s">
        <v>28</v>
      </c>
      <c r="G950" t="s">
        <v>3489</v>
      </c>
      <c r="H950" t="s">
        <v>2517</v>
      </c>
      <c r="I950" t="s">
        <v>3885</v>
      </c>
      <c r="K950" t="s">
        <v>3224</v>
      </c>
      <c r="L950" t="s">
        <v>3264</v>
      </c>
      <c r="M950" t="str">
        <f t="shared" si="28"/>
        <v>G41</v>
      </c>
      <c r="N950" t="s">
        <v>3265</v>
      </c>
      <c r="O950" t="s">
        <v>3264</v>
      </c>
      <c r="P950" t="s">
        <v>3266</v>
      </c>
      <c r="R950" t="str">
        <f t="shared" si="29"/>
        <v>INSERT INTO stock (ticker, name, listing_date, sub_industry, industry, sector, status) VALUES ('YOII', 'Asuransi Digital Bersama Tbk.', '2025-01-08', 'G412', 'G41', 'IDXFINANCE', (SELECT id FROM attribute WHERE type = 'STOCK_STATUS' AND code = 'LISTED')) ON CONFLICT DO NOTHING;</v>
      </c>
    </row>
    <row r="951" spans="1:18" x14ac:dyDescent="0.2">
      <c r="A951" t="s">
        <v>1333</v>
      </c>
      <c r="B951" t="s">
        <v>3700</v>
      </c>
      <c r="C951" s="1">
        <v>39512</v>
      </c>
      <c r="D951" s="1"/>
      <c r="E951" t="s">
        <v>1335</v>
      </c>
      <c r="F951" t="s">
        <v>28</v>
      </c>
      <c r="G951" t="s">
        <v>3489</v>
      </c>
      <c r="H951" t="s">
        <v>1333</v>
      </c>
      <c r="I951" t="s">
        <v>1334</v>
      </c>
      <c r="K951" t="s">
        <v>2778</v>
      </c>
      <c r="L951" t="s">
        <v>2779</v>
      </c>
      <c r="M951" t="str">
        <f t="shared" si="28"/>
        <v>B13</v>
      </c>
      <c r="N951" t="s">
        <v>2812</v>
      </c>
      <c r="O951" t="s">
        <v>2813</v>
      </c>
      <c r="P951" t="s">
        <v>2813</v>
      </c>
      <c r="R951" t="str">
        <f t="shared" si="29"/>
        <v>INSERT INTO stock (ticker, name, listing_date, sub_industry, industry, sector, status) VALUES ('YPAS', 'Yanaprima Hastapersada Tbk.', '2008-03-05', 'B131', 'B13', 'IDXBASIC', (SELECT id FROM attribute WHERE type = 'STOCK_STATUS' AND code = 'LISTED')) ON CONFLICT DO NOTHING;</v>
      </c>
    </row>
    <row r="952" spans="1:18" x14ac:dyDescent="0.2">
      <c r="A952" t="s">
        <v>1336</v>
      </c>
      <c r="B952" t="s">
        <v>1337</v>
      </c>
      <c r="C952" s="1">
        <v>38331</v>
      </c>
      <c r="D952" s="1"/>
      <c r="E952" t="s">
        <v>1338</v>
      </c>
      <c r="F952" t="s">
        <v>28</v>
      </c>
      <c r="G952" t="s">
        <v>3489</v>
      </c>
      <c r="H952" t="s">
        <v>1336</v>
      </c>
      <c r="I952" t="s">
        <v>3262</v>
      </c>
      <c r="K952" t="s">
        <v>3224</v>
      </c>
      <c r="L952" t="s">
        <v>3252</v>
      </c>
      <c r="M952" t="str">
        <f t="shared" si="28"/>
        <v>G31</v>
      </c>
      <c r="N952" t="s">
        <v>3257</v>
      </c>
      <c r="O952" t="s">
        <v>3254</v>
      </c>
      <c r="P952" t="s">
        <v>3258</v>
      </c>
      <c r="R952" t="str">
        <f t="shared" si="29"/>
        <v>INSERT INTO stock (ticker, name, listing_date, sub_industry, industry, sector, status) VALUES ('YULE', 'Yulie Sekuritas Indonesia Tbk.', '2004-12-10', 'G312', 'G31', 'IDXFINANCE', (SELECT id FROM attribute WHERE type = 'STOCK_STATUS' AND code = 'LISTED')) ON CONFLICT DO NOTHING;</v>
      </c>
    </row>
    <row r="953" spans="1:18" x14ac:dyDescent="0.2">
      <c r="A953" t="s">
        <v>2572</v>
      </c>
      <c r="B953" t="s">
        <v>2573</v>
      </c>
      <c r="C953" s="1">
        <v>45741</v>
      </c>
      <c r="D953" s="1"/>
      <c r="E953" t="s">
        <v>2574</v>
      </c>
      <c r="F953" t="s">
        <v>8</v>
      </c>
      <c r="G953" t="s">
        <v>3489</v>
      </c>
      <c r="H953" t="s">
        <v>2572</v>
      </c>
      <c r="I953" t="s">
        <v>3886</v>
      </c>
      <c r="K953" t="s">
        <v>2945</v>
      </c>
      <c r="L953" t="s">
        <v>2961</v>
      </c>
      <c r="M953" t="str">
        <f t="shared" si="28"/>
        <v>D22</v>
      </c>
      <c r="N953" t="s">
        <v>2978</v>
      </c>
      <c r="O953" t="s">
        <v>2973</v>
      </c>
      <c r="P953" t="s">
        <v>2973</v>
      </c>
      <c r="R953" t="str">
        <f t="shared" si="29"/>
        <v>INSERT INTO stock (ticker, name, listing_date, sub_industry, industry, sector, status) VALUES ('YUPI', 'Yupi Indo Jelly Gum Tbk.', '2025-03-25', 'D222', 'D22', 'IDXNONCYC', (SELECT id FROM attribute WHERE type = 'STOCK_STATUS' AND code = 'LISTED')) ON CONFLICT DO NOTHING;</v>
      </c>
    </row>
    <row r="954" spans="1:18" x14ac:dyDescent="0.2">
      <c r="A954" t="s">
        <v>2199</v>
      </c>
      <c r="B954" t="s">
        <v>2200</v>
      </c>
      <c r="C954" s="1">
        <v>44875</v>
      </c>
      <c r="D954" s="1"/>
      <c r="E954" t="s">
        <v>2201</v>
      </c>
      <c r="F954" t="s">
        <v>28</v>
      </c>
      <c r="G954" t="s">
        <v>3489</v>
      </c>
      <c r="H954" t="s">
        <v>2199</v>
      </c>
      <c r="I954" t="s">
        <v>3887</v>
      </c>
      <c r="K954" t="s">
        <v>3039</v>
      </c>
      <c r="L954" t="s">
        <v>3168</v>
      </c>
      <c r="M954" t="str">
        <f t="shared" si="28"/>
        <v>E74</v>
      </c>
      <c r="N954" t="s">
        <v>3176</v>
      </c>
      <c r="O954" t="s">
        <v>3177</v>
      </c>
      <c r="P954" t="s">
        <v>3178</v>
      </c>
      <c r="R954" t="str">
        <f t="shared" si="29"/>
        <v>INSERT INTO stock (ticker, name, listing_date, sub_industry, industry, sector, status) VALUES ('ZATA', 'Bersama Zatta Jaya Tbk.', '2022-11-10', 'E741', 'E74', 'IDXCYCLIC', (SELECT id FROM attribute WHERE type = 'STOCK_STATUS' AND code = 'LISTED')) ON CONFLICT DO NOTHING;</v>
      </c>
    </row>
    <row r="955" spans="1:18" x14ac:dyDescent="0.2">
      <c r="A955" t="s">
        <v>1339</v>
      </c>
      <c r="B955" t="s">
        <v>1340</v>
      </c>
      <c r="C955" s="1">
        <v>33451</v>
      </c>
      <c r="D955" s="1"/>
      <c r="E955" t="s">
        <v>1341</v>
      </c>
      <c r="F955" t="s">
        <v>12</v>
      </c>
      <c r="G955" t="s">
        <v>3489</v>
      </c>
      <c r="H955" t="s">
        <v>1339</v>
      </c>
      <c r="I955" t="s">
        <v>2943</v>
      </c>
      <c r="K955" t="s">
        <v>2874</v>
      </c>
      <c r="L955" t="s">
        <v>2939</v>
      </c>
      <c r="M955" t="str">
        <f t="shared" si="28"/>
        <v>C31</v>
      </c>
      <c r="N955" t="s">
        <v>2940</v>
      </c>
      <c r="O955" t="s">
        <v>2939</v>
      </c>
      <c r="P955" t="s">
        <v>2939</v>
      </c>
      <c r="R955" t="str">
        <f t="shared" si="29"/>
        <v>INSERT INTO stock (ticker, name, listing_date, sub_industry, industry, sector, status) VALUES ('ZBRA', 'Dosni Roha Indonesia Tbk.', '1991-08-01', 'C311', 'C31', 'IDXINDUST', (SELECT id FROM attribute WHERE type = 'STOCK_STATUS' AND code = 'LISTED')) ON CONFLICT DO NOTHING;</v>
      </c>
    </row>
    <row r="956" spans="1:18" x14ac:dyDescent="0.2">
      <c r="A956" t="s">
        <v>1459</v>
      </c>
      <c r="B956" t="s">
        <v>1460</v>
      </c>
      <c r="C956" s="1">
        <v>43024</v>
      </c>
      <c r="D956" s="1"/>
      <c r="E956" t="s">
        <v>1461</v>
      </c>
      <c r="F956" t="s">
        <v>12</v>
      </c>
      <c r="G956" t="s">
        <v>3489</v>
      </c>
      <c r="H956" t="s">
        <v>1459</v>
      </c>
      <c r="I956" t="s">
        <v>2858</v>
      </c>
      <c r="K956" t="s">
        <v>2778</v>
      </c>
      <c r="L956" t="s">
        <v>2779</v>
      </c>
      <c r="M956" t="str">
        <f t="shared" si="28"/>
        <v>B14</v>
      </c>
      <c r="N956" t="s">
        <v>2848</v>
      </c>
      <c r="O956" t="s">
        <v>2824</v>
      </c>
      <c r="P956" t="s">
        <v>2849</v>
      </c>
      <c r="R956" t="str">
        <f t="shared" si="29"/>
        <v>INSERT INTO stock (ticker, name, listing_date, sub_industry, industry, sector, status) VALUES ('ZINC', 'Kapuas Prima Coal Tbk.', '2017-10-16', 'B146', 'B14', 'IDXBASIC', (SELECT id FROM attribute WHERE type = 'STOCK_STATUS' AND code = 'LISTED')) ON CONFLICT DO NOTHING;</v>
      </c>
    </row>
    <row r="957" spans="1:18" x14ac:dyDescent="0.2">
      <c r="A957" t="s">
        <v>1636</v>
      </c>
      <c r="B957" t="s">
        <v>1637</v>
      </c>
      <c r="C957" s="1">
        <v>43446</v>
      </c>
      <c r="D957" s="1"/>
      <c r="E957" t="s">
        <v>1638</v>
      </c>
      <c r="F957" t="s">
        <v>28</v>
      </c>
      <c r="G957" t="s">
        <v>3489</v>
      </c>
      <c r="H957" t="s">
        <v>1636</v>
      </c>
      <c r="I957" t="s">
        <v>3181</v>
      </c>
      <c r="K957" t="s">
        <v>3039</v>
      </c>
      <c r="L957" t="s">
        <v>3168</v>
      </c>
      <c r="M957" t="str">
        <f t="shared" si="28"/>
        <v>E74</v>
      </c>
      <c r="N957" t="s">
        <v>3176</v>
      </c>
      <c r="O957" t="s">
        <v>3177</v>
      </c>
      <c r="P957" t="s">
        <v>3178</v>
      </c>
      <c r="R957" t="str">
        <f t="shared" si="29"/>
        <v>INSERT INTO stock (ticker, name, listing_date, sub_industry, industry, sector, status) VALUES ('ZONE', 'Mega Perintis Tbk.', '2018-12-12', 'E741', 'E74', 'IDXCYCLIC', (SELECT id FROM attribute WHERE type = 'STOCK_STATUS' AND code = 'LISTED')) ON CONFLICT DO NOTHING;</v>
      </c>
    </row>
    <row r="958" spans="1:18" x14ac:dyDescent="0.2">
      <c r="A958" t="s">
        <v>1927</v>
      </c>
      <c r="B958" t="s">
        <v>1928</v>
      </c>
      <c r="C958" s="1">
        <v>44285</v>
      </c>
      <c r="D958" s="1"/>
      <c r="E958" t="s">
        <v>1929</v>
      </c>
      <c r="F958" t="s">
        <v>28</v>
      </c>
      <c r="G958" t="s">
        <v>3489</v>
      </c>
      <c r="H958" t="s">
        <v>1927</v>
      </c>
      <c r="I958" t="s">
        <v>3413</v>
      </c>
      <c r="K958" t="s">
        <v>3381</v>
      </c>
      <c r="L958" t="s">
        <v>3406</v>
      </c>
      <c r="M958" t="str">
        <f t="shared" si="28"/>
        <v>I22</v>
      </c>
      <c r="N958" t="s">
        <v>3409</v>
      </c>
      <c r="O958" t="s">
        <v>3410</v>
      </c>
      <c r="P958" t="s">
        <v>3410</v>
      </c>
      <c r="R958" t="str">
        <f t="shared" si="29"/>
        <v>INSERT INTO stock (ticker, name, listing_date, sub_industry, industry, sector, status) VALUES ('ZYRX', 'Zyrexindo Mandiri Buana Tbk.', '2021-03-30', 'I221', 'I22', 'IDXTECHNO', (SELECT id FROM attribute WHERE type = 'STOCK_STATUS' AND code = 'LISTED')) ON CONFLICT DO NOTHING;</v>
      </c>
    </row>
  </sheetData>
  <sortState xmlns:xlrd2="http://schemas.microsoft.com/office/spreadsheetml/2017/richdata2" ref="A2:F957">
    <sortCondition ref="A2:A957"/>
  </sortState>
  <pageMargins left="0.7" right="0.7" top="0.75" bottom="0.75" header="0.3" footer="0.3"/>
  <ignoredErrors>
    <ignoredError sqref="E1:F1 C1 A1:B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E1FF8-09CC-C948-B38D-8D665FCB4864}">
  <dimension ref="A1:F105"/>
  <sheetViews>
    <sheetView workbookViewId="0">
      <pane ySplit="1" topLeftCell="A65" activePane="bottomLeft" state="frozen"/>
      <selection pane="bottomLeft" activeCell="A105" sqref="A105"/>
    </sheetView>
  </sheetViews>
  <sheetFormatPr baseColWidth="10" defaultRowHeight="16" x14ac:dyDescent="0.2"/>
  <cols>
    <col min="2" max="2" width="15" bestFit="1" customWidth="1"/>
    <col min="3" max="3" width="42.83203125" bestFit="1" customWidth="1"/>
    <col min="4" max="4" width="35.83203125" bestFit="1" customWidth="1"/>
    <col min="5" max="5" width="4" customWidth="1"/>
    <col min="6" max="6" width="97.83203125" bestFit="1" customWidth="1"/>
  </cols>
  <sheetData>
    <row r="1" spans="1:6" x14ac:dyDescent="0.2">
      <c r="A1" s="2" t="s">
        <v>2696</v>
      </c>
      <c r="B1" s="2" t="s">
        <v>2697</v>
      </c>
      <c r="C1" s="2" t="s">
        <v>2698</v>
      </c>
      <c r="D1" s="2" t="s">
        <v>2699</v>
      </c>
      <c r="F1" t="s">
        <v>3895</v>
      </c>
    </row>
    <row r="2" spans="1:6" x14ac:dyDescent="0.2">
      <c r="A2" t="str">
        <f t="shared" ref="A2:A34" si="0">LEFT(B2, 3)</f>
        <v>A11</v>
      </c>
      <c r="B2" t="s">
        <v>2703</v>
      </c>
      <c r="C2" t="s">
        <v>2704</v>
      </c>
      <c r="D2" t="s">
        <v>2705</v>
      </c>
      <c r="F2" t="str">
        <f>CONCATENATE($F$1, B2, "', '", D2, "', '", A2, "');")</f>
        <v>INSERT INTO sub_industry (id, name, industry) VALUES ('A111', 'Oil &amp; Gas Production &amp; Refinery', 'A11');</v>
      </c>
    </row>
    <row r="3" spans="1:6" x14ac:dyDescent="0.2">
      <c r="A3" t="str">
        <f t="shared" ref="A3" si="1">LEFT(B3, 3)</f>
        <v>A11</v>
      </c>
      <c r="B3" t="s">
        <v>2710</v>
      </c>
      <c r="C3" t="s">
        <v>2704</v>
      </c>
      <c r="D3" t="s">
        <v>2711</v>
      </c>
      <c r="F3" t="str">
        <f t="shared" ref="F3:F67" si="2">CONCATENATE($F$1, B3, "', '", D3, "', '", A3, "');")</f>
        <v>INSERT INTO sub_industry (id, name, industry) VALUES ('A112', 'Oil &amp; Gas Storage &amp; Distribution', 'A11');</v>
      </c>
    </row>
    <row r="4" spans="1:6" x14ac:dyDescent="0.2">
      <c r="A4" t="str">
        <f t="shared" si="0"/>
        <v>A12</v>
      </c>
      <c r="B4" t="s">
        <v>2723</v>
      </c>
      <c r="C4" t="s">
        <v>2724</v>
      </c>
      <c r="D4" t="s">
        <v>2725</v>
      </c>
      <c r="F4" t="str">
        <f t="shared" si="2"/>
        <v>INSERT INTO sub_industry (id, name, industry) VALUES ('A121', 'Coal Production', 'A12');</v>
      </c>
    </row>
    <row r="5" spans="1:6" x14ac:dyDescent="0.2">
      <c r="A5" t="str">
        <f t="shared" si="0"/>
        <v>A12</v>
      </c>
      <c r="B5" t="s">
        <v>2742</v>
      </c>
      <c r="C5" t="s">
        <v>2724</v>
      </c>
      <c r="D5" t="s">
        <v>2743</v>
      </c>
      <c r="F5" t="str">
        <f t="shared" si="2"/>
        <v>INSERT INTO sub_industry (id, name, industry) VALUES ('A122', 'Coal Distribution', 'A12');</v>
      </c>
    </row>
    <row r="6" spans="1:6" x14ac:dyDescent="0.2">
      <c r="A6" t="str">
        <f t="shared" si="0"/>
        <v>A13</v>
      </c>
      <c r="B6" t="s">
        <v>2759</v>
      </c>
      <c r="C6" t="s">
        <v>2760</v>
      </c>
      <c r="D6" t="s">
        <v>2761</v>
      </c>
      <c r="F6" t="str">
        <f t="shared" si="2"/>
        <v>INSERT INTO sub_industry (id, name, industry) VALUES ('A131', 'Oil &amp; Gas Drilling Service', 'A13');</v>
      </c>
    </row>
    <row r="7" spans="1:6" x14ac:dyDescent="0.2">
      <c r="A7" t="str">
        <f t="shared" si="0"/>
        <v>A13</v>
      </c>
      <c r="B7" t="s">
        <v>2763</v>
      </c>
      <c r="C7" t="s">
        <v>2760</v>
      </c>
      <c r="D7" t="s">
        <v>2764</v>
      </c>
      <c r="F7" t="str">
        <f t="shared" si="2"/>
        <v>INSERT INTO sub_industry (id, name, industry) VALUES ('A132', 'Oil, Gas &amp; Coal Equipment &amp; Services', 'A13');</v>
      </c>
    </row>
    <row r="8" spans="1:6" x14ac:dyDescent="0.2">
      <c r="A8" t="str">
        <f t="shared" si="0"/>
        <v>A21</v>
      </c>
      <c r="B8" t="s">
        <v>2773</v>
      </c>
      <c r="C8" t="s">
        <v>2774</v>
      </c>
      <c r="D8" t="s">
        <v>2774</v>
      </c>
      <c r="F8" t="str">
        <f t="shared" si="2"/>
        <v>INSERT INTO sub_industry (id, name, industry) VALUES ('A211', 'Alternative Energy Equipment', 'A21');</v>
      </c>
    </row>
    <row r="9" spans="1:6" x14ac:dyDescent="0.2">
      <c r="A9" t="str">
        <f t="shared" si="0"/>
        <v>A22</v>
      </c>
      <c r="B9" t="s">
        <v>2776</v>
      </c>
      <c r="C9" t="s">
        <v>2777</v>
      </c>
      <c r="D9" t="s">
        <v>2777</v>
      </c>
      <c r="F9" t="str">
        <f t="shared" si="2"/>
        <v>INSERT INTO sub_industry (id, name, industry) VALUES ('A221', 'Alternative Fuels', 'A22');</v>
      </c>
    </row>
    <row r="10" spans="1:6" x14ac:dyDescent="0.2">
      <c r="A10" t="str">
        <f t="shared" si="0"/>
        <v>B11</v>
      </c>
      <c r="B10" t="s">
        <v>2780</v>
      </c>
      <c r="C10" t="s">
        <v>2781</v>
      </c>
      <c r="D10" t="s">
        <v>2782</v>
      </c>
      <c r="F10" t="str">
        <f t="shared" si="2"/>
        <v>INSERT INTO sub_industry (id, name, industry) VALUES ('B111', 'Basic Chemicals', 'B11');</v>
      </c>
    </row>
    <row r="11" spans="1:6" x14ac:dyDescent="0.2">
      <c r="A11" t="str">
        <f t="shared" si="0"/>
        <v>B11</v>
      </c>
      <c r="B11" t="s">
        <v>2789</v>
      </c>
      <c r="C11" t="s">
        <v>2781</v>
      </c>
      <c r="D11" t="s">
        <v>2790</v>
      </c>
      <c r="F11" t="str">
        <f t="shared" si="2"/>
        <v>INSERT INTO sub_industry (id, name, industry) VALUES ('B112', 'Agricultural Chemicals', 'B11');</v>
      </c>
    </row>
    <row r="12" spans="1:6" x14ac:dyDescent="0.2">
      <c r="A12" t="str">
        <f t="shared" si="0"/>
        <v>B11</v>
      </c>
      <c r="B12" t="s">
        <v>2792</v>
      </c>
      <c r="C12" t="s">
        <v>2781</v>
      </c>
      <c r="D12" t="s">
        <v>2793</v>
      </c>
      <c r="F12" t="str">
        <f t="shared" si="2"/>
        <v>INSERT INTO sub_industry (id, name, industry) VALUES ('B113', 'Specialty Chemicals', 'B11');</v>
      </c>
    </row>
    <row r="13" spans="1:6" x14ac:dyDescent="0.2">
      <c r="A13" t="str">
        <f t="shared" si="0"/>
        <v>B12</v>
      </c>
      <c r="B13" t="s">
        <v>2801</v>
      </c>
      <c r="C13" t="s">
        <v>2802</v>
      </c>
      <c r="D13" t="s">
        <v>2802</v>
      </c>
      <c r="F13" t="str">
        <f t="shared" si="2"/>
        <v>INSERT INTO sub_industry (id, name, industry) VALUES ('B121', 'Construction Materials', 'B12');</v>
      </c>
    </row>
    <row r="14" spans="1:6" x14ac:dyDescent="0.2">
      <c r="A14" t="str">
        <f t="shared" si="0"/>
        <v>B13</v>
      </c>
      <c r="B14" t="s">
        <v>2812</v>
      </c>
      <c r="C14" t="s">
        <v>2813</v>
      </c>
      <c r="D14" t="s">
        <v>2813</v>
      </c>
      <c r="F14" t="str">
        <f t="shared" si="2"/>
        <v>INSERT INTO sub_industry (id, name, industry) VALUES ('B131', 'Containers &amp; Packaging', 'B13');</v>
      </c>
    </row>
    <row r="15" spans="1:6" x14ac:dyDescent="0.2">
      <c r="A15" t="str">
        <f t="shared" si="0"/>
        <v>B14</v>
      </c>
      <c r="B15" t="s">
        <v>2823</v>
      </c>
      <c r="C15" t="s">
        <v>2824</v>
      </c>
      <c r="D15" t="s">
        <v>2825</v>
      </c>
      <c r="F15" t="str">
        <f t="shared" si="2"/>
        <v>INSERT INTO sub_industry (id, name, industry) VALUES ('B141', 'Aluminum', 'B14');</v>
      </c>
    </row>
    <row r="16" spans="1:6" x14ac:dyDescent="0.2">
      <c r="A16" t="str">
        <f t="shared" si="0"/>
        <v>B14</v>
      </c>
      <c r="B16" t="s">
        <v>2830</v>
      </c>
      <c r="C16" t="s">
        <v>2824</v>
      </c>
      <c r="D16" t="s">
        <v>2831</v>
      </c>
      <c r="F16" t="str">
        <f t="shared" si="2"/>
        <v>INSERT INTO sub_industry (id, name, industry) VALUES ('B142', 'Cooper', 'B14');</v>
      </c>
    </row>
    <row r="17" spans="1:6" x14ac:dyDescent="0.2">
      <c r="A17" t="str">
        <f t="shared" si="0"/>
        <v>B14</v>
      </c>
      <c r="B17" t="s">
        <v>2834</v>
      </c>
      <c r="C17" t="s">
        <v>2824</v>
      </c>
      <c r="D17" t="s">
        <v>2835</v>
      </c>
      <c r="F17" t="str">
        <f t="shared" si="2"/>
        <v>INSERT INTO sub_industry (id, name, industry) VALUES ('B143', 'Gold', 'B14');</v>
      </c>
    </row>
    <row r="18" spans="1:6" x14ac:dyDescent="0.2">
      <c r="A18" t="str">
        <f t="shared" si="0"/>
        <v>B14</v>
      </c>
      <c r="B18" t="s">
        <v>2839</v>
      </c>
      <c r="C18" t="s">
        <v>2824</v>
      </c>
      <c r="D18" t="s">
        <v>2840</v>
      </c>
      <c r="F18" t="str">
        <f t="shared" si="2"/>
        <v>INSERT INTO sub_industry (id, name, industry) VALUES ('B144', 'Iron &amp; Steel', 'B14');</v>
      </c>
    </row>
    <row r="19" spans="1:6" x14ac:dyDescent="0.2">
      <c r="A19" t="str">
        <f t="shared" si="0"/>
        <v>B14</v>
      </c>
      <c r="B19" t="s">
        <v>2848</v>
      </c>
      <c r="C19" t="s">
        <v>2824</v>
      </c>
      <c r="D19" t="s">
        <v>2849</v>
      </c>
      <c r="F19" t="str">
        <f t="shared" si="2"/>
        <v>INSERT INTO sub_industry (id, name, industry) VALUES ('B146', 'Diversified Metals &amp; Minerals', 'B14');</v>
      </c>
    </row>
    <row r="20" spans="1:6" x14ac:dyDescent="0.2">
      <c r="A20" t="str">
        <f t="shared" si="0"/>
        <v>B15</v>
      </c>
      <c r="B20" t="s">
        <v>2860</v>
      </c>
      <c r="C20" t="s">
        <v>2861</v>
      </c>
      <c r="D20" t="s">
        <v>2862</v>
      </c>
      <c r="F20" t="str">
        <f t="shared" si="2"/>
        <v>INSERT INTO sub_industry (id, name, industry) VALUES ('B151', 'Timber', 'B15');</v>
      </c>
    </row>
    <row r="21" spans="1:6" x14ac:dyDescent="0.2">
      <c r="A21" t="str">
        <f t="shared" si="0"/>
        <v>B15</v>
      </c>
      <c r="B21" t="s">
        <v>2866</v>
      </c>
      <c r="C21" t="s">
        <v>2861</v>
      </c>
      <c r="D21" t="s">
        <v>2867</v>
      </c>
      <c r="F21" t="str">
        <f t="shared" si="2"/>
        <v>INSERT INTO sub_industry (id, name, industry) VALUES ('B152', 'Paper', 'B15');</v>
      </c>
    </row>
    <row r="22" spans="1:6" x14ac:dyDescent="0.2">
      <c r="A22" t="str">
        <f t="shared" si="0"/>
        <v>B15</v>
      </c>
      <c r="B22" t="s">
        <v>2871</v>
      </c>
      <c r="C22" t="s">
        <v>2861</v>
      </c>
      <c r="D22" t="s">
        <v>2872</v>
      </c>
      <c r="F22" t="str">
        <f t="shared" si="2"/>
        <v>INSERT INTO sub_industry (id, name, industry) VALUES ('B153', 'Diversified Forest', 'B15');</v>
      </c>
    </row>
    <row r="23" spans="1:6" x14ac:dyDescent="0.2">
      <c r="A23" t="str">
        <f t="shared" si="0"/>
        <v>C12</v>
      </c>
      <c r="B23" t="s">
        <v>2876</v>
      </c>
      <c r="C23" t="s">
        <v>2877</v>
      </c>
      <c r="D23" t="s">
        <v>2877</v>
      </c>
      <c r="F23" t="str">
        <f t="shared" si="2"/>
        <v>INSERT INTO sub_industry (id, name, industry) VALUES ('C121', 'Building Products &amp; Fixtures', 'C12');</v>
      </c>
    </row>
    <row r="24" spans="1:6" x14ac:dyDescent="0.2">
      <c r="A24" t="str">
        <f t="shared" si="0"/>
        <v>C13</v>
      </c>
      <c r="B24" t="s">
        <v>2888</v>
      </c>
      <c r="C24" t="s">
        <v>2889</v>
      </c>
      <c r="D24" t="s">
        <v>2890</v>
      </c>
      <c r="F24" t="str">
        <f t="shared" si="2"/>
        <v>INSERT INTO sub_industry (id, name, industry) VALUES ('C131', 'Electrical Components &amp; Equipment', 'C13');</v>
      </c>
    </row>
    <row r="25" spans="1:6" x14ac:dyDescent="0.2">
      <c r="A25" t="str">
        <f t="shared" si="0"/>
        <v>C14</v>
      </c>
      <c r="B25" t="s">
        <v>2898</v>
      </c>
      <c r="C25" t="s">
        <v>2899</v>
      </c>
      <c r="D25" t="s">
        <v>2900</v>
      </c>
      <c r="F25" t="str">
        <f t="shared" si="2"/>
        <v>INSERT INTO sub_industry (id, name, industry) VALUES ('C141', 'Construction Machinery &amp; Heavy Vehicles', 'C14');</v>
      </c>
    </row>
    <row r="26" spans="1:6" x14ac:dyDescent="0.2">
      <c r="A26" t="str">
        <f t="shared" si="0"/>
        <v>C14</v>
      </c>
      <c r="B26" t="s">
        <v>2907</v>
      </c>
      <c r="C26" t="s">
        <v>2899</v>
      </c>
      <c r="D26" t="s">
        <v>2908</v>
      </c>
      <c r="F26" t="str">
        <f t="shared" si="2"/>
        <v>INSERT INTO sub_industry (id, name, industry) VALUES ('C143', 'Industrial Machinery &amp; Components', 'C14');</v>
      </c>
    </row>
    <row r="27" spans="1:6" x14ac:dyDescent="0.2">
      <c r="A27" t="str">
        <f t="shared" si="0"/>
        <v>C21</v>
      </c>
      <c r="B27" t="s">
        <v>2911</v>
      </c>
      <c r="C27" t="s">
        <v>2912</v>
      </c>
      <c r="D27" t="s">
        <v>2912</v>
      </c>
      <c r="F27" t="str">
        <f t="shared" si="2"/>
        <v>INSERT INTO sub_industry (id, name, industry) VALUES ('C211', 'Diversified Industrial Trading', 'C21');</v>
      </c>
    </row>
    <row r="28" spans="1:6" x14ac:dyDescent="0.2">
      <c r="A28" t="str">
        <f t="shared" si="0"/>
        <v>C22</v>
      </c>
      <c r="B28" t="s">
        <v>2915</v>
      </c>
      <c r="C28" t="s">
        <v>2916</v>
      </c>
      <c r="D28" t="s">
        <v>2917</v>
      </c>
      <c r="F28" t="str">
        <f t="shared" si="2"/>
        <v>INSERT INTO sub_industry (id, name, industry) VALUES ('C221', 'Commercial Printing', 'C22');</v>
      </c>
    </row>
    <row r="29" spans="1:6" x14ac:dyDescent="0.2">
      <c r="A29" t="str">
        <f t="shared" si="0"/>
        <v>C22</v>
      </c>
      <c r="B29" t="s">
        <v>2918</v>
      </c>
      <c r="C29" t="s">
        <v>2916</v>
      </c>
      <c r="D29" t="s">
        <v>2919</v>
      </c>
      <c r="F29" t="str">
        <f t="shared" si="2"/>
        <v>INSERT INTO sub_industry (id, name, industry) VALUES ('C222', 'Environmental &amp; Facilities Services', 'C22');</v>
      </c>
    </row>
    <row r="30" spans="1:6" x14ac:dyDescent="0.2">
      <c r="A30" t="str">
        <f t="shared" si="0"/>
        <v>C22</v>
      </c>
      <c r="B30" t="s">
        <v>2921</v>
      </c>
      <c r="C30" t="s">
        <v>2916</v>
      </c>
      <c r="D30" t="s">
        <v>2922</v>
      </c>
      <c r="F30" t="str">
        <f t="shared" si="2"/>
        <v>INSERT INTO sub_industry (id, name, industry) VALUES ('C223', 'Office Supplies', 'C22');</v>
      </c>
    </row>
    <row r="31" spans="1:6" x14ac:dyDescent="0.2">
      <c r="A31" t="str">
        <f t="shared" si="0"/>
        <v>C22</v>
      </c>
      <c r="B31" t="s">
        <v>2927</v>
      </c>
      <c r="C31" t="s">
        <v>2916</v>
      </c>
      <c r="D31" t="s">
        <v>2928</v>
      </c>
      <c r="F31" t="str">
        <f t="shared" si="2"/>
        <v>INSERT INTO sub_industry (id, name, industry) VALUES ('C224', 'Business Support Services', 'C22');</v>
      </c>
    </row>
    <row r="32" spans="1:6" x14ac:dyDescent="0.2">
      <c r="A32" t="str">
        <f t="shared" si="0"/>
        <v>C23</v>
      </c>
      <c r="B32" t="s">
        <v>2932</v>
      </c>
      <c r="C32" t="s">
        <v>2933</v>
      </c>
      <c r="D32" t="s">
        <v>2934</v>
      </c>
      <c r="F32" t="str">
        <f t="shared" si="2"/>
        <v>INSERT INTO sub_industry (id, name, industry) VALUES ('C231', 'Human Resource &amp; Employment Services', 'C23');</v>
      </c>
    </row>
    <row r="33" spans="1:6" x14ac:dyDescent="0.2">
      <c r="A33" t="str">
        <f t="shared" si="0"/>
        <v>C23</v>
      </c>
      <c r="B33" t="s">
        <v>2936</v>
      </c>
      <c r="C33" t="s">
        <v>2933</v>
      </c>
      <c r="D33" t="s">
        <v>2937</v>
      </c>
      <c r="F33" t="str">
        <f t="shared" si="2"/>
        <v>INSERT INTO sub_industry (id, name, industry) VALUES ('C232', 'Research &amp; Consulting Services', 'C23');</v>
      </c>
    </row>
    <row r="34" spans="1:6" x14ac:dyDescent="0.2">
      <c r="A34" t="str">
        <f t="shared" si="0"/>
        <v>C31</v>
      </c>
      <c r="B34" t="s">
        <v>2940</v>
      </c>
      <c r="C34" t="s">
        <v>2939</v>
      </c>
      <c r="D34" t="s">
        <v>2939</v>
      </c>
      <c r="F34" t="str">
        <f t="shared" si="2"/>
        <v>INSERT INTO sub_industry (id, name, industry) VALUES ('C311', 'Multi-sector Holdings', 'C31');</v>
      </c>
    </row>
    <row r="35" spans="1:6" x14ac:dyDescent="0.2">
      <c r="A35" t="str">
        <f t="shared" ref="A35:A66" si="3">LEFT(B35, 3)</f>
        <v>D11</v>
      </c>
      <c r="B35" t="s">
        <v>2947</v>
      </c>
      <c r="C35" t="s">
        <v>2946</v>
      </c>
      <c r="D35" t="s">
        <v>2948</v>
      </c>
      <c r="F35" t="str">
        <f t="shared" si="2"/>
        <v>INSERT INTO sub_industry (id, name, industry) VALUES ('D111', 'Drug Retail &amp; Distributors', 'D11');</v>
      </c>
    </row>
    <row r="36" spans="1:6" x14ac:dyDescent="0.2">
      <c r="A36" t="str">
        <f t="shared" si="3"/>
        <v>D11</v>
      </c>
      <c r="B36" t="s">
        <v>2950</v>
      </c>
      <c r="C36" t="s">
        <v>2946</v>
      </c>
      <c r="D36" t="s">
        <v>2951</v>
      </c>
      <c r="F36" t="str">
        <f t="shared" si="2"/>
        <v>INSERT INTO sub_industry (id, name, industry) VALUES ('D112', 'Food Retail &amp; Distributors', 'D11');</v>
      </c>
    </row>
    <row r="37" spans="1:6" x14ac:dyDescent="0.2">
      <c r="A37" t="str">
        <f t="shared" si="3"/>
        <v>D11</v>
      </c>
      <c r="B37" t="s">
        <v>2956</v>
      </c>
      <c r="C37" t="s">
        <v>2946</v>
      </c>
      <c r="D37" t="s">
        <v>2957</v>
      </c>
      <c r="F37" t="str">
        <f t="shared" si="2"/>
        <v>INSERT INTO sub_industry (id, name, industry) VALUES ('D113', 'Supermarkets &amp; Convenience Store', 'D11');</v>
      </c>
    </row>
    <row r="38" spans="1:6" x14ac:dyDescent="0.2">
      <c r="A38" t="str">
        <f t="shared" si="3"/>
        <v>D21</v>
      </c>
      <c r="B38" t="s">
        <v>2962</v>
      </c>
      <c r="C38" t="s">
        <v>2963</v>
      </c>
      <c r="D38" t="s">
        <v>2964</v>
      </c>
      <c r="F38" t="str">
        <f t="shared" si="2"/>
        <v>INSERT INTO sub_industry (id, name, industry) VALUES ('D211', 'Liquors', 'D21');</v>
      </c>
    </row>
    <row r="39" spans="1:6" x14ac:dyDescent="0.2">
      <c r="A39" t="str">
        <f t="shared" si="3"/>
        <v>D21</v>
      </c>
      <c r="B39" t="s">
        <v>2968</v>
      </c>
      <c r="C39" t="s">
        <v>2963</v>
      </c>
      <c r="D39" t="s">
        <v>2969</v>
      </c>
      <c r="F39" t="str">
        <f t="shared" si="2"/>
        <v>INSERT INTO sub_industry (id, name, industry) VALUES ('D212', 'Soft Drinks', 'D21');</v>
      </c>
    </row>
    <row r="40" spans="1:6" x14ac:dyDescent="0.2">
      <c r="A40" t="str">
        <f t="shared" si="3"/>
        <v>D22</v>
      </c>
      <c r="B40" t="s">
        <v>2972</v>
      </c>
      <c r="C40" t="s">
        <v>2973</v>
      </c>
      <c r="D40" t="s">
        <v>2974</v>
      </c>
      <c r="F40" t="str">
        <f t="shared" si="2"/>
        <v>INSERT INTO sub_industry (id, name, industry) VALUES ('D221', 'Dairy Products', 'D22');</v>
      </c>
    </row>
    <row r="41" spans="1:6" x14ac:dyDescent="0.2">
      <c r="A41" t="str">
        <f t="shared" si="3"/>
        <v>D22</v>
      </c>
      <c r="B41" t="s">
        <v>2978</v>
      </c>
      <c r="C41" t="s">
        <v>2973</v>
      </c>
      <c r="D41" t="s">
        <v>2973</v>
      </c>
      <c r="F41" t="str">
        <f t="shared" si="2"/>
        <v>INSERT INTO sub_industry (id, name, industry) VALUES ('D222', 'Processed Foods', 'D22');</v>
      </c>
    </row>
    <row r="42" spans="1:6" x14ac:dyDescent="0.2">
      <c r="A42" t="str">
        <f t="shared" si="3"/>
        <v>D23</v>
      </c>
      <c r="B42" t="s">
        <v>2998</v>
      </c>
      <c r="C42" t="s">
        <v>2999</v>
      </c>
      <c r="D42" t="s">
        <v>3000</v>
      </c>
      <c r="F42" t="str">
        <f t="shared" si="2"/>
        <v>INSERT INTO sub_industry (id, name, industry) VALUES ('D231', 'Fish, Meat, &amp; Poultry', 'D23');</v>
      </c>
    </row>
    <row r="43" spans="1:6" x14ac:dyDescent="0.2">
      <c r="A43" t="str">
        <f t="shared" si="3"/>
        <v>D23</v>
      </c>
      <c r="B43" t="s">
        <v>3013</v>
      </c>
      <c r="C43" t="s">
        <v>2999</v>
      </c>
      <c r="D43" t="s">
        <v>3014</v>
      </c>
      <c r="F43" t="str">
        <f t="shared" si="2"/>
        <v>INSERT INTO sub_industry (id, name, industry) VALUES ('D232', 'Plantations &amp; Crops', 'D23');</v>
      </c>
    </row>
    <row r="44" spans="1:6" x14ac:dyDescent="0.2">
      <c r="A44" t="str">
        <f t="shared" si="3"/>
        <v>D31</v>
      </c>
      <c r="B44" t="s">
        <v>3030</v>
      </c>
      <c r="C44" t="s">
        <v>3029</v>
      </c>
      <c r="D44" t="s">
        <v>3029</v>
      </c>
      <c r="F44" t="str">
        <f t="shared" si="2"/>
        <v>INSERT INTO sub_industry (id, name, industry) VALUES ('D311', 'Tobacco', 'D31');</v>
      </c>
    </row>
    <row r="45" spans="1:6" x14ac:dyDescent="0.2">
      <c r="A45" t="str">
        <f t="shared" si="3"/>
        <v>D42</v>
      </c>
      <c r="B45" t="s">
        <v>3033</v>
      </c>
      <c r="C45" t="s">
        <v>3034</v>
      </c>
      <c r="D45" t="s">
        <v>3034</v>
      </c>
      <c r="F45" t="str">
        <f t="shared" si="2"/>
        <v>INSERT INTO sub_industry (id, name, industry) VALUES ('D421', 'Personal Care Products', 'D42');</v>
      </c>
    </row>
    <row r="46" spans="1:6" x14ac:dyDescent="0.2">
      <c r="A46" t="str">
        <f t="shared" si="3"/>
        <v>E11</v>
      </c>
      <c r="B46" t="s">
        <v>3041</v>
      </c>
      <c r="C46" t="s">
        <v>3042</v>
      </c>
      <c r="D46" t="s">
        <v>3043</v>
      </c>
      <c r="F46" t="str">
        <f t="shared" si="2"/>
        <v>INSERT INTO sub_industry (id, name, industry) VALUES ('E111', 'Auto Parts &amp; Equipment', 'E11');</v>
      </c>
    </row>
    <row r="47" spans="1:6" x14ac:dyDescent="0.2">
      <c r="A47" t="str">
        <f t="shared" si="3"/>
        <v>E11</v>
      </c>
      <c r="B47" t="s">
        <v>3050</v>
      </c>
      <c r="C47" t="s">
        <v>3042</v>
      </c>
      <c r="D47" t="s">
        <v>3051</v>
      </c>
      <c r="F47" t="str">
        <f t="shared" si="2"/>
        <v>INSERT INTO sub_industry (id, name, industry) VALUES ('E112', 'Tires', 'E11');</v>
      </c>
    </row>
    <row r="48" spans="1:6" x14ac:dyDescent="0.2">
      <c r="A48" t="str">
        <f t="shared" si="3"/>
        <v>E21</v>
      </c>
      <c r="B48" t="s">
        <v>3056</v>
      </c>
      <c r="C48" t="s">
        <v>3055</v>
      </c>
      <c r="D48" t="s">
        <v>3057</v>
      </c>
      <c r="F48" t="str">
        <f t="shared" si="2"/>
        <v>INSERT INTO sub_industry (id, name, industry) VALUES ('E211', 'Home Furnishings', 'E21');</v>
      </c>
    </row>
    <row r="49" spans="1:6" x14ac:dyDescent="0.2">
      <c r="A49" t="str">
        <f t="shared" si="3"/>
        <v>E21</v>
      </c>
      <c r="B49" t="s">
        <v>3065</v>
      </c>
      <c r="C49" t="s">
        <v>3055</v>
      </c>
      <c r="D49" t="s">
        <v>3066</v>
      </c>
      <c r="F49" t="str">
        <f t="shared" si="2"/>
        <v>INSERT INTO sub_industry (id, name, industry) VALUES ('E212', 'Household Appliances', 'E21');</v>
      </c>
    </row>
    <row r="50" spans="1:6" x14ac:dyDescent="0.2">
      <c r="A50" t="str">
        <f t="shared" si="3"/>
        <v>E21</v>
      </c>
      <c r="B50" t="s">
        <v>3067</v>
      </c>
      <c r="C50" t="s">
        <v>3055</v>
      </c>
      <c r="D50" t="s">
        <v>3068</v>
      </c>
      <c r="F50" t="str">
        <f t="shared" si="2"/>
        <v>INSERT INTO sub_industry (id, name, industry) VALUES ('E213', 'Housewares &amp; Specialties', 'E21');</v>
      </c>
    </row>
    <row r="51" spans="1:6" x14ac:dyDescent="0.2">
      <c r="A51" t="str">
        <f t="shared" si="3"/>
        <v>E31</v>
      </c>
      <c r="B51" t="s">
        <v>3072</v>
      </c>
      <c r="C51" t="s">
        <v>3073</v>
      </c>
      <c r="D51" t="s">
        <v>3073</v>
      </c>
      <c r="F51" t="str">
        <f t="shared" si="2"/>
        <v>INSERT INTO sub_industry (id, name, industry) VALUES ('E311', 'Consumer Electronics', 'E31');</v>
      </c>
    </row>
    <row r="52" spans="1:6" x14ac:dyDescent="0.2">
      <c r="A52" t="str">
        <f t="shared" si="3"/>
        <v>E32</v>
      </c>
      <c r="B52" t="s">
        <v>3074</v>
      </c>
      <c r="C52" t="s">
        <v>3075</v>
      </c>
      <c r="D52" t="s">
        <v>3075</v>
      </c>
      <c r="F52" t="str">
        <f t="shared" si="2"/>
        <v>INSERT INTO sub_industry (id, name, industry) VALUES ('E321', 'Sport Equipment &amp; Hobbies Goods', 'E32');</v>
      </c>
    </row>
    <row r="53" spans="1:6" x14ac:dyDescent="0.2">
      <c r="A53" t="str">
        <f t="shared" si="3"/>
        <v>E41</v>
      </c>
      <c r="B53" t="s">
        <v>3078</v>
      </c>
      <c r="C53" t="s">
        <v>3077</v>
      </c>
      <c r="D53" t="s">
        <v>3079</v>
      </c>
      <c r="F53" t="str">
        <f t="shared" si="2"/>
        <v>INSERT INTO sub_industry (id, name, industry) VALUES ('E411', 'Clothing, Accessories &amp; Bags', 'E41');</v>
      </c>
    </row>
    <row r="54" spans="1:6" x14ac:dyDescent="0.2">
      <c r="A54" t="str">
        <f t="shared" si="3"/>
        <v>E41</v>
      </c>
      <c r="B54" t="s">
        <v>3085</v>
      </c>
      <c r="C54" t="s">
        <v>3077</v>
      </c>
      <c r="D54" t="s">
        <v>3086</v>
      </c>
      <c r="F54" t="str">
        <f t="shared" si="2"/>
        <v>INSERT INTO sub_industry (id, name, industry) VALUES ('E412', 'Footwear', 'E41');</v>
      </c>
    </row>
    <row r="55" spans="1:6" x14ac:dyDescent="0.2">
      <c r="A55" t="str">
        <f t="shared" si="3"/>
        <v>E41</v>
      </c>
      <c r="B55" t="s">
        <v>3088</v>
      </c>
      <c r="C55" t="s">
        <v>3077</v>
      </c>
      <c r="D55" t="s">
        <v>3089</v>
      </c>
      <c r="F55" t="str">
        <f t="shared" si="2"/>
        <v>INSERT INTO sub_industry (id, name, industry) VALUES ('E413', 'Textiles', 'E41');</v>
      </c>
    </row>
    <row r="56" spans="1:6" x14ac:dyDescent="0.2">
      <c r="A56" t="str">
        <f t="shared" si="3"/>
        <v>E51</v>
      </c>
      <c r="B56" t="s">
        <v>3093</v>
      </c>
      <c r="C56" t="s">
        <v>3094</v>
      </c>
      <c r="D56" t="s">
        <v>3095</v>
      </c>
      <c r="F56" t="str">
        <f t="shared" si="2"/>
        <v>INSERT INTO sub_industry (id, name, industry) VALUES ('E512', 'Hotels, Resorts &amp; Cruise Lines', 'E51');</v>
      </c>
    </row>
    <row r="57" spans="1:6" x14ac:dyDescent="0.2">
      <c r="A57" t="str">
        <f t="shared" si="3"/>
        <v>E51</v>
      </c>
      <c r="B57" t="s">
        <v>3120</v>
      </c>
      <c r="C57" t="s">
        <v>3094</v>
      </c>
      <c r="D57" t="s">
        <v>3121</v>
      </c>
      <c r="F57" t="str">
        <f t="shared" si="2"/>
        <v>INSERT INTO sub_industry (id, name, industry) VALUES ('E513', 'Travel Agencies', 'E51');</v>
      </c>
    </row>
    <row r="58" spans="1:6" x14ac:dyDescent="0.2">
      <c r="A58" t="str">
        <f t="shared" si="3"/>
        <v>E51</v>
      </c>
      <c r="B58" t="s">
        <v>3124</v>
      </c>
      <c r="C58" t="s">
        <v>3094</v>
      </c>
      <c r="D58" t="s">
        <v>3125</v>
      </c>
      <c r="F58" t="str">
        <f t="shared" si="2"/>
        <v>INSERT INTO sub_industry (id, name, industry) VALUES ('E514', 'Recreational &amp; Sports Facilities', 'E51');</v>
      </c>
    </row>
    <row r="59" spans="1:6" x14ac:dyDescent="0.2">
      <c r="A59" t="str">
        <f t="shared" si="3"/>
        <v>E51</v>
      </c>
      <c r="B59" t="s">
        <v>3129</v>
      </c>
      <c r="C59" t="s">
        <v>3094</v>
      </c>
      <c r="D59" t="s">
        <v>3130</v>
      </c>
      <c r="F59" t="str">
        <f t="shared" si="2"/>
        <v>INSERT INTO sub_industry (id, name, industry) VALUES ('E515', 'Restaurants', 'E51');</v>
      </c>
    </row>
    <row r="60" spans="1:6" x14ac:dyDescent="0.2">
      <c r="A60" t="str">
        <f t="shared" si="3"/>
        <v>E52</v>
      </c>
      <c r="B60" t="s">
        <v>3139</v>
      </c>
      <c r="C60" t="s">
        <v>3140</v>
      </c>
      <c r="D60" t="s">
        <v>3141</v>
      </c>
      <c r="F60" t="str">
        <f t="shared" si="2"/>
        <v>INSERT INTO sub_industry (id, name, industry) VALUES ('E521', 'Education Services', 'E52');</v>
      </c>
    </row>
    <row r="61" spans="1:6" x14ac:dyDescent="0.2">
      <c r="A61" t="str">
        <f t="shared" si="3"/>
        <v>E52</v>
      </c>
      <c r="B61" t="s">
        <v>3143</v>
      </c>
      <c r="C61" t="s">
        <v>3140</v>
      </c>
      <c r="D61" t="s">
        <v>3144</v>
      </c>
      <c r="F61" t="str">
        <f t="shared" si="2"/>
        <v>INSERT INTO sub_industry (id, name, industry) VALUES ('E522', 'Consumer Support Services', 'E52');</v>
      </c>
    </row>
    <row r="62" spans="1:6" x14ac:dyDescent="0.2">
      <c r="A62" t="str">
        <f t="shared" si="3"/>
        <v>E61</v>
      </c>
      <c r="B62" t="s">
        <v>3146</v>
      </c>
      <c r="C62" t="s">
        <v>3147</v>
      </c>
      <c r="D62" t="s">
        <v>3148</v>
      </c>
      <c r="F62" t="str">
        <f t="shared" si="2"/>
        <v>INSERT INTO sub_industry (id, name, industry) VALUES ('E611', 'Advertising', 'E61');</v>
      </c>
    </row>
    <row r="63" spans="1:6" x14ac:dyDescent="0.2">
      <c r="A63" t="str">
        <f t="shared" si="3"/>
        <v>E61</v>
      </c>
      <c r="B63" t="s">
        <v>3151</v>
      </c>
      <c r="C63" t="s">
        <v>3147</v>
      </c>
      <c r="D63" t="s">
        <v>3152</v>
      </c>
      <c r="F63" t="str">
        <f t="shared" si="2"/>
        <v>INSERT INTO sub_industry (id, name, industry) VALUES ('E612', 'Broadcasting', 'E61');</v>
      </c>
    </row>
    <row r="64" spans="1:6" x14ac:dyDescent="0.2">
      <c r="A64" t="str">
        <f t="shared" si="3"/>
        <v>E61</v>
      </c>
      <c r="B64" t="s">
        <v>3158</v>
      </c>
      <c r="C64" t="s">
        <v>3147</v>
      </c>
      <c r="D64" t="s">
        <v>3159</v>
      </c>
      <c r="F64" t="str">
        <f t="shared" si="2"/>
        <v>INSERT INTO sub_industry (id, name, industry) VALUES ('E613', 'Cable &amp; Satellite', 'E61');</v>
      </c>
    </row>
    <row r="65" spans="1:6" x14ac:dyDescent="0.2">
      <c r="A65" t="str">
        <f t="shared" si="3"/>
        <v>E61</v>
      </c>
      <c r="B65" t="s">
        <v>3162</v>
      </c>
      <c r="C65" t="s">
        <v>3147</v>
      </c>
      <c r="D65" t="s">
        <v>3163</v>
      </c>
      <c r="F65" t="str">
        <f t="shared" si="2"/>
        <v>INSERT INTO sub_industry (id, name, industry) VALUES ('E614', 'Consumer Publishing', 'E61');</v>
      </c>
    </row>
    <row r="66" spans="1:6" x14ac:dyDescent="0.2">
      <c r="A66" t="str">
        <f t="shared" si="3"/>
        <v>E62</v>
      </c>
      <c r="B66" t="s">
        <v>3166</v>
      </c>
      <c r="C66" t="s">
        <v>3167</v>
      </c>
      <c r="D66" t="s">
        <v>3167</v>
      </c>
      <c r="F66" t="str">
        <f t="shared" si="2"/>
        <v>INSERT INTO sub_industry (id, name, industry) VALUES ('E621', 'Entertainment &amp; Movie Production', 'E62');</v>
      </c>
    </row>
    <row r="67" spans="1:6" x14ac:dyDescent="0.2">
      <c r="A67" t="str">
        <f t="shared" ref="A67:A98" si="4">LEFT(B67, 3)</f>
        <v>E71</v>
      </c>
      <c r="B67" t="s">
        <v>3169</v>
      </c>
      <c r="C67" t="s">
        <v>3170</v>
      </c>
      <c r="D67" t="s">
        <v>3170</v>
      </c>
      <c r="F67" t="str">
        <f t="shared" si="2"/>
        <v>INSERT INTO sub_industry (id, name, industry) VALUES ('E711', 'Consumer Distributors', 'E71');</v>
      </c>
    </row>
    <row r="68" spans="1:6" x14ac:dyDescent="0.2">
      <c r="A68" t="str">
        <f t="shared" si="4"/>
        <v>E73</v>
      </c>
      <c r="B68" t="s">
        <v>3172</v>
      </c>
      <c r="C68" t="s">
        <v>3173</v>
      </c>
      <c r="D68" t="s">
        <v>3173</v>
      </c>
      <c r="F68" t="str">
        <f t="shared" ref="F68:F105" si="5">CONCATENATE($F$1, B68, "', '", D68, "', '", A68, "');")</f>
        <v>INSERT INTO sub_industry (id, name, industry) VALUES ('E731', 'Department Stores', 'E73');</v>
      </c>
    </row>
    <row r="69" spans="1:6" x14ac:dyDescent="0.2">
      <c r="A69" t="str">
        <f t="shared" si="4"/>
        <v>E73</v>
      </c>
      <c r="B69" t="s">
        <v>3172</v>
      </c>
      <c r="C69" t="s">
        <v>3173</v>
      </c>
      <c r="D69" t="s">
        <v>3173</v>
      </c>
      <c r="F69" t="str">
        <f t="shared" si="5"/>
        <v>INSERT INTO sub_industry (id, name, industry) VALUES ('E731', 'Department Stores', 'E73');</v>
      </c>
    </row>
    <row r="70" spans="1:6" x14ac:dyDescent="0.2">
      <c r="A70" t="str">
        <f t="shared" si="4"/>
        <v>E74</v>
      </c>
      <c r="B70" t="s">
        <v>3176</v>
      </c>
      <c r="C70" t="s">
        <v>3177</v>
      </c>
      <c r="D70" t="s">
        <v>3178</v>
      </c>
      <c r="F70" t="str">
        <f t="shared" si="5"/>
        <v>INSERT INTO sub_industry (id, name, industry) VALUES ('E741', 'Apparel &amp; Textile Retail', 'E74');</v>
      </c>
    </row>
    <row r="71" spans="1:6" x14ac:dyDescent="0.2">
      <c r="A71" t="str">
        <f t="shared" si="4"/>
        <v>E74</v>
      </c>
      <c r="B71" t="s">
        <v>3183</v>
      </c>
      <c r="C71" t="s">
        <v>3177</v>
      </c>
      <c r="D71" t="s">
        <v>3184</v>
      </c>
      <c r="F71" t="str">
        <f t="shared" si="5"/>
        <v>INSERT INTO sub_industry (id, name, industry) VALUES ('E742', 'Electronics Retail', 'E74');</v>
      </c>
    </row>
    <row r="72" spans="1:6" x14ac:dyDescent="0.2">
      <c r="A72" t="str">
        <f t="shared" si="4"/>
        <v>E74</v>
      </c>
      <c r="B72" t="s">
        <v>3190</v>
      </c>
      <c r="C72" t="s">
        <v>3177</v>
      </c>
      <c r="D72" t="s">
        <v>3191</v>
      </c>
      <c r="F72" t="str">
        <f t="shared" si="5"/>
        <v>INSERT INTO sub_industry (id, name, industry) VALUES ('E743', 'Home Improvement Retail', 'E74');</v>
      </c>
    </row>
    <row r="73" spans="1:6" x14ac:dyDescent="0.2">
      <c r="A73" t="str">
        <f t="shared" si="4"/>
        <v>E74</v>
      </c>
      <c r="B73" t="s">
        <v>3196</v>
      </c>
      <c r="C73" t="s">
        <v>3177</v>
      </c>
      <c r="D73" t="s">
        <v>3197</v>
      </c>
      <c r="F73" t="str">
        <f t="shared" si="5"/>
        <v>INSERT INTO sub_industry (id, name, industry) VALUES ('E745', 'Automotive Retail', 'E74');</v>
      </c>
    </row>
    <row r="74" spans="1:6" x14ac:dyDescent="0.2">
      <c r="A74" t="str">
        <f t="shared" si="4"/>
        <v>F11</v>
      </c>
      <c r="B74" t="s">
        <v>3201</v>
      </c>
      <c r="C74" t="s">
        <v>3202</v>
      </c>
      <c r="D74" t="s">
        <v>3203</v>
      </c>
      <c r="F74" t="str">
        <f t="shared" si="5"/>
        <v>INSERT INTO sub_industry (id, name, industry) VALUES ('F112', 'Healthcare Supplies &amp; Distributions', 'F11');</v>
      </c>
    </row>
    <row r="75" spans="1:6" x14ac:dyDescent="0.2">
      <c r="A75" t="str">
        <f t="shared" si="4"/>
        <v>F12</v>
      </c>
      <c r="B75" t="s">
        <v>3206</v>
      </c>
      <c r="C75" t="s">
        <v>3207</v>
      </c>
      <c r="D75" t="s">
        <v>3207</v>
      </c>
      <c r="F75" t="str">
        <f t="shared" si="5"/>
        <v>INSERT INTO sub_industry (id, name, industry) VALUES ('F121', 'Healthcare Providers', 'F12');</v>
      </c>
    </row>
    <row r="76" spans="1:6" x14ac:dyDescent="0.2">
      <c r="A76" t="str">
        <f t="shared" si="4"/>
        <v>F21</v>
      </c>
      <c r="B76" t="s">
        <v>3213</v>
      </c>
      <c r="C76" t="s">
        <v>3214</v>
      </c>
      <c r="D76" t="s">
        <v>3214</v>
      </c>
      <c r="F76" t="str">
        <f t="shared" si="5"/>
        <v>INSERT INTO sub_industry (id, name, industry) VALUES ('F211', 'Pharmaceuticals', 'F21');</v>
      </c>
    </row>
    <row r="77" spans="1:6" x14ac:dyDescent="0.2">
      <c r="A77" t="str">
        <f t="shared" si="4"/>
        <v>G11</v>
      </c>
      <c r="B77" t="s">
        <v>3226</v>
      </c>
      <c r="C77" t="s">
        <v>3225</v>
      </c>
      <c r="D77" t="s">
        <v>3225</v>
      </c>
      <c r="F77" t="str">
        <f t="shared" si="5"/>
        <v>INSERT INTO sub_industry (id, name, industry) VALUES ('G111', 'Banks', 'G11');</v>
      </c>
    </row>
    <row r="78" spans="1:6" x14ac:dyDescent="0.2">
      <c r="A78" t="str">
        <f t="shared" si="4"/>
        <v>G21</v>
      </c>
      <c r="B78" t="s">
        <v>3239</v>
      </c>
      <c r="C78" t="s">
        <v>3240</v>
      </c>
      <c r="D78" t="s">
        <v>3240</v>
      </c>
      <c r="F78" t="str">
        <f t="shared" si="5"/>
        <v>INSERT INTO sub_industry (id, name, industry) VALUES ('G211', 'Consumer Financing', 'G21');</v>
      </c>
    </row>
    <row r="79" spans="1:6" x14ac:dyDescent="0.2">
      <c r="A79" t="str">
        <f t="shared" si="4"/>
        <v>G31</v>
      </c>
      <c r="B79" t="s">
        <v>3253</v>
      </c>
      <c r="C79" t="s">
        <v>3254</v>
      </c>
      <c r="D79" t="s">
        <v>3255</v>
      </c>
      <c r="F79" t="str">
        <f t="shared" si="5"/>
        <v>INSERT INTO sub_industry (id, name, industry) VALUES ('G311', 'Investment Management', 'G31');</v>
      </c>
    </row>
    <row r="80" spans="1:6" x14ac:dyDescent="0.2">
      <c r="A80" t="str">
        <f t="shared" si="4"/>
        <v>G31</v>
      </c>
      <c r="B80" t="s">
        <v>3257</v>
      </c>
      <c r="C80" t="s">
        <v>3254</v>
      </c>
      <c r="D80" t="s">
        <v>3258</v>
      </c>
      <c r="F80" t="str">
        <f t="shared" si="5"/>
        <v>INSERT INTO sub_industry (id, name, industry) VALUES ('G312', 'Investment Banking &amp; Brokerage Services', 'G31');</v>
      </c>
    </row>
    <row r="81" spans="1:6" x14ac:dyDescent="0.2">
      <c r="A81" t="str">
        <f t="shared" si="4"/>
        <v>G41</v>
      </c>
      <c r="B81" t="s">
        <v>3265</v>
      </c>
      <c r="C81" t="s">
        <v>3264</v>
      </c>
      <c r="D81" t="s">
        <v>3266</v>
      </c>
      <c r="F81" t="str">
        <f t="shared" si="5"/>
        <v>INSERT INTO sub_industry (id, name, industry) VALUES ('G412', 'General Insurance', 'G41');</v>
      </c>
    </row>
    <row r="82" spans="1:6" x14ac:dyDescent="0.2">
      <c r="A82" t="str">
        <f t="shared" si="4"/>
        <v>G41</v>
      </c>
      <c r="B82" t="s">
        <v>3280</v>
      </c>
      <c r="C82" t="s">
        <v>3264</v>
      </c>
      <c r="D82" t="s">
        <v>3281</v>
      </c>
      <c r="F82" t="str">
        <f t="shared" si="5"/>
        <v>INSERT INTO sub_industry (id, name, industry) VALUES ('G413', 'Life Insurance', 'G41');</v>
      </c>
    </row>
    <row r="83" spans="1:6" x14ac:dyDescent="0.2">
      <c r="A83" t="str">
        <f t="shared" si="4"/>
        <v>G41</v>
      </c>
      <c r="B83" t="s">
        <v>3286</v>
      </c>
      <c r="C83" t="s">
        <v>3264</v>
      </c>
      <c r="D83" t="s">
        <v>3287</v>
      </c>
      <c r="F83" t="str">
        <f t="shared" si="5"/>
        <v>INSERT INTO sub_industry (id, name, industry) VALUES ('G414', 'Reasurance', 'G41');</v>
      </c>
    </row>
    <row r="84" spans="1:6" x14ac:dyDescent="0.2">
      <c r="A84" t="str">
        <f t="shared" si="4"/>
        <v>G51</v>
      </c>
      <c r="B84" t="s">
        <v>3290</v>
      </c>
      <c r="C84" t="s">
        <v>3289</v>
      </c>
      <c r="D84" t="s">
        <v>3291</v>
      </c>
      <c r="F84" t="str">
        <f t="shared" si="5"/>
        <v>INSERT INTO sub_industry (id, name, industry) VALUES ('G511', 'Financial Holdings', 'G51');</v>
      </c>
    </row>
    <row r="85" spans="1:6" x14ac:dyDescent="0.2">
      <c r="A85" t="str">
        <f t="shared" si="4"/>
        <v>G51</v>
      </c>
      <c r="B85" t="s">
        <v>3303</v>
      </c>
      <c r="C85" t="s">
        <v>3289</v>
      </c>
      <c r="D85" t="s">
        <v>3304</v>
      </c>
      <c r="F85" t="str">
        <f t="shared" si="5"/>
        <v>INSERT INTO sub_industry (id, name, industry) VALUES ('G512', 'Investment Companies', 'G51');</v>
      </c>
    </row>
    <row r="86" spans="1:6" x14ac:dyDescent="0.2">
      <c r="A86" t="str">
        <f t="shared" si="4"/>
        <v>H11</v>
      </c>
      <c r="B86" t="s">
        <v>3308</v>
      </c>
      <c r="C86" t="s">
        <v>3309</v>
      </c>
      <c r="D86" t="s">
        <v>3310</v>
      </c>
      <c r="F86" t="str">
        <f t="shared" si="5"/>
        <v>INSERT INTO sub_industry (id, name, industry) VALUES ('H111', 'Real Estate Development &amp; Management', 'H11');</v>
      </c>
    </row>
    <row r="87" spans="1:6" x14ac:dyDescent="0.2">
      <c r="A87" t="str">
        <f t="shared" si="4"/>
        <v>H11</v>
      </c>
      <c r="B87" t="s">
        <v>3379</v>
      </c>
      <c r="C87" t="s">
        <v>3309</v>
      </c>
      <c r="D87" t="s">
        <v>3380</v>
      </c>
      <c r="F87" t="str">
        <f t="shared" si="5"/>
        <v>INSERT INTO sub_industry (id, name, industry) VALUES ('H112', 'Real Estate Services', 'H11');</v>
      </c>
    </row>
    <row r="88" spans="1:6" x14ac:dyDescent="0.2">
      <c r="A88" t="str">
        <f t="shared" si="4"/>
        <v>I11</v>
      </c>
      <c r="B88" t="s">
        <v>3383</v>
      </c>
      <c r="C88" t="s">
        <v>3384</v>
      </c>
      <c r="D88" t="s">
        <v>3384</v>
      </c>
      <c r="F88" t="str">
        <f t="shared" si="5"/>
        <v>INSERT INTO sub_industry (id, name, industry) VALUES ('I111', 'Online Applications &amp; Services', 'I11');</v>
      </c>
    </row>
    <row r="89" spans="1:6" x14ac:dyDescent="0.2">
      <c r="A89" t="str">
        <f t="shared" si="4"/>
        <v>I12</v>
      </c>
      <c r="B89" t="s">
        <v>3393</v>
      </c>
      <c r="C89" t="s">
        <v>3394</v>
      </c>
      <c r="D89" t="s">
        <v>3394</v>
      </c>
      <c r="F89" t="str">
        <f t="shared" si="5"/>
        <v>INSERT INTO sub_industry (id, name, industry) VALUES ('I121', 'IT Services &amp; Consulting', 'I12');</v>
      </c>
    </row>
    <row r="90" spans="1:6" x14ac:dyDescent="0.2">
      <c r="A90" t="str">
        <f t="shared" si="4"/>
        <v>I13</v>
      </c>
      <c r="B90" t="s">
        <v>3402</v>
      </c>
      <c r="C90" t="s">
        <v>3403</v>
      </c>
      <c r="D90" t="s">
        <v>3403</v>
      </c>
      <c r="F90" t="str">
        <f t="shared" si="5"/>
        <v>INSERT INTO sub_industry (id, name, industry) VALUES ('I131', 'Software', 'I13');</v>
      </c>
    </row>
    <row r="91" spans="1:6" x14ac:dyDescent="0.2">
      <c r="A91" t="str">
        <f t="shared" si="4"/>
        <v>I21</v>
      </c>
      <c r="B91" t="s">
        <v>3407</v>
      </c>
      <c r="C91" t="s">
        <v>3408</v>
      </c>
      <c r="D91" t="s">
        <v>3408</v>
      </c>
      <c r="F91" t="str">
        <f t="shared" si="5"/>
        <v>INSERT INTO sub_industry (id, name, industry) VALUES ('I211', 'Networking Equipment', 'I21');</v>
      </c>
    </row>
    <row r="92" spans="1:6" x14ac:dyDescent="0.2">
      <c r="A92" t="str">
        <f t="shared" si="4"/>
        <v>I22</v>
      </c>
      <c r="B92" t="s">
        <v>3409</v>
      </c>
      <c r="C92" t="s">
        <v>3410</v>
      </c>
      <c r="D92" t="s">
        <v>3410</v>
      </c>
      <c r="F92" t="str">
        <f t="shared" si="5"/>
        <v>INSERT INTO sub_industry (id, name, industry) VALUES ('I221', 'Computer Hardware', 'I22');</v>
      </c>
    </row>
    <row r="93" spans="1:6" x14ac:dyDescent="0.2">
      <c r="A93" t="str">
        <f t="shared" si="4"/>
        <v>I23</v>
      </c>
      <c r="B93" t="s">
        <v>3414</v>
      </c>
      <c r="C93" t="s">
        <v>3415</v>
      </c>
      <c r="D93" t="s">
        <v>3416</v>
      </c>
      <c r="F93" t="str">
        <f t="shared" si="5"/>
        <v>INSERT INTO sub_industry (id, name, industry) VALUES ('I231', 'Electronic Equipment &amp; Instruments', 'I23');</v>
      </c>
    </row>
    <row r="94" spans="1:6" x14ac:dyDescent="0.2">
      <c r="A94" t="str">
        <f t="shared" si="4"/>
        <v>J11</v>
      </c>
      <c r="B94" t="s">
        <v>3420</v>
      </c>
      <c r="C94" t="s">
        <v>3421</v>
      </c>
      <c r="D94" t="s">
        <v>3422</v>
      </c>
      <c r="F94" t="str">
        <f t="shared" si="5"/>
        <v>INSERT INTO sub_industry (id, name, industry) VALUES ('J111', 'Airport Operators', 'J11');</v>
      </c>
    </row>
    <row r="95" spans="1:6" x14ac:dyDescent="0.2">
      <c r="A95" t="str">
        <f t="shared" si="4"/>
        <v>J11</v>
      </c>
      <c r="B95" t="s">
        <v>3425</v>
      </c>
      <c r="C95" t="s">
        <v>3421</v>
      </c>
      <c r="D95" t="s">
        <v>3426</v>
      </c>
      <c r="F95" t="str">
        <f t="shared" si="5"/>
        <v>INSERT INTO sub_industry (id, name, industry) VALUES ('J112', 'Highways &amp; Railtracks', 'J11');</v>
      </c>
    </row>
    <row r="96" spans="1:6" x14ac:dyDescent="0.2">
      <c r="A96" t="str">
        <f t="shared" si="4"/>
        <v>J11</v>
      </c>
      <c r="B96" t="s">
        <v>3429</v>
      </c>
      <c r="C96" t="s">
        <v>3421</v>
      </c>
      <c r="D96" t="s">
        <v>3430</v>
      </c>
      <c r="F96" t="str">
        <f t="shared" si="5"/>
        <v>INSERT INTO sub_industry (id, name, industry) VALUES ('J113', 'Marine Ports &amp; Services', 'J11');</v>
      </c>
    </row>
    <row r="97" spans="1:6" x14ac:dyDescent="0.2">
      <c r="A97" t="str">
        <f t="shared" si="4"/>
        <v>J21</v>
      </c>
      <c r="B97" t="s">
        <v>3433</v>
      </c>
      <c r="C97" t="s">
        <v>3432</v>
      </c>
      <c r="D97" t="s">
        <v>3432</v>
      </c>
      <c r="F97" t="str">
        <f t="shared" si="5"/>
        <v>INSERT INTO sub_industry (id, name, industry) VALUES ('J211', 'Heavy Constructions &amp; Civil Engineering', 'J21');</v>
      </c>
    </row>
    <row r="98" spans="1:6" x14ac:dyDescent="0.2">
      <c r="A98" t="str">
        <f t="shared" si="4"/>
        <v>J31</v>
      </c>
      <c r="B98" t="s">
        <v>3440</v>
      </c>
      <c r="C98" t="s">
        <v>3441</v>
      </c>
      <c r="D98" t="s">
        <v>3442</v>
      </c>
      <c r="F98" t="str">
        <f t="shared" si="5"/>
        <v>INSERT INTO sub_industry (id, name, industry) VALUES ('J311', 'Wired Telecommunication Service', 'J31');</v>
      </c>
    </row>
    <row r="99" spans="1:6" x14ac:dyDescent="0.2">
      <c r="A99" t="str">
        <f t="shared" ref="A99:A105" si="6">LEFT(B99, 3)</f>
        <v>J31</v>
      </c>
      <c r="B99" t="s">
        <v>3447</v>
      </c>
      <c r="C99" t="s">
        <v>3441</v>
      </c>
      <c r="D99" t="s">
        <v>3448</v>
      </c>
      <c r="F99" t="str">
        <f t="shared" si="5"/>
        <v>INSERT INTO sub_industry (id, name, industry) VALUES ('J312', 'Integrated Telecommunication Service', 'J31');</v>
      </c>
    </row>
    <row r="100" spans="1:6" x14ac:dyDescent="0.2">
      <c r="A100" t="str">
        <f t="shared" si="6"/>
        <v>J32</v>
      </c>
      <c r="B100" t="s">
        <v>3449</v>
      </c>
      <c r="C100" t="s">
        <v>3450</v>
      </c>
      <c r="D100" t="s">
        <v>3450</v>
      </c>
      <c r="F100" t="str">
        <f t="shared" si="5"/>
        <v>INSERT INTO sub_industry (id, name, industry) VALUES ('J321', 'Wireless Telecommunication Services', 'J32');</v>
      </c>
    </row>
    <row r="101" spans="1:6" x14ac:dyDescent="0.2">
      <c r="A101" t="str">
        <f t="shared" si="6"/>
        <v>J41</v>
      </c>
      <c r="B101" t="s">
        <v>3459</v>
      </c>
      <c r="C101" t="s">
        <v>3460</v>
      </c>
      <c r="D101" t="s">
        <v>3460</v>
      </c>
      <c r="F101" t="str">
        <f t="shared" si="5"/>
        <v>INSERT INTO sub_industry (id, name, industry) VALUES ('J411', 'Electric Utilities', 'J41');</v>
      </c>
    </row>
    <row r="102" spans="1:6" x14ac:dyDescent="0.2">
      <c r="A102" t="str">
        <f t="shared" si="6"/>
        <v>J42</v>
      </c>
      <c r="B102" t="s">
        <v>3467</v>
      </c>
      <c r="C102" t="s">
        <v>3468</v>
      </c>
      <c r="D102" t="s">
        <v>3468</v>
      </c>
      <c r="F102" t="str">
        <f t="shared" si="5"/>
        <v>INSERT INTO sub_industry (id, name, industry) VALUES ('J421', 'Gas Utilities', 'J42');</v>
      </c>
    </row>
    <row r="103" spans="1:6" x14ac:dyDescent="0.2">
      <c r="A103" t="str">
        <f t="shared" si="6"/>
        <v>K11</v>
      </c>
      <c r="B103" t="s">
        <v>3472</v>
      </c>
      <c r="C103" t="s">
        <v>3473</v>
      </c>
      <c r="D103" t="s">
        <v>3473</v>
      </c>
      <c r="F103" t="str">
        <f t="shared" si="5"/>
        <v>INSERT INTO sub_industry (id, name, industry) VALUES ('K111', 'Airlines', 'K11');</v>
      </c>
    </row>
    <row r="104" spans="1:6" x14ac:dyDescent="0.2">
      <c r="A104" t="str">
        <f t="shared" si="6"/>
        <v>K13</v>
      </c>
      <c r="B104" t="s">
        <v>3477</v>
      </c>
      <c r="C104" t="s">
        <v>3478</v>
      </c>
      <c r="D104" t="s">
        <v>3479</v>
      </c>
      <c r="F104" t="str">
        <f t="shared" si="5"/>
        <v>INSERT INTO sub_industry (id, name, industry) VALUES ('K132', 'Road Transportation', 'K13');</v>
      </c>
    </row>
    <row r="105" spans="1:6" x14ac:dyDescent="0.2">
      <c r="A105" t="str">
        <f t="shared" si="6"/>
        <v>K21</v>
      </c>
      <c r="B105" t="s">
        <v>3482</v>
      </c>
      <c r="C105" t="s">
        <v>3481</v>
      </c>
      <c r="D105" t="s">
        <v>3481</v>
      </c>
      <c r="F105" t="str">
        <f t="shared" si="5"/>
        <v>INSERT INTO sub_industry (id, name, industry) VALUES ('K211', 'Logistics &amp; Deliveries', 'K21');</v>
      </c>
    </row>
  </sheetData>
  <sortState xmlns:xlrd2="http://schemas.microsoft.com/office/spreadsheetml/2017/richdata2" ref="A2:D105">
    <sortCondition ref="A2:A105"/>
    <sortCondition ref="B2:B10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51F0-C750-2C4B-91B0-3E7261BC42F7}">
  <dimension ref="A1:N958"/>
  <sheetViews>
    <sheetView topLeftCell="A86" workbookViewId="0">
      <selection activeCell="C99" sqref="C99"/>
    </sheetView>
  </sheetViews>
  <sheetFormatPr baseColWidth="10" defaultColWidth="8.83203125" defaultRowHeight="16" x14ac:dyDescent="0.2"/>
  <cols>
    <col min="2" max="2" width="33.6640625" customWidth="1"/>
    <col min="3" max="4" width="158.83203125" customWidth="1"/>
    <col min="5" max="5" width="145.33203125" customWidth="1"/>
    <col min="6" max="6" width="19.33203125" bestFit="1" customWidth="1"/>
    <col min="7" max="7" width="116.5" bestFit="1" customWidth="1"/>
    <col min="8" max="8" width="116.5" customWidth="1"/>
    <col min="9" max="9" width="45.1640625" bestFit="1" customWidth="1"/>
    <col min="10" max="10" width="93.1640625" bestFit="1" customWidth="1"/>
    <col min="11" max="11" width="93.1640625" customWidth="1"/>
    <col min="12" max="12" width="37.6640625" bestFit="1" customWidth="1"/>
    <col min="13" max="13" width="108.5" customWidth="1"/>
    <col min="14" max="14" width="149.6640625" bestFit="1" customWidth="1"/>
  </cols>
  <sheetData>
    <row r="1" spans="1:14" x14ac:dyDescent="0.2">
      <c r="A1" s="9" t="s">
        <v>0</v>
      </c>
      <c r="B1" s="9" t="s">
        <v>3898</v>
      </c>
      <c r="C1" s="9" t="s">
        <v>3897</v>
      </c>
      <c r="D1" s="10" t="s">
        <v>8758</v>
      </c>
      <c r="E1" s="10" t="s">
        <v>8759</v>
      </c>
      <c r="F1" s="11" t="s">
        <v>7799</v>
      </c>
      <c r="G1" s="11" t="s">
        <v>8760</v>
      </c>
      <c r="H1" s="11" t="s">
        <v>8761</v>
      </c>
      <c r="I1" s="12" t="s">
        <v>7800</v>
      </c>
      <c r="J1" s="12" t="s">
        <v>8762</v>
      </c>
      <c r="K1" s="12" t="s">
        <v>8763</v>
      </c>
      <c r="L1" s="12" t="s">
        <v>7801</v>
      </c>
      <c r="M1" s="12" t="s">
        <v>8764</v>
      </c>
      <c r="N1" s="12" t="s">
        <v>8765</v>
      </c>
    </row>
    <row r="2" spans="1:14" x14ac:dyDescent="0.2">
      <c r="A2" t="s">
        <v>2506</v>
      </c>
      <c r="B2" t="s">
        <v>2507</v>
      </c>
      <c r="C2" t="s">
        <v>7802</v>
      </c>
      <c r="D2" t="str">
        <f t="shared" ref="D2:D65" si="0">SUBSTITUTE(C2, _xlfn.CONCAT(", ", B2), "")</f>
        <v>AADI, AAI, ADARO ANDALAN INDONESIA, Adaro Andalan Indonesia, Adaro Andalan Indonesia Tbk, AdaroAndalanIndonesia, PT Adaro Andalan Indonesia, adaro andalan indonesia</v>
      </c>
      <c r="E2" t="str">
        <f t="shared" ref="E2:E65" si="1">SUBSTITUTE(D2, _xlfn.CONCAT(B2, ", "), "")</f>
        <v>AADI, AAI, ADARO ANDALAN INDONESIA, Adaro Andalan Indonesia, Adaro Andalan Indonesia Tbk, AdaroAndalanIndonesia, PT Adaro Andalan Indonesia, adaro andalan indonesia</v>
      </c>
      <c r="F2" t="str">
        <f t="shared" ref="F2:F65" si="2">LOWER(MID(B2, 1, FIND(" Tbk.", B2)-1))</f>
        <v>adaro andalan indonesia</v>
      </c>
      <c r="G2" t="str">
        <f>SUBSTITUTE(E2, _xlfn.CONCAT(", ", F2), "")</f>
        <v>AADI, AAI, ADARO ANDALAN INDONESIA, Adaro Andalan Indonesia, Adaro Andalan Indonesia Tbk, AdaroAndalanIndonesia, PT Adaro Andalan Indonesia</v>
      </c>
      <c r="H2" t="str">
        <f>SUBSTITUTE(G2, _xlfn.CONCAT(F2, ", "), "")</f>
        <v>AADI, AAI, ADARO ANDALAN INDONESIA, Adaro Andalan Indonesia, Adaro Andalan Indonesia Tbk, AdaroAndalanIndonesia, PT Adaro Andalan Indonesia</v>
      </c>
      <c r="I2" t="str">
        <f t="shared" ref="I2:I65" si="3">UPPER(MID(B2, 1, FIND(" Tbk.", B2)-1))</f>
        <v>ADARO ANDALAN INDONESIA</v>
      </c>
      <c r="J2" t="str">
        <f>SUBSTITUTE(H2, _xlfn.CONCAT(", ", I2), "")</f>
        <v>AADI, AAI, Adaro Andalan Indonesia, Adaro Andalan Indonesia Tbk, AdaroAndalanIndonesia, PT Adaro Andalan Indonesia</v>
      </c>
      <c r="K2" t="str">
        <f>SUBSTITUTE(J2, _xlfn.CONCAT(I2, ", "), "")</f>
        <v>AADI, AAI, Adaro Andalan Indonesia, Adaro Andalan Indonesia Tbk, AdaroAndalanIndonesia, PT Adaro Andalan Indonesia</v>
      </c>
      <c r="L2" t="str">
        <f t="shared" ref="L2:L65" si="4">SUBSTITUTE(MID(B2, 1, FIND(" Tbk.", B2)-1), " ", "")</f>
        <v>AdaroAndalanIndonesia</v>
      </c>
      <c r="M2" t="str">
        <f>SUBSTITUTE(K2, _xlfn.CONCAT(", ", L2), "")</f>
        <v>AADI, AAI, Adaro Andalan Indonesia, Adaro Andalan Indonesia Tbk, PT Adaro Andalan Indonesia</v>
      </c>
      <c r="N2" t="str">
        <f>SUBSTITUTE(M2, _xlfn.CONCAT(L2, ", "), "")</f>
        <v>AADI, AAI, Adaro Andalan Indonesia, Adaro Andalan Indonesia Tbk, PT Adaro Andalan Indonesia</v>
      </c>
    </row>
    <row r="3" spans="1:14" x14ac:dyDescent="0.2">
      <c r="A3" t="s">
        <v>5</v>
      </c>
      <c r="B3" t="s">
        <v>6</v>
      </c>
      <c r="C3" t="s">
        <v>7803</v>
      </c>
      <c r="D3" t="str">
        <f t="shared" si="0"/>
        <v>AALI, AAL, ASTRA AGRO LESTARI, Astra Agro Lestari, Astra Agro Lestari Tbk, AstraAgroLestari, PT Astra Agro Lestari, astra agro lestari</v>
      </c>
      <c r="E3" t="str">
        <f t="shared" si="1"/>
        <v>AALI, AAL, ASTRA AGRO LESTARI, Astra Agro Lestari, Astra Agro Lestari Tbk, AstraAgroLestari, PT Astra Agro Lestari, astra agro lestari</v>
      </c>
      <c r="F3" t="str">
        <f t="shared" si="2"/>
        <v>astra agro lestari</v>
      </c>
      <c r="G3" t="str">
        <f t="shared" ref="G3:G66" si="5">SUBSTITUTE(E3, _xlfn.CONCAT(", ", F3), "")</f>
        <v>AALI, AAL, ASTRA AGRO LESTARI, Astra Agro Lestari, Astra Agro Lestari Tbk, AstraAgroLestari, PT Astra Agro Lestari</v>
      </c>
      <c r="H3" t="str">
        <f t="shared" ref="H3:H66" si="6">SUBSTITUTE(G3, _xlfn.CONCAT(F3, ", "), "")</f>
        <v>AALI, AAL, ASTRA AGRO LESTARI, Astra Agro Lestari, Astra Agro Lestari Tbk, AstraAgroLestari, PT Astra Agro Lestari</v>
      </c>
      <c r="I3" t="str">
        <f t="shared" si="3"/>
        <v>ASTRA AGRO LESTARI</v>
      </c>
      <c r="J3" t="str">
        <f t="shared" ref="J3:J66" si="7">SUBSTITUTE(H3, _xlfn.CONCAT(", ", I3), "")</f>
        <v>AALI, AAL, Astra Agro Lestari, Astra Agro Lestari Tbk, AstraAgroLestari, PT Astra Agro Lestari</v>
      </c>
      <c r="K3" t="str">
        <f t="shared" ref="K3:K66" si="8">SUBSTITUTE(J3, _xlfn.CONCAT(I3, ", "), "")</f>
        <v>AALI, AAL, Astra Agro Lestari, Astra Agro Lestari Tbk, AstraAgroLestari, PT Astra Agro Lestari</v>
      </c>
      <c r="L3" t="str">
        <f t="shared" si="4"/>
        <v>AstraAgroLestari</v>
      </c>
      <c r="M3" t="str">
        <f t="shared" ref="M3:M66" si="9">SUBSTITUTE(K3, _xlfn.CONCAT(", ", L3), "")</f>
        <v>AALI, AAL, Astra Agro Lestari, Astra Agro Lestari Tbk, PT Astra Agro Lestari</v>
      </c>
      <c r="N3" t="str">
        <f t="shared" ref="N3:N66" si="10">SUBSTITUTE(M3, _xlfn.CONCAT(L3, ", "), "")</f>
        <v>AALI, AAL, Astra Agro Lestari, Astra Agro Lestari Tbk, PT Astra Agro Lestari</v>
      </c>
    </row>
    <row r="4" spans="1:14" x14ac:dyDescent="0.2">
      <c r="A4" t="s">
        <v>9</v>
      </c>
      <c r="B4" t="s">
        <v>10</v>
      </c>
      <c r="C4" t="s">
        <v>7804</v>
      </c>
      <c r="D4" t="str">
        <f t="shared" si="0"/>
        <v>ABBA, MAHAKA MEDIA, Mahaka Media, Mahaka Media Tbk, MahakaMedia, PT Mahaka Media, mahaka media</v>
      </c>
      <c r="E4" t="str">
        <f t="shared" si="1"/>
        <v>ABBA, MAHAKA MEDIA, Mahaka Media, Mahaka Media Tbk, MahakaMedia, PT Mahaka Media, mahaka media</v>
      </c>
      <c r="F4" t="str">
        <f t="shared" si="2"/>
        <v>mahaka media</v>
      </c>
      <c r="G4" t="str">
        <f t="shared" si="5"/>
        <v>ABBA, MAHAKA MEDIA, Mahaka Media, Mahaka Media Tbk, MahakaMedia, PT Mahaka Media</v>
      </c>
      <c r="H4" t="str">
        <f t="shared" si="6"/>
        <v>ABBA, MAHAKA MEDIA, Mahaka Media, Mahaka Media Tbk, MahakaMedia, PT Mahaka Media</v>
      </c>
      <c r="I4" t="str">
        <f t="shared" si="3"/>
        <v>MAHAKA MEDIA</v>
      </c>
      <c r="J4" t="str">
        <f t="shared" si="7"/>
        <v>ABBA, Mahaka Media, Mahaka Media Tbk, MahakaMedia, PT Mahaka Media</v>
      </c>
      <c r="K4" t="str">
        <f t="shared" si="8"/>
        <v>ABBA, Mahaka Media, Mahaka Media Tbk, MahakaMedia, PT Mahaka Media</v>
      </c>
      <c r="L4" t="str">
        <f t="shared" si="4"/>
        <v>MahakaMedia</v>
      </c>
      <c r="M4" t="str">
        <f t="shared" si="9"/>
        <v>ABBA, Mahaka Media, Mahaka Media Tbk, PT Mahaka Media</v>
      </c>
      <c r="N4" t="str">
        <f t="shared" si="10"/>
        <v>ABBA, Mahaka Media, Mahaka Media Tbk, PT Mahaka Media</v>
      </c>
    </row>
    <row r="5" spans="1:14" x14ac:dyDescent="0.2">
      <c r="A5" t="s">
        <v>13</v>
      </c>
      <c r="B5" t="s">
        <v>14</v>
      </c>
      <c r="C5" t="s">
        <v>7805</v>
      </c>
      <c r="D5" t="str">
        <f t="shared" si="0"/>
        <v>ABDA, ASURANSI BINA DANA ARTA, Asuransi Bina Dana Arta, Asuransi Bina Dana Arta Tbk, AsuransiBinaDanaArta, PT Asuransi Bina Dana Arta, asuransi bina dana arta</v>
      </c>
      <c r="E5" t="str">
        <f t="shared" si="1"/>
        <v>ABDA, ASURANSI BINA DANA ARTA, Asuransi Bina Dana Arta, Asuransi Bina Dana Arta Tbk, AsuransiBinaDanaArta, PT Asuransi Bina Dana Arta, asuransi bina dana arta</v>
      </c>
      <c r="F5" t="str">
        <f t="shared" si="2"/>
        <v>asuransi bina dana arta</v>
      </c>
      <c r="G5" t="str">
        <f t="shared" si="5"/>
        <v>ABDA, ASURANSI BINA DANA ARTA, Asuransi Bina Dana Arta, Asuransi Bina Dana Arta Tbk, AsuransiBinaDanaArta, PT Asuransi Bina Dana Arta</v>
      </c>
      <c r="H5" t="str">
        <f t="shared" si="6"/>
        <v>ABDA, ASURANSI BINA DANA ARTA, Asuransi Bina Dana Arta, Asuransi Bina Dana Arta Tbk, AsuransiBinaDanaArta, PT Asuransi Bina Dana Arta</v>
      </c>
      <c r="I5" t="str">
        <f t="shared" si="3"/>
        <v>ASURANSI BINA DANA ARTA</v>
      </c>
      <c r="J5" t="str">
        <f t="shared" si="7"/>
        <v>ABDA, Asuransi Bina Dana Arta, Asuransi Bina Dana Arta Tbk, AsuransiBinaDanaArta, PT Asuransi Bina Dana Arta</v>
      </c>
      <c r="K5" t="str">
        <f t="shared" si="8"/>
        <v>ABDA, Asuransi Bina Dana Arta, Asuransi Bina Dana Arta Tbk, AsuransiBinaDanaArta, PT Asuransi Bina Dana Arta</v>
      </c>
      <c r="L5" t="str">
        <f t="shared" si="4"/>
        <v>AsuransiBinaDanaArta</v>
      </c>
      <c r="M5" t="str">
        <f t="shared" si="9"/>
        <v>ABDA, Asuransi Bina Dana Arta, Asuransi Bina Dana Arta Tbk, PT Asuransi Bina Dana Arta</v>
      </c>
      <c r="N5" t="str">
        <f t="shared" si="10"/>
        <v>ABDA, Asuransi Bina Dana Arta, Asuransi Bina Dana Arta Tbk, PT Asuransi Bina Dana Arta</v>
      </c>
    </row>
    <row r="6" spans="1:14" x14ac:dyDescent="0.2">
      <c r="A6" t="s">
        <v>16</v>
      </c>
      <c r="B6" t="s">
        <v>17</v>
      </c>
      <c r="C6" t="s">
        <v>7806</v>
      </c>
      <c r="D6" t="str">
        <f t="shared" si="0"/>
        <v>ABMM, ABM, ABM INVESTAMA, ABM Investama, ABM Investama Tbk, ABMInvestama, PT ABM Investama, abm investama</v>
      </c>
      <c r="E6" t="str">
        <f t="shared" si="1"/>
        <v>ABMM, ABM, ABM INVESTAMA, ABM Investama, ABM Investama Tbk, ABMInvestama, PT ABM Investama, abm investama</v>
      </c>
      <c r="F6" t="str">
        <f t="shared" si="2"/>
        <v>abm investama</v>
      </c>
      <c r="G6" t="str">
        <f t="shared" si="5"/>
        <v>ABMM, ABM, ABM INVESTAMA, ABM Investama, ABM Investama Tbk, ABMInvestama, PT ABM Investama</v>
      </c>
      <c r="H6" t="str">
        <f t="shared" si="6"/>
        <v>ABMM, ABM, ABM INVESTAMA, ABM Investama, ABM Investama Tbk, ABMInvestama, PT ABM Investama</v>
      </c>
      <c r="I6" t="str">
        <f t="shared" si="3"/>
        <v>ABM INVESTAMA</v>
      </c>
      <c r="J6" t="str">
        <f t="shared" si="7"/>
        <v>ABMM, ABM, ABM Investama, ABM Investama Tbk, ABMInvestama, PT ABM Investama</v>
      </c>
      <c r="K6" t="str">
        <f t="shared" si="8"/>
        <v>ABMM, ABM, ABM Investama, ABM Investama Tbk, ABMInvestama, PT ABM Investama</v>
      </c>
      <c r="L6" t="str">
        <f t="shared" si="4"/>
        <v>ABMInvestama</v>
      </c>
      <c r="M6" t="str">
        <f t="shared" si="9"/>
        <v>ABMM, ABM, ABM Investama, ABM Investama Tbk, PT ABM Investama</v>
      </c>
      <c r="N6" t="str">
        <f t="shared" si="10"/>
        <v>ABMM, ABM, ABM Investama, ABM Investama Tbk, PT ABM Investama</v>
      </c>
    </row>
    <row r="7" spans="1:14" x14ac:dyDescent="0.2">
      <c r="A7" t="s">
        <v>19</v>
      </c>
      <c r="B7" t="s">
        <v>20</v>
      </c>
      <c r="C7" t="s">
        <v>7807</v>
      </c>
      <c r="D7" t="str">
        <f t="shared" si="0"/>
        <v>ACES, AHI, AZKO, ASPIRASI HIDUP INDONESIA, Aspirasi Hidup Indonesia, Aspirasi Hidup Indonesia Tbk, AspirasiHidupIndonesia, PT Aspirasi Hidup Indonesia, aspirasi hidup indonesia</v>
      </c>
      <c r="E7" t="str">
        <f t="shared" si="1"/>
        <v>ACES, AHI, AZKO, ASPIRASI HIDUP INDONESIA, Aspirasi Hidup Indonesia, Aspirasi Hidup Indonesia Tbk, AspirasiHidupIndonesia, PT Aspirasi Hidup Indonesia, aspirasi hidup indonesia</v>
      </c>
      <c r="F7" t="str">
        <f t="shared" si="2"/>
        <v>aspirasi hidup indonesia</v>
      </c>
      <c r="G7" t="str">
        <f t="shared" si="5"/>
        <v>ACES, AHI, AZKO, ASPIRASI HIDUP INDONESIA, Aspirasi Hidup Indonesia, Aspirasi Hidup Indonesia Tbk, AspirasiHidupIndonesia, PT Aspirasi Hidup Indonesia</v>
      </c>
      <c r="H7" t="str">
        <f t="shared" si="6"/>
        <v>ACES, AHI, AZKO, ASPIRASI HIDUP INDONESIA, Aspirasi Hidup Indonesia, Aspirasi Hidup Indonesia Tbk, AspirasiHidupIndonesia, PT Aspirasi Hidup Indonesia</v>
      </c>
      <c r="I7" t="str">
        <f t="shared" si="3"/>
        <v>ASPIRASI HIDUP INDONESIA</v>
      </c>
      <c r="J7" t="str">
        <f t="shared" si="7"/>
        <v>ACES, AHI, AZKO, Aspirasi Hidup Indonesia, Aspirasi Hidup Indonesia Tbk, AspirasiHidupIndonesia, PT Aspirasi Hidup Indonesia</v>
      </c>
      <c r="K7" t="str">
        <f t="shared" si="8"/>
        <v>ACES, AHI, AZKO, Aspirasi Hidup Indonesia, Aspirasi Hidup Indonesia Tbk, AspirasiHidupIndonesia, PT Aspirasi Hidup Indonesia</v>
      </c>
      <c r="L7" t="str">
        <f t="shared" si="4"/>
        <v>AspirasiHidupIndonesia</v>
      </c>
      <c r="M7" t="str">
        <f t="shared" si="9"/>
        <v>ACES, AHI, AZKO, Aspirasi Hidup Indonesia, Aspirasi Hidup Indonesia Tbk, PT Aspirasi Hidup Indonesia</v>
      </c>
      <c r="N7" t="str">
        <f t="shared" si="10"/>
        <v>ACES, AHI, AZKO, Aspirasi Hidup Indonesia, Aspirasi Hidup Indonesia Tbk, PT Aspirasi Hidup Indonesia</v>
      </c>
    </row>
    <row r="8" spans="1:14" x14ac:dyDescent="0.2">
      <c r="A8" t="s">
        <v>2637</v>
      </c>
      <c r="B8" t="s">
        <v>2638</v>
      </c>
      <c r="C8" t="s">
        <v>7808</v>
      </c>
      <c r="D8" t="str">
        <f t="shared" si="0"/>
        <v>ACRO, PT Samcro Hyosung Adilestari, SAMCRO HYOSUNG ADILESTARI, Samcro Hyosung Adilestari, Samcro Hyosung Adilestari Tbk, SamcroHyosungAdilestari, samcro hyosung adilestari</v>
      </c>
      <c r="E8" t="str">
        <f t="shared" si="1"/>
        <v>ACRO, PT Samcro Hyosung Adilestari, SAMCRO HYOSUNG ADILESTARI, Samcro Hyosung Adilestari, Samcro Hyosung Adilestari Tbk, SamcroHyosungAdilestari, samcro hyosung adilestari</v>
      </c>
      <c r="F8" t="str">
        <f t="shared" si="2"/>
        <v>samcro hyosung adilestari</v>
      </c>
      <c r="G8" t="str">
        <f t="shared" si="5"/>
        <v>ACRO, PT Samcro Hyosung Adilestari, SAMCRO HYOSUNG ADILESTARI, Samcro Hyosung Adilestari, Samcro Hyosung Adilestari Tbk, SamcroHyosungAdilestari</v>
      </c>
      <c r="H8" t="str">
        <f t="shared" si="6"/>
        <v>ACRO, PT Samcro Hyosung Adilestari, SAMCRO HYOSUNG ADILESTARI, Samcro Hyosung Adilestari, Samcro Hyosung Adilestari Tbk, SamcroHyosungAdilestari</v>
      </c>
      <c r="I8" t="str">
        <f t="shared" si="3"/>
        <v>SAMCRO HYOSUNG ADILESTARI</v>
      </c>
      <c r="J8" t="str">
        <f t="shared" si="7"/>
        <v>ACRO, PT Samcro Hyosung Adilestari, Samcro Hyosung Adilestari, Samcro Hyosung Adilestari Tbk, SamcroHyosungAdilestari</v>
      </c>
      <c r="K8" t="str">
        <f t="shared" si="8"/>
        <v>ACRO, PT Samcro Hyosung Adilestari, Samcro Hyosung Adilestari, Samcro Hyosung Adilestari Tbk, SamcroHyosungAdilestari</v>
      </c>
      <c r="L8" t="str">
        <f t="shared" si="4"/>
        <v>SamcroHyosungAdilestari</v>
      </c>
      <c r="M8" t="str">
        <f t="shared" si="9"/>
        <v>ACRO, PT Samcro Hyosung Adilestari, Samcro Hyosung Adilestari, Samcro Hyosung Adilestari Tbk</v>
      </c>
      <c r="N8" t="str">
        <f t="shared" si="10"/>
        <v>ACRO, PT Samcro Hyosung Adilestari, Samcro Hyosung Adilestari, Samcro Hyosung Adilestari Tbk</v>
      </c>
    </row>
    <row r="9" spans="1:14" x14ac:dyDescent="0.2">
      <c r="A9" t="s">
        <v>22</v>
      </c>
      <c r="B9" t="s">
        <v>23</v>
      </c>
      <c r="C9" t="s">
        <v>7809</v>
      </c>
      <c r="D9" t="str">
        <f t="shared" si="0"/>
        <v>ACST, ACSET INDONUSA, Acset, Acset Indonusa, Acset Indonusa Tbk, AcsetIndonusa, PT Acset Indonusa, acset indonusa</v>
      </c>
      <c r="E9" t="str">
        <f t="shared" si="1"/>
        <v>ACST, ACSET INDONUSA, Acset, Acset Indonusa, Acset Indonusa Tbk, AcsetIndonusa, PT Acset Indonusa, acset indonusa</v>
      </c>
      <c r="F9" t="str">
        <f t="shared" si="2"/>
        <v>acset indonusa</v>
      </c>
      <c r="G9" t="str">
        <f t="shared" si="5"/>
        <v>ACST, ACSET INDONUSA, Acset, Acset Indonusa, Acset Indonusa Tbk, AcsetIndonusa, PT Acset Indonusa</v>
      </c>
      <c r="H9" t="str">
        <f t="shared" si="6"/>
        <v>ACST, ACSET INDONUSA, Acset, Acset Indonusa, Acset Indonusa Tbk, AcsetIndonusa, PT Acset Indonusa</v>
      </c>
      <c r="I9" t="str">
        <f t="shared" si="3"/>
        <v>ACSET INDONUSA</v>
      </c>
      <c r="J9" t="str">
        <f t="shared" si="7"/>
        <v>ACST, Acset, Acset Indonusa, Acset Indonusa Tbk, AcsetIndonusa, PT Acset Indonusa</v>
      </c>
      <c r="K9" t="str">
        <f t="shared" si="8"/>
        <v>ACST, Acset, Acset Indonusa, Acset Indonusa Tbk, AcsetIndonusa, PT Acset Indonusa</v>
      </c>
      <c r="L9" t="str">
        <f t="shared" si="4"/>
        <v>AcsetIndonusa</v>
      </c>
      <c r="M9" t="str">
        <f t="shared" si="9"/>
        <v>ACST, Acset, Acset Indonusa, Acset Indonusa Tbk, PT Acset Indonusa</v>
      </c>
      <c r="N9" t="str">
        <f t="shared" si="10"/>
        <v>ACST, Acset, Acset Indonusa, Acset Indonusa Tbk, PT Acset Indonusa</v>
      </c>
    </row>
    <row r="10" spans="1:14" x14ac:dyDescent="0.2">
      <c r="A10" t="s">
        <v>1945</v>
      </c>
      <c r="B10" t="s">
        <v>1946</v>
      </c>
      <c r="C10" t="s">
        <v>7810</v>
      </c>
      <c r="D10" t="str">
        <f t="shared" si="0"/>
        <v>ADCP, ADHI COMMUTER PROPERTI, Adhi Commuter Properti, Adhi Commuter Properti Tbk, AdhiCommuterProperti, PT Adhi Commuter Properti, adhi commuter properti</v>
      </c>
      <c r="E10" t="str">
        <f t="shared" si="1"/>
        <v>ADCP, ADHI COMMUTER PROPERTI, Adhi Commuter Properti, Adhi Commuter Properti Tbk, AdhiCommuterProperti, PT Adhi Commuter Properti, adhi commuter properti</v>
      </c>
      <c r="F10" t="str">
        <f t="shared" si="2"/>
        <v>adhi commuter properti</v>
      </c>
      <c r="G10" t="str">
        <f t="shared" si="5"/>
        <v>ADCP, ADHI COMMUTER PROPERTI, Adhi Commuter Properti, Adhi Commuter Properti Tbk, AdhiCommuterProperti, PT Adhi Commuter Properti</v>
      </c>
      <c r="H10" t="str">
        <f t="shared" si="6"/>
        <v>ADCP, ADHI COMMUTER PROPERTI, Adhi Commuter Properti, Adhi Commuter Properti Tbk, AdhiCommuterProperti, PT Adhi Commuter Properti</v>
      </c>
      <c r="I10" t="str">
        <f t="shared" si="3"/>
        <v>ADHI COMMUTER PROPERTI</v>
      </c>
      <c r="J10" t="str">
        <f t="shared" si="7"/>
        <v>ADCP, Adhi Commuter Properti, Adhi Commuter Properti Tbk, AdhiCommuterProperti, PT Adhi Commuter Properti</v>
      </c>
      <c r="K10" t="str">
        <f t="shared" si="8"/>
        <v>ADCP, Adhi Commuter Properti, Adhi Commuter Properti Tbk, AdhiCommuterProperti, PT Adhi Commuter Properti</v>
      </c>
      <c r="L10" t="str">
        <f t="shared" si="4"/>
        <v>AdhiCommuterProperti</v>
      </c>
      <c r="M10" t="str">
        <f t="shared" si="9"/>
        <v>ADCP, Adhi Commuter Properti, Adhi Commuter Properti Tbk, PT Adhi Commuter Properti</v>
      </c>
      <c r="N10" t="str">
        <f t="shared" si="10"/>
        <v>ADCP, Adhi Commuter Properti, Adhi Commuter Properti Tbk, PT Adhi Commuter Properti</v>
      </c>
    </row>
    <row r="11" spans="1:14" x14ac:dyDescent="0.2">
      <c r="A11" t="s">
        <v>25</v>
      </c>
      <c r="B11" t="s">
        <v>26</v>
      </c>
      <c r="C11" t="s">
        <v>7811</v>
      </c>
      <c r="D11" t="str">
        <f t="shared" si="0"/>
        <v>ADES, Makarizo, AKASHA WIRA INTERNATIONAL, Akasha Wira International, Akasha Wira International Tbk, AkashaWiraInternational, PT Akasha Wira International, akasha wira international</v>
      </c>
      <c r="E11" t="str">
        <f t="shared" si="1"/>
        <v>ADES, Makarizo, AKASHA WIRA INTERNATIONAL, Akasha Wira International, Akasha Wira International Tbk, AkashaWiraInternational, PT Akasha Wira International, akasha wira international</v>
      </c>
      <c r="F11" t="str">
        <f t="shared" si="2"/>
        <v>akasha wira international</v>
      </c>
      <c r="G11" t="str">
        <f t="shared" si="5"/>
        <v>ADES, Makarizo, AKASHA WIRA INTERNATIONAL, Akasha Wira International, Akasha Wira International Tbk, AkashaWiraInternational, PT Akasha Wira International</v>
      </c>
      <c r="H11" t="str">
        <f t="shared" si="6"/>
        <v>ADES, Makarizo, AKASHA WIRA INTERNATIONAL, Akasha Wira International, Akasha Wira International Tbk, AkashaWiraInternational, PT Akasha Wira International</v>
      </c>
      <c r="I11" t="str">
        <f t="shared" si="3"/>
        <v>AKASHA WIRA INTERNATIONAL</v>
      </c>
      <c r="J11" t="str">
        <f t="shared" si="7"/>
        <v>ADES, Makarizo, Akasha Wira International, Akasha Wira International Tbk, AkashaWiraInternational, PT Akasha Wira International</v>
      </c>
      <c r="K11" t="str">
        <f t="shared" si="8"/>
        <v>ADES, Makarizo, Akasha Wira International, Akasha Wira International Tbk, AkashaWiraInternational, PT Akasha Wira International</v>
      </c>
      <c r="L11" t="str">
        <f t="shared" si="4"/>
        <v>AkashaWiraInternational</v>
      </c>
      <c r="M11" t="str">
        <f t="shared" si="9"/>
        <v>ADES, Makarizo, Akasha Wira International, Akasha Wira International Tbk, PT Akasha Wira International</v>
      </c>
      <c r="N11" t="str">
        <f t="shared" si="10"/>
        <v>ADES, Makarizo, Akasha Wira International, Akasha Wira International Tbk, PT Akasha Wira International</v>
      </c>
    </row>
    <row r="12" spans="1:14" x14ac:dyDescent="0.2">
      <c r="A12" t="s">
        <v>29</v>
      </c>
      <c r="B12" t="s">
        <v>30</v>
      </c>
      <c r="C12" t="s">
        <v>7812</v>
      </c>
      <c r="D12" t="str">
        <f t="shared" si="0"/>
        <v>ADHI, ADHI KARYA (PERSERO), Adhi Karya (Persero), Adhi Karya (Persero) Tbk, AdhiKarya(Persero), PT Adhi Karya (Persero), adhi karya (persero)</v>
      </c>
      <c r="E12" t="str">
        <f t="shared" si="1"/>
        <v>ADHI, ADHI KARYA (PERSERO), Adhi Karya (Persero), Adhi Karya (Persero) Tbk, AdhiKarya(Persero), PT Adhi Karya (Persero), adhi karya (persero)</v>
      </c>
      <c r="F12" t="str">
        <f t="shared" si="2"/>
        <v>adhi karya (persero)</v>
      </c>
      <c r="G12" t="str">
        <f t="shared" si="5"/>
        <v>ADHI, ADHI KARYA (PERSERO), Adhi Karya (Persero), Adhi Karya (Persero) Tbk, AdhiKarya(Persero), PT Adhi Karya (Persero)</v>
      </c>
      <c r="H12" t="str">
        <f t="shared" si="6"/>
        <v>ADHI, ADHI KARYA (PERSERO), Adhi Karya (Persero), Adhi Karya (Persero) Tbk, AdhiKarya(Persero), PT Adhi Karya (Persero)</v>
      </c>
      <c r="I12" t="str">
        <f t="shared" si="3"/>
        <v>ADHI KARYA (PERSERO)</v>
      </c>
      <c r="J12" t="str">
        <f t="shared" si="7"/>
        <v>ADHI, Adhi Karya (Persero), Adhi Karya (Persero) Tbk, AdhiKarya(Persero), PT Adhi Karya (Persero)</v>
      </c>
      <c r="K12" t="str">
        <f t="shared" si="8"/>
        <v>ADHI, Adhi Karya (Persero), Adhi Karya (Persero) Tbk, AdhiKarya(Persero), PT Adhi Karya (Persero)</v>
      </c>
      <c r="L12" t="str">
        <f t="shared" si="4"/>
        <v>AdhiKarya(Persero)</v>
      </c>
      <c r="M12" t="str">
        <f t="shared" si="9"/>
        <v>ADHI, Adhi Karya (Persero), Adhi Karya (Persero) Tbk, PT Adhi Karya (Persero)</v>
      </c>
      <c r="N12" t="str">
        <f t="shared" si="10"/>
        <v>ADHI, Adhi Karya (Persero), Adhi Karya (Persero) Tbk, PT Adhi Karya (Persero)</v>
      </c>
    </row>
    <row r="13" spans="1:14" x14ac:dyDescent="0.2">
      <c r="A13" t="s">
        <v>2660</v>
      </c>
      <c r="B13" t="s">
        <v>3492</v>
      </c>
      <c r="C13" t="s">
        <v>7813</v>
      </c>
      <c r="D13" t="str">
        <f t="shared" si="0"/>
        <v>ADMF, ADIRA DINAMIKA MULTI FINANCE, Adira, Adira Dinamika Multi Finance, Adira Dinamika Multi Finance Tbk, AdiraDinamikaMultiFinance, PT Adira Dinamika Multi Finance, adira dinamika multi finance</v>
      </c>
      <c r="E13" t="str">
        <f t="shared" si="1"/>
        <v>ADMF, ADIRA DINAMIKA MULTI FINANCE, Adira, Adira Dinamika Multi Finance, Adira Dinamika Multi Finance Tbk, AdiraDinamikaMultiFinance, PT Adira Dinamika Multi Finance, adira dinamika multi finance</v>
      </c>
      <c r="F13" t="str">
        <f t="shared" si="2"/>
        <v>adira dinamika multi finance</v>
      </c>
      <c r="G13" t="str">
        <f t="shared" si="5"/>
        <v>ADMF, ADIRA DINAMIKA MULTI FINANCE, Adira, Adira Dinamika Multi Finance, Adira Dinamika Multi Finance Tbk, AdiraDinamikaMultiFinance, PT Adira Dinamika Multi Finance</v>
      </c>
      <c r="H13" t="str">
        <f t="shared" si="6"/>
        <v>ADMF, ADIRA DINAMIKA MULTI FINANCE, Adira, Adira Dinamika Multi Finance, Adira Dinamika Multi Finance Tbk, AdiraDinamikaMultiFinance, PT Adira Dinamika Multi Finance</v>
      </c>
      <c r="I13" t="str">
        <f t="shared" si="3"/>
        <v>ADIRA DINAMIKA MULTI FINANCE</v>
      </c>
      <c r="J13" t="str">
        <f t="shared" si="7"/>
        <v>ADMF, Adira, Adira Dinamika Multi Finance, Adira Dinamika Multi Finance Tbk, AdiraDinamikaMultiFinance, PT Adira Dinamika Multi Finance</v>
      </c>
      <c r="K13" t="str">
        <f t="shared" si="8"/>
        <v>ADMF, Adira, Adira Dinamika Multi Finance, Adira Dinamika Multi Finance Tbk, AdiraDinamikaMultiFinance, PT Adira Dinamika Multi Finance</v>
      </c>
      <c r="L13" t="str">
        <f t="shared" si="4"/>
        <v>AdiraDinamikaMultiFinance</v>
      </c>
      <c r="M13" t="str">
        <f t="shared" si="9"/>
        <v>ADMF, Adira, Adira Dinamika Multi Finance, Adira Dinamika Multi Finance Tbk, PT Adira Dinamika Multi Finance</v>
      </c>
      <c r="N13" t="str">
        <f t="shared" si="10"/>
        <v>ADMF, Adira, Adira Dinamika Multi Finance, Adira Dinamika Multi Finance Tbk, PT Adira Dinamika Multi Finance</v>
      </c>
    </row>
    <row r="14" spans="1:14" x14ac:dyDescent="0.2">
      <c r="A14" t="s">
        <v>2662</v>
      </c>
      <c r="B14" t="s">
        <v>3493</v>
      </c>
      <c r="C14" t="s">
        <v>7814</v>
      </c>
      <c r="D14" t="str">
        <f t="shared" si="0"/>
        <v>ADMG, Polychem, POLYCHEM INDONESIA, PT Polychem Indonesia, Polychem Indonesia, Polychem Indonesia Tbk, PolychemIndonesia, polychem indonesia</v>
      </c>
      <c r="E14" t="str">
        <f t="shared" si="1"/>
        <v>ADMG, Polychem, POLYCHEM INDONESIA, PT Polychem Indonesia, Polychem Indonesia, Polychem Indonesia Tbk, PolychemIndonesia, polychem indonesia</v>
      </c>
      <c r="F14" t="str">
        <f t="shared" si="2"/>
        <v>polychem indonesia</v>
      </c>
      <c r="G14" t="str">
        <f t="shared" si="5"/>
        <v>ADMG, Polychem, POLYCHEM INDONESIA, PT Polychem Indonesia, Polychem Indonesia, Polychem Indonesia Tbk, PolychemIndonesia</v>
      </c>
      <c r="H14" t="str">
        <f t="shared" si="6"/>
        <v>ADMG, Polychem, POLYCHEM INDONESIA, PT Polychem Indonesia, Polychem Indonesia, Polychem Indonesia Tbk, PolychemIndonesia</v>
      </c>
      <c r="I14" t="str">
        <f t="shared" si="3"/>
        <v>POLYCHEM INDONESIA</v>
      </c>
      <c r="J14" t="str">
        <f t="shared" si="7"/>
        <v>ADMG, Polychem, PT Polychem Indonesia, Polychem Indonesia, Polychem Indonesia Tbk, PolychemIndonesia</v>
      </c>
      <c r="K14" t="str">
        <f t="shared" si="8"/>
        <v>ADMG, Polychem, PT Polychem Indonesia, Polychem Indonesia, Polychem Indonesia Tbk, PolychemIndonesia</v>
      </c>
      <c r="L14" t="str">
        <f t="shared" si="4"/>
        <v>PolychemIndonesia</v>
      </c>
      <c r="M14" t="str">
        <f t="shared" si="9"/>
        <v>ADMG, Polychem, PT Polychem Indonesia, Polychem Indonesia, Polychem Indonesia Tbk</v>
      </c>
      <c r="N14" t="str">
        <f t="shared" si="10"/>
        <v>ADMG, Polychem, PT Polychem Indonesia, Polychem Indonesia, Polychem Indonesia Tbk</v>
      </c>
    </row>
    <row r="15" spans="1:14" x14ac:dyDescent="0.2">
      <c r="A15" t="s">
        <v>2060</v>
      </c>
      <c r="B15" t="s">
        <v>3494</v>
      </c>
      <c r="C15" t="s">
        <v>7815</v>
      </c>
      <c r="D15" t="str">
        <f t="shared" si="0"/>
        <v>ADMR, ALAMTRI MINERALS INDONESIA, Alamtri Minerals Indonesia, Alamtri Minerals Indonesia Tbk, AlamtriMineralsIndonesia, PT Alamtri Minerals Indonesia, alamtri minerals indonesia</v>
      </c>
      <c r="E15" t="str">
        <f t="shared" si="1"/>
        <v>ADMR, ALAMTRI MINERALS INDONESIA, Alamtri Minerals Indonesia, Alamtri Minerals Indonesia Tbk, AlamtriMineralsIndonesia, PT Alamtri Minerals Indonesia, alamtri minerals indonesia</v>
      </c>
      <c r="F15" t="str">
        <f t="shared" si="2"/>
        <v>alamtri minerals indonesia</v>
      </c>
      <c r="G15" t="str">
        <f t="shared" si="5"/>
        <v>ADMR, ALAMTRI MINERALS INDONESIA, Alamtri Minerals Indonesia, Alamtri Minerals Indonesia Tbk, AlamtriMineralsIndonesia, PT Alamtri Minerals Indonesia</v>
      </c>
      <c r="H15" t="str">
        <f t="shared" si="6"/>
        <v>ADMR, ALAMTRI MINERALS INDONESIA, Alamtri Minerals Indonesia, Alamtri Minerals Indonesia Tbk, AlamtriMineralsIndonesia, PT Alamtri Minerals Indonesia</v>
      </c>
      <c r="I15" t="str">
        <f t="shared" si="3"/>
        <v>ALAMTRI MINERALS INDONESIA</v>
      </c>
      <c r="J15" t="str">
        <f t="shared" si="7"/>
        <v>ADMR, Alamtri Minerals Indonesia, Alamtri Minerals Indonesia Tbk, AlamtriMineralsIndonesia, PT Alamtri Minerals Indonesia</v>
      </c>
      <c r="K15" t="str">
        <f t="shared" si="8"/>
        <v>ADMR, Alamtri Minerals Indonesia, Alamtri Minerals Indonesia Tbk, AlamtriMineralsIndonesia, PT Alamtri Minerals Indonesia</v>
      </c>
      <c r="L15" t="str">
        <f t="shared" si="4"/>
        <v>AlamtriMineralsIndonesia</v>
      </c>
      <c r="M15" t="str">
        <f t="shared" si="9"/>
        <v>ADMR, Alamtri Minerals Indonesia, Alamtri Minerals Indonesia Tbk, PT Alamtri Minerals Indonesia</v>
      </c>
      <c r="N15" t="str">
        <f t="shared" si="10"/>
        <v>ADMR, Alamtri Minerals Indonesia, Alamtri Minerals Indonesia Tbk, PT Alamtri Minerals Indonesia</v>
      </c>
    </row>
    <row r="16" spans="1:14" x14ac:dyDescent="0.2">
      <c r="A16" t="s">
        <v>2665</v>
      </c>
      <c r="B16" t="s">
        <v>3495</v>
      </c>
      <c r="C16" t="s">
        <v>7816</v>
      </c>
      <c r="D16" t="str">
        <f t="shared" si="0"/>
        <v>ADRO, ALAMTRI RESOURCES INDONESIA, Alamtri Resources Indonesia, Alamtri Resources Indonesia Tbk, AlamtriResourcesIndonesia, PT Alamtri Resources Indonesia, alamtri resources indonesia</v>
      </c>
      <c r="E16" t="str">
        <f t="shared" si="1"/>
        <v>ADRO, ALAMTRI RESOURCES INDONESIA, Alamtri Resources Indonesia, Alamtri Resources Indonesia Tbk, AlamtriResourcesIndonesia, PT Alamtri Resources Indonesia, alamtri resources indonesia</v>
      </c>
      <c r="F16" t="str">
        <f t="shared" si="2"/>
        <v>alamtri resources indonesia</v>
      </c>
      <c r="G16" t="str">
        <f t="shared" si="5"/>
        <v>ADRO, ALAMTRI RESOURCES INDONESIA, Alamtri Resources Indonesia, Alamtri Resources Indonesia Tbk, AlamtriResourcesIndonesia, PT Alamtri Resources Indonesia</v>
      </c>
      <c r="H16" t="str">
        <f t="shared" si="6"/>
        <v>ADRO, ALAMTRI RESOURCES INDONESIA, Alamtri Resources Indonesia, Alamtri Resources Indonesia Tbk, AlamtriResourcesIndonesia, PT Alamtri Resources Indonesia</v>
      </c>
      <c r="I16" t="str">
        <f t="shared" si="3"/>
        <v>ALAMTRI RESOURCES INDONESIA</v>
      </c>
      <c r="J16" t="str">
        <f t="shared" si="7"/>
        <v>ADRO, Alamtri Resources Indonesia, Alamtri Resources Indonesia Tbk, AlamtriResourcesIndonesia, PT Alamtri Resources Indonesia</v>
      </c>
      <c r="K16" t="str">
        <f t="shared" si="8"/>
        <v>ADRO, Alamtri Resources Indonesia, Alamtri Resources Indonesia Tbk, AlamtriResourcesIndonesia, PT Alamtri Resources Indonesia</v>
      </c>
      <c r="L16" t="str">
        <f t="shared" si="4"/>
        <v>AlamtriResourcesIndonesia</v>
      </c>
      <c r="M16" t="str">
        <f t="shared" si="9"/>
        <v>ADRO, Alamtri Resources Indonesia, Alamtri Resources Indonesia Tbk, PT Alamtri Resources Indonesia</v>
      </c>
      <c r="N16" t="str">
        <f t="shared" si="10"/>
        <v>ADRO, Alamtri Resources Indonesia, Alamtri Resources Indonesia Tbk, PT Alamtri Resources Indonesia</v>
      </c>
    </row>
    <row r="17" spans="1:14" x14ac:dyDescent="0.2">
      <c r="A17" t="s">
        <v>2376</v>
      </c>
      <c r="B17" t="s">
        <v>3496</v>
      </c>
      <c r="C17" t="s">
        <v>7817</v>
      </c>
      <c r="D17" t="str">
        <f t="shared" si="0"/>
        <v>AEGS, ANUGERAH SPAREPARTS SEJAHTERA, Anugerah Spareparts Sejahtera, Anugerah Spareparts Sejahtera Tbk, AnugerahSparepartsSejahtera, PT Anugerah Spareparts Sejahtera, anugerah spareparts sejahtera</v>
      </c>
      <c r="E17" t="str">
        <f t="shared" si="1"/>
        <v>AEGS, ANUGERAH SPAREPARTS SEJAHTERA, Anugerah Spareparts Sejahtera, Anugerah Spareparts Sejahtera Tbk, AnugerahSparepartsSejahtera, PT Anugerah Spareparts Sejahtera, anugerah spareparts sejahtera</v>
      </c>
      <c r="F17" t="str">
        <f t="shared" si="2"/>
        <v>anugerah spareparts sejahtera</v>
      </c>
      <c r="G17" t="str">
        <f t="shared" si="5"/>
        <v>AEGS, ANUGERAH SPAREPARTS SEJAHTERA, Anugerah Spareparts Sejahtera, Anugerah Spareparts Sejahtera Tbk, AnugerahSparepartsSejahtera, PT Anugerah Spareparts Sejahtera</v>
      </c>
      <c r="H17" t="str">
        <f t="shared" si="6"/>
        <v>AEGS, ANUGERAH SPAREPARTS SEJAHTERA, Anugerah Spareparts Sejahtera, Anugerah Spareparts Sejahtera Tbk, AnugerahSparepartsSejahtera, PT Anugerah Spareparts Sejahtera</v>
      </c>
      <c r="I17" t="str">
        <f t="shared" si="3"/>
        <v>ANUGERAH SPAREPARTS SEJAHTERA</v>
      </c>
      <c r="J17" t="str">
        <f t="shared" si="7"/>
        <v>AEGS, Anugerah Spareparts Sejahtera, Anugerah Spareparts Sejahtera Tbk, AnugerahSparepartsSejahtera, PT Anugerah Spareparts Sejahtera</v>
      </c>
      <c r="K17" t="str">
        <f t="shared" si="8"/>
        <v>AEGS, Anugerah Spareparts Sejahtera, Anugerah Spareparts Sejahtera Tbk, AnugerahSparepartsSejahtera, PT Anugerah Spareparts Sejahtera</v>
      </c>
      <c r="L17" t="str">
        <f t="shared" si="4"/>
        <v>AnugerahSparepartsSejahtera</v>
      </c>
      <c r="M17" t="str">
        <f t="shared" si="9"/>
        <v>AEGS, Anugerah Spareparts Sejahtera, Anugerah Spareparts Sejahtera Tbk, PT Anugerah Spareparts Sejahtera</v>
      </c>
      <c r="N17" t="str">
        <f t="shared" si="10"/>
        <v>AEGS, Anugerah Spareparts Sejahtera, Anugerah Spareparts Sejahtera Tbk, PT Anugerah Spareparts Sejahtera</v>
      </c>
    </row>
    <row r="18" spans="1:14" x14ac:dyDescent="0.2">
      <c r="A18" t="s">
        <v>1774</v>
      </c>
      <c r="B18" t="s">
        <v>1775</v>
      </c>
      <c r="C18" t="s">
        <v>7818</v>
      </c>
      <c r="D18" t="str">
        <f t="shared" si="0"/>
        <v>AGAR, ASIA SEJAHTERA MINA, Asia Sejahtera Mina, Asia Sejahtera Mina Tbk, AsiaSejahteraMina, PT Asia Sejahtera Mina, asia sejahtera mina</v>
      </c>
      <c r="E18" t="str">
        <f t="shared" si="1"/>
        <v>AGAR, ASIA SEJAHTERA MINA, Asia Sejahtera Mina, Asia Sejahtera Mina Tbk, AsiaSejahteraMina, PT Asia Sejahtera Mina, asia sejahtera mina</v>
      </c>
      <c r="F18" t="str">
        <f t="shared" si="2"/>
        <v>asia sejahtera mina</v>
      </c>
      <c r="G18" t="str">
        <f t="shared" si="5"/>
        <v>AGAR, ASIA SEJAHTERA MINA, Asia Sejahtera Mina, Asia Sejahtera Mina Tbk, AsiaSejahteraMina, PT Asia Sejahtera Mina</v>
      </c>
      <c r="H18" t="str">
        <f t="shared" si="6"/>
        <v>AGAR, ASIA SEJAHTERA MINA, Asia Sejahtera Mina, Asia Sejahtera Mina Tbk, AsiaSejahteraMina, PT Asia Sejahtera Mina</v>
      </c>
      <c r="I18" t="str">
        <f t="shared" si="3"/>
        <v>ASIA SEJAHTERA MINA</v>
      </c>
      <c r="J18" t="str">
        <f t="shared" si="7"/>
        <v>AGAR, Asia Sejahtera Mina, Asia Sejahtera Mina Tbk, AsiaSejahteraMina, PT Asia Sejahtera Mina</v>
      </c>
      <c r="K18" t="str">
        <f t="shared" si="8"/>
        <v>AGAR, Asia Sejahtera Mina, Asia Sejahtera Mina Tbk, AsiaSejahteraMina, PT Asia Sejahtera Mina</v>
      </c>
      <c r="L18" t="str">
        <f t="shared" si="4"/>
        <v>AsiaSejahteraMina</v>
      </c>
      <c r="M18" t="str">
        <f t="shared" si="9"/>
        <v>AGAR, Asia Sejahtera Mina, Asia Sejahtera Mina Tbk, PT Asia Sejahtera Mina</v>
      </c>
      <c r="N18" t="str">
        <f t="shared" si="10"/>
        <v>AGAR, Asia Sejahtera Mina, Asia Sejahtera Mina Tbk, PT Asia Sejahtera Mina</v>
      </c>
    </row>
    <row r="19" spans="1:14" x14ac:dyDescent="0.2">
      <c r="A19" t="s">
        <v>2667</v>
      </c>
      <c r="B19" t="s">
        <v>2668</v>
      </c>
      <c r="C19" t="s">
        <v>7819</v>
      </c>
      <c r="D19" t="str">
        <f t="shared" si="0"/>
        <v>AGII, PT Samator Indo Gas, SAMATOR INDO GAS, Samator Indo Gas, Samator Indo Gas Tbk, SamatorIndoGas, samator indo gas</v>
      </c>
      <c r="E19" t="str">
        <f t="shared" si="1"/>
        <v>AGII, PT Samator Indo Gas, SAMATOR INDO GAS, Samator Indo Gas, Samator Indo Gas Tbk, SamatorIndoGas, samator indo gas</v>
      </c>
      <c r="F19" t="str">
        <f t="shared" si="2"/>
        <v>samator indo gas</v>
      </c>
      <c r="G19" t="str">
        <f t="shared" si="5"/>
        <v>AGII, PT Samator Indo Gas, SAMATOR INDO GAS, Samator Indo Gas, Samator Indo Gas Tbk, SamatorIndoGas</v>
      </c>
      <c r="H19" t="str">
        <f t="shared" si="6"/>
        <v>AGII, PT Samator Indo Gas, SAMATOR INDO GAS, Samator Indo Gas, Samator Indo Gas Tbk, SamatorIndoGas</v>
      </c>
      <c r="I19" t="str">
        <f t="shared" si="3"/>
        <v>SAMATOR INDO GAS</v>
      </c>
      <c r="J19" t="str">
        <f t="shared" si="7"/>
        <v>AGII, PT Samator Indo Gas, Samator Indo Gas, Samator Indo Gas Tbk, SamatorIndoGas</v>
      </c>
      <c r="K19" t="str">
        <f t="shared" si="8"/>
        <v>AGII, PT Samator Indo Gas, Samator Indo Gas, Samator Indo Gas Tbk, SamatorIndoGas</v>
      </c>
      <c r="L19" t="str">
        <f t="shared" si="4"/>
        <v>SamatorIndoGas</v>
      </c>
      <c r="M19" t="str">
        <f t="shared" si="9"/>
        <v>AGII, PT Samator Indo Gas, Samator Indo Gas, Samator Indo Gas Tbk</v>
      </c>
      <c r="N19" t="str">
        <f t="shared" si="10"/>
        <v>AGII, PT Samator Indo Gas, Samator Indo Gas, Samator Indo Gas Tbk</v>
      </c>
    </row>
    <row r="20" spans="1:14" x14ac:dyDescent="0.2">
      <c r="A20" t="s">
        <v>2670</v>
      </c>
      <c r="B20" t="s">
        <v>2671</v>
      </c>
      <c r="C20" t="s">
        <v>7820</v>
      </c>
      <c r="D20" t="str">
        <f t="shared" si="0"/>
        <v>AGRO, BANK RAYA INDONESIA, Bank Raya Indonesia, Bank Raya Indonesia Tbk, BankRayaIndonesia, PT Bank Raya Indonesia, bank raya indonesia</v>
      </c>
      <c r="E20" t="str">
        <f t="shared" si="1"/>
        <v>AGRO, BANK RAYA INDONESIA, Bank Raya Indonesia, Bank Raya Indonesia Tbk, BankRayaIndonesia, PT Bank Raya Indonesia, bank raya indonesia</v>
      </c>
      <c r="F20" t="str">
        <f t="shared" si="2"/>
        <v>bank raya indonesia</v>
      </c>
      <c r="G20" t="str">
        <f t="shared" si="5"/>
        <v>AGRO, BANK RAYA INDONESIA, Bank Raya Indonesia, Bank Raya Indonesia Tbk, BankRayaIndonesia, PT Bank Raya Indonesia</v>
      </c>
      <c r="H20" t="str">
        <f t="shared" si="6"/>
        <v>AGRO, BANK RAYA INDONESIA, Bank Raya Indonesia, Bank Raya Indonesia Tbk, BankRayaIndonesia, PT Bank Raya Indonesia</v>
      </c>
      <c r="I20" t="str">
        <f t="shared" si="3"/>
        <v>BANK RAYA INDONESIA</v>
      </c>
      <c r="J20" t="str">
        <f t="shared" si="7"/>
        <v>AGRO, Bank Raya Indonesia, Bank Raya Indonesia Tbk, BankRayaIndonesia, PT Bank Raya Indonesia</v>
      </c>
      <c r="K20" t="str">
        <f t="shared" si="8"/>
        <v>AGRO, Bank Raya Indonesia, Bank Raya Indonesia Tbk, BankRayaIndonesia, PT Bank Raya Indonesia</v>
      </c>
      <c r="L20" t="str">
        <f t="shared" si="4"/>
        <v>BankRayaIndonesia</v>
      </c>
      <c r="M20" t="str">
        <f t="shared" si="9"/>
        <v>AGRO, Bank Raya Indonesia, Bank Raya Indonesia Tbk, PT Bank Raya Indonesia</v>
      </c>
      <c r="N20" t="str">
        <f t="shared" si="10"/>
        <v>AGRO, Bank Raya Indonesia, Bank Raya Indonesia Tbk, PT Bank Raya Indonesia</v>
      </c>
    </row>
    <row r="21" spans="1:14" x14ac:dyDescent="0.2">
      <c r="A21" t="s">
        <v>2673</v>
      </c>
      <c r="B21" t="s">
        <v>2674</v>
      </c>
      <c r="C21" t="s">
        <v>7821</v>
      </c>
      <c r="D21" t="str">
        <f t="shared" si="0"/>
        <v>AGRS, BANK IBK INDONESIA, Bank IBK Indonesia, Bank IBK Indonesia Tbk, BankIBKIndonesia, PT Bank IBK Indonesia, bank ibk indonesia</v>
      </c>
      <c r="E21" t="str">
        <f t="shared" si="1"/>
        <v>AGRS, BANK IBK INDONESIA, Bank IBK Indonesia, Bank IBK Indonesia Tbk, BankIBKIndonesia, PT Bank IBK Indonesia, bank ibk indonesia</v>
      </c>
      <c r="F21" t="str">
        <f t="shared" si="2"/>
        <v>bank ibk indonesia</v>
      </c>
      <c r="G21" t="str">
        <f t="shared" si="5"/>
        <v>AGRS, BANK IBK INDONESIA, Bank IBK Indonesia, Bank IBK Indonesia Tbk, BankIBKIndonesia, PT Bank IBK Indonesia</v>
      </c>
      <c r="H21" t="str">
        <f t="shared" si="6"/>
        <v>AGRS, BANK IBK INDONESIA, Bank IBK Indonesia, Bank IBK Indonesia Tbk, BankIBKIndonesia, PT Bank IBK Indonesia</v>
      </c>
      <c r="I21" t="str">
        <f t="shared" si="3"/>
        <v>BANK IBK INDONESIA</v>
      </c>
      <c r="J21" t="str">
        <f t="shared" si="7"/>
        <v>AGRS, Bank IBK Indonesia, Bank IBK Indonesia Tbk, BankIBKIndonesia, PT Bank IBK Indonesia</v>
      </c>
      <c r="K21" t="str">
        <f t="shared" si="8"/>
        <v>AGRS, Bank IBK Indonesia, Bank IBK Indonesia Tbk, BankIBKIndonesia, PT Bank IBK Indonesia</v>
      </c>
      <c r="L21" t="str">
        <f t="shared" si="4"/>
        <v>BankIBKIndonesia</v>
      </c>
      <c r="M21" t="str">
        <f t="shared" si="9"/>
        <v>AGRS, Bank IBK Indonesia, Bank IBK Indonesia Tbk, PT Bank IBK Indonesia</v>
      </c>
      <c r="N21" t="str">
        <f t="shared" si="10"/>
        <v>AGRS, Bank IBK Indonesia, Bank IBK Indonesia Tbk, PT Bank IBK Indonesia</v>
      </c>
    </row>
    <row r="22" spans="1:14" x14ac:dyDescent="0.2">
      <c r="A22" t="s">
        <v>2676</v>
      </c>
      <c r="B22" t="s">
        <v>3497</v>
      </c>
      <c r="C22" t="s">
        <v>7822</v>
      </c>
      <c r="D22" t="str">
        <f t="shared" si="0"/>
        <v>AHAP, ASURANSI HARTA AMAN PRATAMA, Asuransi Harta Aman Pratama, Asuransi Harta Aman Pratama Tbk, AsuransiHartaAmanPratama, PT Asuransi Harta Aman Pratama, asuransi harta aman pratama</v>
      </c>
      <c r="E22" t="str">
        <f t="shared" si="1"/>
        <v>AHAP, ASURANSI HARTA AMAN PRATAMA, Asuransi Harta Aman Pratama, Asuransi Harta Aman Pratama Tbk, AsuransiHartaAmanPratama, PT Asuransi Harta Aman Pratama, asuransi harta aman pratama</v>
      </c>
      <c r="F22" t="str">
        <f t="shared" si="2"/>
        <v>asuransi harta aman pratama</v>
      </c>
      <c r="G22" t="str">
        <f t="shared" si="5"/>
        <v>AHAP, ASURANSI HARTA AMAN PRATAMA, Asuransi Harta Aman Pratama, Asuransi Harta Aman Pratama Tbk, AsuransiHartaAmanPratama, PT Asuransi Harta Aman Pratama</v>
      </c>
      <c r="H22" t="str">
        <f t="shared" si="6"/>
        <v>AHAP, ASURANSI HARTA AMAN PRATAMA, Asuransi Harta Aman Pratama, Asuransi Harta Aman Pratama Tbk, AsuransiHartaAmanPratama, PT Asuransi Harta Aman Pratama</v>
      </c>
      <c r="I22" t="str">
        <f t="shared" si="3"/>
        <v>ASURANSI HARTA AMAN PRATAMA</v>
      </c>
      <c r="J22" t="str">
        <f t="shared" si="7"/>
        <v>AHAP, Asuransi Harta Aman Pratama, Asuransi Harta Aman Pratama Tbk, AsuransiHartaAmanPratama, PT Asuransi Harta Aman Pratama</v>
      </c>
      <c r="K22" t="str">
        <f t="shared" si="8"/>
        <v>AHAP, Asuransi Harta Aman Pratama, Asuransi Harta Aman Pratama Tbk, AsuransiHartaAmanPratama, PT Asuransi Harta Aman Pratama</v>
      </c>
      <c r="L22" t="str">
        <f t="shared" si="4"/>
        <v>AsuransiHartaAmanPratama</v>
      </c>
      <c r="M22" t="str">
        <f t="shared" si="9"/>
        <v>AHAP, Asuransi Harta Aman Pratama, Asuransi Harta Aman Pratama Tbk, PT Asuransi Harta Aman Pratama</v>
      </c>
      <c r="N22" t="str">
        <f t="shared" si="10"/>
        <v>AHAP, Asuransi Harta Aman Pratama, Asuransi Harta Aman Pratama Tbk, PT Asuransi Harta Aman Pratama</v>
      </c>
    </row>
    <row r="23" spans="1:14" x14ac:dyDescent="0.2">
      <c r="A23" t="s">
        <v>2678</v>
      </c>
      <c r="B23" t="s">
        <v>2679</v>
      </c>
      <c r="C23" t="s">
        <v>7823</v>
      </c>
      <c r="D23" t="str">
        <f t="shared" si="0"/>
        <v>AIMS, ARTHA MAHIYA INVESTAMA, Artha Mahiya Investama, Artha Mahiya Investama Tbk, ArthaMahiyaInvestama, PT Artha Mahiya Investama, artha mahiya investama</v>
      </c>
      <c r="E23" t="str">
        <f t="shared" si="1"/>
        <v>AIMS, ARTHA MAHIYA INVESTAMA, Artha Mahiya Investama, Artha Mahiya Investama Tbk, ArthaMahiyaInvestama, PT Artha Mahiya Investama, artha mahiya investama</v>
      </c>
      <c r="F23" t="str">
        <f t="shared" si="2"/>
        <v>artha mahiya investama</v>
      </c>
      <c r="G23" t="str">
        <f t="shared" si="5"/>
        <v>AIMS, ARTHA MAHIYA INVESTAMA, Artha Mahiya Investama, Artha Mahiya Investama Tbk, ArthaMahiyaInvestama, PT Artha Mahiya Investama</v>
      </c>
      <c r="H23" t="str">
        <f t="shared" si="6"/>
        <v>AIMS, ARTHA MAHIYA INVESTAMA, Artha Mahiya Investama, Artha Mahiya Investama Tbk, ArthaMahiyaInvestama, PT Artha Mahiya Investama</v>
      </c>
      <c r="I23" t="str">
        <f t="shared" si="3"/>
        <v>ARTHA MAHIYA INVESTAMA</v>
      </c>
      <c r="J23" t="str">
        <f t="shared" si="7"/>
        <v>AIMS, Artha Mahiya Investama, Artha Mahiya Investama Tbk, ArthaMahiyaInvestama, PT Artha Mahiya Investama</v>
      </c>
      <c r="K23" t="str">
        <f t="shared" si="8"/>
        <v>AIMS, Artha Mahiya Investama, Artha Mahiya Investama Tbk, ArthaMahiyaInvestama, PT Artha Mahiya Investama</v>
      </c>
      <c r="L23" t="str">
        <f t="shared" si="4"/>
        <v>ArthaMahiyaInvestama</v>
      </c>
      <c r="M23" t="str">
        <f t="shared" si="9"/>
        <v>AIMS, Artha Mahiya Investama, Artha Mahiya Investama Tbk, PT Artha Mahiya Investama</v>
      </c>
      <c r="N23" t="str">
        <f t="shared" si="10"/>
        <v>AIMS, Artha Mahiya Investama, Artha Mahiya Investama Tbk, PT Artha Mahiya Investama</v>
      </c>
    </row>
    <row r="24" spans="1:14" x14ac:dyDescent="0.2">
      <c r="A24" t="s">
        <v>32</v>
      </c>
      <c r="B24" t="s">
        <v>33</v>
      </c>
      <c r="C24" t="s">
        <v>7824</v>
      </c>
      <c r="D24" t="str">
        <f t="shared" si="0"/>
        <v>AISA, FKS FOOD SEJAHTERA, FKS Food Sejahtera, FKS Food Sejahtera Tbk, FKSFoodSejahtera, PT FKS Food Sejahtera, fks food sejahtera</v>
      </c>
      <c r="E24" t="str">
        <f t="shared" si="1"/>
        <v>AISA, FKS FOOD SEJAHTERA, FKS Food Sejahtera, FKS Food Sejahtera Tbk, FKSFoodSejahtera, PT FKS Food Sejahtera, fks food sejahtera</v>
      </c>
      <c r="F24" t="str">
        <f t="shared" si="2"/>
        <v>fks food sejahtera</v>
      </c>
      <c r="G24" t="str">
        <f t="shared" si="5"/>
        <v>AISA, FKS FOOD SEJAHTERA, FKS Food Sejahtera, FKS Food Sejahtera Tbk, FKSFoodSejahtera, PT FKS Food Sejahtera</v>
      </c>
      <c r="H24" t="str">
        <f t="shared" si="6"/>
        <v>AISA, FKS FOOD SEJAHTERA, FKS Food Sejahtera, FKS Food Sejahtera Tbk, FKSFoodSejahtera, PT FKS Food Sejahtera</v>
      </c>
      <c r="I24" t="str">
        <f t="shared" si="3"/>
        <v>FKS FOOD SEJAHTERA</v>
      </c>
      <c r="J24" t="str">
        <f t="shared" si="7"/>
        <v>AISA, FKS Food Sejahtera, FKS Food Sejahtera Tbk, FKSFoodSejahtera, PT FKS Food Sejahtera</v>
      </c>
      <c r="K24" t="str">
        <f t="shared" si="8"/>
        <v>AISA, FKS Food Sejahtera, FKS Food Sejahtera Tbk, FKSFoodSejahtera, PT FKS Food Sejahtera</v>
      </c>
      <c r="L24" t="str">
        <f t="shared" si="4"/>
        <v>FKSFoodSejahtera</v>
      </c>
      <c r="M24" t="str">
        <f t="shared" si="9"/>
        <v>AISA, FKS Food Sejahtera, FKS Food Sejahtera Tbk, PT FKS Food Sejahtera</v>
      </c>
      <c r="N24" t="str">
        <f t="shared" si="10"/>
        <v>AISA, FKS Food Sejahtera, FKS Food Sejahtera Tbk, PT FKS Food Sejahtera</v>
      </c>
    </row>
    <row r="25" spans="1:14" x14ac:dyDescent="0.2">
      <c r="A25" t="s">
        <v>35</v>
      </c>
      <c r="B25" t="s">
        <v>3498</v>
      </c>
      <c r="C25" t="s">
        <v>7825</v>
      </c>
      <c r="D25" t="str">
        <f t="shared" si="0"/>
        <v>AKKU, ANUGERAH KAGUM KARYA UTAMA, Anugerah Kagum Karya Utama, Anugerah Kagum Karya Utama Tbk, AnugerahKagumKaryaUtama, PT Anugerah Kagum Karya Utama, anugerah kagum karya utama</v>
      </c>
      <c r="E25" t="str">
        <f t="shared" si="1"/>
        <v>AKKU, ANUGERAH KAGUM KARYA UTAMA, Anugerah Kagum Karya Utama, Anugerah Kagum Karya Utama Tbk, AnugerahKagumKaryaUtama, PT Anugerah Kagum Karya Utama, anugerah kagum karya utama</v>
      </c>
      <c r="F25" t="str">
        <f t="shared" si="2"/>
        <v>anugerah kagum karya utama</v>
      </c>
      <c r="G25" t="str">
        <f t="shared" si="5"/>
        <v>AKKU, ANUGERAH KAGUM KARYA UTAMA, Anugerah Kagum Karya Utama, Anugerah Kagum Karya Utama Tbk, AnugerahKagumKaryaUtama, PT Anugerah Kagum Karya Utama</v>
      </c>
      <c r="H25" t="str">
        <f t="shared" si="6"/>
        <v>AKKU, ANUGERAH KAGUM KARYA UTAMA, Anugerah Kagum Karya Utama, Anugerah Kagum Karya Utama Tbk, AnugerahKagumKaryaUtama, PT Anugerah Kagum Karya Utama</v>
      </c>
      <c r="I25" t="str">
        <f t="shared" si="3"/>
        <v>ANUGERAH KAGUM KARYA UTAMA</v>
      </c>
      <c r="J25" t="str">
        <f t="shared" si="7"/>
        <v>AKKU, Anugerah Kagum Karya Utama, Anugerah Kagum Karya Utama Tbk, AnugerahKagumKaryaUtama, PT Anugerah Kagum Karya Utama</v>
      </c>
      <c r="K25" t="str">
        <f t="shared" si="8"/>
        <v>AKKU, Anugerah Kagum Karya Utama, Anugerah Kagum Karya Utama Tbk, AnugerahKagumKaryaUtama, PT Anugerah Kagum Karya Utama</v>
      </c>
      <c r="L25" t="str">
        <f t="shared" si="4"/>
        <v>AnugerahKagumKaryaUtama</v>
      </c>
      <c r="M25" t="str">
        <f t="shared" si="9"/>
        <v>AKKU, Anugerah Kagum Karya Utama, Anugerah Kagum Karya Utama Tbk, PT Anugerah Kagum Karya Utama</v>
      </c>
      <c r="N25" t="str">
        <f t="shared" si="10"/>
        <v>AKKU, Anugerah Kagum Karya Utama, Anugerah Kagum Karya Utama Tbk, PT Anugerah Kagum Karya Utama</v>
      </c>
    </row>
    <row r="26" spans="1:14" x14ac:dyDescent="0.2">
      <c r="A26" t="s">
        <v>38</v>
      </c>
      <c r="B26" t="s">
        <v>3499</v>
      </c>
      <c r="C26" t="s">
        <v>7826</v>
      </c>
      <c r="D26" t="str">
        <f t="shared" si="0"/>
        <v>AKPI, ARGHA KARYA PRIMA INDUSTRY, Argha Karya Prima Industry, Argha Karya Prima Industry Tbk, ArghaKaryaPrimaIndustry, PT Argha Karya Prima Industry, argha karya prima industry</v>
      </c>
      <c r="E26" t="str">
        <f t="shared" si="1"/>
        <v>AKPI, ARGHA KARYA PRIMA INDUSTRY, Argha Karya Prima Industry, Argha Karya Prima Industry Tbk, ArghaKaryaPrimaIndustry, PT Argha Karya Prima Industry, argha karya prima industry</v>
      </c>
      <c r="F26" t="str">
        <f t="shared" si="2"/>
        <v>argha karya prima industry</v>
      </c>
      <c r="G26" t="str">
        <f t="shared" si="5"/>
        <v>AKPI, ARGHA KARYA PRIMA INDUSTRY, Argha Karya Prima Industry, Argha Karya Prima Industry Tbk, ArghaKaryaPrimaIndustry, PT Argha Karya Prima Industry</v>
      </c>
      <c r="H26" t="str">
        <f t="shared" si="6"/>
        <v>AKPI, ARGHA KARYA PRIMA INDUSTRY, Argha Karya Prima Industry, Argha Karya Prima Industry Tbk, ArghaKaryaPrimaIndustry, PT Argha Karya Prima Industry</v>
      </c>
      <c r="I26" t="str">
        <f t="shared" si="3"/>
        <v>ARGHA KARYA PRIMA INDUSTRY</v>
      </c>
      <c r="J26" t="str">
        <f t="shared" si="7"/>
        <v>AKPI, Argha Karya Prima Industry, Argha Karya Prima Industry Tbk, ArghaKaryaPrimaIndustry, PT Argha Karya Prima Industry</v>
      </c>
      <c r="K26" t="str">
        <f t="shared" si="8"/>
        <v>AKPI, Argha Karya Prima Industry, Argha Karya Prima Industry Tbk, ArghaKaryaPrimaIndustry, PT Argha Karya Prima Industry</v>
      </c>
      <c r="L26" t="str">
        <f t="shared" si="4"/>
        <v>ArghaKaryaPrimaIndustry</v>
      </c>
      <c r="M26" t="str">
        <f t="shared" si="9"/>
        <v>AKPI, Argha Karya Prima Industry, Argha Karya Prima Industry Tbk, PT Argha Karya Prima Industry</v>
      </c>
      <c r="N26" t="str">
        <f t="shared" si="10"/>
        <v>AKPI, Argha Karya Prima Industry, Argha Karya Prima Industry Tbk, PT Argha Karya Prima Industry</v>
      </c>
    </row>
    <row r="27" spans="1:14" x14ac:dyDescent="0.2">
      <c r="A27" t="s">
        <v>41</v>
      </c>
      <c r="B27" t="s">
        <v>42</v>
      </c>
      <c r="C27" t="s">
        <v>7827</v>
      </c>
      <c r="D27" t="str">
        <f t="shared" si="0"/>
        <v>AKRA, AKR, AKR CORPORINDO, AKR Corporindo, AKR Corporindo Tbk, AKRCorporindo, PT AKR Corporindo, akr corporindo</v>
      </c>
      <c r="E27" t="str">
        <f t="shared" si="1"/>
        <v>AKRA, AKR, AKR CORPORINDO, AKR Corporindo, AKR Corporindo Tbk, AKRCorporindo, PT AKR Corporindo, akr corporindo</v>
      </c>
      <c r="F27" t="str">
        <f t="shared" si="2"/>
        <v>akr corporindo</v>
      </c>
      <c r="G27" t="str">
        <f t="shared" si="5"/>
        <v>AKRA, AKR, AKR CORPORINDO, AKR Corporindo, AKR Corporindo Tbk, AKRCorporindo, PT AKR Corporindo</v>
      </c>
      <c r="H27" t="str">
        <f t="shared" si="6"/>
        <v>AKRA, AKR, AKR CORPORINDO, AKR Corporindo, AKR Corporindo Tbk, AKRCorporindo, PT AKR Corporindo</v>
      </c>
      <c r="I27" t="str">
        <f t="shared" si="3"/>
        <v>AKR CORPORINDO</v>
      </c>
      <c r="J27" t="str">
        <f t="shared" si="7"/>
        <v>AKRA, AKR, AKR Corporindo, AKR Corporindo Tbk, AKRCorporindo, PT AKR Corporindo</v>
      </c>
      <c r="K27" t="str">
        <f t="shared" si="8"/>
        <v>AKRA, AKR, AKR Corporindo, AKR Corporindo Tbk, AKRCorporindo, PT AKR Corporindo</v>
      </c>
      <c r="L27" t="str">
        <f t="shared" si="4"/>
        <v>AKRCorporindo</v>
      </c>
      <c r="M27" t="str">
        <f t="shared" si="9"/>
        <v>AKRA, AKR, AKR Corporindo, AKR Corporindo Tbk, PT AKR Corporindo</v>
      </c>
      <c r="N27" t="str">
        <f t="shared" si="10"/>
        <v>AKRA, AKR, AKR Corporindo, AKR Corporindo Tbk, PT AKR Corporindo</v>
      </c>
    </row>
    <row r="28" spans="1:14" x14ac:dyDescent="0.2">
      <c r="A28" t="s">
        <v>44</v>
      </c>
      <c r="B28" t="s">
        <v>3500</v>
      </c>
      <c r="C28" t="s">
        <v>7828</v>
      </c>
      <c r="D28" t="str">
        <f t="shared" si="0"/>
        <v>AKSI, MINERAL SUMBERDAYA MANDIRI, Mineral Sumberdaya Mandiri, Mineral Sumberdaya Mandiri Tbk, MineralSumberdayaMandiri, PT Mineral Sumberdaya Mandiri, mineral sumberdaya mandiri</v>
      </c>
      <c r="E28" t="str">
        <f t="shared" si="1"/>
        <v>AKSI, MINERAL SUMBERDAYA MANDIRI, Mineral Sumberdaya Mandiri, Mineral Sumberdaya Mandiri Tbk, MineralSumberdayaMandiri, PT Mineral Sumberdaya Mandiri, mineral sumberdaya mandiri</v>
      </c>
      <c r="F28" t="str">
        <f t="shared" si="2"/>
        <v>mineral sumberdaya mandiri</v>
      </c>
      <c r="G28" t="str">
        <f t="shared" si="5"/>
        <v>AKSI, MINERAL SUMBERDAYA MANDIRI, Mineral Sumberdaya Mandiri, Mineral Sumberdaya Mandiri Tbk, MineralSumberdayaMandiri, PT Mineral Sumberdaya Mandiri</v>
      </c>
      <c r="H28" t="str">
        <f t="shared" si="6"/>
        <v>AKSI, MINERAL SUMBERDAYA MANDIRI, Mineral Sumberdaya Mandiri, Mineral Sumberdaya Mandiri Tbk, MineralSumberdayaMandiri, PT Mineral Sumberdaya Mandiri</v>
      </c>
      <c r="I28" t="str">
        <f t="shared" si="3"/>
        <v>MINERAL SUMBERDAYA MANDIRI</v>
      </c>
      <c r="J28" t="str">
        <f t="shared" si="7"/>
        <v>AKSI, Mineral Sumberdaya Mandiri, Mineral Sumberdaya Mandiri Tbk, MineralSumberdayaMandiri, PT Mineral Sumberdaya Mandiri</v>
      </c>
      <c r="K28" t="str">
        <f t="shared" si="8"/>
        <v>AKSI, Mineral Sumberdaya Mandiri, Mineral Sumberdaya Mandiri Tbk, MineralSumberdayaMandiri, PT Mineral Sumberdaya Mandiri</v>
      </c>
      <c r="L28" t="str">
        <f t="shared" si="4"/>
        <v>MineralSumberdayaMandiri</v>
      </c>
      <c r="M28" t="str">
        <f t="shared" si="9"/>
        <v>AKSI, Mineral Sumberdaya Mandiri, Mineral Sumberdaya Mandiri Tbk, PT Mineral Sumberdaya Mandiri</v>
      </c>
      <c r="N28" t="str">
        <f t="shared" si="10"/>
        <v>AKSI, Mineral Sumberdaya Mandiri, Mineral Sumberdaya Mandiri Tbk, PT Mineral Sumberdaya Mandiri</v>
      </c>
    </row>
    <row r="29" spans="1:14" x14ac:dyDescent="0.2">
      <c r="A29" t="s">
        <v>46</v>
      </c>
      <c r="B29" t="s">
        <v>47</v>
      </c>
      <c r="C29" t="s">
        <v>7829</v>
      </c>
      <c r="D29" t="str">
        <f t="shared" si="0"/>
        <v>ALDO, ALKINDO NARATAMA, Alkindo Naratama, Alkindo Naratama Tbk, AlkindoNaratama, PT Alkindo Naratama, alkindo naratama</v>
      </c>
      <c r="E29" t="str">
        <f t="shared" si="1"/>
        <v>ALDO, ALKINDO NARATAMA, Alkindo Naratama, Alkindo Naratama Tbk, AlkindoNaratama, PT Alkindo Naratama, alkindo naratama</v>
      </c>
      <c r="F29" t="str">
        <f t="shared" si="2"/>
        <v>alkindo naratama</v>
      </c>
      <c r="G29" t="str">
        <f t="shared" si="5"/>
        <v>ALDO, ALKINDO NARATAMA, Alkindo Naratama, Alkindo Naratama Tbk, AlkindoNaratama, PT Alkindo Naratama</v>
      </c>
      <c r="H29" t="str">
        <f t="shared" si="6"/>
        <v>ALDO, ALKINDO NARATAMA, Alkindo Naratama, Alkindo Naratama Tbk, AlkindoNaratama, PT Alkindo Naratama</v>
      </c>
      <c r="I29" t="str">
        <f t="shared" si="3"/>
        <v>ALKINDO NARATAMA</v>
      </c>
      <c r="J29" t="str">
        <f t="shared" si="7"/>
        <v>ALDO, Alkindo Naratama, Alkindo Naratama Tbk, AlkindoNaratama, PT Alkindo Naratama</v>
      </c>
      <c r="K29" t="str">
        <f t="shared" si="8"/>
        <v>ALDO, Alkindo Naratama, Alkindo Naratama Tbk, AlkindoNaratama, PT Alkindo Naratama</v>
      </c>
      <c r="L29" t="str">
        <f t="shared" si="4"/>
        <v>AlkindoNaratama</v>
      </c>
      <c r="M29" t="str">
        <f t="shared" si="9"/>
        <v>ALDO, Alkindo Naratama, Alkindo Naratama Tbk, PT Alkindo Naratama</v>
      </c>
      <c r="N29" t="str">
        <f t="shared" si="10"/>
        <v>ALDO, Alkindo Naratama, Alkindo Naratama Tbk, PT Alkindo Naratama</v>
      </c>
    </row>
    <row r="30" spans="1:14" x14ac:dyDescent="0.2">
      <c r="A30" t="s">
        <v>2430</v>
      </c>
      <c r="B30" t="s">
        <v>3501</v>
      </c>
      <c r="C30" t="s">
        <v>7830</v>
      </c>
      <c r="D30" t="str">
        <f t="shared" si="0"/>
        <v>ALII, ANCARA LOGISTICS INDONESIA, Ancara Logistics Indonesia, Ancara Logistics Indonesia Tbk, AncaraLogisticsIndonesia, PT Ancara Logistics Indonesia, ancara logistics indonesia</v>
      </c>
      <c r="E30" t="str">
        <f t="shared" si="1"/>
        <v>ALII, ANCARA LOGISTICS INDONESIA, Ancara Logistics Indonesia, Ancara Logistics Indonesia Tbk, AncaraLogisticsIndonesia, PT Ancara Logistics Indonesia, ancara logistics indonesia</v>
      </c>
      <c r="F30" t="str">
        <f t="shared" si="2"/>
        <v>ancara logistics indonesia</v>
      </c>
      <c r="G30" t="str">
        <f t="shared" si="5"/>
        <v>ALII, ANCARA LOGISTICS INDONESIA, Ancara Logistics Indonesia, Ancara Logistics Indonesia Tbk, AncaraLogisticsIndonesia, PT Ancara Logistics Indonesia</v>
      </c>
      <c r="H30" t="str">
        <f t="shared" si="6"/>
        <v>ALII, ANCARA LOGISTICS INDONESIA, Ancara Logistics Indonesia, Ancara Logistics Indonesia Tbk, AncaraLogisticsIndonesia, PT Ancara Logistics Indonesia</v>
      </c>
      <c r="I30" t="str">
        <f t="shared" si="3"/>
        <v>ANCARA LOGISTICS INDONESIA</v>
      </c>
      <c r="J30" t="str">
        <f t="shared" si="7"/>
        <v>ALII, Ancara Logistics Indonesia, Ancara Logistics Indonesia Tbk, AncaraLogisticsIndonesia, PT Ancara Logistics Indonesia</v>
      </c>
      <c r="K30" t="str">
        <f t="shared" si="8"/>
        <v>ALII, Ancara Logistics Indonesia, Ancara Logistics Indonesia Tbk, AncaraLogisticsIndonesia, PT Ancara Logistics Indonesia</v>
      </c>
      <c r="L30" t="str">
        <f t="shared" si="4"/>
        <v>AncaraLogisticsIndonesia</v>
      </c>
      <c r="M30" t="str">
        <f t="shared" si="9"/>
        <v>ALII, Ancara Logistics Indonesia, Ancara Logistics Indonesia Tbk, PT Ancara Logistics Indonesia</v>
      </c>
      <c r="N30" t="str">
        <f t="shared" si="10"/>
        <v>ALII, Ancara Logistics Indonesia, Ancara Logistics Indonesia Tbk, PT Ancara Logistics Indonesia</v>
      </c>
    </row>
    <row r="31" spans="1:14" x14ac:dyDescent="0.2">
      <c r="A31" t="s">
        <v>49</v>
      </c>
      <c r="B31" t="s">
        <v>3502</v>
      </c>
      <c r="C31" t="s">
        <v>7831</v>
      </c>
      <c r="D31" t="str">
        <f t="shared" si="0"/>
        <v>ALKA, ALAKASA INDUSTRINDO, Alakasa Industrindo, Alakasa Industrindo Tbk, AlakasaIndustrindo, PT Alakasa Industrindo, alakasa industrindo</v>
      </c>
      <c r="E31" t="str">
        <f t="shared" si="1"/>
        <v>ALKA, ALAKASA INDUSTRINDO, Alakasa Industrindo, Alakasa Industrindo Tbk, AlakasaIndustrindo, PT Alakasa Industrindo, alakasa industrindo</v>
      </c>
      <c r="F31" t="str">
        <f t="shared" si="2"/>
        <v>alakasa industrindo</v>
      </c>
      <c r="G31" t="str">
        <f t="shared" si="5"/>
        <v>ALKA, ALAKASA INDUSTRINDO, Alakasa Industrindo, Alakasa Industrindo Tbk, AlakasaIndustrindo, PT Alakasa Industrindo</v>
      </c>
      <c r="H31" t="str">
        <f t="shared" si="6"/>
        <v>ALKA, ALAKASA INDUSTRINDO, Alakasa Industrindo, Alakasa Industrindo Tbk, AlakasaIndustrindo, PT Alakasa Industrindo</v>
      </c>
      <c r="I31" t="str">
        <f t="shared" si="3"/>
        <v>ALAKASA INDUSTRINDO</v>
      </c>
      <c r="J31" t="str">
        <f t="shared" si="7"/>
        <v>ALKA, Alakasa Industrindo, Alakasa Industrindo Tbk, AlakasaIndustrindo, PT Alakasa Industrindo</v>
      </c>
      <c r="K31" t="str">
        <f t="shared" si="8"/>
        <v>ALKA, Alakasa Industrindo, Alakasa Industrindo Tbk, AlakasaIndustrindo, PT Alakasa Industrindo</v>
      </c>
      <c r="L31" t="str">
        <f t="shared" si="4"/>
        <v>AlakasaIndustrindo</v>
      </c>
      <c r="M31" t="str">
        <f t="shared" si="9"/>
        <v>ALKA, Alakasa Industrindo, Alakasa Industrindo Tbk, PT Alakasa Industrindo</v>
      </c>
      <c r="N31" t="str">
        <f t="shared" si="10"/>
        <v>ALKA, Alakasa Industrindo, Alakasa Industrindo Tbk, PT Alakasa Industrindo</v>
      </c>
    </row>
    <row r="32" spans="1:14" x14ac:dyDescent="0.2">
      <c r="A32" t="s">
        <v>52</v>
      </c>
      <c r="B32" t="s">
        <v>3503</v>
      </c>
      <c r="C32" t="s">
        <v>7832</v>
      </c>
      <c r="D32" t="str">
        <f t="shared" si="0"/>
        <v>ALMI, ALUMINDO LIGHT METAL INDUSTRY, Alumindo Light Metal Industry, Alumindo Light Metal Industry Tbk, AlumindoLightMetalIndustry, PT Alumindo Light Metal Industry, alumindo light metal industry</v>
      </c>
      <c r="E32" t="str">
        <f t="shared" si="1"/>
        <v>ALMI, ALUMINDO LIGHT METAL INDUSTRY, Alumindo Light Metal Industry, Alumindo Light Metal Industry Tbk, AlumindoLightMetalIndustry, PT Alumindo Light Metal Industry, alumindo light metal industry</v>
      </c>
      <c r="F32" t="str">
        <f t="shared" si="2"/>
        <v>alumindo light metal industry</v>
      </c>
      <c r="G32" t="str">
        <f t="shared" si="5"/>
        <v>ALMI, ALUMINDO LIGHT METAL INDUSTRY, Alumindo Light Metal Industry, Alumindo Light Metal Industry Tbk, AlumindoLightMetalIndustry, PT Alumindo Light Metal Industry</v>
      </c>
      <c r="H32" t="str">
        <f t="shared" si="6"/>
        <v>ALMI, ALUMINDO LIGHT METAL INDUSTRY, Alumindo Light Metal Industry, Alumindo Light Metal Industry Tbk, AlumindoLightMetalIndustry, PT Alumindo Light Metal Industry</v>
      </c>
      <c r="I32" t="str">
        <f t="shared" si="3"/>
        <v>ALUMINDO LIGHT METAL INDUSTRY</v>
      </c>
      <c r="J32" t="str">
        <f t="shared" si="7"/>
        <v>ALMI, Alumindo Light Metal Industry, Alumindo Light Metal Industry Tbk, AlumindoLightMetalIndustry, PT Alumindo Light Metal Industry</v>
      </c>
      <c r="K32" t="str">
        <f t="shared" si="8"/>
        <v>ALMI, Alumindo Light Metal Industry, Alumindo Light Metal Industry Tbk, AlumindoLightMetalIndustry, PT Alumindo Light Metal Industry</v>
      </c>
      <c r="L32" t="str">
        <f t="shared" si="4"/>
        <v>AlumindoLightMetalIndustry</v>
      </c>
      <c r="M32" t="str">
        <f t="shared" si="9"/>
        <v>ALMI, Alumindo Light Metal Industry, Alumindo Light Metal Industry Tbk, PT Alumindo Light Metal Industry</v>
      </c>
      <c r="N32" t="str">
        <f t="shared" si="10"/>
        <v>ALMI, Alumindo Light Metal Industry, Alumindo Light Metal Industry Tbk, PT Alumindo Light Metal Industry</v>
      </c>
    </row>
    <row r="33" spans="1:14" x14ac:dyDescent="0.2">
      <c r="A33" t="s">
        <v>54</v>
      </c>
      <c r="B33" t="s">
        <v>55</v>
      </c>
      <c r="C33" t="s">
        <v>7833</v>
      </c>
      <c r="D33" t="str">
        <f t="shared" si="0"/>
        <v>ALTO, PT Tri Banyan Tirta, TRI BANYAN TIRTA, Tri Banyan Tirta, Tri Banyan Tirta Tbk, TriBanyanTirta, tri banyan tirta</v>
      </c>
      <c r="E33" t="str">
        <f t="shared" si="1"/>
        <v>ALTO, PT Tri Banyan Tirta, TRI BANYAN TIRTA, Tri Banyan Tirta, Tri Banyan Tirta Tbk, TriBanyanTirta, tri banyan tirta</v>
      </c>
      <c r="F33" t="str">
        <f t="shared" si="2"/>
        <v>tri banyan tirta</v>
      </c>
      <c r="G33" t="str">
        <f t="shared" si="5"/>
        <v>ALTO, PT Tri Banyan Tirta, TRI BANYAN TIRTA, Tri Banyan Tirta, Tri Banyan Tirta Tbk, TriBanyanTirta</v>
      </c>
      <c r="H33" t="str">
        <f t="shared" si="6"/>
        <v>ALTO, PT Tri Banyan Tirta, TRI BANYAN TIRTA, Tri Banyan Tirta, Tri Banyan Tirta Tbk, TriBanyanTirta</v>
      </c>
      <c r="I33" t="str">
        <f t="shared" si="3"/>
        <v>TRI BANYAN TIRTA</v>
      </c>
      <c r="J33" t="str">
        <f t="shared" si="7"/>
        <v>ALTO, PT Tri Banyan Tirta, Tri Banyan Tirta, Tri Banyan Tirta Tbk, TriBanyanTirta</v>
      </c>
      <c r="K33" t="str">
        <f t="shared" si="8"/>
        <v>ALTO, PT Tri Banyan Tirta, Tri Banyan Tirta, Tri Banyan Tirta Tbk, TriBanyanTirta</v>
      </c>
      <c r="L33" t="str">
        <f t="shared" si="4"/>
        <v>TriBanyanTirta</v>
      </c>
      <c r="M33" t="str">
        <f t="shared" si="9"/>
        <v>ALTO, PT Tri Banyan Tirta, Tri Banyan Tirta, Tri Banyan Tirta Tbk</v>
      </c>
      <c r="N33" t="str">
        <f t="shared" si="10"/>
        <v>ALTO, PT Tri Banyan Tirta, Tri Banyan Tirta, Tri Banyan Tirta Tbk</v>
      </c>
    </row>
    <row r="34" spans="1:14" x14ac:dyDescent="0.2">
      <c r="A34" t="s">
        <v>57</v>
      </c>
      <c r="B34" t="s">
        <v>58</v>
      </c>
      <c r="C34" t="s">
        <v>7834</v>
      </c>
      <c r="D34" t="str">
        <f t="shared" si="0"/>
        <v>AMAG, ASURANSI MULTI ARTHA GUNA, Asuransi Multi Artha Guna, Asuransi Multi Artha Guna Tbk, AsuransiMultiArthaGuna, PT Asuransi Multi Artha Guna, asuransi multi artha guna</v>
      </c>
      <c r="E34" t="str">
        <f t="shared" si="1"/>
        <v>AMAG, ASURANSI MULTI ARTHA GUNA, Asuransi Multi Artha Guna, Asuransi Multi Artha Guna Tbk, AsuransiMultiArthaGuna, PT Asuransi Multi Artha Guna, asuransi multi artha guna</v>
      </c>
      <c r="F34" t="str">
        <f t="shared" si="2"/>
        <v>asuransi multi artha guna</v>
      </c>
      <c r="G34" t="str">
        <f t="shared" si="5"/>
        <v>AMAG, ASURANSI MULTI ARTHA GUNA, Asuransi Multi Artha Guna, Asuransi Multi Artha Guna Tbk, AsuransiMultiArthaGuna, PT Asuransi Multi Artha Guna</v>
      </c>
      <c r="H34" t="str">
        <f t="shared" si="6"/>
        <v>AMAG, ASURANSI MULTI ARTHA GUNA, Asuransi Multi Artha Guna, Asuransi Multi Artha Guna Tbk, AsuransiMultiArthaGuna, PT Asuransi Multi Artha Guna</v>
      </c>
      <c r="I34" t="str">
        <f t="shared" si="3"/>
        <v>ASURANSI MULTI ARTHA GUNA</v>
      </c>
      <c r="J34" t="str">
        <f t="shared" si="7"/>
        <v>AMAG, Asuransi Multi Artha Guna, Asuransi Multi Artha Guna Tbk, AsuransiMultiArthaGuna, PT Asuransi Multi Artha Guna</v>
      </c>
      <c r="K34" t="str">
        <f t="shared" si="8"/>
        <v>AMAG, Asuransi Multi Artha Guna, Asuransi Multi Artha Guna Tbk, AsuransiMultiArthaGuna, PT Asuransi Multi Artha Guna</v>
      </c>
      <c r="L34" t="str">
        <f t="shared" si="4"/>
        <v>AsuransiMultiArthaGuna</v>
      </c>
      <c r="M34" t="str">
        <f t="shared" si="9"/>
        <v>AMAG, Asuransi Multi Artha Guna, Asuransi Multi Artha Guna Tbk, PT Asuransi Multi Artha Guna</v>
      </c>
      <c r="N34" t="str">
        <f t="shared" si="10"/>
        <v>AMAG, Asuransi Multi Artha Guna, Asuransi Multi Artha Guna Tbk, PT Asuransi Multi Artha Guna</v>
      </c>
    </row>
    <row r="35" spans="1:14" x14ac:dyDescent="0.2">
      <c r="A35" t="s">
        <v>2598</v>
      </c>
      <c r="B35" t="s">
        <v>2599</v>
      </c>
      <c r="C35" t="s">
        <v>7835</v>
      </c>
      <c r="D35" t="str">
        <f t="shared" si="0"/>
        <v>AMAN, MAKMUR BERKAH AMANDA, Makmur Berkah Amanda, Makmur Berkah Amanda Tbk, MakmurBerkahAmanda, PT Makmur Berkah Amanda, makmur berkah amanda</v>
      </c>
      <c r="E35" t="str">
        <f t="shared" si="1"/>
        <v>AMAN, MAKMUR BERKAH AMANDA, Makmur Berkah Amanda, Makmur Berkah Amanda Tbk, MakmurBerkahAmanda, PT Makmur Berkah Amanda, makmur berkah amanda</v>
      </c>
      <c r="F35" t="str">
        <f t="shared" si="2"/>
        <v>makmur berkah amanda</v>
      </c>
      <c r="G35" t="str">
        <f t="shared" si="5"/>
        <v>AMAN, MAKMUR BERKAH AMANDA, Makmur Berkah Amanda, Makmur Berkah Amanda Tbk, MakmurBerkahAmanda, PT Makmur Berkah Amanda</v>
      </c>
      <c r="H35" t="str">
        <f t="shared" si="6"/>
        <v>AMAN, MAKMUR BERKAH AMANDA, Makmur Berkah Amanda, Makmur Berkah Amanda Tbk, MakmurBerkahAmanda, PT Makmur Berkah Amanda</v>
      </c>
      <c r="I35" t="str">
        <f t="shared" si="3"/>
        <v>MAKMUR BERKAH AMANDA</v>
      </c>
      <c r="J35" t="str">
        <f t="shared" si="7"/>
        <v>AMAN, Makmur Berkah Amanda, Makmur Berkah Amanda Tbk, MakmurBerkahAmanda, PT Makmur Berkah Amanda</v>
      </c>
      <c r="K35" t="str">
        <f t="shared" si="8"/>
        <v>AMAN, Makmur Berkah Amanda, Makmur Berkah Amanda Tbk, MakmurBerkahAmanda, PT Makmur Berkah Amanda</v>
      </c>
      <c r="L35" t="str">
        <f t="shared" si="4"/>
        <v>MakmurBerkahAmanda</v>
      </c>
      <c r="M35" t="str">
        <f t="shared" si="9"/>
        <v>AMAN, Makmur Berkah Amanda, Makmur Berkah Amanda Tbk, PT Makmur Berkah Amanda</v>
      </c>
      <c r="N35" t="str">
        <f t="shared" si="10"/>
        <v>AMAN, Makmur Berkah Amanda, Makmur Berkah Amanda Tbk, PT Makmur Berkah Amanda</v>
      </c>
    </row>
    <row r="36" spans="1:14" x14ac:dyDescent="0.2">
      <c r="A36" t="s">
        <v>1796</v>
      </c>
      <c r="B36" t="s">
        <v>1797</v>
      </c>
      <c r="C36" t="s">
        <v>7836</v>
      </c>
      <c r="D36" t="str">
        <f t="shared" si="0"/>
        <v>AMAR, BANK AMAR INDONESIA, Bank Amar Indonesia, Bank Amar Indonesia Tbk, BankAmarIndonesia, PT Bank Amar Indonesia, bank amar indonesia</v>
      </c>
      <c r="E36" t="str">
        <f t="shared" si="1"/>
        <v>AMAR, BANK AMAR INDONESIA, Bank Amar Indonesia, Bank Amar Indonesia Tbk, BankAmarIndonesia, PT Bank Amar Indonesia, bank amar indonesia</v>
      </c>
      <c r="F36" t="str">
        <f t="shared" si="2"/>
        <v>bank amar indonesia</v>
      </c>
      <c r="G36" t="str">
        <f t="shared" si="5"/>
        <v>AMAR, BANK AMAR INDONESIA, Bank Amar Indonesia, Bank Amar Indonesia Tbk, BankAmarIndonesia, PT Bank Amar Indonesia</v>
      </c>
      <c r="H36" t="str">
        <f t="shared" si="6"/>
        <v>AMAR, BANK AMAR INDONESIA, Bank Amar Indonesia, Bank Amar Indonesia Tbk, BankAmarIndonesia, PT Bank Amar Indonesia</v>
      </c>
      <c r="I36" t="str">
        <f t="shared" si="3"/>
        <v>BANK AMAR INDONESIA</v>
      </c>
      <c r="J36" t="str">
        <f t="shared" si="7"/>
        <v>AMAR, Bank Amar Indonesia, Bank Amar Indonesia Tbk, BankAmarIndonesia, PT Bank Amar Indonesia</v>
      </c>
      <c r="K36" t="str">
        <f t="shared" si="8"/>
        <v>AMAR, Bank Amar Indonesia, Bank Amar Indonesia Tbk, BankAmarIndonesia, PT Bank Amar Indonesia</v>
      </c>
      <c r="L36" t="str">
        <f t="shared" si="4"/>
        <v>BankAmarIndonesia</v>
      </c>
      <c r="M36" t="str">
        <f t="shared" si="9"/>
        <v>AMAR, Bank Amar Indonesia, Bank Amar Indonesia Tbk, PT Bank Amar Indonesia</v>
      </c>
      <c r="N36" t="str">
        <f t="shared" si="10"/>
        <v>AMAR, Bank Amar Indonesia, Bank Amar Indonesia Tbk, PT Bank Amar Indonesia</v>
      </c>
    </row>
    <row r="37" spans="1:14" x14ac:dyDescent="0.2">
      <c r="A37" t="s">
        <v>60</v>
      </c>
      <c r="B37" t="s">
        <v>61</v>
      </c>
      <c r="C37" t="s">
        <v>7837</v>
      </c>
      <c r="D37" t="str">
        <f t="shared" si="0"/>
        <v>AMFG, ASAHIMAS FLAT GLASS, Asahimas Flat Glass, Asahimas Flat Glass Tbk, AsahimasFlatGlass, PT Asahimas Flat Glass, asahimas flat glass</v>
      </c>
      <c r="E37" t="str">
        <f t="shared" si="1"/>
        <v>AMFG, ASAHIMAS FLAT GLASS, Asahimas Flat Glass, Asahimas Flat Glass Tbk, AsahimasFlatGlass, PT Asahimas Flat Glass, asahimas flat glass</v>
      </c>
      <c r="F37" t="str">
        <f t="shared" si="2"/>
        <v>asahimas flat glass</v>
      </c>
      <c r="G37" t="str">
        <f t="shared" si="5"/>
        <v>AMFG, ASAHIMAS FLAT GLASS, Asahimas Flat Glass, Asahimas Flat Glass Tbk, AsahimasFlatGlass, PT Asahimas Flat Glass</v>
      </c>
      <c r="H37" t="str">
        <f t="shared" si="6"/>
        <v>AMFG, ASAHIMAS FLAT GLASS, Asahimas Flat Glass, Asahimas Flat Glass Tbk, AsahimasFlatGlass, PT Asahimas Flat Glass</v>
      </c>
      <c r="I37" t="str">
        <f t="shared" si="3"/>
        <v>ASAHIMAS FLAT GLASS</v>
      </c>
      <c r="J37" t="str">
        <f t="shared" si="7"/>
        <v>AMFG, Asahimas Flat Glass, Asahimas Flat Glass Tbk, AsahimasFlatGlass, PT Asahimas Flat Glass</v>
      </c>
      <c r="K37" t="str">
        <f t="shared" si="8"/>
        <v>AMFG, Asahimas Flat Glass, Asahimas Flat Glass Tbk, AsahimasFlatGlass, PT Asahimas Flat Glass</v>
      </c>
      <c r="L37" t="str">
        <f t="shared" si="4"/>
        <v>AsahimasFlatGlass</v>
      </c>
      <c r="M37" t="str">
        <f t="shared" si="9"/>
        <v>AMFG, Asahimas Flat Glass, Asahimas Flat Glass Tbk, PT Asahimas Flat Glass</v>
      </c>
      <c r="N37" t="str">
        <f t="shared" si="10"/>
        <v>AMFG, Asahimas Flat Glass, Asahimas Flat Glass Tbk, PT Asahimas Flat Glass</v>
      </c>
    </row>
    <row r="38" spans="1:14" x14ac:dyDescent="0.2">
      <c r="A38" t="s">
        <v>63</v>
      </c>
      <c r="B38" t="s">
        <v>3504</v>
      </c>
      <c r="C38" t="s">
        <v>7838</v>
      </c>
      <c r="D38" t="str">
        <f t="shared" si="0"/>
        <v>AMIN, ATELIERS MECANIQUES D INDONESIE, Ateliers Mecaniques D Indonesie, Ateliers Mecaniques D Indonesie Tbk, AteliersMecaniquesDIndonesie, PT Ateliers Mecaniques D Indonesie, ateliers mecaniques d indonesie</v>
      </c>
      <c r="E38" t="str">
        <f t="shared" si="1"/>
        <v>AMIN, ATELIERS MECANIQUES D INDONESIE, Ateliers Mecaniques D Indonesie, Ateliers Mecaniques D Indonesie Tbk, AteliersMecaniquesDIndonesie, PT Ateliers Mecaniques D Indonesie, ateliers mecaniques d indonesie</v>
      </c>
      <c r="F38" t="str">
        <f t="shared" si="2"/>
        <v>ateliers mecaniques d indonesie</v>
      </c>
      <c r="G38" t="str">
        <f t="shared" si="5"/>
        <v>AMIN, ATELIERS MECANIQUES D INDONESIE, Ateliers Mecaniques D Indonesie, Ateliers Mecaniques D Indonesie Tbk, AteliersMecaniquesDIndonesie, PT Ateliers Mecaniques D Indonesie</v>
      </c>
      <c r="H38" t="str">
        <f t="shared" si="6"/>
        <v>AMIN, ATELIERS MECANIQUES D INDONESIE, Ateliers Mecaniques D Indonesie, Ateliers Mecaniques D Indonesie Tbk, AteliersMecaniquesDIndonesie, PT Ateliers Mecaniques D Indonesie</v>
      </c>
      <c r="I38" t="str">
        <f t="shared" si="3"/>
        <v>ATELIERS MECANIQUES D INDONESIE</v>
      </c>
      <c r="J38" t="str">
        <f t="shared" si="7"/>
        <v>AMIN, Ateliers Mecaniques D Indonesie, Ateliers Mecaniques D Indonesie Tbk, AteliersMecaniquesDIndonesie, PT Ateliers Mecaniques D Indonesie</v>
      </c>
      <c r="K38" t="str">
        <f t="shared" si="8"/>
        <v>AMIN, Ateliers Mecaniques D Indonesie, Ateliers Mecaniques D Indonesie Tbk, AteliersMecaniquesDIndonesie, PT Ateliers Mecaniques D Indonesie</v>
      </c>
      <c r="L38" t="str">
        <f t="shared" si="4"/>
        <v>AteliersMecaniquesDIndonesie</v>
      </c>
      <c r="M38" t="str">
        <f t="shared" si="9"/>
        <v>AMIN, Ateliers Mecaniques D Indonesie, Ateliers Mecaniques D Indonesie Tbk, PT Ateliers Mecaniques D Indonesie</v>
      </c>
      <c r="N38" t="str">
        <f t="shared" si="10"/>
        <v>AMIN, Ateliers Mecaniques D Indonesie, Ateliers Mecaniques D Indonesie Tbk, PT Ateliers Mecaniques D Indonesie</v>
      </c>
    </row>
    <row r="39" spans="1:14" x14ac:dyDescent="0.2">
      <c r="A39" t="s">
        <v>2319</v>
      </c>
      <c r="B39" t="s">
        <v>3505</v>
      </c>
      <c r="C39" t="s">
        <v>7839</v>
      </c>
      <c r="D39" t="str">
        <f t="shared" si="0"/>
        <v>AMMN, AMMAN MINERAL INTERNASIONAL, Amman Mineral Internasional, Amman Mineral Internasional Tbk, AmmanMineralInternasional, PT Amman Mineral Internasional, amman mineral internasional</v>
      </c>
      <c r="E39" t="str">
        <f t="shared" si="1"/>
        <v>AMMN, AMMAN MINERAL INTERNASIONAL, Amman Mineral Internasional, Amman Mineral Internasional Tbk, AmmanMineralInternasional, PT Amman Mineral Internasional, amman mineral internasional</v>
      </c>
      <c r="F39" t="str">
        <f t="shared" si="2"/>
        <v>amman mineral internasional</v>
      </c>
      <c r="G39" t="str">
        <f t="shared" si="5"/>
        <v>AMMN, AMMAN MINERAL INTERNASIONAL, Amman Mineral Internasional, Amman Mineral Internasional Tbk, AmmanMineralInternasional, PT Amman Mineral Internasional</v>
      </c>
      <c r="H39" t="str">
        <f t="shared" si="6"/>
        <v>AMMN, AMMAN MINERAL INTERNASIONAL, Amman Mineral Internasional, Amman Mineral Internasional Tbk, AmmanMineralInternasional, PT Amman Mineral Internasional</v>
      </c>
      <c r="I39" t="str">
        <f t="shared" si="3"/>
        <v>AMMAN MINERAL INTERNASIONAL</v>
      </c>
      <c r="J39" t="str">
        <f t="shared" si="7"/>
        <v>AMMN, Amman Mineral Internasional, Amman Mineral Internasional Tbk, AmmanMineralInternasional, PT Amman Mineral Internasional</v>
      </c>
      <c r="K39" t="str">
        <f t="shared" si="8"/>
        <v>AMMN, Amman Mineral Internasional, Amman Mineral Internasional Tbk, AmmanMineralInternasional, PT Amman Mineral Internasional</v>
      </c>
      <c r="L39" t="str">
        <f t="shared" si="4"/>
        <v>AmmanMineralInternasional</v>
      </c>
      <c r="M39" t="str">
        <f t="shared" si="9"/>
        <v>AMMN, Amman Mineral Internasional, Amman Mineral Internasional Tbk, PT Amman Mineral Internasional</v>
      </c>
      <c r="N39" t="str">
        <f t="shared" si="10"/>
        <v>AMMN, Amman Mineral Internasional, Amman Mineral Internasional Tbk, PT Amman Mineral Internasional</v>
      </c>
    </row>
    <row r="40" spans="1:14" x14ac:dyDescent="0.2">
      <c r="A40" t="s">
        <v>2146</v>
      </c>
      <c r="B40" t="s">
        <v>2147</v>
      </c>
      <c r="C40" t="s">
        <v>7840</v>
      </c>
      <c r="D40" t="str">
        <f t="shared" si="0"/>
        <v>AMMS, AGUNG MENJANGAN MAS, Agung Menjangan Mas, Agung Menjangan Mas Tbk, AgungMenjanganMas, PT Agung Menjangan Mas, agung menjangan mas</v>
      </c>
      <c r="E40" t="str">
        <f t="shared" si="1"/>
        <v>AMMS, AGUNG MENJANGAN MAS, Agung Menjangan Mas, Agung Menjangan Mas Tbk, AgungMenjanganMas, PT Agung Menjangan Mas, agung menjangan mas</v>
      </c>
      <c r="F40" t="str">
        <f t="shared" si="2"/>
        <v>agung menjangan mas</v>
      </c>
      <c r="G40" t="str">
        <f t="shared" si="5"/>
        <v>AMMS, AGUNG MENJANGAN MAS, Agung Menjangan Mas, Agung Menjangan Mas Tbk, AgungMenjanganMas, PT Agung Menjangan Mas</v>
      </c>
      <c r="H40" t="str">
        <f t="shared" si="6"/>
        <v>AMMS, AGUNG MENJANGAN MAS, Agung Menjangan Mas, Agung Menjangan Mas Tbk, AgungMenjanganMas, PT Agung Menjangan Mas</v>
      </c>
      <c r="I40" t="str">
        <f t="shared" si="3"/>
        <v>AGUNG MENJANGAN MAS</v>
      </c>
      <c r="J40" t="str">
        <f t="shared" si="7"/>
        <v>AMMS, Agung Menjangan Mas, Agung Menjangan Mas Tbk, AgungMenjanganMas, PT Agung Menjangan Mas</v>
      </c>
      <c r="K40" t="str">
        <f t="shared" si="8"/>
        <v>AMMS, Agung Menjangan Mas, Agung Menjangan Mas Tbk, AgungMenjanganMas, PT Agung Menjangan Mas</v>
      </c>
      <c r="L40" t="str">
        <f t="shared" si="4"/>
        <v>AgungMenjanganMas</v>
      </c>
      <c r="M40" t="str">
        <f t="shared" si="9"/>
        <v>AMMS, Agung Menjangan Mas, Agung Menjangan Mas Tbk, PT Agung Menjangan Mas</v>
      </c>
      <c r="N40" t="str">
        <f t="shared" si="10"/>
        <v>AMMS, Agung Menjangan Mas, Agung Menjangan Mas Tbk, PT Agung Menjangan Mas</v>
      </c>
    </row>
    <row r="41" spans="1:14" x14ac:dyDescent="0.2">
      <c r="A41" t="s">
        <v>1805</v>
      </c>
      <c r="B41" t="s">
        <v>3506</v>
      </c>
      <c r="C41" t="s">
        <v>7841</v>
      </c>
      <c r="D41" t="str">
        <f t="shared" si="0"/>
        <v>AMOR, ASHMORE ASSET MANAGEMENT INDONESIA, Ashmore Asset Management Indonesia, Ashmore Asset Management Indonesia Tbk, AshmoreAssetManagementIndonesia, PT Ashmore Asset Management Indonesia, ashmore asset management indonesia</v>
      </c>
      <c r="E41" t="str">
        <f t="shared" si="1"/>
        <v>AMOR, ASHMORE ASSET MANAGEMENT INDONESIA, Ashmore Asset Management Indonesia, Ashmore Asset Management Indonesia Tbk, AshmoreAssetManagementIndonesia, PT Ashmore Asset Management Indonesia, ashmore asset management indonesia</v>
      </c>
      <c r="F41" t="str">
        <f t="shared" si="2"/>
        <v>ashmore asset management indonesia</v>
      </c>
      <c r="G41" t="str">
        <f t="shared" si="5"/>
        <v>AMOR, ASHMORE ASSET MANAGEMENT INDONESIA, Ashmore Asset Management Indonesia, Ashmore Asset Management Indonesia Tbk, AshmoreAssetManagementIndonesia, PT Ashmore Asset Management Indonesia</v>
      </c>
      <c r="H41" t="str">
        <f t="shared" si="6"/>
        <v>AMOR, ASHMORE ASSET MANAGEMENT INDONESIA, Ashmore Asset Management Indonesia, Ashmore Asset Management Indonesia Tbk, AshmoreAssetManagementIndonesia, PT Ashmore Asset Management Indonesia</v>
      </c>
      <c r="I41" t="str">
        <f t="shared" si="3"/>
        <v>ASHMORE ASSET MANAGEMENT INDONESIA</v>
      </c>
      <c r="J41" t="str">
        <f t="shared" si="7"/>
        <v>AMOR, Ashmore Asset Management Indonesia, Ashmore Asset Management Indonesia Tbk, AshmoreAssetManagementIndonesia, PT Ashmore Asset Management Indonesia</v>
      </c>
      <c r="K41" t="str">
        <f t="shared" si="8"/>
        <v>AMOR, Ashmore Asset Management Indonesia, Ashmore Asset Management Indonesia Tbk, AshmoreAssetManagementIndonesia, PT Ashmore Asset Management Indonesia</v>
      </c>
      <c r="L41" t="str">
        <f t="shared" si="4"/>
        <v>AshmoreAssetManagementIndonesia</v>
      </c>
      <c r="M41" t="str">
        <f t="shared" si="9"/>
        <v>AMOR, Ashmore Asset Management Indonesia, Ashmore Asset Management Indonesia Tbk, PT Ashmore Asset Management Indonesia</v>
      </c>
      <c r="N41" t="str">
        <f t="shared" si="10"/>
        <v>AMOR, Ashmore Asset Management Indonesia, Ashmore Asset Management Indonesia Tbk, PT Ashmore Asset Management Indonesia</v>
      </c>
    </row>
    <row r="42" spans="1:14" x14ac:dyDescent="0.2">
      <c r="A42" t="s">
        <v>65</v>
      </c>
      <c r="B42" t="s">
        <v>66</v>
      </c>
      <c r="C42" t="s">
        <v>7842</v>
      </c>
      <c r="D42" t="str">
        <f t="shared" si="0"/>
        <v>AMRT, PT Sumber Alfaria Trijaya, SUMBER ALFARIA TRIJAYA, Sumber Alfaria Trijaya, Sumber Alfaria Trijaya Tbk, SumberAlfariaTrijaya, sumber alfaria trijaya</v>
      </c>
      <c r="E42" t="str">
        <f t="shared" si="1"/>
        <v>AMRT, PT Sumber Alfaria Trijaya, SUMBER ALFARIA TRIJAYA, Sumber Alfaria Trijaya, Sumber Alfaria Trijaya Tbk, SumberAlfariaTrijaya, sumber alfaria trijaya</v>
      </c>
      <c r="F42" t="str">
        <f t="shared" si="2"/>
        <v>sumber alfaria trijaya</v>
      </c>
      <c r="G42" t="str">
        <f t="shared" si="5"/>
        <v>AMRT, PT Sumber Alfaria Trijaya, SUMBER ALFARIA TRIJAYA, Sumber Alfaria Trijaya, Sumber Alfaria Trijaya Tbk, SumberAlfariaTrijaya</v>
      </c>
      <c r="H42" t="str">
        <f t="shared" si="6"/>
        <v>AMRT, PT Sumber Alfaria Trijaya, SUMBER ALFARIA TRIJAYA, Sumber Alfaria Trijaya, Sumber Alfaria Trijaya Tbk, SumberAlfariaTrijaya</v>
      </c>
      <c r="I42" t="str">
        <f t="shared" si="3"/>
        <v>SUMBER ALFARIA TRIJAYA</v>
      </c>
      <c r="J42" t="str">
        <f t="shared" si="7"/>
        <v>AMRT, PT Sumber Alfaria Trijaya, Sumber Alfaria Trijaya, Sumber Alfaria Trijaya Tbk, SumberAlfariaTrijaya</v>
      </c>
      <c r="K42" t="str">
        <f t="shared" si="8"/>
        <v>AMRT, PT Sumber Alfaria Trijaya, Sumber Alfaria Trijaya, Sumber Alfaria Trijaya Tbk, SumberAlfariaTrijaya</v>
      </c>
      <c r="L42" t="str">
        <f t="shared" si="4"/>
        <v>SumberAlfariaTrijaya</v>
      </c>
      <c r="M42" t="str">
        <f t="shared" si="9"/>
        <v>AMRT, PT Sumber Alfaria Trijaya, Sumber Alfaria Trijaya, Sumber Alfaria Trijaya Tbk</v>
      </c>
      <c r="N42" t="str">
        <f t="shared" si="10"/>
        <v>AMRT, PT Sumber Alfaria Trijaya, Sumber Alfaria Trijaya, Sumber Alfaria Trijaya Tbk</v>
      </c>
    </row>
    <row r="43" spans="1:14" x14ac:dyDescent="0.2">
      <c r="A43" t="s">
        <v>1571</v>
      </c>
      <c r="B43" t="s">
        <v>1572</v>
      </c>
      <c r="C43" t="s">
        <v>7843</v>
      </c>
      <c r="D43" t="str">
        <f t="shared" si="0"/>
        <v>ANDI, ANDIRA AGRO, Andira Agro, Andira Agro Tbk, AndiraAgro, PT Andira Agro, andira agro</v>
      </c>
      <c r="E43" t="str">
        <f t="shared" si="1"/>
        <v>ANDI, ANDIRA AGRO, Andira Agro, Andira Agro Tbk, AndiraAgro, PT Andira Agro, andira agro</v>
      </c>
      <c r="F43" t="str">
        <f t="shared" si="2"/>
        <v>andira agro</v>
      </c>
      <c r="G43" t="str">
        <f t="shared" si="5"/>
        <v>ANDI, ANDIRA AGRO, Andira Agro, Andira Agro Tbk, AndiraAgro, PT Andira Agro</v>
      </c>
      <c r="H43" t="str">
        <f t="shared" si="6"/>
        <v>ANDI, ANDIRA AGRO, Andira Agro, Andira Agro Tbk, AndiraAgro, PT Andira Agro</v>
      </c>
      <c r="I43" t="str">
        <f t="shared" si="3"/>
        <v>ANDIRA AGRO</v>
      </c>
      <c r="J43" t="str">
        <f t="shared" si="7"/>
        <v>ANDI, Andira Agro, Andira Agro Tbk, AndiraAgro, PT Andira Agro</v>
      </c>
      <c r="K43" t="str">
        <f t="shared" si="8"/>
        <v>ANDI, Andira Agro, Andira Agro Tbk, AndiraAgro, PT Andira Agro</v>
      </c>
      <c r="L43" t="str">
        <f t="shared" si="4"/>
        <v>AndiraAgro</v>
      </c>
      <c r="M43" t="str">
        <f t="shared" si="9"/>
        <v>ANDI, Andira Agro, Andira Agro Tbk, PT Andira Agro</v>
      </c>
      <c r="N43" t="str">
        <f t="shared" si="10"/>
        <v>ANDI, Andira Agro, Andira Agro Tbk, PT Andira Agro</v>
      </c>
    </row>
    <row r="44" spans="1:14" x14ac:dyDescent="0.2">
      <c r="A44" t="s">
        <v>68</v>
      </c>
      <c r="B44" t="s">
        <v>69</v>
      </c>
      <c r="C44" t="s">
        <v>7844</v>
      </c>
      <c r="D44" t="str">
        <f t="shared" si="0"/>
        <v>ANJT, ANJ, AUSTINDO NUSANTARA JAYA, Austindo Nusantara Jaya, Austindo Nusantara Jaya Tbk, AustindoNusantaraJaya, PT Austindo Nusantara Jaya, austindo nusantara jaya</v>
      </c>
      <c r="E44" t="str">
        <f t="shared" si="1"/>
        <v>ANJT, ANJ, AUSTINDO NUSANTARA JAYA, Austindo Nusantara Jaya, Austindo Nusantara Jaya Tbk, AustindoNusantaraJaya, PT Austindo Nusantara Jaya, austindo nusantara jaya</v>
      </c>
      <c r="F44" t="str">
        <f t="shared" si="2"/>
        <v>austindo nusantara jaya</v>
      </c>
      <c r="G44" t="str">
        <f t="shared" si="5"/>
        <v>ANJT, ANJ, AUSTINDO NUSANTARA JAYA, Austindo Nusantara Jaya, Austindo Nusantara Jaya Tbk, AustindoNusantaraJaya, PT Austindo Nusantara Jaya</v>
      </c>
      <c r="H44" t="str">
        <f t="shared" si="6"/>
        <v>ANJT, ANJ, AUSTINDO NUSANTARA JAYA, Austindo Nusantara Jaya, Austindo Nusantara Jaya Tbk, AustindoNusantaraJaya, PT Austindo Nusantara Jaya</v>
      </c>
      <c r="I44" t="str">
        <f t="shared" si="3"/>
        <v>AUSTINDO NUSANTARA JAYA</v>
      </c>
      <c r="J44" t="str">
        <f t="shared" si="7"/>
        <v>ANJT, ANJ, Austindo Nusantara Jaya, Austindo Nusantara Jaya Tbk, AustindoNusantaraJaya, PT Austindo Nusantara Jaya</v>
      </c>
      <c r="K44" t="str">
        <f t="shared" si="8"/>
        <v>ANJT, ANJ, Austindo Nusantara Jaya, Austindo Nusantara Jaya Tbk, AustindoNusantaraJaya, PT Austindo Nusantara Jaya</v>
      </c>
      <c r="L44" t="str">
        <f t="shared" si="4"/>
        <v>AustindoNusantaraJaya</v>
      </c>
      <c r="M44" t="str">
        <f t="shared" si="9"/>
        <v>ANJT, ANJ, Austindo Nusantara Jaya, Austindo Nusantara Jaya Tbk, PT Austindo Nusantara Jaya</v>
      </c>
      <c r="N44" t="str">
        <f t="shared" si="10"/>
        <v>ANJT, ANJ, Austindo Nusantara Jaya, Austindo Nusantara Jaya Tbk, PT Austindo Nusantara Jaya</v>
      </c>
    </row>
    <row r="45" spans="1:14" x14ac:dyDescent="0.2">
      <c r="A45" t="s">
        <v>71</v>
      </c>
      <c r="B45" t="s">
        <v>72</v>
      </c>
      <c r="C45" t="s">
        <v>7845</v>
      </c>
      <c r="D45" t="str">
        <f t="shared" si="0"/>
        <v>ANTM, ANTAM, ANEKA TAMBANG, Aneka Tambang, Aneka Tambang Tbk, AnekaTambang, PT Aneka Tambang, aneka tambang</v>
      </c>
      <c r="E45" t="str">
        <f t="shared" si="1"/>
        <v>ANTM, ANTAM, ANEKA TAMBANG, Aneka Tambang, Aneka Tambang Tbk, AnekaTambang, PT Aneka Tambang, aneka tambang</v>
      </c>
      <c r="F45" t="str">
        <f t="shared" si="2"/>
        <v>aneka tambang</v>
      </c>
      <c r="G45" t="str">
        <f t="shared" si="5"/>
        <v>ANTM, ANTAM, ANEKA TAMBANG, Aneka Tambang, Aneka Tambang Tbk, AnekaTambang, PT Aneka Tambang</v>
      </c>
      <c r="H45" t="str">
        <f t="shared" si="6"/>
        <v>ANTM, ANTAM, ANEKA TAMBANG, Aneka Tambang, Aneka Tambang Tbk, AnekaTambang, PT Aneka Tambang</v>
      </c>
      <c r="I45" t="str">
        <f t="shared" si="3"/>
        <v>ANEKA TAMBANG</v>
      </c>
      <c r="J45" t="str">
        <f t="shared" si="7"/>
        <v>ANTM, ANTAM, Aneka Tambang, Aneka Tambang Tbk, AnekaTambang, PT Aneka Tambang</v>
      </c>
      <c r="K45" t="str">
        <f t="shared" si="8"/>
        <v>ANTM, ANTAM, Aneka Tambang, Aneka Tambang Tbk, AnekaTambang, PT Aneka Tambang</v>
      </c>
      <c r="L45" t="str">
        <f t="shared" si="4"/>
        <v>AnekaTambang</v>
      </c>
      <c r="M45" t="str">
        <f t="shared" si="9"/>
        <v>ANTM, ANTAM, Aneka Tambang, Aneka Tambang Tbk, PT Aneka Tambang</v>
      </c>
      <c r="N45" t="str">
        <f t="shared" si="10"/>
        <v>ANTM, ANTAM, Aneka Tambang, Aneka Tambang Tbk, PT Aneka Tambang</v>
      </c>
    </row>
    <row r="46" spans="1:14" x14ac:dyDescent="0.2">
      <c r="A46" t="s">
        <v>74</v>
      </c>
      <c r="B46" t="s">
        <v>75</v>
      </c>
      <c r="C46" t="s">
        <v>7846</v>
      </c>
      <c r="D46" t="str">
        <f t="shared" si="0"/>
        <v>APEX, APEXINDO PRATAMA DUTA, Apexindo Pratama Duta, Apexindo Pratama Duta Tbk, ApexindoPratamaDuta, PT Apexindo Pratama Duta, apexindo pratama duta</v>
      </c>
      <c r="E46" t="str">
        <f t="shared" si="1"/>
        <v>APEX, APEXINDO PRATAMA DUTA, Apexindo Pratama Duta, Apexindo Pratama Duta Tbk, ApexindoPratamaDuta, PT Apexindo Pratama Duta, apexindo pratama duta</v>
      </c>
      <c r="F46" t="str">
        <f t="shared" si="2"/>
        <v>apexindo pratama duta</v>
      </c>
      <c r="G46" t="str">
        <f t="shared" si="5"/>
        <v>APEX, APEXINDO PRATAMA DUTA, Apexindo Pratama Duta, Apexindo Pratama Duta Tbk, ApexindoPratamaDuta, PT Apexindo Pratama Duta</v>
      </c>
      <c r="H46" t="str">
        <f t="shared" si="6"/>
        <v>APEX, APEXINDO PRATAMA DUTA, Apexindo Pratama Duta, Apexindo Pratama Duta Tbk, ApexindoPratamaDuta, PT Apexindo Pratama Duta</v>
      </c>
      <c r="I46" t="str">
        <f t="shared" si="3"/>
        <v>APEXINDO PRATAMA DUTA</v>
      </c>
      <c r="J46" t="str">
        <f t="shared" si="7"/>
        <v>APEX, Apexindo Pratama Duta, Apexindo Pratama Duta Tbk, ApexindoPratamaDuta, PT Apexindo Pratama Duta</v>
      </c>
      <c r="K46" t="str">
        <f t="shared" si="8"/>
        <v>APEX, Apexindo Pratama Duta, Apexindo Pratama Duta Tbk, ApexindoPratamaDuta, PT Apexindo Pratama Duta</v>
      </c>
      <c r="L46" t="str">
        <f t="shared" si="4"/>
        <v>ApexindoPratamaDuta</v>
      </c>
      <c r="M46" t="str">
        <f t="shared" si="9"/>
        <v>APEX, Apexindo Pratama Duta, Apexindo Pratama Duta Tbk, PT Apexindo Pratama Duta</v>
      </c>
      <c r="N46" t="str">
        <f t="shared" si="10"/>
        <v>APEX, Apexindo Pratama Duta, Apexindo Pratama Duta Tbk, PT Apexindo Pratama Duta</v>
      </c>
    </row>
    <row r="47" spans="1:14" x14ac:dyDescent="0.2">
      <c r="A47" t="s">
        <v>77</v>
      </c>
      <c r="B47" t="s">
        <v>3507</v>
      </c>
      <c r="C47" t="s">
        <v>7847</v>
      </c>
      <c r="D47" t="str">
        <f t="shared" si="0"/>
        <v>APIC, PACIFIC STRATEGIC FINANCIAL, PT Pacific Strategic Financial, Pacific Strategic Financial, Pacific Strategic Financial Tbk, PacificStrategicFinancial, pacific strategic financial</v>
      </c>
      <c r="E47" t="str">
        <f t="shared" si="1"/>
        <v>APIC, PACIFIC STRATEGIC FINANCIAL, PT Pacific Strategic Financial, Pacific Strategic Financial, Pacific Strategic Financial Tbk, PacificStrategicFinancial, pacific strategic financial</v>
      </c>
      <c r="F47" t="str">
        <f t="shared" si="2"/>
        <v>pacific strategic financial</v>
      </c>
      <c r="G47" t="str">
        <f t="shared" si="5"/>
        <v>APIC, PACIFIC STRATEGIC FINANCIAL, PT Pacific Strategic Financial, Pacific Strategic Financial, Pacific Strategic Financial Tbk, PacificStrategicFinancial</v>
      </c>
      <c r="H47" t="str">
        <f t="shared" si="6"/>
        <v>APIC, PACIFIC STRATEGIC FINANCIAL, PT Pacific Strategic Financial, Pacific Strategic Financial, Pacific Strategic Financial Tbk, PacificStrategicFinancial</v>
      </c>
      <c r="I47" t="str">
        <f t="shared" si="3"/>
        <v>PACIFIC STRATEGIC FINANCIAL</v>
      </c>
      <c r="J47" t="str">
        <f t="shared" si="7"/>
        <v>APIC, PT Pacific Strategic Financial, Pacific Strategic Financial, Pacific Strategic Financial Tbk, PacificStrategicFinancial</v>
      </c>
      <c r="K47" t="str">
        <f t="shared" si="8"/>
        <v>APIC, PT Pacific Strategic Financial, Pacific Strategic Financial, Pacific Strategic Financial Tbk, PacificStrategicFinancial</v>
      </c>
      <c r="L47" t="str">
        <f t="shared" si="4"/>
        <v>PacificStrategicFinancial</v>
      </c>
      <c r="M47" t="str">
        <f t="shared" si="9"/>
        <v>APIC, PT Pacific Strategic Financial, Pacific Strategic Financial, Pacific Strategic Financial Tbk</v>
      </c>
      <c r="N47" t="str">
        <f t="shared" si="10"/>
        <v>APIC, PT Pacific Strategic Financial, Pacific Strategic Financial, Pacific Strategic Financial Tbk</v>
      </c>
    </row>
    <row r="48" spans="1:14" x14ac:dyDescent="0.2">
      <c r="A48" t="s">
        <v>79</v>
      </c>
      <c r="B48" t="s">
        <v>80</v>
      </c>
      <c r="C48" t="s">
        <v>7848</v>
      </c>
      <c r="D48" t="str">
        <f t="shared" si="0"/>
        <v>APII, ARITA PRIMA INDONESIA, Arita Prima Indonesia, Arita Prima Indonesia Tbk, AritaPrimaIndonesia, PT Arita Prima Indonesia, arita prima indonesia</v>
      </c>
      <c r="E48" t="str">
        <f t="shared" si="1"/>
        <v>APII, ARITA PRIMA INDONESIA, Arita Prima Indonesia, Arita Prima Indonesia Tbk, AritaPrimaIndonesia, PT Arita Prima Indonesia, arita prima indonesia</v>
      </c>
      <c r="F48" t="str">
        <f t="shared" si="2"/>
        <v>arita prima indonesia</v>
      </c>
      <c r="G48" t="str">
        <f t="shared" si="5"/>
        <v>APII, ARITA PRIMA INDONESIA, Arita Prima Indonesia, Arita Prima Indonesia Tbk, AritaPrimaIndonesia, PT Arita Prima Indonesia</v>
      </c>
      <c r="H48" t="str">
        <f t="shared" si="6"/>
        <v>APII, ARITA PRIMA INDONESIA, Arita Prima Indonesia, Arita Prima Indonesia Tbk, AritaPrimaIndonesia, PT Arita Prima Indonesia</v>
      </c>
      <c r="I48" t="str">
        <f t="shared" si="3"/>
        <v>ARITA PRIMA INDONESIA</v>
      </c>
      <c r="J48" t="str">
        <f t="shared" si="7"/>
        <v>APII, Arita Prima Indonesia, Arita Prima Indonesia Tbk, AritaPrimaIndonesia, PT Arita Prima Indonesia</v>
      </c>
      <c r="K48" t="str">
        <f t="shared" si="8"/>
        <v>APII, Arita Prima Indonesia, Arita Prima Indonesia Tbk, AritaPrimaIndonesia, PT Arita Prima Indonesia</v>
      </c>
      <c r="L48" t="str">
        <f t="shared" si="4"/>
        <v>AritaPrimaIndonesia</v>
      </c>
      <c r="M48" t="str">
        <f t="shared" si="9"/>
        <v>APII, Arita Prima Indonesia, Arita Prima Indonesia Tbk, PT Arita Prima Indonesia</v>
      </c>
      <c r="N48" t="str">
        <f t="shared" si="10"/>
        <v>APII, Arita Prima Indonesia, Arita Prima Indonesia Tbk, PT Arita Prima Indonesia</v>
      </c>
    </row>
    <row r="49" spans="1:14" x14ac:dyDescent="0.2">
      <c r="A49" t="s">
        <v>82</v>
      </c>
      <c r="B49" t="s">
        <v>83</v>
      </c>
      <c r="C49" t="s">
        <v>7849</v>
      </c>
      <c r="D49" t="str">
        <f t="shared" si="0"/>
        <v>APLI, ASIAPLAST INDUSTRIES, Asiaplast Industries, Asiaplast Industries Tbk, AsiaplastIndustries, PT Asiaplast Industries, asiaplast industries</v>
      </c>
      <c r="E49" t="str">
        <f t="shared" si="1"/>
        <v>APLI, ASIAPLAST INDUSTRIES, Asiaplast Industries, Asiaplast Industries Tbk, AsiaplastIndustries, PT Asiaplast Industries, asiaplast industries</v>
      </c>
      <c r="F49" t="str">
        <f t="shared" si="2"/>
        <v>asiaplast industries</v>
      </c>
      <c r="G49" t="str">
        <f t="shared" si="5"/>
        <v>APLI, ASIAPLAST INDUSTRIES, Asiaplast Industries, Asiaplast Industries Tbk, AsiaplastIndustries, PT Asiaplast Industries</v>
      </c>
      <c r="H49" t="str">
        <f t="shared" si="6"/>
        <v>APLI, ASIAPLAST INDUSTRIES, Asiaplast Industries, Asiaplast Industries Tbk, AsiaplastIndustries, PT Asiaplast Industries</v>
      </c>
      <c r="I49" t="str">
        <f t="shared" si="3"/>
        <v>ASIAPLAST INDUSTRIES</v>
      </c>
      <c r="J49" t="str">
        <f t="shared" si="7"/>
        <v>APLI, Asiaplast Industries, Asiaplast Industries Tbk, AsiaplastIndustries, PT Asiaplast Industries</v>
      </c>
      <c r="K49" t="str">
        <f t="shared" si="8"/>
        <v>APLI, Asiaplast Industries, Asiaplast Industries Tbk, AsiaplastIndustries, PT Asiaplast Industries</v>
      </c>
      <c r="L49" t="str">
        <f t="shared" si="4"/>
        <v>AsiaplastIndustries</v>
      </c>
      <c r="M49" t="str">
        <f t="shared" si="9"/>
        <v>APLI, Asiaplast Industries, Asiaplast Industries Tbk, PT Asiaplast Industries</v>
      </c>
      <c r="N49" t="str">
        <f t="shared" si="10"/>
        <v>APLI, Asiaplast Industries, Asiaplast Industries Tbk, PT Asiaplast Industries</v>
      </c>
    </row>
    <row r="50" spans="1:14" x14ac:dyDescent="0.2">
      <c r="A50" t="s">
        <v>85</v>
      </c>
      <c r="B50" t="s">
        <v>86</v>
      </c>
      <c r="C50" t="s">
        <v>7850</v>
      </c>
      <c r="D50" t="str">
        <f t="shared" si="0"/>
        <v>APLN, APL, AGUNG PODOMORO LAND, Agung Podomoro Land, Agung Podomoro Land Tbk, AgungPodomoroLand, PT Agung Podomoro Land, agung podomoro land</v>
      </c>
      <c r="E50" t="str">
        <f t="shared" si="1"/>
        <v>APLN, APL, AGUNG PODOMORO LAND, Agung Podomoro Land, Agung Podomoro Land Tbk, AgungPodomoroLand, PT Agung Podomoro Land, agung podomoro land</v>
      </c>
      <c r="F50" t="str">
        <f t="shared" si="2"/>
        <v>agung podomoro land</v>
      </c>
      <c r="G50" t="str">
        <f t="shared" si="5"/>
        <v>APLN, APL, AGUNG PODOMORO LAND, Agung Podomoro Land, Agung Podomoro Land Tbk, AgungPodomoroLand, PT Agung Podomoro Land</v>
      </c>
      <c r="H50" t="str">
        <f t="shared" si="6"/>
        <v>APLN, APL, AGUNG PODOMORO LAND, Agung Podomoro Land, Agung Podomoro Land Tbk, AgungPodomoroLand, PT Agung Podomoro Land</v>
      </c>
      <c r="I50" t="str">
        <f t="shared" si="3"/>
        <v>AGUNG PODOMORO LAND</v>
      </c>
      <c r="J50" t="str">
        <f t="shared" si="7"/>
        <v>APLN, APL, Agung Podomoro Land, Agung Podomoro Land Tbk, AgungPodomoroLand, PT Agung Podomoro Land</v>
      </c>
      <c r="K50" t="str">
        <f t="shared" si="8"/>
        <v>APLN, APL, Agung Podomoro Land, Agung Podomoro Land Tbk, AgungPodomoroLand, PT Agung Podomoro Land</v>
      </c>
      <c r="L50" t="str">
        <f t="shared" si="4"/>
        <v>AgungPodomoroLand</v>
      </c>
      <c r="M50" t="str">
        <f t="shared" si="9"/>
        <v>APLN, APL, Agung Podomoro Land, Agung Podomoro Land Tbk, PT Agung Podomoro Land</v>
      </c>
      <c r="N50" t="str">
        <f t="shared" si="10"/>
        <v>APLN, APL, Agung Podomoro Land, Agung Podomoro Land Tbk, PT Agung Podomoro Land</v>
      </c>
    </row>
    <row r="51" spans="1:14" x14ac:dyDescent="0.2">
      <c r="A51" t="s">
        <v>1960</v>
      </c>
      <c r="B51" t="s">
        <v>1961</v>
      </c>
      <c r="C51" t="s">
        <v>7851</v>
      </c>
      <c r="D51" t="str">
        <f t="shared" si="0"/>
        <v>ARCI, ARCHI INDONESIA, Archi Indonesia, Archi Indonesia Tbk, ArchiIndonesia, PT Archi Indonesia, archi indonesia</v>
      </c>
      <c r="E51" t="str">
        <f t="shared" si="1"/>
        <v>ARCI, ARCHI INDONESIA, Archi Indonesia, Archi Indonesia Tbk, ArchiIndonesia, PT Archi Indonesia, archi indonesia</v>
      </c>
      <c r="F51" t="str">
        <f t="shared" si="2"/>
        <v>archi indonesia</v>
      </c>
      <c r="G51" t="str">
        <f t="shared" si="5"/>
        <v>ARCI, ARCHI INDONESIA, Archi Indonesia, Archi Indonesia Tbk, ArchiIndonesia, PT Archi Indonesia</v>
      </c>
      <c r="H51" t="str">
        <f t="shared" si="6"/>
        <v>ARCI, ARCHI INDONESIA, Archi Indonesia, Archi Indonesia Tbk, ArchiIndonesia, PT Archi Indonesia</v>
      </c>
      <c r="I51" t="str">
        <f t="shared" si="3"/>
        <v>ARCHI INDONESIA</v>
      </c>
      <c r="J51" t="str">
        <f t="shared" si="7"/>
        <v>ARCI, Archi Indonesia, Archi Indonesia Tbk, ArchiIndonesia, PT Archi Indonesia</v>
      </c>
      <c r="K51" t="str">
        <f t="shared" si="8"/>
        <v>ARCI, Archi Indonesia, Archi Indonesia Tbk, ArchiIndonesia, PT Archi Indonesia</v>
      </c>
      <c r="L51" t="str">
        <f t="shared" si="4"/>
        <v>ArchiIndonesia</v>
      </c>
      <c r="M51" t="str">
        <f t="shared" si="9"/>
        <v>ARCI, Archi Indonesia, Archi Indonesia Tbk, PT Archi Indonesia</v>
      </c>
      <c r="N51" t="str">
        <f t="shared" si="10"/>
        <v>ARCI, Archi Indonesia, Archi Indonesia Tbk, PT Archi Indonesia</v>
      </c>
    </row>
    <row r="52" spans="1:14" x14ac:dyDescent="0.2">
      <c r="A52" t="s">
        <v>2450</v>
      </c>
      <c r="B52" t="s">
        <v>2451</v>
      </c>
      <c r="C52" t="s">
        <v>7852</v>
      </c>
      <c r="D52" t="str">
        <f t="shared" si="0"/>
        <v>AREA, DUNIA VIRTUAL ONLINE, Dunia Virtual Online, Dunia Virtual Online Tbk, DuniaVirtualOnline, PT Dunia Virtual Online, dunia virtual online</v>
      </c>
      <c r="E52" t="str">
        <f t="shared" si="1"/>
        <v>AREA, DUNIA VIRTUAL ONLINE, Dunia Virtual Online, Dunia Virtual Online Tbk, DuniaVirtualOnline, PT Dunia Virtual Online, dunia virtual online</v>
      </c>
      <c r="F52" t="str">
        <f t="shared" si="2"/>
        <v>dunia virtual online</v>
      </c>
      <c r="G52" t="str">
        <f t="shared" si="5"/>
        <v>AREA, DUNIA VIRTUAL ONLINE, Dunia Virtual Online, Dunia Virtual Online Tbk, DuniaVirtualOnline, PT Dunia Virtual Online</v>
      </c>
      <c r="H52" t="str">
        <f t="shared" si="6"/>
        <v>AREA, DUNIA VIRTUAL ONLINE, Dunia Virtual Online, Dunia Virtual Online Tbk, DuniaVirtualOnline, PT Dunia Virtual Online</v>
      </c>
      <c r="I52" t="str">
        <f t="shared" si="3"/>
        <v>DUNIA VIRTUAL ONLINE</v>
      </c>
      <c r="J52" t="str">
        <f t="shared" si="7"/>
        <v>AREA, Dunia Virtual Online, Dunia Virtual Online Tbk, DuniaVirtualOnline, PT Dunia Virtual Online</v>
      </c>
      <c r="K52" t="str">
        <f t="shared" si="8"/>
        <v>AREA, Dunia Virtual Online, Dunia Virtual Online Tbk, DuniaVirtualOnline, PT Dunia Virtual Online</v>
      </c>
      <c r="L52" t="str">
        <f t="shared" si="4"/>
        <v>DuniaVirtualOnline</v>
      </c>
      <c r="M52" t="str">
        <f t="shared" si="9"/>
        <v>AREA, Dunia Virtual Online, Dunia Virtual Online Tbk, PT Dunia Virtual Online</v>
      </c>
      <c r="N52" t="str">
        <f t="shared" si="10"/>
        <v>AREA, Dunia Virtual Online, Dunia Virtual Online Tbk, PT Dunia Virtual Online</v>
      </c>
    </row>
    <row r="53" spans="1:14" x14ac:dyDescent="0.2">
      <c r="A53" t="s">
        <v>88</v>
      </c>
      <c r="B53" t="s">
        <v>3508</v>
      </c>
      <c r="C53" t="s">
        <v>7853</v>
      </c>
      <c r="D53" t="str">
        <f t="shared" si="0"/>
        <v>ARGO, ARGO PANTES, Argo Pantes, Argo Pantes Tbk, ArgoPantes, PT Argo Pantes, argo pantes</v>
      </c>
      <c r="E53" t="str">
        <f t="shared" si="1"/>
        <v>ARGO, ARGO PANTES, Argo Pantes, Argo Pantes Tbk, ArgoPantes, PT Argo Pantes, argo pantes</v>
      </c>
      <c r="F53" t="str">
        <f t="shared" si="2"/>
        <v>argo pantes</v>
      </c>
      <c r="G53" t="str">
        <f t="shared" si="5"/>
        <v>ARGO, ARGO PANTES, Argo Pantes, Argo Pantes Tbk, ArgoPantes, PT Argo Pantes</v>
      </c>
      <c r="H53" t="str">
        <f t="shared" si="6"/>
        <v>ARGO, ARGO PANTES, Argo Pantes, Argo Pantes Tbk, ArgoPantes, PT Argo Pantes</v>
      </c>
      <c r="I53" t="str">
        <f t="shared" si="3"/>
        <v>ARGO PANTES</v>
      </c>
      <c r="J53" t="str">
        <f t="shared" si="7"/>
        <v>ARGO, Argo Pantes, Argo Pantes Tbk, ArgoPantes, PT Argo Pantes</v>
      </c>
      <c r="K53" t="str">
        <f t="shared" si="8"/>
        <v>ARGO, Argo Pantes, Argo Pantes Tbk, ArgoPantes, PT Argo Pantes</v>
      </c>
      <c r="L53" t="str">
        <f t="shared" si="4"/>
        <v>ArgoPantes</v>
      </c>
      <c r="M53" t="str">
        <f t="shared" si="9"/>
        <v>ARGO, Argo Pantes, Argo Pantes Tbk, PT Argo Pantes</v>
      </c>
      <c r="N53" t="str">
        <f t="shared" si="10"/>
        <v>ARGO, Argo Pantes, Argo Pantes Tbk, PT Argo Pantes</v>
      </c>
    </row>
    <row r="54" spans="1:14" x14ac:dyDescent="0.2">
      <c r="A54" t="s">
        <v>91</v>
      </c>
      <c r="B54" t="s">
        <v>92</v>
      </c>
      <c r="C54" t="s">
        <v>7854</v>
      </c>
      <c r="D54" t="str">
        <f t="shared" si="0"/>
        <v>ARII, ATLAS RESOURCES, Atlas Resources, Atlas Resources Tbk, AtlasResources, PT Atlas Resources, atlas resources</v>
      </c>
      <c r="E54" t="str">
        <f t="shared" si="1"/>
        <v>ARII, ATLAS RESOURCES, Atlas Resources, Atlas Resources Tbk, AtlasResources, PT Atlas Resources, atlas resources</v>
      </c>
      <c r="F54" t="str">
        <f t="shared" si="2"/>
        <v>atlas resources</v>
      </c>
      <c r="G54" t="str">
        <f t="shared" si="5"/>
        <v>ARII, ATLAS RESOURCES, Atlas Resources, Atlas Resources Tbk, AtlasResources, PT Atlas Resources</v>
      </c>
      <c r="H54" t="str">
        <f t="shared" si="6"/>
        <v>ARII, ATLAS RESOURCES, Atlas Resources, Atlas Resources Tbk, AtlasResources, PT Atlas Resources</v>
      </c>
      <c r="I54" t="str">
        <f t="shared" si="3"/>
        <v>ATLAS RESOURCES</v>
      </c>
      <c r="J54" t="str">
        <f t="shared" si="7"/>
        <v>ARII, Atlas Resources, Atlas Resources Tbk, AtlasResources, PT Atlas Resources</v>
      </c>
      <c r="K54" t="str">
        <f t="shared" si="8"/>
        <v>ARII, Atlas Resources, Atlas Resources Tbk, AtlasResources, PT Atlas Resources</v>
      </c>
      <c r="L54" t="str">
        <f t="shared" si="4"/>
        <v>AtlasResources</v>
      </c>
      <c r="M54" t="str">
        <f t="shared" si="9"/>
        <v>ARII, Atlas Resources, Atlas Resources Tbk, PT Atlas Resources</v>
      </c>
      <c r="N54" t="str">
        <f t="shared" si="10"/>
        <v>ARII, Atlas Resources, Atlas Resources Tbk, PT Atlas Resources</v>
      </c>
    </row>
    <row r="55" spans="1:14" x14ac:dyDescent="0.2">
      <c r="A55" t="s">
        <v>1720</v>
      </c>
      <c r="B55" t="s">
        <v>1721</v>
      </c>
      <c r="C55" t="s">
        <v>7855</v>
      </c>
      <c r="D55" t="str">
        <f t="shared" si="0"/>
        <v>ARKA, ARKHA JAYANTI PERSADA, Arkha Jayanti Persada, Arkha Jayanti Persada Tbk, ArkhaJayantiPersada, PT Arkha Jayanti Persada, arkha jayanti persada</v>
      </c>
      <c r="E55" t="str">
        <f t="shared" si="1"/>
        <v>ARKA, ARKHA JAYANTI PERSADA, Arkha Jayanti Persada, Arkha Jayanti Persada Tbk, ArkhaJayantiPersada, PT Arkha Jayanti Persada, arkha jayanti persada</v>
      </c>
      <c r="F55" t="str">
        <f t="shared" si="2"/>
        <v>arkha jayanti persada</v>
      </c>
      <c r="G55" t="str">
        <f t="shared" si="5"/>
        <v>ARKA, ARKHA JAYANTI PERSADA, Arkha Jayanti Persada, Arkha Jayanti Persada Tbk, ArkhaJayantiPersada, PT Arkha Jayanti Persada</v>
      </c>
      <c r="H55" t="str">
        <f t="shared" si="6"/>
        <v>ARKA, ARKHA JAYANTI PERSADA, Arkha Jayanti Persada, Arkha Jayanti Persada Tbk, ArkhaJayantiPersada, PT Arkha Jayanti Persada</v>
      </c>
      <c r="I55" t="str">
        <f t="shared" si="3"/>
        <v>ARKHA JAYANTI PERSADA</v>
      </c>
      <c r="J55" t="str">
        <f t="shared" si="7"/>
        <v>ARKA, Arkha Jayanti Persada, Arkha Jayanti Persada Tbk, ArkhaJayantiPersada, PT Arkha Jayanti Persada</v>
      </c>
      <c r="K55" t="str">
        <f t="shared" si="8"/>
        <v>ARKA, Arkha Jayanti Persada, Arkha Jayanti Persada Tbk, ArkhaJayantiPersada, PT Arkha Jayanti Persada</v>
      </c>
      <c r="L55" t="str">
        <f t="shared" si="4"/>
        <v>ArkhaJayantiPersada</v>
      </c>
      <c r="M55" t="str">
        <f t="shared" si="9"/>
        <v>ARKA, Arkha Jayanti Persada, Arkha Jayanti Persada Tbk, PT Arkha Jayanti Persada</v>
      </c>
      <c r="N55" t="str">
        <f t="shared" si="10"/>
        <v>ARKA, Arkha Jayanti Persada, Arkha Jayanti Persada Tbk, PT Arkha Jayanti Persada</v>
      </c>
    </row>
    <row r="56" spans="1:14" x14ac:dyDescent="0.2">
      <c r="A56" t="s">
        <v>2120</v>
      </c>
      <c r="B56" t="s">
        <v>2121</v>
      </c>
      <c r="C56" t="s">
        <v>7856</v>
      </c>
      <c r="D56" t="str">
        <f t="shared" si="0"/>
        <v>ARKO, ARKORA HYDRO, Arkora Hydro, Arkora Hydro Tbk, ArkoraHydro, PT Arkora Hydro, arkora hydro</v>
      </c>
      <c r="E56" t="str">
        <f t="shared" si="1"/>
        <v>ARKO, ARKORA HYDRO, Arkora Hydro, Arkora Hydro Tbk, ArkoraHydro, PT Arkora Hydro, arkora hydro</v>
      </c>
      <c r="F56" t="str">
        <f t="shared" si="2"/>
        <v>arkora hydro</v>
      </c>
      <c r="G56" t="str">
        <f t="shared" si="5"/>
        <v>ARKO, ARKORA HYDRO, Arkora Hydro, Arkora Hydro Tbk, ArkoraHydro, PT Arkora Hydro</v>
      </c>
      <c r="H56" t="str">
        <f t="shared" si="6"/>
        <v>ARKO, ARKORA HYDRO, Arkora Hydro, Arkora Hydro Tbk, ArkoraHydro, PT Arkora Hydro</v>
      </c>
      <c r="I56" t="str">
        <f t="shared" si="3"/>
        <v>ARKORA HYDRO</v>
      </c>
      <c r="J56" t="str">
        <f t="shared" si="7"/>
        <v>ARKO, Arkora Hydro, Arkora Hydro Tbk, ArkoraHydro, PT Arkora Hydro</v>
      </c>
      <c r="K56" t="str">
        <f t="shared" si="8"/>
        <v>ARKO, Arkora Hydro, Arkora Hydro Tbk, ArkoraHydro, PT Arkora Hydro</v>
      </c>
      <c r="L56" t="str">
        <f t="shared" si="4"/>
        <v>ArkoraHydro</v>
      </c>
      <c r="M56" t="str">
        <f t="shared" si="9"/>
        <v>ARKO, Arkora Hydro, Arkora Hydro Tbk, PT Arkora Hydro</v>
      </c>
      <c r="N56" t="str">
        <f t="shared" si="10"/>
        <v>ARKO, Arkora Hydro, Arkora Hydro Tbk, PT Arkora Hydro</v>
      </c>
    </row>
    <row r="57" spans="1:14" x14ac:dyDescent="0.2">
      <c r="A57" t="s">
        <v>1419</v>
      </c>
      <c r="B57" t="s">
        <v>1420</v>
      </c>
      <c r="C57" t="s">
        <v>7857</v>
      </c>
      <c r="D57" t="str">
        <f t="shared" si="0"/>
        <v>ARMY, ARMIDIAN KARYATAMA, Armidian Karyatama, Armidian Karyatama Tbk, ArmidianKaryatama, PT Armidian Karyatama, armidian karyatama</v>
      </c>
      <c r="E57" t="str">
        <f t="shared" si="1"/>
        <v>ARMY, ARMIDIAN KARYATAMA, Armidian Karyatama, Armidian Karyatama Tbk, ArmidianKaryatama, PT Armidian Karyatama, armidian karyatama</v>
      </c>
      <c r="F57" t="str">
        <f t="shared" si="2"/>
        <v>armidian karyatama</v>
      </c>
      <c r="G57" t="str">
        <f t="shared" si="5"/>
        <v>ARMY, ARMIDIAN KARYATAMA, Armidian Karyatama, Armidian Karyatama Tbk, ArmidianKaryatama, PT Armidian Karyatama</v>
      </c>
      <c r="H57" t="str">
        <f t="shared" si="6"/>
        <v>ARMY, ARMIDIAN KARYATAMA, Armidian Karyatama, Armidian Karyatama Tbk, ArmidianKaryatama, PT Armidian Karyatama</v>
      </c>
      <c r="I57" t="str">
        <f t="shared" si="3"/>
        <v>ARMIDIAN KARYATAMA</v>
      </c>
      <c r="J57" t="str">
        <f t="shared" si="7"/>
        <v>ARMY, Armidian Karyatama, Armidian Karyatama Tbk, ArmidianKaryatama, PT Armidian Karyatama</v>
      </c>
      <c r="K57" t="str">
        <f t="shared" si="8"/>
        <v>ARMY, Armidian Karyatama, Armidian Karyatama Tbk, ArmidianKaryatama, PT Armidian Karyatama</v>
      </c>
      <c r="L57" t="str">
        <f t="shared" si="4"/>
        <v>ArmidianKaryatama</v>
      </c>
      <c r="M57" t="str">
        <f t="shared" si="9"/>
        <v>ARMY, Armidian Karyatama, Armidian Karyatama Tbk, PT Armidian Karyatama</v>
      </c>
      <c r="N57" t="str">
        <f t="shared" si="10"/>
        <v>ARMY, Armidian Karyatama, Armidian Karyatama Tbk, PT Armidian Karyatama</v>
      </c>
    </row>
    <row r="58" spans="1:14" x14ac:dyDescent="0.2">
      <c r="A58" t="s">
        <v>94</v>
      </c>
      <c r="B58" t="s">
        <v>95</v>
      </c>
      <c r="C58" t="s">
        <v>7858</v>
      </c>
      <c r="D58" t="str">
        <f t="shared" si="0"/>
        <v>ARNA, ARWANA CITRAMULIA, Arwana Citramulia, Arwana Citramulia Tbk, ArwanaCitramulia, PT Arwana Citramulia, arwana citramulia</v>
      </c>
      <c r="E58" t="str">
        <f t="shared" si="1"/>
        <v>ARNA, ARWANA CITRAMULIA, Arwana Citramulia, Arwana Citramulia Tbk, ArwanaCitramulia, PT Arwana Citramulia, arwana citramulia</v>
      </c>
      <c r="F58" t="str">
        <f t="shared" si="2"/>
        <v>arwana citramulia</v>
      </c>
      <c r="G58" t="str">
        <f t="shared" si="5"/>
        <v>ARNA, ARWANA CITRAMULIA, Arwana Citramulia, Arwana Citramulia Tbk, ArwanaCitramulia, PT Arwana Citramulia</v>
      </c>
      <c r="H58" t="str">
        <f t="shared" si="6"/>
        <v>ARNA, ARWANA CITRAMULIA, Arwana Citramulia, Arwana Citramulia Tbk, ArwanaCitramulia, PT Arwana Citramulia</v>
      </c>
      <c r="I58" t="str">
        <f t="shared" si="3"/>
        <v>ARWANA CITRAMULIA</v>
      </c>
      <c r="J58" t="str">
        <f t="shared" si="7"/>
        <v>ARNA, Arwana Citramulia, Arwana Citramulia Tbk, ArwanaCitramulia, PT Arwana Citramulia</v>
      </c>
      <c r="K58" t="str">
        <f t="shared" si="8"/>
        <v>ARNA, Arwana Citramulia, Arwana Citramulia Tbk, ArwanaCitramulia, PT Arwana Citramulia</v>
      </c>
      <c r="L58" t="str">
        <f t="shared" si="4"/>
        <v>ArwanaCitramulia</v>
      </c>
      <c r="M58" t="str">
        <f t="shared" si="9"/>
        <v>ARNA, Arwana Citramulia, Arwana Citramulia Tbk, PT Arwana Citramulia</v>
      </c>
      <c r="N58" t="str">
        <f t="shared" si="10"/>
        <v>ARNA, Arwana Citramulia, Arwana Citramulia Tbk, PT Arwana Citramulia</v>
      </c>
    </row>
    <row r="59" spans="1:14" x14ac:dyDescent="0.2">
      <c r="A59" t="s">
        <v>97</v>
      </c>
      <c r="B59" t="s">
        <v>3509</v>
      </c>
      <c r="C59" t="s">
        <v>7859</v>
      </c>
      <c r="D59" t="str">
        <f t="shared" si="0"/>
        <v>ARTA, ARTHAVEST, Arthavest, Arthavest Tbk, PT Arthavest, arthavest</v>
      </c>
      <c r="E59" t="str">
        <f t="shared" si="1"/>
        <v>ARTA, ARTHAVEST, Arthavest, Arthavest Tbk, PT Arthavest, arthavest</v>
      </c>
      <c r="F59" t="str">
        <f t="shared" si="2"/>
        <v>arthavest</v>
      </c>
      <c r="G59" t="str">
        <f t="shared" si="5"/>
        <v>ARTA, ARTHAVEST, Arthavest, Arthavest Tbk, PT Arthavest</v>
      </c>
      <c r="H59" t="str">
        <f t="shared" si="6"/>
        <v>ARTA, ARTHAVEST, Arthavest, Arthavest Tbk, PT Arthavest</v>
      </c>
      <c r="I59" t="str">
        <f t="shared" si="3"/>
        <v>ARTHAVEST</v>
      </c>
      <c r="J59" t="str">
        <f t="shared" si="7"/>
        <v>ARTA, Arthavest, Arthavest Tbk, PT Arthavest</v>
      </c>
      <c r="K59" t="str">
        <f t="shared" si="8"/>
        <v>ARTA, Arthavest, Arthavest Tbk, PT Arthavest</v>
      </c>
      <c r="L59" t="str">
        <f t="shared" si="4"/>
        <v>Arthavest</v>
      </c>
      <c r="M59" t="str">
        <f t="shared" si="9"/>
        <v>ARTA Tbk, PT Arthavest</v>
      </c>
      <c r="N59" t="str">
        <f t="shared" si="10"/>
        <v>ARTA Tbk, PT Arthavest</v>
      </c>
    </row>
    <row r="60" spans="1:14" x14ac:dyDescent="0.2">
      <c r="A60" t="s">
        <v>100</v>
      </c>
      <c r="B60" t="s">
        <v>3510</v>
      </c>
      <c r="C60" t="s">
        <v>7860</v>
      </c>
      <c r="D60" t="str">
        <f t="shared" si="0"/>
        <v>ARTI, PT Ratu Prabu Energi, RATU PRABU ENERGI, Ratu Prabu Energi, Ratu Prabu Energi Tbk, RatuPrabuEnergi, ratu prabu energi</v>
      </c>
      <c r="E60" t="str">
        <f t="shared" si="1"/>
        <v>ARTI, PT Ratu Prabu Energi, RATU PRABU ENERGI, Ratu Prabu Energi, Ratu Prabu Energi Tbk, RatuPrabuEnergi, ratu prabu energi</v>
      </c>
      <c r="F60" t="str">
        <f t="shared" si="2"/>
        <v>ratu prabu energi</v>
      </c>
      <c r="G60" t="str">
        <f t="shared" si="5"/>
        <v>ARTI, PT Ratu Prabu Energi, RATU PRABU ENERGI, Ratu Prabu Energi, Ratu Prabu Energi Tbk, RatuPrabuEnergi</v>
      </c>
      <c r="H60" t="str">
        <f t="shared" si="6"/>
        <v>ARTI, PT Ratu Prabu Energi, RATU PRABU ENERGI, Ratu Prabu Energi, Ratu Prabu Energi Tbk, RatuPrabuEnergi</v>
      </c>
      <c r="I60" t="str">
        <f t="shared" si="3"/>
        <v>RATU PRABU ENERGI</v>
      </c>
      <c r="J60" t="str">
        <f t="shared" si="7"/>
        <v>ARTI, PT Ratu Prabu Energi, Ratu Prabu Energi, Ratu Prabu Energi Tbk, RatuPrabuEnergi</v>
      </c>
      <c r="K60" t="str">
        <f t="shared" si="8"/>
        <v>ARTI, PT Ratu Prabu Energi, Ratu Prabu Energi, Ratu Prabu Energi Tbk, RatuPrabuEnergi</v>
      </c>
      <c r="L60" t="str">
        <f t="shared" si="4"/>
        <v>RatuPrabuEnergi</v>
      </c>
      <c r="M60" t="str">
        <f t="shared" si="9"/>
        <v>ARTI, PT Ratu Prabu Energi, Ratu Prabu Energi, Ratu Prabu Energi Tbk</v>
      </c>
      <c r="N60" t="str">
        <f t="shared" si="10"/>
        <v>ARTI, PT Ratu Prabu Energi, Ratu Prabu Energi, Ratu Prabu Energi Tbk</v>
      </c>
    </row>
    <row r="61" spans="1:14" x14ac:dyDescent="0.2">
      <c r="A61" t="s">
        <v>103</v>
      </c>
      <c r="B61" t="s">
        <v>104</v>
      </c>
      <c r="C61" t="s">
        <v>7861</v>
      </c>
      <c r="D61" t="str">
        <f t="shared" si="0"/>
        <v>ARTO, BANK JAGO, Bank Jago, Bank Jago Tbk, BankJago, Jago, PT Bank Jago, bank jago</v>
      </c>
      <c r="E61" t="str">
        <f t="shared" si="1"/>
        <v>ARTO, BANK JAGO, Bank Jago, Bank Jago Tbk, BankJago, Jago, PT Bank Jago, bank jago</v>
      </c>
      <c r="F61" t="str">
        <f t="shared" si="2"/>
        <v>bank jago</v>
      </c>
      <c r="G61" t="str">
        <f t="shared" si="5"/>
        <v>ARTO, BANK JAGO, Bank Jago, Bank Jago Tbk, BankJago, Jago, PT Bank Jago</v>
      </c>
      <c r="H61" t="str">
        <f t="shared" si="6"/>
        <v>ARTO, BANK JAGO, Bank Jago, Bank Jago Tbk, BankJago, Jago, PT Bank Jago</v>
      </c>
      <c r="I61" t="str">
        <f t="shared" si="3"/>
        <v>BANK JAGO</v>
      </c>
      <c r="J61" t="str">
        <f t="shared" si="7"/>
        <v>ARTO, Bank Jago, Bank Jago Tbk, BankJago, Jago, PT Bank Jago</v>
      </c>
      <c r="K61" t="str">
        <f t="shared" si="8"/>
        <v>ARTO, Bank Jago, Bank Jago Tbk, BankJago, Jago, PT Bank Jago</v>
      </c>
      <c r="L61" t="str">
        <f t="shared" si="4"/>
        <v>BankJago</v>
      </c>
      <c r="M61" t="str">
        <f t="shared" si="9"/>
        <v>ARTO, Bank Jago, Bank Jago Tbk, Jago, PT Bank Jago</v>
      </c>
      <c r="N61" t="str">
        <f t="shared" si="10"/>
        <v>ARTO, Bank Jago, Bank Jago Tbk, Jago, PT Bank Jago</v>
      </c>
    </row>
    <row r="62" spans="1:14" x14ac:dyDescent="0.2">
      <c r="A62" t="s">
        <v>106</v>
      </c>
      <c r="B62" t="s">
        <v>107</v>
      </c>
      <c r="C62" t="s">
        <v>7862</v>
      </c>
      <c r="D62" t="str">
        <f t="shared" si="0"/>
        <v>ASBI, ASURANSI BINTANG, Asuransi Bintang, Asuransi Bintang Tbk, AsuransiBintang, PT Asuransi Bintang, asuransi bintang</v>
      </c>
      <c r="E62" t="str">
        <f t="shared" si="1"/>
        <v>ASBI, ASURANSI BINTANG, Asuransi Bintang, Asuransi Bintang Tbk, AsuransiBintang, PT Asuransi Bintang, asuransi bintang</v>
      </c>
      <c r="F62" t="str">
        <f t="shared" si="2"/>
        <v>asuransi bintang</v>
      </c>
      <c r="G62" t="str">
        <f t="shared" si="5"/>
        <v>ASBI, ASURANSI BINTANG, Asuransi Bintang, Asuransi Bintang Tbk, AsuransiBintang, PT Asuransi Bintang</v>
      </c>
      <c r="H62" t="str">
        <f t="shared" si="6"/>
        <v>ASBI, ASURANSI BINTANG, Asuransi Bintang, Asuransi Bintang Tbk, AsuransiBintang, PT Asuransi Bintang</v>
      </c>
      <c r="I62" t="str">
        <f t="shared" si="3"/>
        <v>ASURANSI BINTANG</v>
      </c>
      <c r="J62" t="str">
        <f t="shared" si="7"/>
        <v>ASBI, Asuransi Bintang, Asuransi Bintang Tbk, AsuransiBintang, PT Asuransi Bintang</v>
      </c>
      <c r="K62" t="str">
        <f t="shared" si="8"/>
        <v>ASBI, Asuransi Bintang, Asuransi Bintang Tbk, AsuransiBintang, PT Asuransi Bintang</v>
      </c>
      <c r="L62" t="str">
        <f t="shared" si="4"/>
        <v>AsuransiBintang</v>
      </c>
      <c r="M62" t="str">
        <f t="shared" si="9"/>
        <v>ASBI, Asuransi Bintang, Asuransi Bintang Tbk, PT Asuransi Bintang</v>
      </c>
      <c r="N62" t="str">
        <f t="shared" si="10"/>
        <v>ASBI, Asuransi Bintang, Asuransi Bintang Tbk, PT Asuransi Bintang</v>
      </c>
    </row>
    <row r="63" spans="1:14" x14ac:dyDescent="0.2">
      <c r="A63" t="s">
        <v>109</v>
      </c>
      <c r="B63" t="s">
        <v>110</v>
      </c>
      <c r="C63" t="s">
        <v>7863</v>
      </c>
      <c r="D63" t="str">
        <f t="shared" si="0"/>
        <v>ASDM, ASURANSI DAYIN MITRA, Asuransi Dayin Mitra, Asuransi Dayin Mitra Tbk, AsuransiDayinMitra, PT Asuransi Dayin Mitra, asuransi dayin mitra</v>
      </c>
      <c r="E63" t="str">
        <f t="shared" si="1"/>
        <v>ASDM, ASURANSI DAYIN MITRA, Asuransi Dayin Mitra, Asuransi Dayin Mitra Tbk, AsuransiDayinMitra, PT Asuransi Dayin Mitra, asuransi dayin mitra</v>
      </c>
      <c r="F63" t="str">
        <f t="shared" si="2"/>
        <v>asuransi dayin mitra</v>
      </c>
      <c r="G63" t="str">
        <f t="shared" si="5"/>
        <v>ASDM, ASURANSI DAYIN MITRA, Asuransi Dayin Mitra, Asuransi Dayin Mitra Tbk, AsuransiDayinMitra, PT Asuransi Dayin Mitra</v>
      </c>
      <c r="H63" t="str">
        <f t="shared" si="6"/>
        <v>ASDM, ASURANSI DAYIN MITRA, Asuransi Dayin Mitra, Asuransi Dayin Mitra Tbk, AsuransiDayinMitra, PT Asuransi Dayin Mitra</v>
      </c>
      <c r="I63" t="str">
        <f t="shared" si="3"/>
        <v>ASURANSI DAYIN MITRA</v>
      </c>
      <c r="J63" t="str">
        <f t="shared" si="7"/>
        <v>ASDM, Asuransi Dayin Mitra, Asuransi Dayin Mitra Tbk, AsuransiDayinMitra, PT Asuransi Dayin Mitra</v>
      </c>
      <c r="K63" t="str">
        <f t="shared" si="8"/>
        <v>ASDM, Asuransi Dayin Mitra, Asuransi Dayin Mitra Tbk, AsuransiDayinMitra, PT Asuransi Dayin Mitra</v>
      </c>
      <c r="L63" t="str">
        <f t="shared" si="4"/>
        <v>AsuransiDayinMitra</v>
      </c>
      <c r="M63" t="str">
        <f t="shared" si="9"/>
        <v>ASDM, Asuransi Dayin Mitra, Asuransi Dayin Mitra Tbk, PT Asuransi Dayin Mitra</v>
      </c>
      <c r="N63" t="str">
        <f t="shared" si="10"/>
        <v>ASDM, Asuransi Dayin Mitra, Asuransi Dayin Mitra Tbk, PT Asuransi Dayin Mitra</v>
      </c>
    </row>
    <row r="64" spans="1:14" x14ac:dyDescent="0.2">
      <c r="A64" t="s">
        <v>112</v>
      </c>
      <c r="B64" t="s">
        <v>113</v>
      </c>
      <c r="C64" t="s">
        <v>7864</v>
      </c>
      <c r="D64" t="str">
        <f t="shared" si="0"/>
        <v>ASGR, ASTRA GRAPHIA, Astra Graphia, Astra Graphia Tbk, AstraGraphia, PT Astra Graphia, astra graphia</v>
      </c>
      <c r="E64" t="str">
        <f t="shared" si="1"/>
        <v>ASGR, ASTRA GRAPHIA, Astra Graphia, Astra Graphia Tbk, AstraGraphia, PT Astra Graphia, astra graphia</v>
      </c>
      <c r="F64" t="str">
        <f t="shared" si="2"/>
        <v>astra graphia</v>
      </c>
      <c r="G64" t="str">
        <f t="shared" si="5"/>
        <v>ASGR, ASTRA GRAPHIA, Astra Graphia, Astra Graphia Tbk, AstraGraphia, PT Astra Graphia</v>
      </c>
      <c r="H64" t="str">
        <f t="shared" si="6"/>
        <v>ASGR, ASTRA GRAPHIA, Astra Graphia, Astra Graphia Tbk, AstraGraphia, PT Astra Graphia</v>
      </c>
      <c r="I64" t="str">
        <f t="shared" si="3"/>
        <v>ASTRA GRAPHIA</v>
      </c>
      <c r="J64" t="str">
        <f t="shared" si="7"/>
        <v>ASGR, Astra Graphia, Astra Graphia Tbk, AstraGraphia, PT Astra Graphia</v>
      </c>
      <c r="K64" t="str">
        <f t="shared" si="8"/>
        <v>ASGR, Astra Graphia, Astra Graphia Tbk, AstraGraphia, PT Astra Graphia</v>
      </c>
      <c r="L64" t="str">
        <f t="shared" si="4"/>
        <v>AstraGraphia</v>
      </c>
      <c r="M64" t="str">
        <f t="shared" si="9"/>
        <v>ASGR, Astra Graphia, Astra Graphia Tbk, PT Astra Graphia</v>
      </c>
      <c r="N64" t="str">
        <f t="shared" si="10"/>
        <v>ASGR, Astra Graphia, Astra Graphia Tbk, PT Astra Graphia</v>
      </c>
    </row>
    <row r="65" spans="1:14" x14ac:dyDescent="0.2">
      <c r="A65" t="s">
        <v>2114</v>
      </c>
      <c r="B65" t="s">
        <v>3511</v>
      </c>
      <c r="C65" t="s">
        <v>7865</v>
      </c>
      <c r="D65" t="str">
        <f t="shared" si="0"/>
        <v>ASHA, CILACAP SAMUDERA FISHING INDUSTRY, Cilacap Samudera Fishing Industry, Cilacap Samudera Fishing Industry Tbk, CilacapSamuderaFishingIndustry, PT Cilacap Samudera Fishing Industry, cilacap samudera fishing industry</v>
      </c>
      <c r="E65" t="str">
        <f t="shared" si="1"/>
        <v>ASHA, CILACAP SAMUDERA FISHING INDUSTRY, Cilacap Samudera Fishing Industry, Cilacap Samudera Fishing Industry Tbk, CilacapSamuderaFishingIndustry, PT Cilacap Samudera Fishing Industry, cilacap samudera fishing industry</v>
      </c>
      <c r="F65" t="str">
        <f t="shared" si="2"/>
        <v>cilacap samudera fishing industry</v>
      </c>
      <c r="G65" t="str">
        <f t="shared" si="5"/>
        <v>ASHA, CILACAP SAMUDERA FISHING INDUSTRY, Cilacap Samudera Fishing Industry, Cilacap Samudera Fishing Industry Tbk, CilacapSamuderaFishingIndustry, PT Cilacap Samudera Fishing Industry</v>
      </c>
      <c r="H65" t="str">
        <f t="shared" si="6"/>
        <v>ASHA, CILACAP SAMUDERA FISHING INDUSTRY, Cilacap Samudera Fishing Industry, Cilacap Samudera Fishing Industry Tbk, CilacapSamuderaFishingIndustry, PT Cilacap Samudera Fishing Industry</v>
      </c>
      <c r="I65" t="str">
        <f t="shared" si="3"/>
        <v>CILACAP SAMUDERA FISHING INDUSTRY</v>
      </c>
      <c r="J65" t="str">
        <f t="shared" si="7"/>
        <v>ASHA, Cilacap Samudera Fishing Industry, Cilacap Samudera Fishing Industry Tbk, CilacapSamuderaFishingIndustry, PT Cilacap Samudera Fishing Industry</v>
      </c>
      <c r="K65" t="str">
        <f t="shared" si="8"/>
        <v>ASHA, Cilacap Samudera Fishing Industry, Cilacap Samudera Fishing Industry Tbk, CilacapSamuderaFishingIndustry, PT Cilacap Samudera Fishing Industry</v>
      </c>
      <c r="L65" t="str">
        <f t="shared" si="4"/>
        <v>CilacapSamuderaFishingIndustry</v>
      </c>
      <c r="M65" t="str">
        <f t="shared" si="9"/>
        <v>ASHA, Cilacap Samudera Fishing Industry, Cilacap Samudera Fishing Industry Tbk, PT Cilacap Samudera Fishing Industry</v>
      </c>
      <c r="N65" t="str">
        <f t="shared" si="10"/>
        <v>ASHA, Cilacap Samudera Fishing Industry, Cilacap Samudera Fishing Industry Tbk, PT Cilacap Samudera Fishing Industry</v>
      </c>
    </row>
    <row r="66" spans="1:14" x14ac:dyDescent="0.2">
      <c r="A66" t="s">
        <v>115</v>
      </c>
      <c r="B66" t="s">
        <v>116</v>
      </c>
      <c r="C66" t="s">
        <v>7866</v>
      </c>
      <c r="D66" t="str">
        <f t="shared" ref="D66:D129" si="11">SUBSTITUTE(C66, _xlfn.CONCAT(", ", B66), "")</f>
        <v>ASII, ASTRA INTERNATIONAL, Astra International, Astra International Tbk, AstraInternational, PT Astra International, astra international</v>
      </c>
      <c r="E66" t="str">
        <f t="shared" ref="E66:E129" si="12">SUBSTITUTE(D66, _xlfn.CONCAT(B66, ", "), "")</f>
        <v>ASII, ASTRA INTERNATIONAL, Astra International, Astra International Tbk, AstraInternational, PT Astra International, astra international</v>
      </c>
      <c r="F66" t="str">
        <f t="shared" ref="F66:F129" si="13">LOWER(MID(B66, 1, FIND(" Tbk.", B66)-1))</f>
        <v>astra international</v>
      </c>
      <c r="G66" t="str">
        <f t="shared" si="5"/>
        <v>ASII, ASTRA INTERNATIONAL, Astra International, Astra International Tbk, AstraInternational, PT Astra International</v>
      </c>
      <c r="H66" t="str">
        <f t="shared" si="6"/>
        <v>ASII, ASTRA INTERNATIONAL, Astra International, Astra International Tbk, AstraInternational, PT Astra International</v>
      </c>
      <c r="I66" t="str">
        <f t="shared" ref="I66:I129" si="14">UPPER(MID(B66, 1, FIND(" Tbk.", B66)-1))</f>
        <v>ASTRA INTERNATIONAL</v>
      </c>
      <c r="J66" t="str">
        <f t="shared" si="7"/>
        <v>ASII, Astra International, Astra International Tbk, AstraInternational, PT Astra International</v>
      </c>
      <c r="K66" t="str">
        <f t="shared" si="8"/>
        <v>ASII, Astra International, Astra International Tbk, AstraInternational, PT Astra International</v>
      </c>
      <c r="L66" t="str">
        <f t="shared" ref="L66:L129" si="15">SUBSTITUTE(MID(B66, 1, FIND(" Tbk.", B66)-1), " ", "")</f>
        <v>AstraInternational</v>
      </c>
      <c r="M66" t="str">
        <f t="shared" si="9"/>
        <v>ASII, Astra International, Astra International Tbk, PT Astra International</v>
      </c>
      <c r="N66" t="str">
        <f t="shared" si="10"/>
        <v>ASII, Astra International, Astra International Tbk, PT Astra International</v>
      </c>
    </row>
    <row r="67" spans="1:14" x14ac:dyDescent="0.2">
      <c r="A67" t="s">
        <v>118</v>
      </c>
      <c r="B67" t="s">
        <v>119</v>
      </c>
      <c r="C67" t="s">
        <v>7867</v>
      </c>
      <c r="D67" t="str">
        <f t="shared" si="11"/>
        <v>ASJT, ASURANSI JASA TANIA, Asuransi Jasa Tania, Asuransi Jasa Tania Tbk, AsuransiJasaTania, PT Asuransi Jasa Tania, asuransi jasa tania</v>
      </c>
      <c r="E67" t="str">
        <f t="shared" si="12"/>
        <v>ASJT, ASURANSI JASA TANIA, Asuransi Jasa Tania, Asuransi Jasa Tania Tbk, AsuransiJasaTania, PT Asuransi Jasa Tania, asuransi jasa tania</v>
      </c>
      <c r="F67" t="str">
        <f t="shared" si="13"/>
        <v>asuransi jasa tania</v>
      </c>
      <c r="G67" t="str">
        <f t="shared" ref="G67:G130" si="16">SUBSTITUTE(E67, _xlfn.CONCAT(", ", F67), "")</f>
        <v>ASJT, ASURANSI JASA TANIA, Asuransi Jasa Tania, Asuransi Jasa Tania Tbk, AsuransiJasaTania, PT Asuransi Jasa Tania</v>
      </c>
      <c r="H67" t="str">
        <f t="shared" ref="H67:H130" si="17">SUBSTITUTE(G67, _xlfn.CONCAT(F67, ", "), "")</f>
        <v>ASJT, ASURANSI JASA TANIA, Asuransi Jasa Tania, Asuransi Jasa Tania Tbk, AsuransiJasaTania, PT Asuransi Jasa Tania</v>
      </c>
      <c r="I67" t="str">
        <f t="shared" si="14"/>
        <v>ASURANSI JASA TANIA</v>
      </c>
      <c r="J67" t="str">
        <f t="shared" ref="J67:J130" si="18">SUBSTITUTE(H67, _xlfn.CONCAT(", ", I67), "")</f>
        <v>ASJT, Asuransi Jasa Tania, Asuransi Jasa Tania Tbk, AsuransiJasaTania, PT Asuransi Jasa Tania</v>
      </c>
      <c r="K67" t="str">
        <f t="shared" ref="K67:K130" si="19">SUBSTITUTE(J67, _xlfn.CONCAT(I67, ", "), "")</f>
        <v>ASJT, Asuransi Jasa Tania, Asuransi Jasa Tania Tbk, AsuransiJasaTania, PT Asuransi Jasa Tania</v>
      </c>
      <c r="L67" t="str">
        <f t="shared" si="15"/>
        <v>AsuransiJasaTania</v>
      </c>
      <c r="M67" t="str">
        <f t="shared" ref="M67:M130" si="20">SUBSTITUTE(K67, _xlfn.CONCAT(", ", L67), "")</f>
        <v>ASJT, Asuransi Jasa Tania, Asuransi Jasa Tania Tbk, PT Asuransi Jasa Tania</v>
      </c>
      <c r="N67" t="str">
        <f t="shared" ref="N67:N130" si="21">SUBSTITUTE(M67, _xlfn.CONCAT(L67, ", "), "")</f>
        <v>ASJT, Asuransi Jasa Tania, Asuransi Jasa Tania Tbk, PT Asuransi Jasa Tania</v>
      </c>
    </row>
    <row r="68" spans="1:14" x14ac:dyDescent="0.2">
      <c r="A68" t="s">
        <v>2065</v>
      </c>
      <c r="B68" t="s">
        <v>2066</v>
      </c>
      <c r="C68" t="s">
        <v>7868</v>
      </c>
      <c r="D68" t="str">
        <f t="shared" si="11"/>
        <v>ASLC, Caroline, AUTOPEDIA SUKSES LESTARI, Autopedia Sukses Lestari, Autopedia Sukses Lestari Tbk, AutopediaSuksesLestari, PT Autopedia Sukses Lestari, autopedia sukses lestari</v>
      </c>
      <c r="E68" t="str">
        <f t="shared" si="12"/>
        <v>ASLC, Caroline, AUTOPEDIA SUKSES LESTARI, Autopedia Sukses Lestari, Autopedia Sukses Lestari Tbk, AutopediaSuksesLestari, PT Autopedia Sukses Lestari, autopedia sukses lestari</v>
      </c>
      <c r="F68" t="str">
        <f t="shared" si="13"/>
        <v>autopedia sukses lestari</v>
      </c>
      <c r="G68" t="str">
        <f t="shared" si="16"/>
        <v>ASLC, Caroline, AUTOPEDIA SUKSES LESTARI, Autopedia Sukses Lestari, Autopedia Sukses Lestari Tbk, AutopediaSuksesLestari, PT Autopedia Sukses Lestari</v>
      </c>
      <c r="H68" t="str">
        <f t="shared" si="17"/>
        <v>ASLC, Caroline, AUTOPEDIA SUKSES LESTARI, Autopedia Sukses Lestari, Autopedia Sukses Lestari Tbk, AutopediaSuksesLestari, PT Autopedia Sukses Lestari</v>
      </c>
      <c r="I68" t="str">
        <f t="shared" si="14"/>
        <v>AUTOPEDIA SUKSES LESTARI</v>
      </c>
      <c r="J68" t="str">
        <f t="shared" si="18"/>
        <v>ASLC, Caroline, Autopedia Sukses Lestari, Autopedia Sukses Lestari Tbk, AutopediaSuksesLestari, PT Autopedia Sukses Lestari</v>
      </c>
      <c r="K68" t="str">
        <f t="shared" si="19"/>
        <v>ASLC, Caroline, Autopedia Sukses Lestari, Autopedia Sukses Lestari Tbk, AutopediaSuksesLestari, PT Autopedia Sukses Lestari</v>
      </c>
      <c r="L68" t="str">
        <f t="shared" si="15"/>
        <v>AutopediaSuksesLestari</v>
      </c>
      <c r="M68" t="str">
        <f t="shared" si="20"/>
        <v>ASLC, Caroline, Autopedia Sukses Lestari, Autopedia Sukses Lestari Tbk, PT Autopedia Sukses Lestari</v>
      </c>
      <c r="N68" t="str">
        <f t="shared" si="21"/>
        <v>ASLC, Caroline, Autopedia Sukses Lestari, Autopedia Sukses Lestari Tbk, PT Autopedia Sukses Lestari</v>
      </c>
    </row>
    <row r="69" spans="1:14" x14ac:dyDescent="0.2">
      <c r="A69" t="s">
        <v>2415</v>
      </c>
      <c r="B69" t="s">
        <v>2416</v>
      </c>
      <c r="C69" t="s">
        <v>7869</v>
      </c>
      <c r="D69" t="str">
        <f t="shared" si="11"/>
        <v>ASLI, ASRI KARYA LESTARI, Asri Karya Lestari, Asri Karya Lestari Tbk, AsriKaryaLestari, PT Asri Karya Lestari, asri karya lestari</v>
      </c>
      <c r="E69" t="str">
        <f t="shared" si="12"/>
        <v>ASLI, ASRI KARYA LESTARI, Asri Karya Lestari, Asri Karya Lestari Tbk, AsriKaryaLestari, PT Asri Karya Lestari, asri karya lestari</v>
      </c>
      <c r="F69" t="str">
        <f t="shared" si="13"/>
        <v>asri karya lestari</v>
      </c>
      <c r="G69" t="str">
        <f t="shared" si="16"/>
        <v>ASLI, ASRI KARYA LESTARI, Asri Karya Lestari, Asri Karya Lestari Tbk, AsriKaryaLestari, PT Asri Karya Lestari</v>
      </c>
      <c r="H69" t="str">
        <f t="shared" si="17"/>
        <v>ASLI, ASRI KARYA LESTARI, Asri Karya Lestari, Asri Karya Lestari Tbk, AsriKaryaLestari, PT Asri Karya Lestari</v>
      </c>
      <c r="I69" t="str">
        <f t="shared" si="14"/>
        <v>ASRI KARYA LESTARI</v>
      </c>
      <c r="J69" t="str">
        <f t="shared" si="18"/>
        <v>ASLI, Asri Karya Lestari, Asri Karya Lestari Tbk, AsriKaryaLestari, PT Asri Karya Lestari</v>
      </c>
      <c r="K69" t="str">
        <f t="shared" si="19"/>
        <v>ASLI, Asri Karya Lestari, Asri Karya Lestari Tbk, AsriKaryaLestari, PT Asri Karya Lestari</v>
      </c>
      <c r="L69" t="str">
        <f t="shared" si="15"/>
        <v>AsriKaryaLestari</v>
      </c>
      <c r="M69" t="str">
        <f t="shared" si="20"/>
        <v>ASLI, Asri Karya Lestari, Asri Karya Lestari Tbk, PT Asri Karya Lestari</v>
      </c>
      <c r="N69" t="str">
        <f t="shared" si="21"/>
        <v>ASLI, Asri Karya Lestari, Asri Karya Lestari Tbk, PT Asri Karya Lestari</v>
      </c>
    </row>
    <row r="70" spans="1:14" x14ac:dyDescent="0.2">
      <c r="A70" t="s">
        <v>121</v>
      </c>
      <c r="B70" t="s">
        <v>3512</v>
      </c>
      <c r="C70" t="s">
        <v>7870</v>
      </c>
      <c r="D70" t="str">
        <f t="shared" si="11"/>
        <v>ASMI, ASURANSI MAXIMUS GRAHA PERSADA, Asuransi Maximus Graha Persada, Asuransi Maximus Graha Persada Tbk, AsuransiMaximusGrahaPersada, PT Asuransi Maximus Graha Persada, asuransi maximus graha persada</v>
      </c>
      <c r="E70" t="str">
        <f t="shared" si="12"/>
        <v>ASMI, ASURANSI MAXIMUS GRAHA PERSADA, Asuransi Maximus Graha Persada, Asuransi Maximus Graha Persada Tbk, AsuransiMaximusGrahaPersada, PT Asuransi Maximus Graha Persada, asuransi maximus graha persada</v>
      </c>
      <c r="F70" t="str">
        <f t="shared" si="13"/>
        <v>asuransi maximus graha persada</v>
      </c>
      <c r="G70" t="str">
        <f t="shared" si="16"/>
        <v>ASMI, ASURANSI MAXIMUS GRAHA PERSADA, Asuransi Maximus Graha Persada, Asuransi Maximus Graha Persada Tbk, AsuransiMaximusGrahaPersada, PT Asuransi Maximus Graha Persada</v>
      </c>
      <c r="H70" t="str">
        <f t="shared" si="17"/>
        <v>ASMI, ASURANSI MAXIMUS GRAHA PERSADA, Asuransi Maximus Graha Persada, Asuransi Maximus Graha Persada Tbk, AsuransiMaximusGrahaPersada, PT Asuransi Maximus Graha Persada</v>
      </c>
      <c r="I70" t="str">
        <f t="shared" si="14"/>
        <v>ASURANSI MAXIMUS GRAHA PERSADA</v>
      </c>
      <c r="J70" t="str">
        <f t="shared" si="18"/>
        <v>ASMI, Asuransi Maximus Graha Persada, Asuransi Maximus Graha Persada Tbk, AsuransiMaximusGrahaPersada, PT Asuransi Maximus Graha Persada</v>
      </c>
      <c r="K70" t="str">
        <f t="shared" si="19"/>
        <v>ASMI, Asuransi Maximus Graha Persada, Asuransi Maximus Graha Persada Tbk, AsuransiMaximusGrahaPersada, PT Asuransi Maximus Graha Persada</v>
      </c>
      <c r="L70" t="str">
        <f t="shared" si="15"/>
        <v>AsuransiMaximusGrahaPersada</v>
      </c>
      <c r="M70" t="str">
        <f t="shared" si="20"/>
        <v>ASMI, Asuransi Maximus Graha Persada, Asuransi Maximus Graha Persada Tbk, PT Asuransi Maximus Graha Persada</v>
      </c>
      <c r="N70" t="str">
        <f t="shared" si="21"/>
        <v>ASMI, Asuransi Maximus Graha Persada, Asuransi Maximus Graha Persada Tbk, PT Asuransi Maximus Graha Persada</v>
      </c>
    </row>
    <row r="71" spans="1:14" x14ac:dyDescent="0.2">
      <c r="A71" t="s">
        <v>2590</v>
      </c>
      <c r="B71" t="s">
        <v>2591</v>
      </c>
      <c r="C71" t="s">
        <v>7871</v>
      </c>
      <c r="D71" t="str">
        <f t="shared" si="11"/>
        <v>ASPI, ANDALAN SAKTI PRIMAINDO, Andalan Sakti Primaindo, Andalan Sakti Primaindo Tbk, AndalanSaktiPrimaindo, PT Andalan Sakti Primaindo, andalan sakti primaindo</v>
      </c>
      <c r="E71" t="str">
        <f t="shared" si="12"/>
        <v>ASPI, ANDALAN SAKTI PRIMAINDO, Andalan Sakti Primaindo, Andalan Sakti Primaindo Tbk, AndalanSaktiPrimaindo, PT Andalan Sakti Primaindo, andalan sakti primaindo</v>
      </c>
      <c r="F71" t="str">
        <f t="shared" si="13"/>
        <v>andalan sakti primaindo</v>
      </c>
      <c r="G71" t="str">
        <f t="shared" si="16"/>
        <v>ASPI, ANDALAN SAKTI PRIMAINDO, Andalan Sakti Primaindo, Andalan Sakti Primaindo Tbk, AndalanSaktiPrimaindo, PT Andalan Sakti Primaindo</v>
      </c>
      <c r="H71" t="str">
        <f t="shared" si="17"/>
        <v>ASPI, ANDALAN SAKTI PRIMAINDO, Andalan Sakti Primaindo, Andalan Sakti Primaindo Tbk, AndalanSaktiPrimaindo, PT Andalan Sakti Primaindo</v>
      </c>
      <c r="I71" t="str">
        <f t="shared" si="14"/>
        <v>ANDALAN SAKTI PRIMAINDO</v>
      </c>
      <c r="J71" t="str">
        <f t="shared" si="18"/>
        <v>ASPI, Andalan Sakti Primaindo, Andalan Sakti Primaindo Tbk, AndalanSaktiPrimaindo, PT Andalan Sakti Primaindo</v>
      </c>
      <c r="K71" t="str">
        <f t="shared" si="19"/>
        <v>ASPI, Andalan Sakti Primaindo, Andalan Sakti Primaindo Tbk, AndalanSaktiPrimaindo, PT Andalan Sakti Primaindo</v>
      </c>
      <c r="L71" t="str">
        <f t="shared" si="15"/>
        <v>AndalanSaktiPrimaindo</v>
      </c>
      <c r="M71" t="str">
        <f t="shared" si="20"/>
        <v>ASPI, Andalan Sakti Primaindo, Andalan Sakti Primaindo Tbk, PT Andalan Sakti Primaindo</v>
      </c>
      <c r="N71" t="str">
        <f t="shared" si="21"/>
        <v>ASPI, Andalan Sakti Primaindo, Andalan Sakti Primaindo Tbk, PT Andalan Sakti Primaindo</v>
      </c>
    </row>
    <row r="72" spans="1:14" x14ac:dyDescent="0.2">
      <c r="A72" t="s">
        <v>2536</v>
      </c>
      <c r="B72" t="s">
        <v>2537</v>
      </c>
      <c r="C72" t="s">
        <v>7872</v>
      </c>
      <c r="D72" t="str">
        <f t="shared" si="11"/>
        <v>ASPR, ASIA PRAMULIA, Asia Pramulia, Asia Pramulia Tbk, AsiaPramulia, PT Asia Pramulia, asia pramulia</v>
      </c>
      <c r="E72" t="str">
        <f t="shared" si="12"/>
        <v>ASPR, ASIA PRAMULIA, Asia Pramulia, Asia Pramulia Tbk, AsiaPramulia, PT Asia Pramulia, asia pramulia</v>
      </c>
      <c r="F72" t="str">
        <f t="shared" si="13"/>
        <v>asia pramulia</v>
      </c>
      <c r="G72" t="str">
        <f t="shared" si="16"/>
        <v>ASPR, ASIA PRAMULIA, Asia Pramulia, Asia Pramulia Tbk, AsiaPramulia, PT Asia Pramulia</v>
      </c>
      <c r="H72" t="str">
        <f t="shared" si="17"/>
        <v>ASPR, ASIA PRAMULIA, Asia Pramulia, Asia Pramulia Tbk, AsiaPramulia, PT Asia Pramulia</v>
      </c>
      <c r="I72" t="str">
        <f t="shared" si="14"/>
        <v>ASIA PRAMULIA</v>
      </c>
      <c r="J72" t="str">
        <f t="shared" si="18"/>
        <v>ASPR, Asia Pramulia, Asia Pramulia Tbk, AsiaPramulia, PT Asia Pramulia</v>
      </c>
      <c r="K72" t="str">
        <f t="shared" si="19"/>
        <v>ASPR, Asia Pramulia, Asia Pramulia Tbk, AsiaPramulia, PT Asia Pramulia</v>
      </c>
      <c r="L72" t="str">
        <f t="shared" si="15"/>
        <v>AsiaPramulia</v>
      </c>
      <c r="M72" t="str">
        <f t="shared" si="20"/>
        <v>ASPR, Asia Pramulia, Asia Pramulia Tbk, PT Asia Pramulia</v>
      </c>
      <c r="N72" t="str">
        <f t="shared" si="21"/>
        <v>ASPR, Asia Pramulia, Asia Pramulia Tbk, PT Asia Pramulia</v>
      </c>
    </row>
    <row r="73" spans="1:14" x14ac:dyDescent="0.2">
      <c r="A73" t="s">
        <v>123</v>
      </c>
      <c r="B73" t="s">
        <v>124</v>
      </c>
      <c r="C73" t="s">
        <v>7873</v>
      </c>
      <c r="D73" t="str">
        <f t="shared" si="11"/>
        <v>ASRI, ALAM SUTERA REALTY, Alam Sutera Realty, Alam Sutera Realty Tbk, AlamSuteraRealty, PT Alam Sutera Realty, alam sutera realty</v>
      </c>
      <c r="E73" t="str">
        <f t="shared" si="12"/>
        <v>ASRI, ALAM SUTERA REALTY, Alam Sutera Realty, Alam Sutera Realty Tbk, AlamSuteraRealty, PT Alam Sutera Realty, alam sutera realty</v>
      </c>
      <c r="F73" t="str">
        <f t="shared" si="13"/>
        <v>alam sutera realty</v>
      </c>
      <c r="G73" t="str">
        <f t="shared" si="16"/>
        <v>ASRI, ALAM SUTERA REALTY, Alam Sutera Realty, Alam Sutera Realty Tbk, AlamSuteraRealty, PT Alam Sutera Realty</v>
      </c>
      <c r="H73" t="str">
        <f t="shared" si="17"/>
        <v>ASRI, ALAM SUTERA REALTY, Alam Sutera Realty, Alam Sutera Realty Tbk, AlamSuteraRealty, PT Alam Sutera Realty</v>
      </c>
      <c r="I73" t="str">
        <f t="shared" si="14"/>
        <v>ALAM SUTERA REALTY</v>
      </c>
      <c r="J73" t="str">
        <f t="shared" si="18"/>
        <v>ASRI, Alam Sutera Realty, Alam Sutera Realty Tbk, AlamSuteraRealty, PT Alam Sutera Realty</v>
      </c>
      <c r="K73" t="str">
        <f t="shared" si="19"/>
        <v>ASRI, Alam Sutera Realty, Alam Sutera Realty Tbk, AlamSuteraRealty, PT Alam Sutera Realty</v>
      </c>
      <c r="L73" t="str">
        <f t="shared" si="15"/>
        <v>AlamSuteraRealty</v>
      </c>
      <c r="M73" t="str">
        <f t="shared" si="20"/>
        <v>ASRI, Alam Sutera Realty, Alam Sutera Realty Tbk, PT Alam Sutera Realty</v>
      </c>
      <c r="N73" t="str">
        <f t="shared" si="21"/>
        <v>ASRI, Alam Sutera Realty, Alam Sutera Realty Tbk, PT Alam Sutera Realty</v>
      </c>
    </row>
    <row r="74" spans="1:14" x14ac:dyDescent="0.2">
      <c r="A74" t="s">
        <v>126</v>
      </c>
      <c r="B74" t="s">
        <v>127</v>
      </c>
      <c r="C74" t="s">
        <v>7874</v>
      </c>
      <c r="D74" t="str">
        <f t="shared" si="11"/>
        <v>ASRM, ASURANSI RAMAYANA, Asuransi Ramayana, Asuransi Ramayana Tbk, AsuransiRamayana, PT Asuransi Ramayana, asuransi ramayana</v>
      </c>
      <c r="E74" t="str">
        <f t="shared" si="12"/>
        <v>ASRM, ASURANSI RAMAYANA, Asuransi Ramayana, Asuransi Ramayana Tbk, AsuransiRamayana, PT Asuransi Ramayana, asuransi ramayana</v>
      </c>
      <c r="F74" t="str">
        <f t="shared" si="13"/>
        <v>asuransi ramayana</v>
      </c>
      <c r="G74" t="str">
        <f t="shared" si="16"/>
        <v>ASRM, ASURANSI RAMAYANA, Asuransi Ramayana, Asuransi Ramayana Tbk, AsuransiRamayana, PT Asuransi Ramayana</v>
      </c>
      <c r="H74" t="str">
        <f t="shared" si="17"/>
        <v>ASRM, ASURANSI RAMAYANA, Asuransi Ramayana, Asuransi Ramayana Tbk, AsuransiRamayana, PT Asuransi Ramayana</v>
      </c>
      <c r="I74" t="str">
        <f t="shared" si="14"/>
        <v>ASURANSI RAMAYANA</v>
      </c>
      <c r="J74" t="str">
        <f t="shared" si="18"/>
        <v>ASRM, Asuransi Ramayana, Asuransi Ramayana Tbk, AsuransiRamayana, PT Asuransi Ramayana</v>
      </c>
      <c r="K74" t="str">
        <f t="shared" si="19"/>
        <v>ASRM, Asuransi Ramayana, Asuransi Ramayana Tbk, AsuransiRamayana, PT Asuransi Ramayana</v>
      </c>
      <c r="L74" t="str">
        <f t="shared" si="15"/>
        <v>AsuransiRamayana</v>
      </c>
      <c r="M74" t="str">
        <f t="shared" si="20"/>
        <v>ASRM, Asuransi Ramayana, Asuransi Ramayana Tbk, PT Asuransi Ramayana</v>
      </c>
      <c r="N74" t="str">
        <f t="shared" si="21"/>
        <v>ASRM, Asuransi Ramayana, Asuransi Ramayana Tbk, PT Asuransi Ramayana</v>
      </c>
    </row>
    <row r="75" spans="1:14" x14ac:dyDescent="0.2">
      <c r="A75" t="s">
        <v>129</v>
      </c>
      <c r="B75" t="s">
        <v>130</v>
      </c>
      <c r="C75" t="s">
        <v>7875</v>
      </c>
      <c r="D75" t="str">
        <f t="shared" si="11"/>
        <v>ASSA, ADI SARANA ARMADA, Adi Sarana Armada, Adi Sarana Armada Tbk, AdiSaranaArmada, PT Adi Sarana Armada, adi sarana armada</v>
      </c>
      <c r="E75" t="str">
        <f t="shared" si="12"/>
        <v>ASSA, ADI SARANA ARMADA, Adi Sarana Armada, Adi Sarana Armada Tbk, AdiSaranaArmada, PT Adi Sarana Armada, adi sarana armada</v>
      </c>
      <c r="F75" t="str">
        <f t="shared" si="13"/>
        <v>adi sarana armada</v>
      </c>
      <c r="G75" t="str">
        <f t="shared" si="16"/>
        <v>ASSA, ADI SARANA ARMADA, Adi Sarana Armada, Adi Sarana Armada Tbk, AdiSaranaArmada, PT Adi Sarana Armada</v>
      </c>
      <c r="H75" t="str">
        <f t="shared" si="17"/>
        <v>ASSA, ADI SARANA ARMADA, Adi Sarana Armada, Adi Sarana Armada Tbk, AdiSaranaArmada, PT Adi Sarana Armada</v>
      </c>
      <c r="I75" t="str">
        <f t="shared" si="14"/>
        <v>ADI SARANA ARMADA</v>
      </c>
      <c r="J75" t="str">
        <f t="shared" si="18"/>
        <v>ASSA, Adi Sarana Armada, Adi Sarana Armada Tbk, AdiSaranaArmada, PT Adi Sarana Armada</v>
      </c>
      <c r="K75" t="str">
        <f t="shared" si="19"/>
        <v>ASSA, Adi Sarana Armada, Adi Sarana Armada Tbk, AdiSaranaArmada, PT Adi Sarana Armada</v>
      </c>
      <c r="L75" t="str">
        <f t="shared" si="15"/>
        <v>AdiSaranaArmada</v>
      </c>
      <c r="M75" t="str">
        <f t="shared" si="20"/>
        <v>ASSA, Adi Sarana Armada, Adi Sarana Armada Tbk, PT Adi Sarana Armada</v>
      </c>
      <c r="N75" t="str">
        <f t="shared" si="21"/>
        <v>ASSA, Adi Sarana Armada, Adi Sarana Armada Tbk, PT Adi Sarana Armada</v>
      </c>
    </row>
    <row r="76" spans="1:14" x14ac:dyDescent="0.2">
      <c r="A76" t="s">
        <v>1901</v>
      </c>
      <c r="B76" t="s">
        <v>1902</v>
      </c>
      <c r="C76" t="s">
        <v>7876</v>
      </c>
      <c r="D76" t="str">
        <f t="shared" si="11"/>
        <v>ATAP, PT Trimitra Prawara Goldland, TRIMITRA PRAWARA GOLDLAND, Trimitra Prawara Goldland, Trimitra Prawara Goldland Tbk, TrimitraPrawaraGoldland, trimitra prawara goldland</v>
      </c>
      <c r="E76" t="str">
        <f t="shared" si="12"/>
        <v>ATAP, PT Trimitra Prawara Goldland, TRIMITRA PRAWARA GOLDLAND, Trimitra Prawara Goldland, Trimitra Prawara Goldland Tbk, TrimitraPrawaraGoldland, trimitra prawara goldland</v>
      </c>
      <c r="F76" t="str">
        <f t="shared" si="13"/>
        <v>trimitra prawara goldland</v>
      </c>
      <c r="G76" t="str">
        <f t="shared" si="16"/>
        <v>ATAP, PT Trimitra Prawara Goldland, TRIMITRA PRAWARA GOLDLAND, Trimitra Prawara Goldland, Trimitra Prawara Goldland Tbk, TrimitraPrawaraGoldland</v>
      </c>
      <c r="H76" t="str">
        <f t="shared" si="17"/>
        <v>ATAP, PT Trimitra Prawara Goldland, TRIMITRA PRAWARA GOLDLAND, Trimitra Prawara Goldland, Trimitra Prawara Goldland Tbk, TrimitraPrawaraGoldland</v>
      </c>
      <c r="I76" t="str">
        <f t="shared" si="14"/>
        <v>TRIMITRA PRAWARA GOLDLAND</v>
      </c>
      <c r="J76" t="str">
        <f t="shared" si="18"/>
        <v>ATAP, PT Trimitra Prawara Goldland, Trimitra Prawara Goldland, Trimitra Prawara Goldland Tbk, TrimitraPrawaraGoldland</v>
      </c>
      <c r="K76" t="str">
        <f t="shared" si="19"/>
        <v>ATAP, PT Trimitra Prawara Goldland, Trimitra Prawara Goldland, Trimitra Prawara Goldland Tbk, TrimitraPrawaraGoldland</v>
      </c>
      <c r="L76" t="str">
        <f t="shared" si="15"/>
        <v>TrimitraPrawaraGoldland</v>
      </c>
      <c r="M76" t="str">
        <f t="shared" si="20"/>
        <v>ATAP, PT Trimitra Prawara Goldland, Trimitra Prawara Goldland, Trimitra Prawara Goldland Tbk</v>
      </c>
      <c r="N76" t="str">
        <f t="shared" si="21"/>
        <v>ATAP, PT Trimitra Prawara Goldland, Trimitra Prawara Goldland, Trimitra Prawara Goldland Tbk</v>
      </c>
    </row>
    <row r="77" spans="1:14" x14ac:dyDescent="0.2">
      <c r="A77" t="s">
        <v>132</v>
      </c>
      <c r="B77" t="s">
        <v>133</v>
      </c>
      <c r="C77" t="s">
        <v>7877</v>
      </c>
      <c r="D77" t="str">
        <f t="shared" si="11"/>
        <v>ATIC, ANABATIC TECHNOLOGIES, Anabatic Technologies, Anabatic Technologies Tbk, AnabaticTechnologies, PT Anabatic Technologies, anabatic technologies</v>
      </c>
      <c r="E77" t="str">
        <f t="shared" si="12"/>
        <v>ATIC, ANABATIC TECHNOLOGIES, Anabatic Technologies, Anabatic Technologies Tbk, AnabaticTechnologies, PT Anabatic Technologies, anabatic technologies</v>
      </c>
      <c r="F77" t="str">
        <f t="shared" si="13"/>
        <v>anabatic technologies</v>
      </c>
      <c r="G77" t="str">
        <f t="shared" si="16"/>
        <v>ATIC, ANABATIC TECHNOLOGIES, Anabatic Technologies, Anabatic Technologies Tbk, AnabaticTechnologies, PT Anabatic Technologies</v>
      </c>
      <c r="H77" t="str">
        <f t="shared" si="17"/>
        <v>ATIC, ANABATIC TECHNOLOGIES, Anabatic Technologies, Anabatic Technologies Tbk, AnabaticTechnologies, PT Anabatic Technologies</v>
      </c>
      <c r="I77" t="str">
        <f t="shared" si="14"/>
        <v>ANABATIC TECHNOLOGIES</v>
      </c>
      <c r="J77" t="str">
        <f t="shared" si="18"/>
        <v>ATIC, Anabatic Technologies, Anabatic Technologies Tbk, AnabaticTechnologies, PT Anabatic Technologies</v>
      </c>
      <c r="K77" t="str">
        <f t="shared" si="19"/>
        <v>ATIC, Anabatic Technologies, Anabatic Technologies Tbk, AnabaticTechnologies, PT Anabatic Technologies</v>
      </c>
      <c r="L77" t="str">
        <f t="shared" si="15"/>
        <v>AnabaticTechnologies</v>
      </c>
      <c r="M77" t="str">
        <f t="shared" si="20"/>
        <v>ATIC, Anabatic Technologies, Anabatic Technologies Tbk, PT Anabatic Technologies</v>
      </c>
      <c r="N77" t="str">
        <f t="shared" si="21"/>
        <v>ATIC, Anabatic Technologies, Anabatic Technologies Tbk, PT Anabatic Technologies</v>
      </c>
    </row>
    <row r="78" spans="1:14" x14ac:dyDescent="0.2">
      <c r="A78" t="s">
        <v>2455</v>
      </c>
      <c r="B78" t="s">
        <v>2456</v>
      </c>
      <c r="C78" t="s">
        <v>7878</v>
      </c>
      <c r="D78" t="str">
        <f t="shared" si="11"/>
        <v>ATLA, ATLANTIS SUBSEA INDONESIA, Atlantis Subsea Indonesia, Atlantis Subsea Indonesia Tbk, AtlantisSubseaIndonesia, PT Atlantis Subsea Indonesia, atlantis subsea indonesia</v>
      </c>
      <c r="E78" t="str">
        <f t="shared" si="12"/>
        <v>ATLA, ATLANTIS SUBSEA INDONESIA, Atlantis Subsea Indonesia, Atlantis Subsea Indonesia Tbk, AtlantisSubseaIndonesia, PT Atlantis Subsea Indonesia, atlantis subsea indonesia</v>
      </c>
      <c r="F78" t="str">
        <f t="shared" si="13"/>
        <v>atlantis subsea indonesia</v>
      </c>
      <c r="G78" t="str">
        <f t="shared" si="16"/>
        <v>ATLA, ATLANTIS SUBSEA INDONESIA, Atlantis Subsea Indonesia, Atlantis Subsea Indonesia Tbk, AtlantisSubseaIndonesia, PT Atlantis Subsea Indonesia</v>
      </c>
      <c r="H78" t="str">
        <f t="shared" si="17"/>
        <v>ATLA, ATLANTIS SUBSEA INDONESIA, Atlantis Subsea Indonesia, Atlantis Subsea Indonesia Tbk, AtlantisSubseaIndonesia, PT Atlantis Subsea Indonesia</v>
      </c>
      <c r="I78" t="str">
        <f t="shared" si="14"/>
        <v>ATLANTIS SUBSEA INDONESIA</v>
      </c>
      <c r="J78" t="str">
        <f t="shared" si="18"/>
        <v>ATLA, Atlantis Subsea Indonesia, Atlantis Subsea Indonesia Tbk, AtlantisSubseaIndonesia, PT Atlantis Subsea Indonesia</v>
      </c>
      <c r="K78" t="str">
        <f t="shared" si="19"/>
        <v>ATLA, Atlantis Subsea Indonesia, Atlantis Subsea Indonesia Tbk, AtlantisSubseaIndonesia, PT Atlantis Subsea Indonesia</v>
      </c>
      <c r="L78" t="str">
        <f t="shared" si="15"/>
        <v>AtlantisSubseaIndonesia</v>
      </c>
      <c r="M78" t="str">
        <f t="shared" si="20"/>
        <v>ATLA, Atlantis Subsea Indonesia, Atlantis Subsea Indonesia Tbk, PT Atlantis Subsea Indonesia</v>
      </c>
      <c r="N78" t="str">
        <f t="shared" si="21"/>
        <v>ATLA, Atlantis Subsea Indonesia, Atlantis Subsea Indonesia Tbk, PT Atlantis Subsea Indonesia</v>
      </c>
    </row>
    <row r="79" spans="1:14" x14ac:dyDescent="0.2">
      <c r="A79" t="s">
        <v>135</v>
      </c>
      <c r="B79" t="s">
        <v>136</v>
      </c>
      <c r="C79" t="s">
        <v>7879</v>
      </c>
      <c r="D79" t="str">
        <f t="shared" si="11"/>
        <v>AUTO, ASTRA OTOPARTS, Astra Otoparts, Astra Otoparts Tbk, AstraOtoparts, PT Astra Otoparts, astra otoparts</v>
      </c>
      <c r="E79" t="str">
        <f t="shared" si="12"/>
        <v>AUTO, ASTRA OTOPARTS, Astra Otoparts, Astra Otoparts Tbk, AstraOtoparts, PT Astra Otoparts, astra otoparts</v>
      </c>
      <c r="F79" t="str">
        <f t="shared" si="13"/>
        <v>astra otoparts</v>
      </c>
      <c r="G79" t="str">
        <f t="shared" si="16"/>
        <v>AUTO, ASTRA OTOPARTS, Astra Otoparts, Astra Otoparts Tbk, AstraOtoparts, PT Astra Otoparts</v>
      </c>
      <c r="H79" t="str">
        <f t="shared" si="17"/>
        <v>AUTO, ASTRA OTOPARTS, Astra Otoparts, Astra Otoparts Tbk, AstraOtoparts, PT Astra Otoparts</v>
      </c>
      <c r="I79" t="str">
        <f t="shared" si="14"/>
        <v>ASTRA OTOPARTS</v>
      </c>
      <c r="J79" t="str">
        <f t="shared" si="18"/>
        <v>AUTO, Astra Otoparts, Astra Otoparts Tbk, AstraOtoparts, PT Astra Otoparts</v>
      </c>
      <c r="K79" t="str">
        <f t="shared" si="19"/>
        <v>AUTO, Astra Otoparts, Astra Otoparts Tbk, AstraOtoparts, PT Astra Otoparts</v>
      </c>
      <c r="L79" t="str">
        <f t="shared" si="15"/>
        <v>AstraOtoparts</v>
      </c>
      <c r="M79" t="str">
        <f t="shared" si="20"/>
        <v>AUTO, Astra Otoparts, Astra Otoparts Tbk, PT Astra Otoparts</v>
      </c>
      <c r="N79" t="str">
        <f t="shared" si="21"/>
        <v>AUTO, Astra Otoparts, Astra Otoparts Tbk, PT Astra Otoparts</v>
      </c>
    </row>
    <row r="80" spans="1:14" x14ac:dyDescent="0.2">
      <c r="A80" t="s">
        <v>2046</v>
      </c>
      <c r="B80" t="s">
        <v>2047</v>
      </c>
      <c r="C80" t="s">
        <v>7880</v>
      </c>
      <c r="D80" t="str">
        <f t="shared" si="11"/>
        <v>AVIA, AVIA AVIAN, Avia Avian, Avia Avian Tbk, AviaAvian, PT Avia Avian, avia avian</v>
      </c>
      <c r="E80" t="str">
        <f t="shared" si="12"/>
        <v>AVIA, AVIA AVIAN, Avia Avian, Avia Avian Tbk, AviaAvian, PT Avia Avian, avia avian</v>
      </c>
      <c r="F80" t="str">
        <f t="shared" si="13"/>
        <v>avia avian</v>
      </c>
      <c r="G80" t="str">
        <f t="shared" si="16"/>
        <v>AVIA, AVIA AVIAN, Avia Avian, Avia Avian Tbk, AviaAvian, PT Avia Avian</v>
      </c>
      <c r="H80" t="str">
        <f t="shared" si="17"/>
        <v>AVIA, AVIA AVIAN, Avia Avian, Avia Avian Tbk, AviaAvian, PT Avia Avian</v>
      </c>
      <c r="I80" t="str">
        <f t="shared" si="14"/>
        <v>AVIA AVIAN</v>
      </c>
      <c r="J80" t="str">
        <f t="shared" si="18"/>
        <v>AVIA, Avia Avian, Avia Avian Tbk, AviaAvian, PT Avia Avian</v>
      </c>
      <c r="K80" t="str">
        <f t="shared" si="19"/>
        <v>AVIA, Avia Avian, Avia Avian Tbk, AviaAvian, PT Avia Avian</v>
      </c>
      <c r="L80" t="str">
        <f t="shared" si="15"/>
        <v>AviaAvian</v>
      </c>
      <c r="M80" t="str">
        <f t="shared" si="20"/>
        <v>AVIA, Avia Avian, Avia Avian Tbk, PT Avia Avian</v>
      </c>
      <c r="N80" t="str">
        <f t="shared" si="21"/>
        <v>AVIA, Avia Avian, Avia Avian Tbk, PT Avia Avian</v>
      </c>
    </row>
    <row r="81" spans="1:14" x14ac:dyDescent="0.2">
      <c r="A81" t="s">
        <v>2613</v>
      </c>
      <c r="B81" t="s">
        <v>2614</v>
      </c>
      <c r="C81" t="s">
        <v>7881</v>
      </c>
      <c r="D81" t="str">
        <f t="shared" si="11"/>
        <v>AWAN, ERA DIGITAL MEDIA, Era Digital Media, Era Digital Media Tbk, EraDigitalMedia, PT Era Digital Media, era digital media</v>
      </c>
      <c r="E81" t="str">
        <f t="shared" si="12"/>
        <v>AWAN, ERA DIGITAL MEDIA, Era Digital Media, Era Digital Media Tbk, EraDigitalMedia, PT Era Digital Media, era digital media</v>
      </c>
      <c r="F81" t="str">
        <f t="shared" si="13"/>
        <v>era digital media</v>
      </c>
      <c r="G81" t="str">
        <f t="shared" si="16"/>
        <v>AWAN, ERA DIGITAL MEDIA, Era Digital Media, Era Digital Media Tbk, EraDigitalMedia, PT Era Digital Media</v>
      </c>
      <c r="H81" t="str">
        <f t="shared" si="17"/>
        <v>AWAN, ERA DIGITAL MEDIA, Era Digital Media, Era Digital Media Tbk, EraDigitalMedia, PT Era Digital Media</v>
      </c>
      <c r="I81" t="str">
        <f t="shared" si="14"/>
        <v>ERA DIGITAL MEDIA</v>
      </c>
      <c r="J81" t="str">
        <f t="shared" si="18"/>
        <v>AWAN, Era Digital Media, Era Digital Media Tbk, EraDigitalMedia, PT Era Digital Media</v>
      </c>
      <c r="K81" t="str">
        <f t="shared" si="19"/>
        <v>AWAN, Era Digital Media, Era Digital Media Tbk, EraDigitalMedia, PT Era Digital Media</v>
      </c>
      <c r="L81" t="str">
        <f t="shared" si="15"/>
        <v>EraDigitalMedia</v>
      </c>
      <c r="M81" t="str">
        <f t="shared" si="20"/>
        <v>AWAN, Era Digital Media, Era Digital Media Tbk, PT Era Digital Media</v>
      </c>
      <c r="N81" t="str">
        <f t="shared" si="21"/>
        <v>AWAN, Era Digital Media, Era Digital Media Tbk, PT Era Digital Media</v>
      </c>
    </row>
    <row r="82" spans="1:14" x14ac:dyDescent="0.2">
      <c r="A82" t="s">
        <v>2128</v>
      </c>
      <c r="B82" t="s">
        <v>2129</v>
      </c>
      <c r="C82" t="s">
        <v>7882</v>
      </c>
      <c r="D82" t="str">
        <f t="shared" si="11"/>
        <v>AXIO, PT Tera Data Indonusa, TDI, TERA DATA INDONUSA, Tera Data Indonusa, Tera Data Indonusa Tbk, TeraDataIndonusa, tera data indonusa</v>
      </c>
      <c r="E82" t="str">
        <f t="shared" si="12"/>
        <v>AXIO, PT Tera Data Indonusa, TDI, TERA DATA INDONUSA, Tera Data Indonusa, Tera Data Indonusa Tbk, TeraDataIndonusa, tera data indonusa</v>
      </c>
      <c r="F82" t="str">
        <f t="shared" si="13"/>
        <v>tera data indonusa</v>
      </c>
      <c r="G82" t="str">
        <f t="shared" si="16"/>
        <v>AXIO, PT Tera Data Indonusa, TDI, TERA DATA INDONUSA, Tera Data Indonusa, Tera Data Indonusa Tbk, TeraDataIndonusa</v>
      </c>
      <c r="H82" t="str">
        <f t="shared" si="17"/>
        <v>AXIO, PT Tera Data Indonusa, TDI, TERA DATA INDONUSA, Tera Data Indonusa, Tera Data Indonusa Tbk, TeraDataIndonusa</v>
      </c>
      <c r="I82" t="str">
        <f t="shared" si="14"/>
        <v>TERA DATA INDONUSA</v>
      </c>
      <c r="J82" t="str">
        <f t="shared" si="18"/>
        <v>AXIO, PT Tera Data Indonusa, TDI, Tera Data Indonusa, Tera Data Indonusa Tbk, TeraDataIndonusa</v>
      </c>
      <c r="K82" t="str">
        <f t="shared" si="19"/>
        <v>AXIO, PT Tera Data Indonusa, TDI, Tera Data Indonusa, Tera Data Indonusa Tbk, TeraDataIndonusa</v>
      </c>
      <c r="L82" t="str">
        <f t="shared" si="15"/>
        <v>TeraDataIndonusa</v>
      </c>
      <c r="M82" t="str">
        <f t="shared" si="20"/>
        <v>AXIO, PT Tera Data Indonusa, TDI, Tera Data Indonusa, Tera Data Indonusa Tbk</v>
      </c>
      <c r="N82" t="str">
        <f t="shared" si="21"/>
        <v>AXIO, PT Tera Data Indonusa, TDI, Tera Data Indonusa, Tera Data Indonusa Tbk</v>
      </c>
    </row>
    <row r="83" spans="1:14" x14ac:dyDescent="0.2">
      <c r="A83" t="s">
        <v>2410</v>
      </c>
      <c r="B83" t="s">
        <v>2411</v>
      </c>
      <c r="C83" t="s">
        <v>7883</v>
      </c>
      <c r="D83" t="str">
        <f t="shared" si="11"/>
        <v>AYAM, JANU PUTRA SEJAHTERA, Janu Putra Sejahtera, Janu Putra Sejahtera Tbk, JanuPutraSejahtera, PT Janu Putra Sejahtera, janu putra sejahtera</v>
      </c>
      <c r="E83" t="str">
        <f t="shared" si="12"/>
        <v>AYAM, JANU PUTRA SEJAHTERA, Janu Putra Sejahtera, Janu Putra Sejahtera Tbk, JanuPutraSejahtera, PT Janu Putra Sejahtera, janu putra sejahtera</v>
      </c>
      <c r="F83" t="str">
        <f t="shared" si="13"/>
        <v>janu putra sejahtera</v>
      </c>
      <c r="G83" t="str">
        <f t="shared" si="16"/>
        <v>AYAM, JANU PUTRA SEJAHTERA, Janu Putra Sejahtera, Janu Putra Sejahtera Tbk, JanuPutraSejahtera, PT Janu Putra Sejahtera</v>
      </c>
      <c r="H83" t="str">
        <f t="shared" si="17"/>
        <v>AYAM, JANU PUTRA SEJAHTERA, Janu Putra Sejahtera, Janu Putra Sejahtera Tbk, JanuPutraSejahtera, PT Janu Putra Sejahtera</v>
      </c>
      <c r="I83" t="str">
        <f t="shared" si="14"/>
        <v>JANU PUTRA SEJAHTERA</v>
      </c>
      <c r="J83" t="str">
        <f t="shared" si="18"/>
        <v>AYAM, Janu Putra Sejahtera, Janu Putra Sejahtera Tbk, JanuPutraSejahtera, PT Janu Putra Sejahtera</v>
      </c>
      <c r="K83" t="str">
        <f t="shared" si="19"/>
        <v>AYAM, Janu Putra Sejahtera, Janu Putra Sejahtera Tbk, JanuPutraSejahtera, PT Janu Putra Sejahtera</v>
      </c>
      <c r="L83" t="str">
        <f t="shared" si="15"/>
        <v>JanuPutraSejahtera</v>
      </c>
      <c r="M83" t="str">
        <f t="shared" si="20"/>
        <v>AYAM, Janu Putra Sejahtera, Janu Putra Sejahtera Tbk, PT Janu Putra Sejahtera</v>
      </c>
      <c r="N83" t="str">
        <f t="shared" si="21"/>
        <v>AYAM, Janu Putra Sejahtera, Janu Putra Sejahtera Tbk, PT Janu Putra Sejahtera</v>
      </c>
    </row>
    <row r="84" spans="1:14" x14ac:dyDescent="0.2">
      <c r="A84" t="s">
        <v>2584</v>
      </c>
      <c r="B84" t="s">
        <v>2585</v>
      </c>
      <c r="C84" t="s">
        <v>7884</v>
      </c>
      <c r="D84" t="str">
        <f t="shared" si="11"/>
        <v>AYLS, AGRO YASA LESTARI, Agro Yasa Lestari, Agro Yasa Lestari Tbk, AgroYasaLestari, PT Agro Yasa Lestari, agro yasa lestari</v>
      </c>
      <c r="E84" t="str">
        <f t="shared" si="12"/>
        <v>AYLS, AGRO YASA LESTARI, Agro Yasa Lestari, Agro Yasa Lestari Tbk, AgroYasaLestari, PT Agro Yasa Lestari, agro yasa lestari</v>
      </c>
      <c r="F84" t="str">
        <f t="shared" si="13"/>
        <v>agro yasa lestari</v>
      </c>
      <c r="G84" t="str">
        <f t="shared" si="16"/>
        <v>AYLS, AGRO YASA LESTARI, Agro Yasa Lestari, Agro Yasa Lestari Tbk, AgroYasaLestari, PT Agro Yasa Lestari</v>
      </c>
      <c r="H84" t="str">
        <f t="shared" si="17"/>
        <v>AYLS, AGRO YASA LESTARI, Agro Yasa Lestari, Agro Yasa Lestari Tbk, AgroYasaLestari, PT Agro Yasa Lestari</v>
      </c>
      <c r="I84" t="str">
        <f t="shared" si="14"/>
        <v>AGRO YASA LESTARI</v>
      </c>
      <c r="J84" t="str">
        <f t="shared" si="18"/>
        <v>AYLS, Agro Yasa Lestari, Agro Yasa Lestari Tbk, AgroYasaLestari, PT Agro Yasa Lestari</v>
      </c>
      <c r="K84" t="str">
        <f t="shared" si="19"/>
        <v>AYLS, Agro Yasa Lestari, Agro Yasa Lestari Tbk, AgroYasaLestari, PT Agro Yasa Lestari</v>
      </c>
      <c r="L84" t="str">
        <f t="shared" si="15"/>
        <v>AgroYasaLestari</v>
      </c>
      <c r="M84" t="str">
        <f t="shared" si="20"/>
        <v>AYLS, Agro Yasa Lestari, Agro Yasa Lestari Tbk, PT Agro Yasa Lestari</v>
      </c>
      <c r="N84" t="str">
        <f t="shared" si="21"/>
        <v>AYLS, Agro Yasa Lestari, Agro Yasa Lestari Tbk, PT Agro Yasa Lestari</v>
      </c>
    </row>
    <row r="85" spans="1:14" x14ac:dyDescent="0.2">
      <c r="A85" t="s">
        <v>138</v>
      </c>
      <c r="B85" t="s">
        <v>139</v>
      </c>
      <c r="C85" t="s">
        <v>7885</v>
      </c>
      <c r="D85" t="str">
        <f t="shared" si="11"/>
        <v>BABP, BANK MNC INTERNASIONAL, BMI, Bank Internasional, Bank MNC Internasional, Bank MNC Internasional Tbk, BankMNCInternasional, Internasional, PT Bank MNC Internasional, bank mnc internasional</v>
      </c>
      <c r="E85" t="str">
        <f t="shared" si="12"/>
        <v>BABP, BANK MNC INTERNASIONAL, BMI, Bank Internasional, Bank MNC Internasional, Bank MNC Internasional Tbk, BankMNCInternasional, Internasional, PT Bank MNC Internasional, bank mnc internasional</v>
      </c>
      <c r="F85" t="str">
        <f t="shared" si="13"/>
        <v>bank mnc internasional</v>
      </c>
      <c r="G85" t="str">
        <f t="shared" si="16"/>
        <v>BABP, BANK MNC INTERNASIONAL, BMI, Bank Internasional, Bank MNC Internasional, Bank MNC Internasional Tbk, BankMNCInternasional, Internasional, PT Bank MNC Internasional</v>
      </c>
      <c r="H85" t="str">
        <f t="shared" si="17"/>
        <v>BABP, BANK MNC INTERNASIONAL, BMI, Bank Internasional, Bank MNC Internasional, Bank MNC Internasional Tbk, BankMNCInternasional, Internasional, PT Bank MNC Internasional</v>
      </c>
      <c r="I85" t="str">
        <f t="shared" si="14"/>
        <v>BANK MNC INTERNASIONAL</v>
      </c>
      <c r="J85" t="str">
        <f t="shared" si="18"/>
        <v>BABP, BMI, Bank Internasional, Bank MNC Internasional, Bank MNC Internasional Tbk, BankMNCInternasional, Internasional, PT Bank MNC Internasional</v>
      </c>
      <c r="K85" t="str">
        <f t="shared" si="19"/>
        <v>BABP, BMI, Bank Internasional, Bank MNC Internasional, Bank MNC Internasional Tbk, BankMNCInternasional, Internasional, PT Bank MNC Internasional</v>
      </c>
      <c r="L85" t="str">
        <f t="shared" si="15"/>
        <v>BankMNCInternasional</v>
      </c>
      <c r="M85" t="str">
        <f t="shared" si="20"/>
        <v>BABP, BMI, Bank Internasional, Bank MNC Internasional, Bank MNC Internasional Tbk, Internasional, PT Bank MNC Internasional</v>
      </c>
      <c r="N85" t="str">
        <f t="shared" si="21"/>
        <v>BABP, BMI, Bank Internasional, Bank MNC Internasional, Bank MNC Internasional Tbk, Internasional, PT Bank MNC Internasional</v>
      </c>
    </row>
    <row r="86" spans="1:14" x14ac:dyDescent="0.2">
      <c r="A86" t="s">
        <v>2373</v>
      </c>
      <c r="B86" t="s">
        <v>2374</v>
      </c>
      <c r="C86" t="s">
        <v>7886</v>
      </c>
      <c r="D86" t="str">
        <f t="shared" si="11"/>
        <v>BABY, MULTITREND INDO, Multitrend Indo, Multitrend Indo Tbk, MultitrendIndo, PT Multitrend Indo, multitrend indo</v>
      </c>
      <c r="E86" t="str">
        <f t="shared" si="12"/>
        <v>BABY, MULTITREND INDO, Multitrend Indo, Multitrend Indo Tbk, MultitrendIndo, PT Multitrend Indo, multitrend indo</v>
      </c>
      <c r="F86" t="str">
        <f t="shared" si="13"/>
        <v>multitrend indo</v>
      </c>
      <c r="G86" t="str">
        <f t="shared" si="16"/>
        <v>BABY, MULTITREND INDO, Multitrend Indo, Multitrend Indo Tbk, MultitrendIndo, PT Multitrend Indo</v>
      </c>
      <c r="H86" t="str">
        <f t="shared" si="17"/>
        <v>BABY, MULTITREND INDO, Multitrend Indo, Multitrend Indo Tbk, MultitrendIndo, PT Multitrend Indo</v>
      </c>
      <c r="I86" t="str">
        <f t="shared" si="14"/>
        <v>MULTITREND INDO</v>
      </c>
      <c r="J86" t="str">
        <f t="shared" si="18"/>
        <v>BABY, Multitrend Indo, Multitrend Indo Tbk, MultitrendIndo, PT Multitrend Indo</v>
      </c>
      <c r="K86" t="str">
        <f t="shared" si="19"/>
        <v>BABY, Multitrend Indo, Multitrend Indo Tbk, MultitrendIndo, PT Multitrend Indo</v>
      </c>
      <c r="L86" t="str">
        <f t="shared" si="15"/>
        <v>MultitrendIndo</v>
      </c>
      <c r="M86" t="str">
        <f t="shared" si="20"/>
        <v>BABY, Multitrend Indo, Multitrend Indo Tbk, PT Multitrend Indo</v>
      </c>
      <c r="N86" t="str">
        <f t="shared" si="21"/>
        <v>BABY, Multitrend Indo, Multitrend Indo Tbk, PT Multitrend Indo</v>
      </c>
    </row>
    <row r="87" spans="1:14" x14ac:dyDescent="0.2">
      <c r="A87" t="s">
        <v>141</v>
      </c>
      <c r="B87" t="s">
        <v>142</v>
      </c>
      <c r="C87" t="s">
        <v>7887</v>
      </c>
      <c r="D87" t="str">
        <f t="shared" si="11"/>
        <v>BACA, BANK CAPITAL INDONESIA, Bank Capital Indonesia, Bank Capital Indonesia Tbk, BankCapitalIndonesia, PT Bank Capital Indonesia, bank capital indonesia</v>
      </c>
      <c r="E87" t="str">
        <f t="shared" si="12"/>
        <v>BACA, BANK CAPITAL INDONESIA, Bank Capital Indonesia, Bank Capital Indonesia Tbk, BankCapitalIndonesia, PT Bank Capital Indonesia, bank capital indonesia</v>
      </c>
      <c r="F87" t="str">
        <f t="shared" si="13"/>
        <v>bank capital indonesia</v>
      </c>
      <c r="G87" t="str">
        <f t="shared" si="16"/>
        <v>BACA, BANK CAPITAL INDONESIA, Bank Capital Indonesia, Bank Capital Indonesia Tbk, BankCapitalIndonesia, PT Bank Capital Indonesia</v>
      </c>
      <c r="H87" t="str">
        <f t="shared" si="17"/>
        <v>BACA, BANK CAPITAL INDONESIA, Bank Capital Indonesia, Bank Capital Indonesia Tbk, BankCapitalIndonesia, PT Bank Capital Indonesia</v>
      </c>
      <c r="I87" t="str">
        <f t="shared" si="14"/>
        <v>BANK CAPITAL INDONESIA</v>
      </c>
      <c r="J87" t="str">
        <f t="shared" si="18"/>
        <v>BACA, Bank Capital Indonesia, Bank Capital Indonesia Tbk, BankCapitalIndonesia, PT Bank Capital Indonesia</v>
      </c>
      <c r="K87" t="str">
        <f t="shared" si="19"/>
        <v>BACA, Bank Capital Indonesia, Bank Capital Indonesia Tbk, BankCapitalIndonesia, PT Bank Capital Indonesia</v>
      </c>
      <c r="L87" t="str">
        <f t="shared" si="15"/>
        <v>BankCapitalIndonesia</v>
      </c>
      <c r="M87" t="str">
        <f t="shared" si="20"/>
        <v>BACA, Bank Capital Indonesia, Bank Capital Indonesia Tbk, PT Bank Capital Indonesia</v>
      </c>
      <c r="N87" t="str">
        <f t="shared" si="21"/>
        <v>BACA, Bank Capital Indonesia, Bank Capital Indonesia Tbk, PT Bank Capital Indonesia</v>
      </c>
    </row>
    <row r="88" spans="1:14" x14ac:dyDescent="0.2">
      <c r="A88" t="s">
        <v>2444</v>
      </c>
      <c r="B88" t="s">
        <v>2445</v>
      </c>
      <c r="C88" t="s">
        <v>7888</v>
      </c>
      <c r="D88" t="str">
        <f t="shared" si="11"/>
        <v>BAIK, BERSAMA MENCAPAI PUNCAK, Bersama Mencapai Puncak, Bersama Mencapai Puncak Tbk, BersamaMencapaiPuncak, PT Bersama Mencapai Puncak, bersama mencapai puncak</v>
      </c>
      <c r="E88" t="str">
        <f t="shared" si="12"/>
        <v>BAIK, BERSAMA MENCAPAI PUNCAK, Bersama Mencapai Puncak, Bersama Mencapai Puncak Tbk, BersamaMencapaiPuncak, PT Bersama Mencapai Puncak, bersama mencapai puncak</v>
      </c>
      <c r="F88" t="str">
        <f t="shared" si="13"/>
        <v>bersama mencapai puncak</v>
      </c>
      <c r="G88" t="str">
        <f t="shared" si="16"/>
        <v>BAIK, BERSAMA MENCAPAI PUNCAK, Bersama Mencapai Puncak, Bersama Mencapai Puncak Tbk, BersamaMencapaiPuncak, PT Bersama Mencapai Puncak</v>
      </c>
      <c r="H88" t="str">
        <f t="shared" si="17"/>
        <v>BAIK, BERSAMA MENCAPAI PUNCAK, Bersama Mencapai Puncak, Bersama Mencapai Puncak Tbk, BersamaMencapaiPuncak, PT Bersama Mencapai Puncak</v>
      </c>
      <c r="I88" t="str">
        <f t="shared" si="14"/>
        <v>BERSAMA MENCAPAI PUNCAK</v>
      </c>
      <c r="J88" t="str">
        <f t="shared" si="18"/>
        <v>BAIK, Bersama Mencapai Puncak, Bersama Mencapai Puncak Tbk, BersamaMencapaiPuncak, PT Bersama Mencapai Puncak</v>
      </c>
      <c r="K88" t="str">
        <f t="shared" si="19"/>
        <v>BAIK, Bersama Mencapai Puncak, Bersama Mencapai Puncak Tbk, BersamaMencapaiPuncak, PT Bersama Mencapai Puncak</v>
      </c>
      <c r="L88" t="str">
        <f t="shared" si="15"/>
        <v>BersamaMencapaiPuncak</v>
      </c>
      <c r="M88" t="str">
        <f t="shared" si="20"/>
        <v>BAIK, Bersama Mencapai Puncak, Bersama Mencapai Puncak Tbk, PT Bersama Mencapai Puncak</v>
      </c>
      <c r="N88" t="str">
        <f t="shared" si="21"/>
        <v>BAIK, Bersama Mencapai Puncak, Bersama Mencapai Puncak Tbk, PT Bersama Mencapai Puncak</v>
      </c>
    </row>
    <row r="89" spans="1:14" x14ac:dyDescent="0.2">
      <c r="A89" t="s">
        <v>144</v>
      </c>
      <c r="B89" t="s">
        <v>145</v>
      </c>
      <c r="C89" t="s">
        <v>7889</v>
      </c>
      <c r="D89" t="str">
        <f t="shared" si="11"/>
        <v>BAJA, PT Saranacentral Bajatama, SARANACENTRAL BAJATAMA, Saranacentral Bajatama, Saranacentral Bajatama Tbk, SaranacentralBajatama, saranacentral bajatama</v>
      </c>
      <c r="E89" t="str">
        <f t="shared" si="12"/>
        <v>BAJA, PT Saranacentral Bajatama, SARANACENTRAL BAJATAMA, Saranacentral Bajatama, Saranacentral Bajatama Tbk, SaranacentralBajatama, saranacentral bajatama</v>
      </c>
      <c r="F89" t="str">
        <f t="shared" si="13"/>
        <v>saranacentral bajatama</v>
      </c>
      <c r="G89" t="str">
        <f t="shared" si="16"/>
        <v>BAJA, PT Saranacentral Bajatama, SARANACENTRAL BAJATAMA, Saranacentral Bajatama, Saranacentral Bajatama Tbk, SaranacentralBajatama</v>
      </c>
      <c r="H89" t="str">
        <f t="shared" si="17"/>
        <v>BAJA, PT Saranacentral Bajatama, SARANACENTRAL BAJATAMA, Saranacentral Bajatama, Saranacentral Bajatama Tbk, SaranacentralBajatama</v>
      </c>
      <c r="I89" t="str">
        <f t="shared" si="14"/>
        <v>SARANACENTRAL BAJATAMA</v>
      </c>
      <c r="J89" t="str">
        <f t="shared" si="18"/>
        <v>BAJA, PT Saranacentral Bajatama, Saranacentral Bajatama, Saranacentral Bajatama Tbk, SaranacentralBajatama</v>
      </c>
      <c r="K89" t="str">
        <f t="shared" si="19"/>
        <v>BAJA, PT Saranacentral Bajatama, Saranacentral Bajatama, Saranacentral Bajatama Tbk, SaranacentralBajatama</v>
      </c>
      <c r="L89" t="str">
        <f t="shared" si="15"/>
        <v>SaranacentralBajatama</v>
      </c>
      <c r="M89" t="str">
        <f t="shared" si="20"/>
        <v>BAJA, PT Saranacentral Bajatama, Saranacentral Bajatama, Saranacentral Bajatama Tbk</v>
      </c>
      <c r="N89" t="str">
        <f t="shared" si="21"/>
        <v>BAJA, PT Saranacentral Bajatama, Saranacentral Bajatama, Saranacentral Bajatama Tbk</v>
      </c>
    </row>
    <row r="90" spans="1:14" x14ac:dyDescent="0.2">
      <c r="A90" t="s">
        <v>147</v>
      </c>
      <c r="B90" t="s">
        <v>148</v>
      </c>
      <c r="C90" t="s">
        <v>7890</v>
      </c>
      <c r="D90" t="str">
        <f t="shared" si="11"/>
        <v>BALI, BALI TOWERINDO SENTRA, Bali Towerindo Sentra, Bali Towerindo Sentra Tbk, BaliTowerindoSentra, PT Bali Towerindo Sentra, bali towerindo sentra</v>
      </c>
      <c r="E90" t="str">
        <f t="shared" si="12"/>
        <v>BALI, BALI TOWERINDO SENTRA, Bali Towerindo Sentra, Bali Towerindo Sentra Tbk, BaliTowerindoSentra, PT Bali Towerindo Sentra, bali towerindo sentra</v>
      </c>
      <c r="F90" t="str">
        <f t="shared" si="13"/>
        <v>bali towerindo sentra</v>
      </c>
      <c r="G90" t="str">
        <f t="shared" si="16"/>
        <v>BALI, BALI TOWERINDO SENTRA, Bali Towerindo Sentra, Bali Towerindo Sentra Tbk, BaliTowerindoSentra, PT Bali Towerindo Sentra</v>
      </c>
      <c r="H90" t="str">
        <f t="shared" si="17"/>
        <v>BALI, BALI TOWERINDO SENTRA, Bali Towerindo Sentra, Bali Towerindo Sentra Tbk, BaliTowerindoSentra, PT Bali Towerindo Sentra</v>
      </c>
      <c r="I90" t="str">
        <f t="shared" si="14"/>
        <v>BALI TOWERINDO SENTRA</v>
      </c>
      <c r="J90" t="str">
        <f t="shared" si="18"/>
        <v>BALI, Bali Towerindo Sentra, Bali Towerindo Sentra Tbk, BaliTowerindoSentra, PT Bali Towerindo Sentra</v>
      </c>
      <c r="K90" t="str">
        <f t="shared" si="19"/>
        <v>BALI, Bali Towerindo Sentra, Bali Towerindo Sentra Tbk, BaliTowerindoSentra, PT Bali Towerindo Sentra</v>
      </c>
      <c r="L90" t="str">
        <f t="shared" si="15"/>
        <v>BaliTowerindoSentra</v>
      </c>
      <c r="M90" t="str">
        <f t="shared" si="20"/>
        <v>BALI, Bali Towerindo Sentra, Bali Towerindo Sentra Tbk, PT Bali Towerindo Sentra</v>
      </c>
      <c r="N90" t="str">
        <f t="shared" si="21"/>
        <v>BALI, Bali Towerindo Sentra, Bali Towerindo Sentra Tbk, PT Bali Towerindo Sentra</v>
      </c>
    </row>
    <row r="91" spans="1:14" x14ac:dyDescent="0.2">
      <c r="A91" t="s">
        <v>1909</v>
      </c>
      <c r="B91" t="s">
        <v>1910</v>
      </c>
      <c r="C91" t="s">
        <v>7891</v>
      </c>
      <c r="D91" t="str">
        <f t="shared" si="11"/>
        <v>BANK, BANK ALADIN SYARIAH, Bank Aladin Syariah, Bank Aladin Syariah Tbk, Bank Syariah, BankAladinSyariah, PT Bank Aladin Syariah, Syariah, bank aladin syariah</v>
      </c>
      <c r="E91" t="str">
        <f t="shared" si="12"/>
        <v>BANK, BANK ALADIN SYARIAH, Bank Aladin Syariah, Bank Aladin Syariah Tbk, Bank Syariah, BankAladinSyariah, PT Bank Aladin Syariah, Syariah, bank aladin syariah</v>
      </c>
      <c r="F91" t="str">
        <f t="shared" si="13"/>
        <v>bank aladin syariah</v>
      </c>
      <c r="G91" t="str">
        <f t="shared" si="16"/>
        <v>BANK, BANK ALADIN SYARIAH, Bank Aladin Syariah, Bank Aladin Syariah Tbk, Bank Syariah, BankAladinSyariah, PT Bank Aladin Syariah, Syariah</v>
      </c>
      <c r="H91" t="str">
        <f t="shared" si="17"/>
        <v>BANK, BANK ALADIN SYARIAH, Bank Aladin Syariah, Bank Aladin Syariah Tbk, Bank Syariah, BankAladinSyariah, PT Bank Aladin Syariah, Syariah</v>
      </c>
      <c r="I91" t="str">
        <f t="shared" si="14"/>
        <v>BANK ALADIN SYARIAH</v>
      </c>
      <c r="J91" t="str">
        <f t="shared" si="18"/>
        <v>BANK, Bank Aladin Syariah, Bank Aladin Syariah Tbk, Bank Syariah, BankAladinSyariah, PT Bank Aladin Syariah, Syariah</v>
      </c>
      <c r="K91" t="str">
        <f t="shared" si="19"/>
        <v>BANK, Bank Aladin Syariah, Bank Aladin Syariah Tbk, Bank Syariah, BankAladinSyariah, PT Bank Aladin Syariah, Syariah</v>
      </c>
      <c r="L91" t="str">
        <f t="shared" si="15"/>
        <v>BankAladinSyariah</v>
      </c>
      <c r="M91" t="str">
        <f t="shared" si="20"/>
        <v>BANK, Bank Aladin Syariah, Bank Aladin Syariah Tbk, Bank Syariah, PT Bank Aladin Syariah, Syariah</v>
      </c>
      <c r="N91" t="str">
        <f t="shared" si="21"/>
        <v>BANK, Bank Aladin Syariah, Bank Aladin Syariah Tbk, Bank Syariah, PT Bank Aladin Syariah, Syariah</v>
      </c>
    </row>
    <row r="92" spans="1:14" x14ac:dyDescent="0.2">
      <c r="A92" t="s">
        <v>150</v>
      </c>
      <c r="B92" t="s">
        <v>151</v>
      </c>
      <c r="C92" t="s">
        <v>7892</v>
      </c>
      <c r="D92" t="str">
        <f t="shared" si="11"/>
        <v>BAPA, BEKASI ASRI PEMULA, Bekasi Asri Pemula, Bekasi Asri Pemula Tbk, BekasiAsriPemula, PT Bekasi Asri Pemula, bekasi asri pemula</v>
      </c>
      <c r="E92" t="str">
        <f t="shared" si="12"/>
        <v>BAPA, BEKASI ASRI PEMULA, Bekasi Asri Pemula, Bekasi Asri Pemula Tbk, BekasiAsriPemula, PT Bekasi Asri Pemula, bekasi asri pemula</v>
      </c>
      <c r="F92" t="str">
        <f t="shared" si="13"/>
        <v>bekasi asri pemula</v>
      </c>
      <c r="G92" t="str">
        <f t="shared" si="16"/>
        <v>BAPA, BEKASI ASRI PEMULA, Bekasi Asri Pemula, Bekasi Asri Pemula Tbk, BekasiAsriPemula, PT Bekasi Asri Pemula</v>
      </c>
      <c r="H92" t="str">
        <f t="shared" si="17"/>
        <v>BAPA, BEKASI ASRI PEMULA, Bekasi Asri Pemula, Bekasi Asri Pemula Tbk, BekasiAsriPemula, PT Bekasi Asri Pemula</v>
      </c>
      <c r="I92" t="str">
        <f t="shared" si="14"/>
        <v>BEKASI ASRI PEMULA</v>
      </c>
      <c r="J92" t="str">
        <f t="shared" si="18"/>
        <v>BAPA, Bekasi Asri Pemula, Bekasi Asri Pemula Tbk, BekasiAsriPemula, PT Bekasi Asri Pemula</v>
      </c>
      <c r="K92" t="str">
        <f t="shared" si="19"/>
        <v>BAPA, Bekasi Asri Pemula, Bekasi Asri Pemula Tbk, BekasiAsriPemula, PT Bekasi Asri Pemula</v>
      </c>
      <c r="L92" t="str">
        <f t="shared" si="15"/>
        <v>BekasiAsriPemula</v>
      </c>
      <c r="M92" t="str">
        <f t="shared" si="20"/>
        <v>BAPA, Bekasi Asri Pemula, Bekasi Asri Pemula Tbk, PT Bekasi Asri Pemula</v>
      </c>
      <c r="N92" t="str">
        <f t="shared" si="21"/>
        <v>BAPA, Bekasi Asri Pemula, Bekasi Asri Pemula Tbk, PT Bekasi Asri Pemula</v>
      </c>
    </row>
    <row r="93" spans="1:14" x14ac:dyDescent="0.2">
      <c r="A93" t="s">
        <v>1732</v>
      </c>
      <c r="B93" t="s">
        <v>1733</v>
      </c>
      <c r="C93" t="s">
        <v>7893</v>
      </c>
      <c r="D93" t="str">
        <f t="shared" si="11"/>
        <v>BAPI, BHAKTI AGUNG PROPERTINDO, Bhakti Agung Propertindo, Bhakti Agung Propertindo Tbk, BhaktiAgungPropertindo, PT Bhakti Agung Propertindo, bhakti agung propertindo</v>
      </c>
      <c r="E93" t="str">
        <f t="shared" si="12"/>
        <v>BAPI, BHAKTI AGUNG PROPERTINDO, Bhakti Agung Propertindo, Bhakti Agung Propertindo Tbk, BhaktiAgungPropertindo, PT Bhakti Agung Propertindo, bhakti agung propertindo</v>
      </c>
      <c r="F93" t="str">
        <f t="shared" si="13"/>
        <v>bhakti agung propertindo</v>
      </c>
      <c r="G93" t="str">
        <f t="shared" si="16"/>
        <v>BAPI, BHAKTI AGUNG PROPERTINDO, Bhakti Agung Propertindo, Bhakti Agung Propertindo Tbk, BhaktiAgungPropertindo, PT Bhakti Agung Propertindo</v>
      </c>
      <c r="H93" t="str">
        <f t="shared" si="17"/>
        <v>BAPI, BHAKTI AGUNG PROPERTINDO, Bhakti Agung Propertindo, Bhakti Agung Propertindo Tbk, BhaktiAgungPropertindo, PT Bhakti Agung Propertindo</v>
      </c>
      <c r="I93" t="str">
        <f t="shared" si="14"/>
        <v>BHAKTI AGUNG PROPERTINDO</v>
      </c>
      <c r="J93" t="str">
        <f t="shared" si="18"/>
        <v>BAPI, Bhakti Agung Propertindo, Bhakti Agung Propertindo Tbk, BhaktiAgungPropertindo, PT Bhakti Agung Propertindo</v>
      </c>
      <c r="K93" t="str">
        <f t="shared" si="19"/>
        <v>BAPI, Bhakti Agung Propertindo, Bhakti Agung Propertindo Tbk, BhaktiAgungPropertindo, PT Bhakti Agung Propertindo</v>
      </c>
      <c r="L93" t="str">
        <f t="shared" si="15"/>
        <v>BhaktiAgungPropertindo</v>
      </c>
      <c r="M93" t="str">
        <f t="shared" si="20"/>
        <v>BAPI, Bhakti Agung Propertindo, Bhakti Agung Propertindo Tbk, PT Bhakti Agung Propertindo</v>
      </c>
      <c r="N93" t="str">
        <f t="shared" si="21"/>
        <v>BAPI, Bhakti Agung Propertindo, Bhakti Agung Propertindo Tbk, PT Bhakti Agung Propertindo</v>
      </c>
    </row>
    <row r="94" spans="1:14" x14ac:dyDescent="0.2">
      <c r="A94" t="s">
        <v>153</v>
      </c>
      <c r="B94" t="s">
        <v>154</v>
      </c>
      <c r="C94" t="s">
        <v>7894</v>
      </c>
      <c r="D94" t="str">
        <f t="shared" si="11"/>
        <v>BATA, PT Sepatu Bata, SEPATU BATA, Sepatu Bata, Sepatu Bata Tbk, SepatuBata, sepatu bata</v>
      </c>
      <c r="E94" t="str">
        <f t="shared" si="12"/>
        <v>BATA, PT Sepatu Bata, SEPATU BATA, Sepatu Bata, Sepatu Bata Tbk, SepatuBata, sepatu bata</v>
      </c>
      <c r="F94" t="str">
        <f t="shared" si="13"/>
        <v>sepatu bata</v>
      </c>
      <c r="G94" t="str">
        <f t="shared" si="16"/>
        <v>BATA, PT Sepatu Bata, SEPATU BATA, Sepatu Bata, Sepatu Bata Tbk, SepatuBata</v>
      </c>
      <c r="H94" t="str">
        <f t="shared" si="17"/>
        <v>BATA, PT Sepatu Bata, SEPATU BATA, Sepatu Bata, Sepatu Bata Tbk, SepatuBata</v>
      </c>
      <c r="I94" t="str">
        <f t="shared" si="14"/>
        <v>SEPATU BATA</v>
      </c>
      <c r="J94" t="str">
        <f t="shared" si="18"/>
        <v>BATA, PT Sepatu Bata, Sepatu Bata, Sepatu Bata Tbk, SepatuBata</v>
      </c>
      <c r="K94" t="str">
        <f t="shared" si="19"/>
        <v>BATA, PT Sepatu Bata, Sepatu Bata, Sepatu Bata Tbk, SepatuBata</v>
      </c>
      <c r="L94" t="str">
        <f t="shared" si="15"/>
        <v>SepatuBata</v>
      </c>
      <c r="M94" t="str">
        <f t="shared" si="20"/>
        <v>BATA, PT Sepatu Bata, Sepatu Bata, Sepatu Bata Tbk</v>
      </c>
      <c r="N94" t="str">
        <f t="shared" si="21"/>
        <v>BATA, PT Sepatu Bata, Sepatu Bata, Sepatu Bata Tbk</v>
      </c>
    </row>
    <row r="95" spans="1:14" x14ac:dyDescent="0.2">
      <c r="A95" t="s">
        <v>2463</v>
      </c>
      <c r="B95" t="s">
        <v>2464</v>
      </c>
      <c r="C95" t="s">
        <v>7895</v>
      </c>
      <c r="D95" t="str">
        <f t="shared" si="11"/>
        <v>BATR, BENTENG API TECHNIC, Benteng Api Technic, Benteng Api Technic Tbk, BentengApiTechnic, PT Benteng Api Technic, benteng api technic</v>
      </c>
      <c r="E95" t="str">
        <f t="shared" si="12"/>
        <v>BATR, BENTENG API TECHNIC, Benteng Api Technic, Benteng Api Technic Tbk, BentengApiTechnic, PT Benteng Api Technic, benteng api technic</v>
      </c>
      <c r="F95" t="str">
        <f t="shared" si="13"/>
        <v>benteng api technic</v>
      </c>
      <c r="G95" t="str">
        <f t="shared" si="16"/>
        <v>BATR, BENTENG API TECHNIC, Benteng Api Technic, Benteng Api Technic Tbk, BentengApiTechnic, PT Benteng Api Technic</v>
      </c>
      <c r="H95" t="str">
        <f t="shared" si="17"/>
        <v>BATR, BENTENG API TECHNIC, Benteng Api Technic, Benteng Api Technic Tbk, BentengApiTechnic, PT Benteng Api Technic</v>
      </c>
      <c r="I95" t="str">
        <f t="shared" si="14"/>
        <v>BENTENG API TECHNIC</v>
      </c>
      <c r="J95" t="str">
        <f t="shared" si="18"/>
        <v>BATR, Benteng Api Technic, Benteng Api Technic Tbk, BentengApiTechnic, PT Benteng Api Technic</v>
      </c>
      <c r="K95" t="str">
        <f t="shared" si="19"/>
        <v>BATR, Benteng Api Technic, Benteng Api Technic Tbk, BentengApiTechnic, PT Benteng Api Technic</v>
      </c>
      <c r="L95" t="str">
        <f t="shared" si="15"/>
        <v>BentengApiTechnic</v>
      </c>
      <c r="M95" t="str">
        <f t="shared" si="20"/>
        <v>BATR, Benteng Api Technic, Benteng Api Technic Tbk, PT Benteng Api Technic</v>
      </c>
      <c r="N95" t="str">
        <f t="shared" si="21"/>
        <v>BATR, Benteng Api Technic, Benteng Api Technic Tbk, PT Benteng Api Technic</v>
      </c>
    </row>
    <row r="96" spans="1:14" x14ac:dyDescent="0.2">
      <c r="A96" t="s">
        <v>2071</v>
      </c>
      <c r="B96" t="s">
        <v>2072</v>
      </c>
      <c r="C96" t="s">
        <v>7896</v>
      </c>
      <c r="D96" t="str">
        <f t="shared" si="11"/>
        <v>BAUT, MITRA ANGKASA SEJAHTERA, Mitra Angkasa Sejahtera, Mitra Angkasa Sejahtera Tbk, MitraAngkasaSejahtera, PT Mitra Angkasa Sejahtera, mitra angkasa sejahtera</v>
      </c>
      <c r="E96" t="str">
        <f t="shared" si="12"/>
        <v>BAUT, MITRA ANGKASA SEJAHTERA, Mitra Angkasa Sejahtera, Mitra Angkasa Sejahtera Tbk, MitraAngkasaSejahtera, PT Mitra Angkasa Sejahtera, mitra angkasa sejahtera</v>
      </c>
      <c r="F96" t="str">
        <f t="shared" si="13"/>
        <v>mitra angkasa sejahtera</v>
      </c>
      <c r="G96" t="str">
        <f t="shared" si="16"/>
        <v>BAUT, MITRA ANGKASA SEJAHTERA, Mitra Angkasa Sejahtera, Mitra Angkasa Sejahtera Tbk, MitraAngkasaSejahtera, PT Mitra Angkasa Sejahtera</v>
      </c>
      <c r="H96" t="str">
        <f t="shared" si="17"/>
        <v>BAUT, MITRA ANGKASA SEJAHTERA, Mitra Angkasa Sejahtera, Mitra Angkasa Sejahtera Tbk, MitraAngkasaSejahtera, PT Mitra Angkasa Sejahtera</v>
      </c>
      <c r="I96" t="str">
        <f t="shared" si="14"/>
        <v>MITRA ANGKASA SEJAHTERA</v>
      </c>
      <c r="J96" t="str">
        <f t="shared" si="18"/>
        <v>BAUT, Mitra Angkasa Sejahtera, Mitra Angkasa Sejahtera Tbk, MitraAngkasaSejahtera, PT Mitra Angkasa Sejahtera</v>
      </c>
      <c r="K96" t="str">
        <f t="shared" si="19"/>
        <v>BAUT, Mitra Angkasa Sejahtera, Mitra Angkasa Sejahtera Tbk, MitraAngkasaSejahtera, PT Mitra Angkasa Sejahtera</v>
      </c>
      <c r="L96" t="str">
        <f t="shared" si="15"/>
        <v>MitraAngkasaSejahtera</v>
      </c>
      <c r="M96" t="str">
        <f t="shared" si="20"/>
        <v>BAUT, Mitra Angkasa Sejahtera, Mitra Angkasa Sejahtera Tbk, PT Mitra Angkasa Sejahtera</v>
      </c>
      <c r="N96" t="str">
        <f t="shared" si="21"/>
        <v>BAUT, Mitra Angkasa Sejahtera, Mitra Angkasa Sejahtera Tbk, PT Mitra Angkasa Sejahtera</v>
      </c>
    </row>
    <row r="97" spans="1:14" x14ac:dyDescent="0.2">
      <c r="A97" t="s">
        <v>156</v>
      </c>
      <c r="B97" t="s">
        <v>3513</v>
      </c>
      <c r="C97" t="s">
        <v>7897</v>
      </c>
      <c r="D97" t="str">
        <f t="shared" si="11"/>
        <v>BAYU, BAYU BUANA, Bayu Buana, Bayu Buana Tbk, BayuBuana, PT Bayu Buana, bayu buana</v>
      </c>
      <c r="E97" t="str">
        <f t="shared" si="12"/>
        <v>BAYU, BAYU BUANA, Bayu Buana, Bayu Buana Tbk, BayuBuana, PT Bayu Buana, bayu buana</v>
      </c>
      <c r="F97" t="str">
        <f t="shared" si="13"/>
        <v>bayu buana</v>
      </c>
      <c r="G97" t="str">
        <f t="shared" si="16"/>
        <v>BAYU, BAYU BUANA, Bayu Buana, Bayu Buana Tbk, BayuBuana, PT Bayu Buana</v>
      </c>
      <c r="H97" t="str">
        <f t="shared" si="17"/>
        <v>BAYU, BAYU BUANA, Bayu Buana, Bayu Buana Tbk, BayuBuana, PT Bayu Buana</v>
      </c>
      <c r="I97" t="str">
        <f t="shared" si="14"/>
        <v>BAYU BUANA</v>
      </c>
      <c r="J97" t="str">
        <f t="shared" si="18"/>
        <v>BAYU, Bayu Buana, Bayu Buana Tbk, BayuBuana, PT Bayu Buana</v>
      </c>
      <c r="K97" t="str">
        <f t="shared" si="19"/>
        <v>BAYU, Bayu Buana, Bayu Buana Tbk, BayuBuana, PT Bayu Buana</v>
      </c>
      <c r="L97" t="str">
        <f t="shared" si="15"/>
        <v>BayuBuana</v>
      </c>
      <c r="M97" t="str">
        <f t="shared" si="20"/>
        <v>BAYU, Bayu Buana, Bayu Buana Tbk, PT Bayu Buana</v>
      </c>
      <c r="N97" t="str">
        <f t="shared" si="21"/>
        <v>BAYU, Bayu Buana, Bayu Buana Tbk, PT Bayu Buana</v>
      </c>
    </row>
    <row r="98" spans="1:14" x14ac:dyDescent="0.2">
      <c r="A98" t="s">
        <v>159</v>
      </c>
      <c r="B98" t="s">
        <v>160</v>
      </c>
      <c r="C98" t="s">
        <v>8769</v>
      </c>
      <c r="D98" t="str">
        <f t="shared" si="11"/>
        <v>BBCA, BCA, BANK CENTRAL ASIA, Bank Central Asia, Bank Central Asia Tbk, BankCentralAsia, PT Bank Central Asia, bank central asia</v>
      </c>
      <c r="E98" t="str">
        <f t="shared" si="12"/>
        <v>BBCA, BCA, BANK CENTRAL ASIA, Bank Central Asia, Bank Central Asia Tbk, BankCentralAsia, PT Bank Central Asia, bank central asia</v>
      </c>
      <c r="F98" t="str">
        <f t="shared" si="13"/>
        <v>bank central asia</v>
      </c>
      <c r="G98" t="str">
        <f t="shared" si="16"/>
        <v>BBCA, BCA, BANK CENTRAL ASIA, Bank Central Asia, Bank Central Asia Tbk, BankCentralAsia, PT Bank Central Asia</v>
      </c>
      <c r="H98" t="str">
        <f t="shared" si="17"/>
        <v>BBCA, BCA, BANK CENTRAL ASIA, Bank Central Asia, Bank Central Asia Tbk, BankCentralAsia, PT Bank Central Asia</v>
      </c>
      <c r="I98" t="str">
        <f t="shared" si="14"/>
        <v>BANK CENTRAL ASIA</v>
      </c>
      <c r="J98" t="str">
        <f t="shared" si="18"/>
        <v>BBCA, BCA, Bank Central Asia, Bank Central Asia Tbk, BankCentralAsia, PT Bank Central Asia</v>
      </c>
      <c r="K98" t="str">
        <f t="shared" si="19"/>
        <v>BBCA, BCA, Bank Central Asia, Bank Central Asia Tbk, BankCentralAsia, PT Bank Central Asia</v>
      </c>
      <c r="L98" t="str">
        <f t="shared" si="15"/>
        <v>BankCentralAsia</v>
      </c>
      <c r="M98" t="str">
        <f t="shared" si="20"/>
        <v>BBCA, BCA, Bank Central Asia, Bank Central Asia Tbk, PT Bank Central Asia</v>
      </c>
      <c r="N98" t="str">
        <f t="shared" si="21"/>
        <v>BBCA, BCA, Bank Central Asia, Bank Central Asia Tbk, PT Bank Central Asia</v>
      </c>
    </row>
    <row r="99" spans="1:14" x14ac:dyDescent="0.2">
      <c r="A99" t="s">
        <v>162</v>
      </c>
      <c r="B99" t="s">
        <v>163</v>
      </c>
      <c r="C99" t="s">
        <v>7898</v>
      </c>
      <c r="D99" t="str">
        <f t="shared" si="11"/>
        <v>BBHI, ALLO BANK INDONESIA, Allo Bank Indonesia, Allo Bank Indonesia Tbk, AlloBankIndonesia, PT Allo Bank Indonesia, allo bank indonesia</v>
      </c>
      <c r="E99" t="str">
        <f t="shared" si="12"/>
        <v>BBHI, ALLO BANK INDONESIA, Allo Bank Indonesia, Allo Bank Indonesia Tbk, AlloBankIndonesia, PT Allo Bank Indonesia, allo bank indonesia</v>
      </c>
      <c r="F99" t="str">
        <f t="shared" si="13"/>
        <v>allo bank indonesia</v>
      </c>
      <c r="G99" t="str">
        <f t="shared" si="16"/>
        <v>BBHI, ALLO BANK INDONESIA, Allo Bank Indonesia, Allo Bank Indonesia Tbk, AlloBankIndonesia, PT Allo Bank Indonesia</v>
      </c>
      <c r="H99" t="str">
        <f t="shared" si="17"/>
        <v>BBHI, ALLO BANK INDONESIA, Allo Bank Indonesia, Allo Bank Indonesia Tbk, AlloBankIndonesia, PT Allo Bank Indonesia</v>
      </c>
      <c r="I99" t="str">
        <f t="shared" si="14"/>
        <v>ALLO BANK INDONESIA</v>
      </c>
      <c r="J99" t="str">
        <f t="shared" si="18"/>
        <v>BBHI, Allo Bank Indonesia, Allo Bank Indonesia Tbk, AlloBankIndonesia, PT Allo Bank Indonesia</v>
      </c>
      <c r="K99" t="str">
        <f t="shared" si="19"/>
        <v>BBHI, Allo Bank Indonesia, Allo Bank Indonesia Tbk, AlloBankIndonesia, PT Allo Bank Indonesia</v>
      </c>
      <c r="L99" t="str">
        <f t="shared" si="15"/>
        <v>AlloBankIndonesia</v>
      </c>
      <c r="M99" t="str">
        <f t="shared" si="20"/>
        <v>BBHI, Allo Bank Indonesia, Allo Bank Indonesia Tbk, PT Allo Bank Indonesia</v>
      </c>
      <c r="N99" t="str">
        <f t="shared" si="21"/>
        <v>BBHI, Allo Bank Indonesia, Allo Bank Indonesia Tbk, PT Allo Bank Indonesia</v>
      </c>
    </row>
    <row r="100" spans="1:14" x14ac:dyDescent="0.2">
      <c r="A100" t="s">
        <v>165</v>
      </c>
      <c r="B100" t="s">
        <v>166</v>
      </c>
      <c r="C100" t="s">
        <v>7899</v>
      </c>
      <c r="D100" t="str">
        <f t="shared" si="11"/>
        <v>BBKP, BANK KB INDONESIA, Bank KB Indonesia, Bank KB Indonesia Tbk, BankKBIndonesia, PT Bank KB Indonesia, bank kb indonesia</v>
      </c>
      <c r="E100" t="str">
        <f t="shared" si="12"/>
        <v>BBKP, BANK KB INDONESIA, Bank KB Indonesia, Bank KB Indonesia Tbk, BankKBIndonesia, PT Bank KB Indonesia, bank kb indonesia</v>
      </c>
      <c r="F100" t="str">
        <f t="shared" si="13"/>
        <v>bank kb indonesia</v>
      </c>
      <c r="G100" t="str">
        <f t="shared" si="16"/>
        <v>BBKP, BANK KB INDONESIA, Bank KB Indonesia, Bank KB Indonesia Tbk, BankKBIndonesia, PT Bank KB Indonesia</v>
      </c>
      <c r="H100" t="str">
        <f t="shared" si="17"/>
        <v>BBKP, BANK KB INDONESIA, Bank KB Indonesia, Bank KB Indonesia Tbk, BankKBIndonesia, PT Bank KB Indonesia</v>
      </c>
      <c r="I100" t="str">
        <f t="shared" si="14"/>
        <v>BANK KB INDONESIA</v>
      </c>
      <c r="J100" t="str">
        <f t="shared" si="18"/>
        <v>BBKP, Bank KB Indonesia, Bank KB Indonesia Tbk, BankKBIndonesia, PT Bank KB Indonesia</v>
      </c>
      <c r="K100" t="str">
        <f t="shared" si="19"/>
        <v>BBKP, Bank KB Indonesia, Bank KB Indonesia Tbk, BankKBIndonesia, PT Bank KB Indonesia</v>
      </c>
      <c r="L100" t="str">
        <f t="shared" si="15"/>
        <v>BankKBIndonesia</v>
      </c>
      <c r="M100" t="str">
        <f t="shared" si="20"/>
        <v>BBKP, Bank KB Indonesia, Bank KB Indonesia Tbk, PT Bank KB Indonesia</v>
      </c>
      <c r="N100" t="str">
        <f t="shared" si="21"/>
        <v>BBKP, Bank KB Indonesia, Bank KB Indonesia Tbk, PT Bank KB Indonesia</v>
      </c>
    </row>
    <row r="101" spans="1:14" x14ac:dyDescent="0.2">
      <c r="A101" t="s">
        <v>168</v>
      </c>
      <c r="B101" t="s">
        <v>169</v>
      </c>
      <c r="C101" t="s">
        <v>7900</v>
      </c>
      <c r="D101" t="str">
        <f t="shared" si="11"/>
        <v>BBLD, BUANA FINANCE, Buana Finance, Buana Finance Tbk, BuanaFinance, PT Buana Finance, buana finance</v>
      </c>
      <c r="E101" t="str">
        <f t="shared" si="12"/>
        <v>BBLD, BUANA FINANCE, Buana Finance, Buana Finance Tbk, BuanaFinance, PT Buana Finance, buana finance</v>
      </c>
      <c r="F101" t="str">
        <f t="shared" si="13"/>
        <v>buana finance</v>
      </c>
      <c r="G101" t="str">
        <f t="shared" si="16"/>
        <v>BBLD, BUANA FINANCE, Buana Finance, Buana Finance Tbk, BuanaFinance, PT Buana Finance</v>
      </c>
      <c r="H101" t="str">
        <f t="shared" si="17"/>
        <v>BBLD, BUANA FINANCE, Buana Finance, Buana Finance Tbk, BuanaFinance, PT Buana Finance</v>
      </c>
      <c r="I101" t="str">
        <f t="shared" si="14"/>
        <v>BUANA FINANCE</v>
      </c>
      <c r="J101" t="str">
        <f t="shared" si="18"/>
        <v>BBLD, Buana Finance, Buana Finance Tbk, BuanaFinance, PT Buana Finance</v>
      </c>
      <c r="K101" t="str">
        <f t="shared" si="19"/>
        <v>BBLD, Buana Finance, Buana Finance Tbk, BuanaFinance, PT Buana Finance</v>
      </c>
      <c r="L101" t="str">
        <f t="shared" si="15"/>
        <v>BuanaFinance</v>
      </c>
      <c r="M101" t="str">
        <f t="shared" si="20"/>
        <v>BBLD, Buana Finance, Buana Finance Tbk, PT Buana Finance</v>
      </c>
      <c r="N101" t="str">
        <f t="shared" si="21"/>
        <v>BBLD, Buana Finance, Buana Finance Tbk, PT Buana Finance</v>
      </c>
    </row>
    <row r="102" spans="1:14" x14ac:dyDescent="0.2">
      <c r="A102" t="s">
        <v>171</v>
      </c>
      <c r="B102" t="s">
        <v>172</v>
      </c>
      <c r="C102" t="s">
        <v>7901</v>
      </c>
      <c r="D102" t="str">
        <f t="shared" si="11"/>
        <v>BBMD, BANK MESTIKA DHARMA, Bank Dharma, Bank Mestika Dharma, Bank Mestika Dharma Tbk, BankMestikaDharma, Dharma, PT Bank Mestika Dharma, bank mestika dharma</v>
      </c>
      <c r="E102" t="str">
        <f t="shared" si="12"/>
        <v>BBMD, BANK MESTIKA DHARMA, Bank Dharma, Bank Mestika Dharma, Bank Mestika Dharma Tbk, BankMestikaDharma, Dharma, PT Bank Mestika Dharma, bank mestika dharma</v>
      </c>
      <c r="F102" t="str">
        <f t="shared" si="13"/>
        <v>bank mestika dharma</v>
      </c>
      <c r="G102" t="str">
        <f t="shared" si="16"/>
        <v>BBMD, BANK MESTIKA DHARMA, Bank Dharma, Bank Mestika Dharma, Bank Mestika Dharma Tbk, BankMestikaDharma, Dharma, PT Bank Mestika Dharma</v>
      </c>
      <c r="H102" t="str">
        <f t="shared" si="17"/>
        <v>BBMD, BANK MESTIKA DHARMA, Bank Dharma, Bank Mestika Dharma, Bank Mestika Dharma Tbk, BankMestikaDharma, Dharma, PT Bank Mestika Dharma</v>
      </c>
      <c r="I102" t="str">
        <f t="shared" si="14"/>
        <v>BANK MESTIKA DHARMA</v>
      </c>
      <c r="J102" t="str">
        <f t="shared" si="18"/>
        <v>BBMD, Bank Dharma, Bank Mestika Dharma, Bank Mestika Dharma Tbk, BankMestikaDharma, Dharma, PT Bank Mestika Dharma</v>
      </c>
      <c r="K102" t="str">
        <f t="shared" si="19"/>
        <v>BBMD, Bank Dharma, Bank Mestika Dharma, Bank Mestika Dharma Tbk, BankMestikaDharma, Dharma, PT Bank Mestika Dharma</v>
      </c>
      <c r="L102" t="str">
        <f t="shared" si="15"/>
        <v>BankMestikaDharma</v>
      </c>
      <c r="M102" t="str">
        <f t="shared" si="20"/>
        <v>BBMD, Bank Dharma, Bank Mestika Dharma, Bank Mestika Dharma Tbk, Dharma, PT Bank Mestika Dharma</v>
      </c>
      <c r="N102" t="str">
        <f t="shared" si="21"/>
        <v>BBMD, Bank Dharma, Bank Mestika Dharma, Bank Mestika Dharma Tbk, Dharma, PT Bank Mestika Dharma</v>
      </c>
    </row>
    <row r="103" spans="1:14" x14ac:dyDescent="0.2">
      <c r="A103" t="s">
        <v>174</v>
      </c>
      <c r="B103" t="s">
        <v>3514</v>
      </c>
      <c r="C103" t="s">
        <v>7902</v>
      </c>
      <c r="D103" t="str">
        <f t="shared" si="11"/>
        <v>BBNI, BNI, BANK NEGARA INDONESIA (PERSERO), Bank Negara Indonesia (Persero), Bank Negara Indonesia (Persero) Tbk, BankNegaraIndonesia(Persero), PT Bank Negara Indonesia (Persero), bank negara indonesia (persero)</v>
      </c>
      <c r="E103" t="str">
        <f t="shared" si="12"/>
        <v>BBNI, BNI, BANK NEGARA INDONESIA (PERSERO), Bank Negara Indonesia (Persero), Bank Negara Indonesia (Persero) Tbk, BankNegaraIndonesia(Persero), PT Bank Negara Indonesia (Persero), bank negara indonesia (persero)</v>
      </c>
      <c r="F103" t="str">
        <f t="shared" si="13"/>
        <v>bank negara indonesia (persero)</v>
      </c>
      <c r="G103" t="str">
        <f t="shared" si="16"/>
        <v>BBNI, BNI, BANK NEGARA INDONESIA (PERSERO), Bank Negara Indonesia (Persero), Bank Negara Indonesia (Persero) Tbk, BankNegaraIndonesia(Persero), PT Bank Negara Indonesia (Persero)</v>
      </c>
      <c r="H103" t="str">
        <f t="shared" si="17"/>
        <v>BBNI, BNI, BANK NEGARA INDONESIA (PERSERO), Bank Negara Indonesia (Persero), Bank Negara Indonesia (Persero) Tbk, BankNegaraIndonesia(Persero), PT Bank Negara Indonesia (Persero)</v>
      </c>
      <c r="I103" t="str">
        <f t="shared" si="14"/>
        <v>BANK NEGARA INDONESIA (PERSERO)</v>
      </c>
      <c r="J103" t="str">
        <f t="shared" si="18"/>
        <v>BBNI, BNI, Bank Negara Indonesia (Persero), Bank Negara Indonesia (Persero) Tbk, BankNegaraIndonesia(Persero), PT Bank Negara Indonesia (Persero)</v>
      </c>
      <c r="K103" t="str">
        <f t="shared" si="19"/>
        <v>BBNI, BNI, Bank Negara Indonesia (Persero), Bank Negara Indonesia (Persero) Tbk, BankNegaraIndonesia(Persero), PT Bank Negara Indonesia (Persero)</v>
      </c>
      <c r="L103" t="str">
        <f t="shared" si="15"/>
        <v>BankNegaraIndonesia(Persero)</v>
      </c>
      <c r="M103" t="str">
        <f t="shared" si="20"/>
        <v>BBNI, BNI, Bank Negara Indonesia (Persero), Bank Negara Indonesia (Persero) Tbk, PT Bank Negara Indonesia (Persero)</v>
      </c>
      <c r="N103" t="str">
        <f t="shared" si="21"/>
        <v>BBNI, BNI, Bank Negara Indonesia (Persero), Bank Negara Indonesia (Persero) Tbk, PT Bank Negara Indonesia (Persero)</v>
      </c>
    </row>
    <row r="104" spans="1:14" x14ac:dyDescent="0.2">
      <c r="A104" t="s">
        <v>176</v>
      </c>
      <c r="B104" t="s">
        <v>3515</v>
      </c>
      <c r="C104" t="s">
        <v>7903</v>
      </c>
      <c r="D104" t="str">
        <f t="shared" si="11"/>
        <v>BBRI, BRI, BANK RAKYAT INDONESIA (PERSERO), Bank Rakyat Indonesia (Persero), Bank Rakyat Indonesia (Persero) Tbk, BankRakyatIndonesia(Persero), PT Bank Rakyat Indonesia (Persero), bank rakyat indonesia (persero)</v>
      </c>
      <c r="E104" t="str">
        <f t="shared" si="12"/>
        <v>BBRI, BRI, BANK RAKYAT INDONESIA (PERSERO), Bank Rakyat Indonesia (Persero), Bank Rakyat Indonesia (Persero) Tbk, BankRakyatIndonesia(Persero), PT Bank Rakyat Indonesia (Persero), bank rakyat indonesia (persero)</v>
      </c>
      <c r="F104" t="str">
        <f t="shared" si="13"/>
        <v>bank rakyat indonesia (persero)</v>
      </c>
      <c r="G104" t="str">
        <f t="shared" si="16"/>
        <v>BBRI, BRI, BANK RAKYAT INDONESIA (PERSERO), Bank Rakyat Indonesia (Persero), Bank Rakyat Indonesia (Persero) Tbk, BankRakyatIndonesia(Persero), PT Bank Rakyat Indonesia (Persero)</v>
      </c>
      <c r="H104" t="str">
        <f t="shared" si="17"/>
        <v>BBRI, BRI, BANK RAKYAT INDONESIA (PERSERO), Bank Rakyat Indonesia (Persero), Bank Rakyat Indonesia (Persero) Tbk, BankRakyatIndonesia(Persero), PT Bank Rakyat Indonesia (Persero)</v>
      </c>
      <c r="I104" t="str">
        <f t="shared" si="14"/>
        <v>BANK RAKYAT INDONESIA (PERSERO)</v>
      </c>
      <c r="J104" t="str">
        <f t="shared" si="18"/>
        <v>BBRI, BRI, Bank Rakyat Indonesia (Persero), Bank Rakyat Indonesia (Persero) Tbk, BankRakyatIndonesia(Persero), PT Bank Rakyat Indonesia (Persero)</v>
      </c>
      <c r="K104" t="str">
        <f t="shared" si="19"/>
        <v>BBRI, BRI, Bank Rakyat Indonesia (Persero), Bank Rakyat Indonesia (Persero) Tbk, BankRakyatIndonesia(Persero), PT Bank Rakyat Indonesia (Persero)</v>
      </c>
      <c r="L104" t="str">
        <f t="shared" si="15"/>
        <v>BankRakyatIndonesia(Persero)</v>
      </c>
      <c r="M104" t="str">
        <f t="shared" si="20"/>
        <v>BBRI, BRI, Bank Rakyat Indonesia (Persero), Bank Rakyat Indonesia (Persero) Tbk, PT Bank Rakyat Indonesia (Persero)</v>
      </c>
      <c r="N104" t="str">
        <f t="shared" si="21"/>
        <v>BBRI, BRI, Bank Rakyat Indonesia (Persero), Bank Rakyat Indonesia (Persero) Tbk, PT Bank Rakyat Indonesia (Persero)</v>
      </c>
    </row>
    <row r="105" spans="1:14" x14ac:dyDescent="0.2">
      <c r="A105" t="s">
        <v>178</v>
      </c>
      <c r="B105" t="s">
        <v>3516</v>
      </c>
      <c r="C105" t="s">
        <v>7904</v>
      </c>
      <c r="D105" t="str">
        <f t="shared" si="11"/>
        <v>BBRM, PELAYARAN NASIONAL BINA BUANA RAYA, PNBBR, PT Pelayaran Nasional Bina Buana Raya, Pelayaran Nasional Bina Buana Raya, Pelayaran Nasional Bina Buana Raya Tbk, PelayaranNasionalBinaBuanaRaya, pelayaran nasional bina buana raya</v>
      </c>
      <c r="E105" t="str">
        <f t="shared" si="12"/>
        <v>BBRM, PELAYARAN NASIONAL BINA BUANA RAYA, PNBBR, PT Pelayaran Nasional Bina Buana Raya, Pelayaran Nasional Bina Buana Raya, Pelayaran Nasional Bina Buana Raya Tbk, PelayaranNasionalBinaBuanaRaya, pelayaran nasional bina buana raya</v>
      </c>
      <c r="F105" t="str">
        <f t="shared" si="13"/>
        <v>pelayaran nasional bina buana raya</v>
      </c>
      <c r="G105" t="str">
        <f t="shared" si="16"/>
        <v>BBRM, PELAYARAN NASIONAL BINA BUANA RAYA, PNBBR, PT Pelayaran Nasional Bina Buana Raya, Pelayaran Nasional Bina Buana Raya, Pelayaran Nasional Bina Buana Raya Tbk, PelayaranNasionalBinaBuanaRaya</v>
      </c>
      <c r="H105" t="str">
        <f t="shared" si="17"/>
        <v>BBRM, PELAYARAN NASIONAL BINA BUANA RAYA, PNBBR, PT Pelayaran Nasional Bina Buana Raya, Pelayaran Nasional Bina Buana Raya, Pelayaran Nasional Bina Buana Raya Tbk, PelayaranNasionalBinaBuanaRaya</v>
      </c>
      <c r="I105" t="str">
        <f t="shared" si="14"/>
        <v>PELAYARAN NASIONAL BINA BUANA RAYA</v>
      </c>
      <c r="J105" t="str">
        <f t="shared" si="18"/>
        <v>BBRM, PNBBR, PT Pelayaran Nasional Bina Buana Raya, Pelayaran Nasional Bina Buana Raya, Pelayaran Nasional Bina Buana Raya Tbk, PelayaranNasionalBinaBuanaRaya</v>
      </c>
      <c r="K105" t="str">
        <f t="shared" si="19"/>
        <v>BBRM, PNBBR, PT Pelayaran Nasional Bina Buana Raya, Pelayaran Nasional Bina Buana Raya, Pelayaran Nasional Bina Buana Raya Tbk, PelayaranNasionalBinaBuanaRaya</v>
      </c>
      <c r="L105" t="str">
        <f t="shared" si="15"/>
        <v>PelayaranNasionalBinaBuanaRaya</v>
      </c>
      <c r="M105" t="str">
        <f t="shared" si="20"/>
        <v>BBRM, PNBBR, PT Pelayaran Nasional Bina Buana Raya, Pelayaran Nasional Bina Buana Raya, Pelayaran Nasional Bina Buana Raya Tbk</v>
      </c>
      <c r="N105" t="str">
        <f t="shared" si="21"/>
        <v>BBRM, PNBBR, PT Pelayaran Nasional Bina Buana Raya, Pelayaran Nasional Bina Buana Raya, Pelayaran Nasional Bina Buana Raya Tbk</v>
      </c>
    </row>
    <row r="106" spans="1:14" x14ac:dyDescent="0.2">
      <c r="A106" t="s">
        <v>1878</v>
      </c>
      <c r="B106" t="s">
        <v>1879</v>
      </c>
      <c r="C106" t="s">
        <v>7905</v>
      </c>
      <c r="D106" t="str">
        <f t="shared" si="11"/>
        <v>BBSI, KROM BANK INDONESIA, Krom Bank Indonesia, Krom Bank Indonesia Tbk, KromBankIndonesia, PT Krom Bank Indonesia, krom bank indonesia</v>
      </c>
      <c r="E106" t="str">
        <f t="shared" si="12"/>
        <v>BBSI, KROM BANK INDONESIA, Krom Bank Indonesia, Krom Bank Indonesia Tbk, KromBankIndonesia, PT Krom Bank Indonesia, krom bank indonesia</v>
      </c>
      <c r="F106" t="str">
        <f t="shared" si="13"/>
        <v>krom bank indonesia</v>
      </c>
      <c r="G106" t="str">
        <f t="shared" si="16"/>
        <v>BBSI, KROM BANK INDONESIA, Krom Bank Indonesia, Krom Bank Indonesia Tbk, KromBankIndonesia, PT Krom Bank Indonesia</v>
      </c>
      <c r="H106" t="str">
        <f t="shared" si="17"/>
        <v>BBSI, KROM BANK INDONESIA, Krom Bank Indonesia, Krom Bank Indonesia Tbk, KromBankIndonesia, PT Krom Bank Indonesia</v>
      </c>
      <c r="I106" t="str">
        <f t="shared" si="14"/>
        <v>KROM BANK INDONESIA</v>
      </c>
      <c r="J106" t="str">
        <f t="shared" si="18"/>
        <v>BBSI, Krom Bank Indonesia, Krom Bank Indonesia Tbk, KromBankIndonesia, PT Krom Bank Indonesia</v>
      </c>
      <c r="K106" t="str">
        <f t="shared" si="19"/>
        <v>BBSI, Krom Bank Indonesia, Krom Bank Indonesia Tbk, KromBankIndonesia, PT Krom Bank Indonesia</v>
      </c>
      <c r="L106" t="str">
        <f t="shared" si="15"/>
        <v>KromBankIndonesia</v>
      </c>
      <c r="M106" t="str">
        <f t="shared" si="20"/>
        <v>BBSI, Krom Bank Indonesia, Krom Bank Indonesia Tbk, PT Krom Bank Indonesia</v>
      </c>
      <c r="N106" t="str">
        <f t="shared" si="21"/>
        <v>BBSI, Krom Bank Indonesia, Krom Bank Indonesia Tbk, PT Krom Bank Indonesia</v>
      </c>
    </row>
    <row r="107" spans="1:14" x14ac:dyDescent="0.2">
      <c r="A107" t="s">
        <v>1841</v>
      </c>
      <c r="B107" t="s">
        <v>3517</v>
      </c>
      <c r="C107" t="s">
        <v>7906</v>
      </c>
      <c r="D107" t="str">
        <f t="shared" si="11"/>
        <v>BBSS, BUMI BENOWO SUKSES SEJAHTERA, Bumi Benowo Sukses Sejahtera, Bumi Benowo Sukses Sejahtera Tbk, BumiBenowoSuksesSejahtera, PT Bumi Benowo Sukses Sejahtera, bumi benowo sukses sejahtera</v>
      </c>
      <c r="E107" t="str">
        <f t="shared" si="12"/>
        <v>BBSS, BUMI BENOWO SUKSES SEJAHTERA, Bumi Benowo Sukses Sejahtera, Bumi Benowo Sukses Sejahtera Tbk, BumiBenowoSuksesSejahtera, PT Bumi Benowo Sukses Sejahtera, bumi benowo sukses sejahtera</v>
      </c>
      <c r="F107" t="str">
        <f t="shared" si="13"/>
        <v>bumi benowo sukses sejahtera</v>
      </c>
      <c r="G107" t="str">
        <f t="shared" si="16"/>
        <v>BBSS, BUMI BENOWO SUKSES SEJAHTERA, Bumi Benowo Sukses Sejahtera, Bumi Benowo Sukses Sejahtera Tbk, BumiBenowoSuksesSejahtera, PT Bumi Benowo Sukses Sejahtera</v>
      </c>
      <c r="H107" t="str">
        <f t="shared" si="17"/>
        <v>BBSS, BUMI BENOWO SUKSES SEJAHTERA, Bumi Benowo Sukses Sejahtera, Bumi Benowo Sukses Sejahtera Tbk, BumiBenowoSuksesSejahtera, PT Bumi Benowo Sukses Sejahtera</v>
      </c>
      <c r="I107" t="str">
        <f t="shared" si="14"/>
        <v>BUMI BENOWO SUKSES SEJAHTERA</v>
      </c>
      <c r="J107" t="str">
        <f t="shared" si="18"/>
        <v>BBSS, Bumi Benowo Sukses Sejahtera, Bumi Benowo Sukses Sejahtera Tbk, BumiBenowoSuksesSejahtera, PT Bumi Benowo Sukses Sejahtera</v>
      </c>
      <c r="K107" t="str">
        <f t="shared" si="19"/>
        <v>BBSS, Bumi Benowo Sukses Sejahtera, Bumi Benowo Sukses Sejahtera Tbk, BumiBenowoSuksesSejahtera, PT Bumi Benowo Sukses Sejahtera</v>
      </c>
      <c r="L107" t="str">
        <f t="shared" si="15"/>
        <v>BumiBenowoSuksesSejahtera</v>
      </c>
      <c r="M107" t="str">
        <f t="shared" si="20"/>
        <v>BBSS, Bumi Benowo Sukses Sejahtera, Bumi Benowo Sukses Sejahtera Tbk, PT Bumi Benowo Sukses Sejahtera</v>
      </c>
      <c r="N107" t="str">
        <f t="shared" si="21"/>
        <v>BBSS, Bumi Benowo Sukses Sejahtera, Bumi Benowo Sukses Sejahtera Tbk, PT Bumi Benowo Sukses Sejahtera</v>
      </c>
    </row>
    <row r="108" spans="1:14" x14ac:dyDescent="0.2">
      <c r="A108" t="s">
        <v>180</v>
      </c>
      <c r="B108" t="s">
        <v>3518</v>
      </c>
      <c r="C108" t="s">
        <v>7907</v>
      </c>
      <c r="D108" t="str">
        <f t="shared" si="11"/>
        <v>BBTN, BTN, BANK TABUNGAN NEGARA (PERSERO), Bank Tabungan Negara (Persero), Bank Tabungan Negara (Persero) Tbk, BankTabunganNegara(Persero), PT Bank Tabungan Negara (Persero), bank tabungan negara (persero)</v>
      </c>
      <c r="E108" t="str">
        <f t="shared" si="12"/>
        <v>BBTN, BTN, BANK TABUNGAN NEGARA (PERSERO), Bank Tabungan Negara (Persero), Bank Tabungan Negara (Persero) Tbk, BankTabunganNegara(Persero), PT Bank Tabungan Negara (Persero), bank tabungan negara (persero)</v>
      </c>
      <c r="F108" t="str">
        <f t="shared" si="13"/>
        <v>bank tabungan negara (persero)</v>
      </c>
      <c r="G108" t="str">
        <f t="shared" si="16"/>
        <v>BBTN, BTN, BANK TABUNGAN NEGARA (PERSERO), Bank Tabungan Negara (Persero), Bank Tabungan Negara (Persero) Tbk, BankTabunganNegara(Persero), PT Bank Tabungan Negara (Persero)</v>
      </c>
      <c r="H108" t="str">
        <f t="shared" si="17"/>
        <v>BBTN, BTN, BANK TABUNGAN NEGARA (PERSERO), Bank Tabungan Negara (Persero), Bank Tabungan Negara (Persero) Tbk, BankTabunganNegara(Persero), PT Bank Tabungan Negara (Persero)</v>
      </c>
      <c r="I108" t="str">
        <f t="shared" si="14"/>
        <v>BANK TABUNGAN NEGARA (PERSERO)</v>
      </c>
      <c r="J108" t="str">
        <f t="shared" si="18"/>
        <v>BBTN, BTN, Bank Tabungan Negara (Persero), Bank Tabungan Negara (Persero) Tbk, BankTabunganNegara(Persero), PT Bank Tabungan Negara (Persero)</v>
      </c>
      <c r="K108" t="str">
        <f t="shared" si="19"/>
        <v>BBTN, BTN, Bank Tabungan Negara (Persero), Bank Tabungan Negara (Persero) Tbk, BankTabunganNegara(Persero), PT Bank Tabungan Negara (Persero)</v>
      </c>
      <c r="L108" t="str">
        <f t="shared" si="15"/>
        <v>BankTabunganNegara(Persero)</v>
      </c>
      <c r="M108" t="str">
        <f t="shared" si="20"/>
        <v>BBTN, BTN, Bank Tabungan Negara (Persero), Bank Tabungan Negara (Persero) Tbk, PT Bank Tabungan Negara (Persero)</v>
      </c>
      <c r="N108" t="str">
        <f t="shared" si="21"/>
        <v>BBTN, BTN, Bank Tabungan Negara (Persero), Bank Tabungan Negara (Persero) Tbk, PT Bank Tabungan Negara (Persero)</v>
      </c>
    </row>
    <row r="109" spans="1:14" x14ac:dyDescent="0.2">
      <c r="A109" t="s">
        <v>182</v>
      </c>
      <c r="B109" t="s">
        <v>183</v>
      </c>
      <c r="C109" t="s">
        <v>7908</v>
      </c>
      <c r="D109" t="str">
        <f t="shared" si="11"/>
        <v>BBYB, BNC, BANK NEO COMMERCE, Bank Commerce, Bank Neo Commerce, Bank Neo Commerce Tbk, BankNeoCommerce, Commerce, PT Bank Neo Commerce, bank neo commerce</v>
      </c>
      <c r="E109" t="str">
        <f t="shared" si="12"/>
        <v>BBYB, BNC, BANK NEO COMMERCE, Bank Commerce, Bank Neo Commerce, Bank Neo Commerce Tbk, BankNeoCommerce, Commerce, PT Bank Neo Commerce, bank neo commerce</v>
      </c>
      <c r="F109" t="str">
        <f t="shared" si="13"/>
        <v>bank neo commerce</v>
      </c>
      <c r="G109" t="str">
        <f t="shared" si="16"/>
        <v>BBYB, BNC, BANK NEO COMMERCE, Bank Commerce, Bank Neo Commerce, Bank Neo Commerce Tbk, BankNeoCommerce, Commerce, PT Bank Neo Commerce</v>
      </c>
      <c r="H109" t="str">
        <f t="shared" si="17"/>
        <v>BBYB, BNC, BANK NEO COMMERCE, Bank Commerce, Bank Neo Commerce, Bank Neo Commerce Tbk, BankNeoCommerce, Commerce, PT Bank Neo Commerce</v>
      </c>
      <c r="I109" t="str">
        <f t="shared" si="14"/>
        <v>BANK NEO COMMERCE</v>
      </c>
      <c r="J109" t="str">
        <f t="shared" si="18"/>
        <v>BBYB, BNC, Bank Commerce, Bank Neo Commerce, Bank Neo Commerce Tbk, BankNeoCommerce, Commerce, PT Bank Neo Commerce</v>
      </c>
      <c r="K109" t="str">
        <f t="shared" si="19"/>
        <v>BBYB, BNC, Bank Commerce, Bank Neo Commerce, Bank Neo Commerce Tbk, BankNeoCommerce, Commerce, PT Bank Neo Commerce</v>
      </c>
      <c r="L109" t="str">
        <f t="shared" si="15"/>
        <v>BankNeoCommerce</v>
      </c>
      <c r="M109" t="str">
        <f t="shared" si="20"/>
        <v>BBYB, BNC, Bank Commerce, Bank Neo Commerce, Bank Neo Commerce Tbk, Commerce, PT Bank Neo Commerce</v>
      </c>
      <c r="N109" t="str">
        <f t="shared" si="21"/>
        <v>BBYB, BNC, Bank Commerce, Bank Neo Commerce, Bank Neo Commerce Tbk, Commerce, PT Bank Neo Commerce</v>
      </c>
    </row>
    <row r="110" spans="1:14" x14ac:dyDescent="0.2">
      <c r="A110" t="s">
        <v>185</v>
      </c>
      <c r="B110" t="s">
        <v>186</v>
      </c>
      <c r="C110" t="s">
        <v>7909</v>
      </c>
      <c r="D110" t="str">
        <f t="shared" si="11"/>
        <v>BCAP, MNC KAPITAL INDONESIA, MNC Kapital Indonesia, MNC Kapital Indonesia Tbk, MNCKapitalIndonesia, PT MNC Kapital Indonesia, mnc kapital indonesia</v>
      </c>
      <c r="E110" t="str">
        <f t="shared" si="12"/>
        <v>BCAP, MNC KAPITAL INDONESIA, MNC Kapital Indonesia, MNC Kapital Indonesia Tbk, MNCKapitalIndonesia, PT MNC Kapital Indonesia, mnc kapital indonesia</v>
      </c>
      <c r="F110" t="str">
        <f t="shared" si="13"/>
        <v>mnc kapital indonesia</v>
      </c>
      <c r="G110" t="str">
        <f t="shared" si="16"/>
        <v>BCAP, MNC KAPITAL INDONESIA, MNC Kapital Indonesia, MNC Kapital Indonesia Tbk, MNCKapitalIndonesia, PT MNC Kapital Indonesia</v>
      </c>
      <c r="H110" t="str">
        <f t="shared" si="17"/>
        <v>BCAP, MNC KAPITAL INDONESIA, MNC Kapital Indonesia, MNC Kapital Indonesia Tbk, MNCKapitalIndonesia, PT MNC Kapital Indonesia</v>
      </c>
      <c r="I110" t="str">
        <f t="shared" si="14"/>
        <v>MNC KAPITAL INDONESIA</v>
      </c>
      <c r="J110" t="str">
        <f t="shared" si="18"/>
        <v>BCAP, MNC Kapital Indonesia, MNC Kapital Indonesia Tbk, MNCKapitalIndonesia, PT MNC Kapital Indonesia</v>
      </c>
      <c r="K110" t="str">
        <f t="shared" si="19"/>
        <v>BCAP, MNC Kapital Indonesia, MNC Kapital Indonesia Tbk, MNCKapitalIndonesia, PT MNC Kapital Indonesia</v>
      </c>
      <c r="L110" t="str">
        <f t="shared" si="15"/>
        <v>MNCKapitalIndonesia</v>
      </c>
      <c r="M110" t="str">
        <f t="shared" si="20"/>
        <v>BCAP, MNC Kapital Indonesia, MNC Kapital Indonesia Tbk, PT MNC Kapital Indonesia</v>
      </c>
      <c r="N110" t="str">
        <f t="shared" si="21"/>
        <v>BCAP, MNC Kapital Indonesia, MNC Kapital Indonesia Tbk, PT MNC Kapital Indonesia</v>
      </c>
    </row>
    <row r="111" spans="1:14" x14ac:dyDescent="0.2">
      <c r="A111" t="s">
        <v>188</v>
      </c>
      <c r="B111" t="s">
        <v>189</v>
      </c>
      <c r="C111" t="s">
        <v>7910</v>
      </c>
      <c r="D111" t="str">
        <f t="shared" si="11"/>
        <v>BCIC, BANK JTRUST INDONESIA, Bank JTrust Indonesia, Bank JTrust Indonesia Tbk, BankJTrustIndonesia, PT Bank JTrust Indonesia, bank jtrust indonesia</v>
      </c>
      <c r="E111" t="str">
        <f t="shared" si="12"/>
        <v>BCIC, BANK JTRUST INDONESIA, Bank JTrust Indonesia, Bank JTrust Indonesia Tbk, BankJTrustIndonesia, PT Bank JTrust Indonesia, bank jtrust indonesia</v>
      </c>
      <c r="F111" t="str">
        <f t="shared" si="13"/>
        <v>bank jtrust indonesia</v>
      </c>
      <c r="G111" t="str">
        <f t="shared" si="16"/>
        <v>BCIC, BANK JTRUST INDONESIA, Bank JTrust Indonesia, Bank JTrust Indonesia Tbk, BankJTrustIndonesia, PT Bank JTrust Indonesia</v>
      </c>
      <c r="H111" t="str">
        <f t="shared" si="17"/>
        <v>BCIC, BANK JTRUST INDONESIA, Bank JTrust Indonesia, Bank JTrust Indonesia Tbk, BankJTrustIndonesia, PT Bank JTrust Indonesia</v>
      </c>
      <c r="I111" t="str">
        <f t="shared" si="14"/>
        <v>BANK JTRUST INDONESIA</v>
      </c>
      <c r="J111" t="str">
        <f t="shared" si="18"/>
        <v>BCIC, Bank JTrust Indonesia, Bank JTrust Indonesia Tbk, BankJTrustIndonesia, PT Bank JTrust Indonesia</v>
      </c>
      <c r="K111" t="str">
        <f t="shared" si="19"/>
        <v>BCIC, Bank JTrust Indonesia, Bank JTrust Indonesia Tbk, BankJTrustIndonesia, PT Bank JTrust Indonesia</v>
      </c>
      <c r="L111" t="str">
        <f t="shared" si="15"/>
        <v>BankJTrustIndonesia</v>
      </c>
      <c r="M111" t="str">
        <f t="shared" si="20"/>
        <v>BCIC, Bank JTrust Indonesia, Bank JTrust Indonesia Tbk, PT Bank JTrust Indonesia</v>
      </c>
      <c r="N111" t="str">
        <f t="shared" si="21"/>
        <v>BCIC, Bank JTrust Indonesia, Bank JTrust Indonesia Tbk, PT Bank JTrust Indonesia</v>
      </c>
    </row>
    <row r="112" spans="1:14" x14ac:dyDescent="0.2">
      <c r="A112" t="s">
        <v>191</v>
      </c>
      <c r="B112" t="s">
        <v>192</v>
      </c>
      <c r="C112" t="s">
        <v>7911</v>
      </c>
      <c r="D112" t="str">
        <f t="shared" si="11"/>
        <v>BCIP, BUMI CITRA PERMAI, Bumi Citra Permai, Bumi Citra Permai Tbk, BumiCitraPermai, PT Bumi Citra Permai, bumi citra permai</v>
      </c>
      <c r="E112" t="str">
        <f t="shared" si="12"/>
        <v>BCIP, BUMI CITRA PERMAI, Bumi Citra Permai, Bumi Citra Permai Tbk, BumiCitraPermai, PT Bumi Citra Permai, bumi citra permai</v>
      </c>
      <c r="F112" t="str">
        <f t="shared" si="13"/>
        <v>bumi citra permai</v>
      </c>
      <c r="G112" t="str">
        <f t="shared" si="16"/>
        <v>BCIP, BUMI CITRA PERMAI, Bumi Citra Permai, Bumi Citra Permai Tbk, BumiCitraPermai, PT Bumi Citra Permai</v>
      </c>
      <c r="H112" t="str">
        <f t="shared" si="17"/>
        <v>BCIP, BUMI CITRA PERMAI, Bumi Citra Permai, Bumi Citra Permai Tbk, BumiCitraPermai, PT Bumi Citra Permai</v>
      </c>
      <c r="I112" t="str">
        <f t="shared" si="14"/>
        <v>BUMI CITRA PERMAI</v>
      </c>
      <c r="J112" t="str">
        <f t="shared" si="18"/>
        <v>BCIP, Bumi Citra Permai, Bumi Citra Permai Tbk, BumiCitraPermai, PT Bumi Citra Permai</v>
      </c>
      <c r="K112" t="str">
        <f t="shared" si="19"/>
        <v>BCIP, Bumi Citra Permai, Bumi Citra Permai Tbk, BumiCitraPermai, PT Bumi Citra Permai</v>
      </c>
      <c r="L112" t="str">
        <f t="shared" si="15"/>
        <v>BumiCitraPermai</v>
      </c>
      <c r="M112" t="str">
        <f t="shared" si="20"/>
        <v>BCIP, Bumi Citra Permai, Bumi Citra Permai Tbk, PT Bumi Citra Permai</v>
      </c>
      <c r="N112" t="str">
        <f t="shared" si="21"/>
        <v>BCIP, Bumi Citra Permai, Bumi Citra Permai Tbk, PT Bumi Citra Permai</v>
      </c>
    </row>
    <row r="113" spans="1:14" x14ac:dyDescent="0.2">
      <c r="A113" t="s">
        <v>2275</v>
      </c>
      <c r="B113" t="s">
        <v>2276</v>
      </c>
      <c r="C113" t="s">
        <v>7912</v>
      </c>
      <c r="D113" t="str">
        <f t="shared" si="11"/>
        <v>BDKR, BERDIKARI PONDASI PERKASA, Berdikari Pondasi Perkasa, Berdikari Pondasi Perkasa Tbk, BerdikariPondasiPerkasa, PT Berdikari Pondasi Perkasa, berdikari pondasi perkasa</v>
      </c>
      <c r="E113" t="str">
        <f t="shared" si="12"/>
        <v>BDKR, BERDIKARI PONDASI PERKASA, Berdikari Pondasi Perkasa, Berdikari Pondasi Perkasa Tbk, BerdikariPondasiPerkasa, PT Berdikari Pondasi Perkasa, berdikari pondasi perkasa</v>
      </c>
      <c r="F113" t="str">
        <f t="shared" si="13"/>
        <v>berdikari pondasi perkasa</v>
      </c>
      <c r="G113" t="str">
        <f t="shared" si="16"/>
        <v>BDKR, BERDIKARI PONDASI PERKASA, Berdikari Pondasi Perkasa, Berdikari Pondasi Perkasa Tbk, BerdikariPondasiPerkasa, PT Berdikari Pondasi Perkasa</v>
      </c>
      <c r="H113" t="str">
        <f t="shared" si="17"/>
        <v>BDKR, BERDIKARI PONDASI PERKASA, Berdikari Pondasi Perkasa, Berdikari Pondasi Perkasa Tbk, BerdikariPondasiPerkasa, PT Berdikari Pondasi Perkasa</v>
      </c>
      <c r="I113" t="str">
        <f t="shared" si="14"/>
        <v>BERDIKARI PONDASI PERKASA</v>
      </c>
      <c r="J113" t="str">
        <f t="shared" si="18"/>
        <v>BDKR, Berdikari Pondasi Perkasa, Berdikari Pondasi Perkasa Tbk, BerdikariPondasiPerkasa, PT Berdikari Pondasi Perkasa</v>
      </c>
      <c r="K113" t="str">
        <f t="shared" si="19"/>
        <v>BDKR, Berdikari Pondasi Perkasa, Berdikari Pondasi Perkasa Tbk, BerdikariPondasiPerkasa, PT Berdikari Pondasi Perkasa</v>
      </c>
      <c r="L113" t="str">
        <f t="shared" si="15"/>
        <v>BerdikariPondasiPerkasa</v>
      </c>
      <c r="M113" t="str">
        <f t="shared" si="20"/>
        <v>BDKR, Berdikari Pondasi Perkasa, Berdikari Pondasi Perkasa Tbk, PT Berdikari Pondasi Perkasa</v>
      </c>
      <c r="N113" t="str">
        <f t="shared" si="21"/>
        <v>BDKR, Berdikari Pondasi Perkasa, Berdikari Pondasi Perkasa Tbk, PT Berdikari Pondasi Perkasa</v>
      </c>
    </row>
    <row r="114" spans="1:14" x14ac:dyDescent="0.2">
      <c r="A114" t="s">
        <v>194</v>
      </c>
      <c r="B114" t="s">
        <v>195</v>
      </c>
      <c r="C114" t="s">
        <v>7913</v>
      </c>
      <c r="D114" t="str">
        <f t="shared" si="11"/>
        <v>BDMN, BANK DANAMON INDONESIA, Bank Danamon Indonesia, Bank Danamon Indonesia Tbk, BankDanamonIndonesia, PT Bank Danamon Indonesia, bank danamon indonesia</v>
      </c>
      <c r="E114" t="str">
        <f t="shared" si="12"/>
        <v>BDMN, BANK DANAMON INDONESIA, Bank Danamon Indonesia, Bank Danamon Indonesia Tbk, BankDanamonIndonesia, PT Bank Danamon Indonesia, bank danamon indonesia</v>
      </c>
      <c r="F114" t="str">
        <f t="shared" si="13"/>
        <v>bank danamon indonesia</v>
      </c>
      <c r="G114" t="str">
        <f t="shared" si="16"/>
        <v>BDMN, BANK DANAMON INDONESIA, Bank Danamon Indonesia, Bank Danamon Indonesia Tbk, BankDanamonIndonesia, PT Bank Danamon Indonesia</v>
      </c>
      <c r="H114" t="str">
        <f t="shared" si="17"/>
        <v>BDMN, BANK DANAMON INDONESIA, Bank Danamon Indonesia, Bank Danamon Indonesia Tbk, BankDanamonIndonesia, PT Bank Danamon Indonesia</v>
      </c>
      <c r="I114" t="str">
        <f t="shared" si="14"/>
        <v>BANK DANAMON INDONESIA</v>
      </c>
      <c r="J114" t="str">
        <f t="shared" si="18"/>
        <v>BDMN, Bank Danamon Indonesia, Bank Danamon Indonesia Tbk, BankDanamonIndonesia, PT Bank Danamon Indonesia</v>
      </c>
      <c r="K114" t="str">
        <f t="shared" si="19"/>
        <v>BDMN, Bank Danamon Indonesia, Bank Danamon Indonesia Tbk, BankDanamonIndonesia, PT Bank Danamon Indonesia</v>
      </c>
      <c r="L114" t="str">
        <f t="shared" si="15"/>
        <v>BankDanamonIndonesia</v>
      </c>
      <c r="M114" t="str">
        <f t="shared" si="20"/>
        <v>BDMN, Bank Danamon Indonesia, Bank Danamon Indonesia Tbk, PT Bank Danamon Indonesia</v>
      </c>
      <c r="N114" t="str">
        <f t="shared" si="21"/>
        <v>BDMN, Bank Danamon Indonesia, Bank Danamon Indonesia Tbk, PT Bank Danamon Indonesia</v>
      </c>
    </row>
    <row r="115" spans="1:14" x14ac:dyDescent="0.2">
      <c r="A115" t="s">
        <v>1921</v>
      </c>
      <c r="B115" t="s">
        <v>1922</v>
      </c>
      <c r="C115" t="s">
        <v>7914</v>
      </c>
      <c r="D115" t="str">
        <f t="shared" si="11"/>
        <v>BEBS, BERKAH BETON SADAYA, Berkah Beton Sadaya, Berkah Beton Sadaya Tbk, BerkahBetonSadaya, PT Berkah Beton Sadaya, berkah beton sadaya</v>
      </c>
      <c r="E115" t="str">
        <f t="shared" si="12"/>
        <v>BEBS, BERKAH BETON SADAYA, Berkah Beton Sadaya, Berkah Beton Sadaya Tbk, BerkahBetonSadaya, PT Berkah Beton Sadaya, berkah beton sadaya</v>
      </c>
      <c r="F115" t="str">
        <f t="shared" si="13"/>
        <v>berkah beton sadaya</v>
      </c>
      <c r="G115" t="str">
        <f t="shared" si="16"/>
        <v>BEBS, BERKAH BETON SADAYA, Berkah Beton Sadaya, Berkah Beton Sadaya Tbk, BerkahBetonSadaya, PT Berkah Beton Sadaya</v>
      </c>
      <c r="H115" t="str">
        <f t="shared" si="17"/>
        <v>BEBS, BERKAH BETON SADAYA, Berkah Beton Sadaya, Berkah Beton Sadaya Tbk, BerkahBetonSadaya, PT Berkah Beton Sadaya</v>
      </c>
      <c r="I115" t="str">
        <f t="shared" si="14"/>
        <v>BERKAH BETON SADAYA</v>
      </c>
      <c r="J115" t="str">
        <f t="shared" si="18"/>
        <v>BEBS, Berkah Beton Sadaya, Berkah Beton Sadaya Tbk, BerkahBetonSadaya, PT Berkah Beton Sadaya</v>
      </c>
      <c r="K115" t="str">
        <f t="shared" si="19"/>
        <v>BEBS, Berkah Beton Sadaya, Berkah Beton Sadaya Tbk, BerkahBetonSadaya, PT Berkah Beton Sadaya</v>
      </c>
      <c r="L115" t="str">
        <f t="shared" si="15"/>
        <v>BerkahBetonSadaya</v>
      </c>
      <c r="M115" t="str">
        <f t="shared" si="20"/>
        <v>BEBS, Berkah Beton Sadaya, Berkah Beton Sadaya Tbk, PT Berkah Beton Sadaya</v>
      </c>
      <c r="N115" t="str">
        <f t="shared" si="21"/>
        <v>BEBS, Berkah Beton Sadaya, Berkah Beton Sadaya Tbk, PT Berkah Beton Sadaya</v>
      </c>
    </row>
    <row r="116" spans="1:14" x14ac:dyDescent="0.2">
      <c r="A116" t="s">
        <v>1643</v>
      </c>
      <c r="B116" t="s">
        <v>1644</v>
      </c>
      <c r="C116" t="s">
        <v>7915</v>
      </c>
      <c r="D116" t="str">
        <f t="shared" si="11"/>
        <v>BEEF, ESTIKA TATA TIARA, Estika Tata Tiara, Estika Tata Tiara Tbk, EstikaTataTiara, PT Estika Tata Tiara, estika tata tiara</v>
      </c>
      <c r="E116" t="str">
        <f t="shared" si="12"/>
        <v>BEEF, ESTIKA TATA TIARA, Estika Tata Tiara, Estika Tata Tiara Tbk, EstikaTataTiara, PT Estika Tata Tiara, estika tata tiara</v>
      </c>
      <c r="F116" t="str">
        <f t="shared" si="13"/>
        <v>estika tata tiara</v>
      </c>
      <c r="G116" t="str">
        <f t="shared" si="16"/>
        <v>BEEF, ESTIKA TATA TIARA, Estika Tata Tiara, Estika Tata Tiara Tbk, EstikaTataTiara, PT Estika Tata Tiara</v>
      </c>
      <c r="H116" t="str">
        <f t="shared" si="17"/>
        <v>BEEF, ESTIKA TATA TIARA, Estika Tata Tiara, Estika Tata Tiara Tbk, EstikaTataTiara, PT Estika Tata Tiara</v>
      </c>
      <c r="I116" t="str">
        <f t="shared" si="14"/>
        <v>ESTIKA TATA TIARA</v>
      </c>
      <c r="J116" t="str">
        <f t="shared" si="18"/>
        <v>BEEF, Estika Tata Tiara, Estika Tata Tiara Tbk, EstikaTataTiara, PT Estika Tata Tiara</v>
      </c>
      <c r="K116" t="str">
        <f t="shared" si="19"/>
        <v>BEEF, Estika Tata Tiara, Estika Tata Tiara Tbk, EstikaTataTiara, PT Estika Tata Tiara</v>
      </c>
      <c r="L116" t="str">
        <f t="shared" si="15"/>
        <v>EstikaTataTiara</v>
      </c>
      <c r="M116" t="str">
        <f t="shared" si="20"/>
        <v>BEEF, Estika Tata Tiara, Estika Tata Tiara Tbk, PT Estika Tata Tiara</v>
      </c>
      <c r="N116" t="str">
        <f t="shared" si="21"/>
        <v>BEEF, Estika Tata Tiara, Estika Tata Tiara Tbk, PT Estika Tata Tiara</v>
      </c>
    </row>
    <row r="117" spans="1:14" x14ac:dyDescent="0.2">
      <c r="A117" t="s">
        <v>2222</v>
      </c>
      <c r="B117" t="s">
        <v>2223</v>
      </c>
      <c r="C117" t="s">
        <v>7916</v>
      </c>
      <c r="D117" t="str">
        <f t="shared" si="11"/>
        <v>BEER, JOBUBU JARUM MINAHASA, Jobubu Jarum Minahasa, Jobubu Jarum Minahasa Tbk, JobubuJarumMinahasa, PT Jobubu Jarum Minahasa, jobubu jarum minahasa</v>
      </c>
      <c r="E117" t="str">
        <f t="shared" si="12"/>
        <v>BEER, JOBUBU JARUM MINAHASA, Jobubu Jarum Minahasa, Jobubu Jarum Minahasa Tbk, JobubuJarumMinahasa, PT Jobubu Jarum Minahasa, jobubu jarum minahasa</v>
      </c>
      <c r="F117" t="str">
        <f t="shared" si="13"/>
        <v>jobubu jarum minahasa</v>
      </c>
      <c r="G117" t="str">
        <f t="shared" si="16"/>
        <v>BEER, JOBUBU JARUM MINAHASA, Jobubu Jarum Minahasa, Jobubu Jarum Minahasa Tbk, JobubuJarumMinahasa, PT Jobubu Jarum Minahasa</v>
      </c>
      <c r="H117" t="str">
        <f t="shared" si="17"/>
        <v>BEER, JOBUBU JARUM MINAHASA, Jobubu Jarum Minahasa, Jobubu Jarum Minahasa Tbk, JobubuJarumMinahasa, PT Jobubu Jarum Minahasa</v>
      </c>
      <c r="I117" t="str">
        <f t="shared" si="14"/>
        <v>JOBUBU JARUM MINAHASA</v>
      </c>
      <c r="J117" t="str">
        <f t="shared" si="18"/>
        <v>BEER, Jobubu Jarum Minahasa, Jobubu Jarum Minahasa Tbk, JobubuJarumMinahasa, PT Jobubu Jarum Minahasa</v>
      </c>
      <c r="K117" t="str">
        <f t="shared" si="19"/>
        <v>BEER, Jobubu Jarum Minahasa, Jobubu Jarum Minahasa Tbk, JobubuJarumMinahasa, PT Jobubu Jarum Minahasa</v>
      </c>
      <c r="L117" t="str">
        <f t="shared" si="15"/>
        <v>JobubuJarumMinahasa</v>
      </c>
      <c r="M117" t="str">
        <f t="shared" si="20"/>
        <v>BEER, Jobubu Jarum Minahasa, Jobubu Jarum Minahasa Tbk, PT Jobubu Jarum Minahasa</v>
      </c>
      <c r="N117" t="str">
        <f t="shared" si="21"/>
        <v>BEER, Jobubu Jarum Minahasa, Jobubu Jarum Minahasa Tbk, PT Jobubu Jarum Minahasa</v>
      </c>
    </row>
    <row r="118" spans="1:14" x14ac:dyDescent="0.2">
      <c r="A118" t="s">
        <v>197</v>
      </c>
      <c r="B118" t="s">
        <v>3519</v>
      </c>
      <c r="C118" t="s">
        <v>7917</v>
      </c>
      <c r="D118" t="str">
        <f t="shared" si="11"/>
        <v>BEKS, BANK PEMBANGUNAN DAERAH BANTEN, Bank Banten, Bank Pembangunan Daerah Banten, Bank Pembangunan Daerah Banten Tbk, BankPembangunanDaerahBanten, Banten, PT Bank Pembangunan Daerah Banten, bank pembangunan daerah banten</v>
      </c>
      <c r="E118" t="str">
        <f t="shared" si="12"/>
        <v>BEKS, BANK PEMBANGUNAN DAERAH BANTEN, Bank Banten, Bank Pembangunan Daerah Banten, Bank Pembangunan Daerah Banten Tbk, BankPembangunanDaerahBanten, Banten, PT Bank Pembangunan Daerah Banten, bank pembangunan daerah banten</v>
      </c>
      <c r="F118" t="str">
        <f t="shared" si="13"/>
        <v>bank pembangunan daerah banten</v>
      </c>
      <c r="G118" t="str">
        <f t="shared" si="16"/>
        <v>BEKS, BANK PEMBANGUNAN DAERAH BANTEN, Bank Banten, Bank Pembangunan Daerah Banten, Bank Pembangunan Daerah Banten Tbk, BankPembangunanDaerahBanten, Banten, PT Bank Pembangunan Daerah Banten</v>
      </c>
      <c r="H118" t="str">
        <f t="shared" si="17"/>
        <v>BEKS, BANK PEMBANGUNAN DAERAH BANTEN, Bank Banten, Bank Pembangunan Daerah Banten, Bank Pembangunan Daerah Banten Tbk, BankPembangunanDaerahBanten, Banten, PT Bank Pembangunan Daerah Banten</v>
      </c>
      <c r="I118" t="str">
        <f t="shared" si="14"/>
        <v>BANK PEMBANGUNAN DAERAH BANTEN</v>
      </c>
      <c r="J118" t="str">
        <f t="shared" si="18"/>
        <v>BEKS, Bank Banten, Bank Pembangunan Daerah Banten, Bank Pembangunan Daerah Banten Tbk, BankPembangunanDaerahBanten, Banten, PT Bank Pembangunan Daerah Banten</v>
      </c>
      <c r="K118" t="str">
        <f t="shared" si="19"/>
        <v>BEKS, Bank Banten, Bank Pembangunan Daerah Banten, Bank Pembangunan Daerah Banten Tbk, BankPembangunanDaerahBanten, Banten, PT Bank Pembangunan Daerah Banten</v>
      </c>
      <c r="L118" t="str">
        <f t="shared" si="15"/>
        <v>BankPembangunanDaerahBanten</v>
      </c>
      <c r="M118" t="str">
        <f t="shared" si="20"/>
        <v>BEKS, Bank Banten, Bank Pembangunan Daerah Banten, Bank Pembangunan Daerah Banten Tbk, Banten, PT Bank Pembangunan Daerah Banten</v>
      </c>
      <c r="N118" t="str">
        <f t="shared" si="21"/>
        <v>BEKS, Bank Banten, Bank Pembangunan Daerah Banten, Bank Pembangunan Daerah Banten Tbk, Banten, PT Bank Pembangunan Daerah Banten</v>
      </c>
    </row>
    <row r="119" spans="1:14" x14ac:dyDescent="0.2">
      <c r="A119" t="s">
        <v>2181</v>
      </c>
      <c r="B119" t="s">
        <v>2182</v>
      </c>
      <c r="C119" t="s">
        <v>7918</v>
      </c>
      <c r="D119" t="str">
        <f t="shared" si="11"/>
        <v>BELI, GDN, GLOBAL DIGITAL NIAGA, Global Digital Niaga, Global Digital Niaga Tbk, GlobalDigitalNiaga, PT Global Digital Niaga, global digital niaga</v>
      </c>
      <c r="E119" t="str">
        <f t="shared" si="12"/>
        <v>BELI, GDN, GLOBAL DIGITAL NIAGA, Global Digital Niaga, Global Digital Niaga Tbk, GlobalDigitalNiaga, PT Global Digital Niaga, global digital niaga</v>
      </c>
      <c r="F119" t="str">
        <f t="shared" si="13"/>
        <v>global digital niaga</v>
      </c>
      <c r="G119" t="str">
        <f t="shared" si="16"/>
        <v>BELI, GDN, GLOBAL DIGITAL NIAGA, Global Digital Niaga, Global Digital Niaga Tbk, GlobalDigitalNiaga, PT Global Digital Niaga</v>
      </c>
      <c r="H119" t="str">
        <f t="shared" si="17"/>
        <v>BELI, GDN, GLOBAL DIGITAL NIAGA, Global Digital Niaga, Global Digital Niaga Tbk, GlobalDigitalNiaga, PT Global Digital Niaga</v>
      </c>
      <c r="I119" t="str">
        <f t="shared" si="14"/>
        <v>GLOBAL DIGITAL NIAGA</v>
      </c>
      <c r="J119" t="str">
        <f t="shared" si="18"/>
        <v>BELI, GDN, Global Digital Niaga, Global Digital Niaga Tbk, GlobalDigitalNiaga, PT Global Digital Niaga</v>
      </c>
      <c r="K119" t="str">
        <f t="shared" si="19"/>
        <v>BELI, GDN, Global Digital Niaga, Global Digital Niaga Tbk, GlobalDigitalNiaga, PT Global Digital Niaga</v>
      </c>
      <c r="L119" t="str">
        <f t="shared" si="15"/>
        <v>GlobalDigitalNiaga</v>
      </c>
      <c r="M119" t="str">
        <f t="shared" si="20"/>
        <v>BELI, GDN, Global Digital Niaga, Global Digital Niaga Tbk, PT Global Digital Niaga</v>
      </c>
      <c r="N119" t="str">
        <f t="shared" si="21"/>
        <v>BELI, GDN, Global Digital Niaga, Global Digital Niaga Tbk, PT Global Digital Niaga</v>
      </c>
    </row>
    <row r="120" spans="1:14" x14ac:dyDescent="0.2">
      <c r="A120" t="s">
        <v>1449</v>
      </c>
      <c r="B120" t="s">
        <v>3520</v>
      </c>
      <c r="C120" t="s">
        <v>7919</v>
      </c>
      <c r="D120" t="str">
        <f t="shared" si="11"/>
        <v>BELL, PT Trisula Textile Industries, TRISULA TEXTILE INDUSTRIES, Trisula Textile Industries, Trisula Textile Industries Tbk, TrisulaTextileIndustries, trisula textile industries</v>
      </c>
      <c r="E120" t="str">
        <f t="shared" si="12"/>
        <v>BELL, PT Trisula Textile Industries, TRISULA TEXTILE INDUSTRIES, Trisula Textile Industries, Trisula Textile Industries Tbk, TrisulaTextileIndustries, trisula textile industries</v>
      </c>
      <c r="F120" t="str">
        <f t="shared" si="13"/>
        <v>trisula textile industries</v>
      </c>
      <c r="G120" t="str">
        <f t="shared" si="16"/>
        <v>BELL, PT Trisula Textile Industries, TRISULA TEXTILE INDUSTRIES, Trisula Textile Industries, Trisula Textile Industries Tbk, TrisulaTextileIndustries</v>
      </c>
      <c r="H120" t="str">
        <f t="shared" si="17"/>
        <v>BELL, PT Trisula Textile Industries, TRISULA TEXTILE INDUSTRIES, Trisula Textile Industries, Trisula Textile Industries Tbk, TrisulaTextileIndustries</v>
      </c>
      <c r="I120" t="str">
        <f t="shared" si="14"/>
        <v>TRISULA TEXTILE INDUSTRIES</v>
      </c>
      <c r="J120" t="str">
        <f t="shared" si="18"/>
        <v>BELL, PT Trisula Textile Industries, Trisula Textile Industries, Trisula Textile Industries Tbk, TrisulaTextileIndustries</v>
      </c>
      <c r="K120" t="str">
        <f t="shared" si="19"/>
        <v>BELL, PT Trisula Textile Industries, Trisula Textile Industries, Trisula Textile Industries Tbk, TrisulaTextileIndustries</v>
      </c>
      <c r="L120" t="str">
        <f t="shared" si="15"/>
        <v>TrisulaTextileIndustries</v>
      </c>
      <c r="M120" t="str">
        <f t="shared" si="20"/>
        <v>BELL, PT Trisula Textile Industries, Trisula Textile Industries, Trisula Textile Industries Tbk</v>
      </c>
      <c r="N120" t="str">
        <f t="shared" si="21"/>
        <v>BELL, PT Trisula Textile Industries, Trisula Textile Industries, Trisula Textile Industries Tbk</v>
      </c>
    </row>
    <row r="121" spans="1:14" x14ac:dyDescent="0.2">
      <c r="A121" t="s">
        <v>2596</v>
      </c>
      <c r="B121" t="s">
        <v>3521</v>
      </c>
      <c r="C121" t="s">
        <v>7920</v>
      </c>
      <c r="D121" t="str">
        <f t="shared" si="11"/>
        <v>BESS, BATULICIN NUSANTARA MARITIM, Batulicin Nusantara Maritim, Batulicin Nusantara Maritim Tbk, BatulicinNusantaraMaritim, PT Batulicin Nusantara Maritim, batulicin nusantara maritim</v>
      </c>
      <c r="E121" t="str">
        <f t="shared" si="12"/>
        <v>BESS, BATULICIN NUSANTARA MARITIM, Batulicin Nusantara Maritim, Batulicin Nusantara Maritim Tbk, BatulicinNusantaraMaritim, PT Batulicin Nusantara Maritim, batulicin nusantara maritim</v>
      </c>
      <c r="F121" t="str">
        <f t="shared" si="13"/>
        <v>batulicin nusantara maritim</v>
      </c>
      <c r="G121" t="str">
        <f t="shared" si="16"/>
        <v>BESS, BATULICIN NUSANTARA MARITIM, Batulicin Nusantara Maritim, Batulicin Nusantara Maritim Tbk, BatulicinNusantaraMaritim, PT Batulicin Nusantara Maritim</v>
      </c>
      <c r="H121" t="str">
        <f t="shared" si="17"/>
        <v>BESS, BATULICIN NUSANTARA MARITIM, Batulicin Nusantara Maritim, Batulicin Nusantara Maritim Tbk, BatulicinNusantaraMaritim, PT Batulicin Nusantara Maritim</v>
      </c>
      <c r="I121" t="str">
        <f t="shared" si="14"/>
        <v>BATULICIN NUSANTARA MARITIM</v>
      </c>
      <c r="J121" t="str">
        <f t="shared" si="18"/>
        <v>BESS, Batulicin Nusantara Maritim, Batulicin Nusantara Maritim Tbk, BatulicinNusantaraMaritim, PT Batulicin Nusantara Maritim</v>
      </c>
      <c r="K121" t="str">
        <f t="shared" si="19"/>
        <v>BESS, Batulicin Nusantara Maritim, Batulicin Nusantara Maritim Tbk, BatulicinNusantaraMaritim, PT Batulicin Nusantara Maritim</v>
      </c>
      <c r="L121" t="str">
        <f t="shared" si="15"/>
        <v>BatulicinNusantaraMaritim</v>
      </c>
      <c r="M121" t="str">
        <f t="shared" si="20"/>
        <v>BESS, Batulicin Nusantara Maritim, Batulicin Nusantara Maritim Tbk, PT Batulicin Nusantara Maritim</v>
      </c>
      <c r="N121" t="str">
        <f t="shared" si="21"/>
        <v>BESS, Batulicin Nusantara Maritim, Batulicin Nusantara Maritim Tbk, PT Batulicin Nusantara Maritim</v>
      </c>
    </row>
    <row r="122" spans="1:14" x14ac:dyDescent="0.2">
      <c r="A122" t="s">
        <v>199</v>
      </c>
      <c r="B122" t="s">
        <v>3522</v>
      </c>
      <c r="C122" t="s">
        <v>7921</v>
      </c>
      <c r="D122" t="str">
        <f t="shared" si="11"/>
        <v>BEKASI FAJAR INDUSTRIAL ESTATE, BEST, BFIE, Bekasi Fajar Industrial Estate, Bekasi Fajar Industrial Estate Tbk, BekasiFajarIndustrialEstate, PT Bekasi Fajar Industrial Estate, bekasi fajar industrial estate</v>
      </c>
      <c r="E122" t="str">
        <f t="shared" si="12"/>
        <v>BEKASI FAJAR INDUSTRIAL ESTATE, BEST, BFIE, Bekasi Fajar Industrial Estate, Bekasi Fajar Industrial Estate Tbk, BekasiFajarIndustrialEstate, PT Bekasi Fajar Industrial Estate, bekasi fajar industrial estate</v>
      </c>
      <c r="F122" t="str">
        <f t="shared" si="13"/>
        <v>bekasi fajar industrial estate</v>
      </c>
      <c r="G122" t="str">
        <f t="shared" si="16"/>
        <v>BEKASI FAJAR INDUSTRIAL ESTATE, BEST, BFIE, Bekasi Fajar Industrial Estate, Bekasi Fajar Industrial Estate Tbk, BekasiFajarIndustrialEstate, PT Bekasi Fajar Industrial Estate</v>
      </c>
      <c r="H122" t="str">
        <f t="shared" si="17"/>
        <v>BEKASI FAJAR INDUSTRIAL ESTATE, BEST, BFIE, Bekasi Fajar Industrial Estate, Bekasi Fajar Industrial Estate Tbk, BekasiFajarIndustrialEstate, PT Bekasi Fajar Industrial Estate</v>
      </c>
      <c r="I122" t="str">
        <f t="shared" si="14"/>
        <v>BEKASI FAJAR INDUSTRIAL ESTATE</v>
      </c>
      <c r="J122" t="str">
        <f t="shared" si="18"/>
        <v>BEKASI FAJAR INDUSTRIAL ESTATE, BEST, BFIE, Bekasi Fajar Industrial Estate, Bekasi Fajar Industrial Estate Tbk, BekasiFajarIndustrialEstate, PT Bekasi Fajar Industrial Estate</v>
      </c>
      <c r="K122" t="str">
        <f t="shared" si="19"/>
        <v>BEST, BFIE, Bekasi Fajar Industrial Estate, Bekasi Fajar Industrial Estate Tbk, BekasiFajarIndustrialEstate, PT Bekasi Fajar Industrial Estate</v>
      </c>
      <c r="L122" t="str">
        <f t="shared" si="15"/>
        <v>BekasiFajarIndustrialEstate</v>
      </c>
      <c r="M122" t="str">
        <f t="shared" si="20"/>
        <v>BEST, BFIE, Bekasi Fajar Industrial Estate, Bekasi Fajar Industrial Estate Tbk, PT Bekasi Fajar Industrial Estate</v>
      </c>
      <c r="N122" t="str">
        <f t="shared" si="21"/>
        <v>BEST, BFIE, Bekasi Fajar Industrial Estate, Bekasi Fajar Industrial Estate Tbk, PT Bekasi Fajar Industrial Estate</v>
      </c>
    </row>
    <row r="123" spans="1:14" x14ac:dyDescent="0.2">
      <c r="A123" t="s">
        <v>201</v>
      </c>
      <c r="B123" t="s">
        <v>3888</v>
      </c>
      <c r="C123" t="s">
        <v>7922</v>
      </c>
      <c r="D123" t="str">
        <f t="shared" si="11"/>
        <v>BFIN, BFI, BFI FINANCE INDONESIA, BFI Finance Indonesia, BFI Finance Indonesia Tbk, BFIFinanceIndonesia, PT BFI Finance Indonesia, bfi finance indonesia</v>
      </c>
      <c r="E123" t="str">
        <f t="shared" si="12"/>
        <v>BFIN, BFI, BFI FINANCE INDONESIA, BFI Finance Indonesia, BFI Finance Indonesia Tbk, BFIFinanceIndonesia, PT BFI Finance Indonesia, bfi finance indonesia</v>
      </c>
      <c r="F123" t="str">
        <f t="shared" si="13"/>
        <v>bfi finance indonesia</v>
      </c>
      <c r="G123" t="str">
        <f t="shared" si="16"/>
        <v>BFIN, BFI, BFI FINANCE INDONESIA, BFI Finance Indonesia, BFI Finance Indonesia Tbk, BFIFinanceIndonesia, PT BFI Finance Indonesia</v>
      </c>
      <c r="H123" t="str">
        <f t="shared" si="17"/>
        <v>BFIN, BFI, BFI FINANCE INDONESIA, BFI Finance Indonesia, BFI Finance Indonesia Tbk, BFIFinanceIndonesia, PT BFI Finance Indonesia</v>
      </c>
      <c r="I123" t="str">
        <f t="shared" si="14"/>
        <v>BFI FINANCE INDONESIA</v>
      </c>
      <c r="J123" t="str">
        <f t="shared" si="18"/>
        <v>BFIN, BFI, BFI Finance Indonesia, BFI Finance Indonesia Tbk, BFIFinanceIndonesia, PT BFI Finance Indonesia</v>
      </c>
      <c r="K123" t="str">
        <f t="shared" si="19"/>
        <v>BFIN, BFI, BFI Finance Indonesia, BFI Finance Indonesia Tbk, BFIFinanceIndonesia, PT BFI Finance Indonesia</v>
      </c>
      <c r="L123" t="str">
        <f t="shared" si="15"/>
        <v>BFIFinanceIndonesia</v>
      </c>
      <c r="M123" t="str">
        <f t="shared" si="20"/>
        <v>BFIN, BFI, BFI Finance Indonesia, BFI Finance Indonesia Tbk, PT BFI Finance Indonesia</v>
      </c>
      <c r="N123" t="str">
        <f t="shared" si="21"/>
        <v>BFIN, BFI, BFI Finance Indonesia, BFI Finance Indonesia Tbk, PT BFI Finance Indonesia</v>
      </c>
    </row>
    <row r="124" spans="1:14" x14ac:dyDescent="0.2">
      <c r="A124" t="s">
        <v>203</v>
      </c>
      <c r="B124" t="s">
        <v>204</v>
      </c>
      <c r="C124" t="s">
        <v>7923</v>
      </c>
      <c r="D124" t="str">
        <f t="shared" si="11"/>
        <v>BGTG, BANK GANESHA, Bank Ganesha, Bank Ganesha Tbk, BankGanesha, Ganesha, PT Bank Ganesha, bank ganesha</v>
      </c>
      <c r="E124" t="str">
        <f t="shared" si="12"/>
        <v>BGTG, BANK GANESHA, Bank Ganesha, Bank Ganesha Tbk, BankGanesha, Ganesha, PT Bank Ganesha, bank ganesha</v>
      </c>
      <c r="F124" t="str">
        <f t="shared" si="13"/>
        <v>bank ganesha</v>
      </c>
      <c r="G124" t="str">
        <f t="shared" si="16"/>
        <v>BGTG, BANK GANESHA, Bank Ganesha, Bank Ganesha Tbk, BankGanesha, Ganesha, PT Bank Ganesha</v>
      </c>
      <c r="H124" t="str">
        <f t="shared" si="17"/>
        <v>BGTG, BANK GANESHA, Bank Ganesha, Bank Ganesha Tbk, BankGanesha, Ganesha, PT Bank Ganesha</v>
      </c>
      <c r="I124" t="str">
        <f t="shared" si="14"/>
        <v>BANK GANESHA</v>
      </c>
      <c r="J124" t="str">
        <f t="shared" si="18"/>
        <v>BGTG, Bank Ganesha, Bank Ganesha Tbk, BankGanesha, Ganesha, PT Bank Ganesha</v>
      </c>
      <c r="K124" t="str">
        <f t="shared" si="19"/>
        <v>BGTG, Bank Ganesha, Bank Ganesha Tbk, BankGanesha, Ganesha, PT Bank Ganesha</v>
      </c>
      <c r="L124" t="str">
        <f t="shared" si="15"/>
        <v>BankGanesha</v>
      </c>
      <c r="M124" t="str">
        <f t="shared" si="20"/>
        <v>BGTG, Bank Ganesha, Bank Ganesha Tbk, Ganesha, PT Bank Ganesha</v>
      </c>
      <c r="N124" t="str">
        <f t="shared" si="21"/>
        <v>BGTG, Bank Ganesha, Bank Ganesha Tbk, Ganesha, PT Bank Ganesha</v>
      </c>
    </row>
    <row r="125" spans="1:14" x14ac:dyDescent="0.2">
      <c r="A125" t="s">
        <v>1843</v>
      </c>
      <c r="B125" t="s">
        <v>1844</v>
      </c>
      <c r="C125" t="s">
        <v>7924</v>
      </c>
      <c r="D125" t="str">
        <f t="shared" si="11"/>
        <v>BHAT, BHAKTI MULTI ARTHA, Bhakti Multi Artha, Bhakti Multi Artha Tbk, BhaktiMultiArtha, PT Bhakti Multi Artha, bhakti multi artha</v>
      </c>
      <c r="E125" t="str">
        <f t="shared" si="12"/>
        <v>BHAT, BHAKTI MULTI ARTHA, Bhakti Multi Artha, Bhakti Multi Artha Tbk, BhaktiMultiArtha, PT Bhakti Multi Artha, bhakti multi artha</v>
      </c>
      <c r="F125" t="str">
        <f t="shared" si="13"/>
        <v>bhakti multi artha</v>
      </c>
      <c r="G125" t="str">
        <f t="shared" si="16"/>
        <v>BHAT, BHAKTI MULTI ARTHA, Bhakti Multi Artha, Bhakti Multi Artha Tbk, BhaktiMultiArtha, PT Bhakti Multi Artha</v>
      </c>
      <c r="H125" t="str">
        <f t="shared" si="17"/>
        <v>BHAT, BHAKTI MULTI ARTHA, Bhakti Multi Artha, Bhakti Multi Artha Tbk, BhaktiMultiArtha, PT Bhakti Multi Artha</v>
      </c>
      <c r="I125" t="str">
        <f t="shared" si="14"/>
        <v>BHAKTI MULTI ARTHA</v>
      </c>
      <c r="J125" t="str">
        <f t="shared" si="18"/>
        <v>BHAT, Bhakti Multi Artha, Bhakti Multi Artha Tbk, BhaktiMultiArtha, PT Bhakti Multi Artha</v>
      </c>
      <c r="K125" t="str">
        <f t="shared" si="19"/>
        <v>BHAT, Bhakti Multi Artha, Bhakti Multi Artha Tbk, BhaktiMultiArtha, PT Bhakti Multi Artha</v>
      </c>
      <c r="L125" t="str">
        <f t="shared" si="15"/>
        <v>BhaktiMultiArtha</v>
      </c>
      <c r="M125" t="str">
        <f t="shared" si="20"/>
        <v>BHAT, Bhakti Multi Artha, Bhakti Multi Artha Tbk, PT Bhakti Multi Artha</v>
      </c>
      <c r="N125" t="str">
        <f t="shared" si="21"/>
        <v>BHAT, Bhakti Multi Artha, Bhakti Multi Artha Tbk, PT Bhakti Multi Artha</v>
      </c>
    </row>
    <row r="126" spans="1:14" x14ac:dyDescent="0.2">
      <c r="A126" t="s">
        <v>206</v>
      </c>
      <c r="B126" t="s">
        <v>207</v>
      </c>
      <c r="C126" t="s">
        <v>7925</v>
      </c>
      <c r="D126" t="str">
        <f t="shared" si="11"/>
        <v>BHIT, MNC ASIA HOLDING, MNC Asia Holding, MNC Asia Holding Tbk, MNCAsiaHolding, PT MNC Asia Holding, mnc asia holding</v>
      </c>
      <c r="E126" t="str">
        <f t="shared" si="12"/>
        <v>BHIT, MNC ASIA HOLDING, MNC Asia Holding, MNC Asia Holding Tbk, MNCAsiaHolding, PT MNC Asia Holding, mnc asia holding</v>
      </c>
      <c r="F126" t="str">
        <f t="shared" si="13"/>
        <v>mnc asia holding</v>
      </c>
      <c r="G126" t="str">
        <f t="shared" si="16"/>
        <v>BHIT, MNC ASIA HOLDING, MNC Asia Holding, MNC Asia Holding Tbk, MNCAsiaHolding, PT MNC Asia Holding</v>
      </c>
      <c r="H126" t="str">
        <f t="shared" si="17"/>
        <v>BHIT, MNC ASIA HOLDING, MNC Asia Holding, MNC Asia Holding Tbk, MNCAsiaHolding, PT MNC Asia Holding</v>
      </c>
      <c r="I126" t="str">
        <f t="shared" si="14"/>
        <v>MNC ASIA HOLDING</v>
      </c>
      <c r="J126" t="str">
        <f t="shared" si="18"/>
        <v>BHIT, MNC Asia Holding, MNC Asia Holding Tbk, MNCAsiaHolding, PT MNC Asia Holding</v>
      </c>
      <c r="K126" t="str">
        <f t="shared" si="19"/>
        <v>BHIT, MNC Asia Holding, MNC Asia Holding Tbk, MNCAsiaHolding, PT MNC Asia Holding</v>
      </c>
      <c r="L126" t="str">
        <f t="shared" si="15"/>
        <v>MNCAsiaHolding</v>
      </c>
      <c r="M126" t="str">
        <f t="shared" si="20"/>
        <v>BHIT, MNC Asia Holding, MNC Asia Holding Tbk, PT MNC Asia Holding</v>
      </c>
      <c r="N126" t="str">
        <f t="shared" si="21"/>
        <v>BHIT, MNC Asia Holding, MNC Asia Holding Tbk, PT MNC Asia Holding</v>
      </c>
    </row>
    <row r="127" spans="1:14" x14ac:dyDescent="0.2">
      <c r="A127" t="s">
        <v>209</v>
      </c>
      <c r="B127" t="s">
        <v>210</v>
      </c>
      <c r="C127" t="s">
        <v>7926</v>
      </c>
      <c r="D127" t="str">
        <f t="shared" si="11"/>
        <v>BIKA, BINAKARYA JAYA ABADI, Binakarya Jaya Abadi, Binakarya Jaya Abadi Tbk, BinakaryaJayaAbadi, PT Binakarya Jaya Abadi, binakarya jaya abadi</v>
      </c>
      <c r="E127" t="str">
        <f t="shared" si="12"/>
        <v>BIKA, BINAKARYA JAYA ABADI, Binakarya Jaya Abadi, Binakarya Jaya Abadi Tbk, BinakaryaJayaAbadi, PT Binakarya Jaya Abadi, binakarya jaya abadi</v>
      </c>
      <c r="F127" t="str">
        <f t="shared" si="13"/>
        <v>binakarya jaya abadi</v>
      </c>
      <c r="G127" t="str">
        <f t="shared" si="16"/>
        <v>BIKA, BINAKARYA JAYA ABADI, Binakarya Jaya Abadi, Binakarya Jaya Abadi Tbk, BinakaryaJayaAbadi, PT Binakarya Jaya Abadi</v>
      </c>
      <c r="H127" t="str">
        <f t="shared" si="17"/>
        <v>BIKA, BINAKARYA JAYA ABADI, Binakarya Jaya Abadi, Binakarya Jaya Abadi Tbk, BinakaryaJayaAbadi, PT Binakarya Jaya Abadi</v>
      </c>
      <c r="I127" t="str">
        <f t="shared" si="14"/>
        <v>BINAKARYA JAYA ABADI</v>
      </c>
      <c r="J127" t="str">
        <f t="shared" si="18"/>
        <v>BIKA, Binakarya Jaya Abadi, Binakarya Jaya Abadi Tbk, BinakaryaJayaAbadi, PT Binakarya Jaya Abadi</v>
      </c>
      <c r="K127" t="str">
        <f t="shared" si="19"/>
        <v>BIKA, Binakarya Jaya Abadi, Binakarya Jaya Abadi Tbk, BinakaryaJayaAbadi, PT Binakarya Jaya Abadi</v>
      </c>
      <c r="L127" t="str">
        <f t="shared" si="15"/>
        <v>BinakaryaJayaAbadi</v>
      </c>
      <c r="M127" t="str">
        <f t="shared" si="20"/>
        <v>BIKA, Binakarya Jaya Abadi, Binakarya Jaya Abadi Tbk, PT Binakarya Jaya Abadi</v>
      </c>
      <c r="N127" t="str">
        <f t="shared" si="21"/>
        <v>BIKA, Binakarya Jaya Abadi, Binakarya Jaya Abadi Tbk, PT Binakarya Jaya Abadi</v>
      </c>
    </row>
    <row r="128" spans="1:14" x14ac:dyDescent="0.2">
      <c r="A128" t="s">
        <v>2088</v>
      </c>
      <c r="B128" t="s">
        <v>2089</v>
      </c>
      <c r="C128" t="s">
        <v>7927</v>
      </c>
      <c r="D128" t="str">
        <f t="shared" si="11"/>
        <v>BIKE, PT Sepeda Bersama Indonesia, SBI, SEPEDA BERSAMA INDONESIA, Sepeda Bersama Indonesia, Sepeda Bersama Indonesia Tbk, SepedaBersamaIndonesia, sepeda bersama indonesia</v>
      </c>
      <c r="E128" t="str">
        <f t="shared" si="12"/>
        <v>BIKE, PT Sepeda Bersama Indonesia, SBI, SEPEDA BERSAMA INDONESIA, Sepeda Bersama Indonesia, Sepeda Bersama Indonesia Tbk, SepedaBersamaIndonesia, sepeda bersama indonesia</v>
      </c>
      <c r="F128" t="str">
        <f t="shared" si="13"/>
        <v>sepeda bersama indonesia</v>
      </c>
      <c r="G128" t="str">
        <f t="shared" si="16"/>
        <v>BIKE, PT Sepeda Bersama Indonesia, SBI, SEPEDA BERSAMA INDONESIA, Sepeda Bersama Indonesia, Sepeda Bersama Indonesia Tbk, SepedaBersamaIndonesia</v>
      </c>
      <c r="H128" t="str">
        <f t="shared" si="17"/>
        <v>BIKE, PT Sepeda Bersama Indonesia, SBI, SEPEDA BERSAMA INDONESIA, Sepeda Bersama Indonesia, Sepeda Bersama Indonesia Tbk, SepedaBersamaIndonesia</v>
      </c>
      <c r="I128" t="str">
        <f t="shared" si="14"/>
        <v>SEPEDA BERSAMA INDONESIA</v>
      </c>
      <c r="J128" t="str">
        <f t="shared" si="18"/>
        <v>BIKE, PT Sepeda Bersama Indonesia, SBI, Sepeda Bersama Indonesia, Sepeda Bersama Indonesia Tbk, SepedaBersamaIndonesia</v>
      </c>
      <c r="K128" t="str">
        <f t="shared" si="19"/>
        <v>BIKE, PT Sepeda Bersama Indonesia, SBI, Sepeda Bersama Indonesia, Sepeda Bersama Indonesia Tbk, SepedaBersamaIndonesia</v>
      </c>
      <c r="L128" t="str">
        <f t="shared" si="15"/>
        <v>SepedaBersamaIndonesia</v>
      </c>
      <c r="M128" t="str">
        <f t="shared" si="20"/>
        <v>BIKE, PT Sepeda Bersama Indonesia, SBI, Sepeda Bersama Indonesia, Sepeda Bersama Indonesia Tbk</v>
      </c>
      <c r="N128" t="str">
        <f t="shared" si="21"/>
        <v>BIKE, PT Sepeda Bersama Indonesia, SBI, Sepeda Bersama Indonesia, Sepeda Bersama Indonesia Tbk</v>
      </c>
    </row>
    <row r="129" spans="1:14" x14ac:dyDescent="0.2">
      <c r="A129" t="s">
        <v>212</v>
      </c>
      <c r="B129" t="s">
        <v>3523</v>
      </c>
      <c r="C129" t="s">
        <v>7928</v>
      </c>
      <c r="D129" t="str">
        <f t="shared" si="11"/>
        <v>BIMA, PRIMARINDO ASIA INFRASTRUCTURE, PT Primarindo Asia Infrastructure, Primarindo Asia Infrastructure, Primarindo Asia Infrastructure Tbk, PrimarindoAsiaInfrastructure, primarindo asia infrastructure</v>
      </c>
      <c r="E129" t="str">
        <f t="shared" si="12"/>
        <v>BIMA, PRIMARINDO ASIA INFRASTRUCTURE, PT Primarindo Asia Infrastructure, Primarindo Asia Infrastructure, Primarindo Asia Infrastructure Tbk, PrimarindoAsiaInfrastructure, primarindo asia infrastructure</v>
      </c>
      <c r="F129" t="str">
        <f t="shared" si="13"/>
        <v>primarindo asia infrastructure</v>
      </c>
      <c r="G129" t="str">
        <f t="shared" si="16"/>
        <v>BIMA, PRIMARINDO ASIA INFRASTRUCTURE, PT Primarindo Asia Infrastructure, Primarindo Asia Infrastructure, Primarindo Asia Infrastructure Tbk, PrimarindoAsiaInfrastructure</v>
      </c>
      <c r="H129" t="str">
        <f t="shared" si="17"/>
        <v>BIMA, PRIMARINDO ASIA INFRASTRUCTURE, PT Primarindo Asia Infrastructure, Primarindo Asia Infrastructure, Primarindo Asia Infrastructure Tbk, PrimarindoAsiaInfrastructure</v>
      </c>
      <c r="I129" t="str">
        <f t="shared" si="14"/>
        <v>PRIMARINDO ASIA INFRASTRUCTURE</v>
      </c>
      <c r="J129" t="str">
        <f t="shared" si="18"/>
        <v>BIMA, PT Primarindo Asia Infrastructure, Primarindo Asia Infrastructure, Primarindo Asia Infrastructure Tbk, PrimarindoAsiaInfrastructure</v>
      </c>
      <c r="K129" t="str">
        <f t="shared" si="19"/>
        <v>BIMA, PT Primarindo Asia Infrastructure, Primarindo Asia Infrastructure, Primarindo Asia Infrastructure Tbk, PrimarindoAsiaInfrastructure</v>
      </c>
      <c r="L129" t="str">
        <f t="shared" si="15"/>
        <v>PrimarindoAsiaInfrastructure</v>
      </c>
      <c r="M129" t="str">
        <f t="shared" si="20"/>
        <v>BIMA, PT Primarindo Asia Infrastructure, Primarindo Asia Infrastructure, Primarindo Asia Infrastructure Tbk</v>
      </c>
      <c r="N129" t="str">
        <f t="shared" si="21"/>
        <v>BIMA, PT Primarindo Asia Infrastructure, Primarindo Asia Infrastructure, Primarindo Asia Infrastructure Tbk</v>
      </c>
    </row>
    <row r="130" spans="1:14" x14ac:dyDescent="0.2">
      <c r="A130" t="s">
        <v>214</v>
      </c>
      <c r="B130" t="s">
        <v>215</v>
      </c>
      <c r="C130" t="s">
        <v>7929</v>
      </c>
      <c r="D130" t="str">
        <f t="shared" ref="D130:D193" si="22">SUBSTITUTE(C130, _xlfn.CONCAT(", ", B130), "")</f>
        <v>BINA, BANK INA PERDANA, Bank Ina Perdana, Bank Ina Perdana Tbk, Bank Perdana, BankInaPerdana, PT Bank Ina Perdana, Perdana, bank ina perdana</v>
      </c>
      <c r="E130" t="str">
        <f t="shared" ref="E130:E193" si="23">SUBSTITUTE(D130, _xlfn.CONCAT(B130, ", "), "")</f>
        <v>BINA, BANK INA PERDANA, Bank Ina Perdana, Bank Ina Perdana Tbk, Bank Perdana, BankInaPerdana, PT Bank Ina Perdana, Perdana, bank ina perdana</v>
      </c>
      <c r="F130" t="str">
        <f t="shared" ref="F130:F193" si="24">LOWER(MID(B130, 1, FIND(" Tbk.", B130)-1))</f>
        <v>bank ina perdana</v>
      </c>
      <c r="G130" t="str">
        <f t="shared" si="16"/>
        <v>BINA, BANK INA PERDANA, Bank Ina Perdana, Bank Ina Perdana Tbk, Bank Perdana, BankInaPerdana, PT Bank Ina Perdana, Perdana</v>
      </c>
      <c r="H130" t="str">
        <f t="shared" si="17"/>
        <v>BINA, BANK INA PERDANA, Bank Ina Perdana, Bank Ina Perdana Tbk, Bank Perdana, BankInaPerdana, PT Bank Ina Perdana, Perdana</v>
      </c>
      <c r="I130" t="str">
        <f t="shared" ref="I130:I193" si="25">UPPER(MID(B130, 1, FIND(" Tbk.", B130)-1))</f>
        <v>BANK INA PERDANA</v>
      </c>
      <c r="J130" t="str">
        <f t="shared" si="18"/>
        <v>BINA, Bank Ina Perdana, Bank Ina Perdana Tbk, Bank Perdana, BankInaPerdana, PT Bank Ina Perdana, Perdana</v>
      </c>
      <c r="K130" t="str">
        <f t="shared" si="19"/>
        <v>BINA, Bank Ina Perdana, Bank Ina Perdana Tbk, Bank Perdana, BankInaPerdana, PT Bank Ina Perdana, Perdana</v>
      </c>
      <c r="L130" t="str">
        <f t="shared" ref="L130:L193" si="26">SUBSTITUTE(MID(B130, 1, FIND(" Tbk.", B130)-1), " ", "")</f>
        <v>BankInaPerdana</v>
      </c>
      <c r="M130" t="str">
        <f t="shared" si="20"/>
        <v>BINA, Bank Ina Perdana, Bank Ina Perdana Tbk, Bank Perdana, PT Bank Ina Perdana, Perdana</v>
      </c>
      <c r="N130" t="str">
        <f t="shared" si="21"/>
        <v>BINA, Bank Ina Perdana, Bank Ina Perdana Tbk, Bank Perdana, PT Bank Ina Perdana, Perdana</v>
      </c>
    </row>
    <row r="131" spans="1:14" x14ac:dyDescent="0.2">
      <c r="A131" t="s">
        <v>2025</v>
      </c>
      <c r="B131" t="s">
        <v>2026</v>
      </c>
      <c r="C131" t="s">
        <v>7930</v>
      </c>
      <c r="D131" t="str">
        <f t="shared" si="22"/>
        <v>BINO, PERMA PLASINDO, PP, PT Perma Plasindo, Perma Plasindo, Perma Plasindo Tbk, PermaPlasindo, perma plasindo</v>
      </c>
      <c r="E131" t="str">
        <f t="shared" si="23"/>
        <v>BINO, PERMA PLASINDO, PP, PT Perma Plasindo, Perma Plasindo, Perma Plasindo Tbk, PermaPlasindo, perma plasindo</v>
      </c>
      <c r="F131" t="str">
        <f t="shared" si="24"/>
        <v>perma plasindo</v>
      </c>
      <c r="G131" t="str">
        <f t="shared" ref="G131:G194" si="27">SUBSTITUTE(E131, _xlfn.CONCAT(", ", F131), "")</f>
        <v>BINO, PERMA PLASINDO, PP, PT Perma Plasindo, Perma Plasindo, Perma Plasindo Tbk, PermaPlasindo</v>
      </c>
      <c r="H131" t="str">
        <f t="shared" ref="H131:H194" si="28">SUBSTITUTE(G131, _xlfn.CONCAT(F131, ", "), "")</f>
        <v>BINO, PERMA PLASINDO, PP, PT Perma Plasindo, Perma Plasindo, Perma Plasindo Tbk, PermaPlasindo</v>
      </c>
      <c r="I131" t="str">
        <f t="shared" si="25"/>
        <v>PERMA PLASINDO</v>
      </c>
      <c r="J131" t="str">
        <f t="shared" ref="J131:J194" si="29">SUBSTITUTE(H131, _xlfn.CONCAT(", ", I131), "")</f>
        <v>BINO, PP, PT Perma Plasindo, Perma Plasindo, Perma Plasindo Tbk, PermaPlasindo</v>
      </c>
      <c r="K131" t="str">
        <f t="shared" ref="K131:K194" si="30">SUBSTITUTE(J131, _xlfn.CONCAT(I131, ", "), "")</f>
        <v>BINO, PP, PT Perma Plasindo, Perma Plasindo, Perma Plasindo Tbk, PermaPlasindo</v>
      </c>
      <c r="L131" t="str">
        <f t="shared" si="26"/>
        <v>PermaPlasindo</v>
      </c>
      <c r="M131" t="str">
        <f t="shared" ref="M131:M194" si="31">SUBSTITUTE(K131, _xlfn.CONCAT(", ", L131), "")</f>
        <v>BINO, PP, PT Perma Plasindo, Perma Plasindo, Perma Plasindo Tbk</v>
      </c>
      <c r="N131" t="str">
        <f t="shared" ref="N131:N194" si="32">SUBSTITUTE(M131, _xlfn.CONCAT(L131, ", "), "")</f>
        <v>BINO, PP, PT Perma Plasindo, Perma Plasindo, Perma Plasindo Tbk</v>
      </c>
    </row>
    <row r="132" spans="1:14" x14ac:dyDescent="0.2">
      <c r="A132" t="s">
        <v>217</v>
      </c>
      <c r="B132" t="s">
        <v>3524</v>
      </c>
      <c r="C132" t="s">
        <v>7931</v>
      </c>
      <c r="D132" t="str">
        <f t="shared" si="22"/>
        <v>BIPI, ASTRINDO NUSANTARA INFRASTRUKTUR, Astrindo Nusantara Infrastruktur, Astrindo Nusantara Infrastruktur Tbk, AstrindoNusantaraInfrastruktur, PT Astrindo Nusantara Infrastruktur, astrindo nusantara infrastruktur</v>
      </c>
      <c r="E132" t="str">
        <f t="shared" si="23"/>
        <v>BIPI, ASTRINDO NUSANTARA INFRASTRUKTUR, Astrindo Nusantara Infrastruktur, Astrindo Nusantara Infrastruktur Tbk, AstrindoNusantaraInfrastruktur, PT Astrindo Nusantara Infrastruktur, astrindo nusantara infrastruktur</v>
      </c>
      <c r="F132" t="str">
        <f t="shared" si="24"/>
        <v>astrindo nusantara infrastruktur</v>
      </c>
      <c r="G132" t="str">
        <f t="shared" si="27"/>
        <v>BIPI, ASTRINDO NUSANTARA INFRASTRUKTUR, Astrindo Nusantara Infrastruktur, Astrindo Nusantara Infrastruktur Tbk, AstrindoNusantaraInfrastruktur, PT Astrindo Nusantara Infrastruktur</v>
      </c>
      <c r="H132" t="str">
        <f t="shared" si="28"/>
        <v>BIPI, ASTRINDO NUSANTARA INFRASTRUKTUR, Astrindo Nusantara Infrastruktur, Astrindo Nusantara Infrastruktur Tbk, AstrindoNusantaraInfrastruktur, PT Astrindo Nusantara Infrastruktur</v>
      </c>
      <c r="I132" t="str">
        <f t="shared" si="25"/>
        <v>ASTRINDO NUSANTARA INFRASTRUKTUR</v>
      </c>
      <c r="J132" t="str">
        <f t="shared" si="29"/>
        <v>BIPI, Astrindo Nusantara Infrastruktur, Astrindo Nusantara Infrastruktur Tbk, AstrindoNusantaraInfrastruktur, PT Astrindo Nusantara Infrastruktur</v>
      </c>
      <c r="K132" t="str">
        <f t="shared" si="30"/>
        <v>BIPI, Astrindo Nusantara Infrastruktur, Astrindo Nusantara Infrastruktur Tbk, AstrindoNusantaraInfrastruktur, PT Astrindo Nusantara Infrastruktur</v>
      </c>
      <c r="L132" t="str">
        <f t="shared" si="26"/>
        <v>AstrindoNusantaraInfrastruktur</v>
      </c>
      <c r="M132" t="str">
        <f t="shared" si="31"/>
        <v>BIPI, Astrindo Nusantara Infrastruktur, Astrindo Nusantara Infrastruktur Tbk, PT Astrindo Nusantara Infrastruktur</v>
      </c>
      <c r="N132" t="str">
        <f t="shared" si="32"/>
        <v>BIPI, Astrindo Nusantara Infrastruktur, Astrindo Nusantara Infrastruktur Tbk, PT Astrindo Nusantara Infrastruktur</v>
      </c>
    </row>
    <row r="133" spans="1:14" x14ac:dyDescent="0.2">
      <c r="A133" t="s">
        <v>219</v>
      </c>
      <c r="B133" t="s">
        <v>220</v>
      </c>
      <c r="C133" t="s">
        <v>7932</v>
      </c>
      <c r="D133" t="str">
        <f t="shared" si="22"/>
        <v>BIPP, BHUWANATALA INDAH PERMAI, Bhuwanatala Indah Permai, Bhuwanatala Indah Permai Tbk, BhuwanatalaIndahPermai, PT Bhuwanatala Indah Permai, bhuwanatala indah permai</v>
      </c>
      <c r="E133" t="str">
        <f t="shared" si="23"/>
        <v>BIPP, BHUWANATALA INDAH PERMAI, Bhuwanatala Indah Permai, Bhuwanatala Indah Permai Tbk, BhuwanatalaIndahPermai, PT Bhuwanatala Indah Permai, bhuwanatala indah permai</v>
      </c>
      <c r="F133" t="str">
        <f t="shared" si="24"/>
        <v>bhuwanatala indah permai</v>
      </c>
      <c r="G133" t="str">
        <f t="shared" si="27"/>
        <v>BIPP, BHUWANATALA INDAH PERMAI, Bhuwanatala Indah Permai, Bhuwanatala Indah Permai Tbk, BhuwanatalaIndahPermai, PT Bhuwanatala Indah Permai</v>
      </c>
      <c r="H133" t="str">
        <f t="shared" si="28"/>
        <v>BIPP, BHUWANATALA INDAH PERMAI, Bhuwanatala Indah Permai, Bhuwanatala Indah Permai Tbk, BhuwanatalaIndahPermai, PT Bhuwanatala Indah Permai</v>
      </c>
      <c r="I133" t="str">
        <f t="shared" si="25"/>
        <v>BHUWANATALA INDAH PERMAI</v>
      </c>
      <c r="J133" t="str">
        <f t="shared" si="29"/>
        <v>BIPP, Bhuwanatala Indah Permai, Bhuwanatala Indah Permai Tbk, BhuwanatalaIndahPermai, PT Bhuwanatala Indah Permai</v>
      </c>
      <c r="K133" t="str">
        <f t="shared" si="30"/>
        <v>BIPP, Bhuwanatala Indah Permai, Bhuwanatala Indah Permai Tbk, BhuwanatalaIndahPermai, PT Bhuwanatala Indah Permai</v>
      </c>
      <c r="L133" t="str">
        <f t="shared" si="26"/>
        <v>BhuwanatalaIndahPermai</v>
      </c>
      <c r="M133" t="str">
        <f t="shared" si="31"/>
        <v>BIPP, Bhuwanatala Indah Permai, Bhuwanatala Indah Permai Tbk, PT Bhuwanatala Indah Permai</v>
      </c>
      <c r="N133" t="str">
        <f t="shared" si="32"/>
        <v>BIPP, Bhuwanatala Indah Permai, Bhuwanatala Indah Permai Tbk, PT Bhuwanatala Indah Permai</v>
      </c>
    </row>
    <row r="134" spans="1:14" x14ac:dyDescent="0.2">
      <c r="A134" t="s">
        <v>222</v>
      </c>
      <c r="B134" t="s">
        <v>223</v>
      </c>
      <c r="C134" t="s">
        <v>7933</v>
      </c>
      <c r="D134" t="str">
        <f t="shared" si="22"/>
        <v>BIRD, BLUE BIRD, Blue Bird, Blue Bird Tbk, BlueBird, PT Blue Bird, blue bird</v>
      </c>
      <c r="E134" t="str">
        <f t="shared" si="23"/>
        <v>BIRD, BLUE BIRD, Blue Bird, Blue Bird Tbk, BlueBird, PT Blue Bird, blue bird</v>
      </c>
      <c r="F134" t="str">
        <f t="shared" si="24"/>
        <v>blue bird</v>
      </c>
      <c r="G134" t="str">
        <f t="shared" si="27"/>
        <v>BIRD, BLUE BIRD, Blue Bird, Blue Bird Tbk, BlueBird, PT Blue Bird</v>
      </c>
      <c r="H134" t="str">
        <f t="shared" si="28"/>
        <v>BIRD, BLUE BIRD, Blue Bird, Blue Bird Tbk, BlueBird, PT Blue Bird</v>
      </c>
      <c r="I134" t="str">
        <f t="shared" si="25"/>
        <v>BLUE BIRD</v>
      </c>
      <c r="J134" t="str">
        <f t="shared" si="29"/>
        <v>BIRD, Blue Bird, Blue Bird Tbk, BlueBird, PT Blue Bird</v>
      </c>
      <c r="K134" t="str">
        <f t="shared" si="30"/>
        <v>BIRD, Blue Bird, Blue Bird Tbk, BlueBird, PT Blue Bird</v>
      </c>
      <c r="L134" t="str">
        <f t="shared" si="26"/>
        <v>BlueBird</v>
      </c>
      <c r="M134" t="str">
        <f t="shared" si="31"/>
        <v>BIRD, Blue Bird, Blue Bird Tbk, PT Blue Bird</v>
      </c>
      <c r="N134" t="str">
        <f t="shared" si="32"/>
        <v>BIRD, Blue Bird, Blue Bird Tbk, PT Blue Bird</v>
      </c>
    </row>
    <row r="135" spans="1:14" x14ac:dyDescent="0.2">
      <c r="A135" t="s">
        <v>225</v>
      </c>
      <c r="B135" t="s">
        <v>226</v>
      </c>
      <c r="C135" t="s">
        <v>7934</v>
      </c>
      <c r="D135" t="str">
        <f t="shared" si="22"/>
        <v>BISI, BISI INTERNATIONAL, BISI International, BISI International Tbk, BISIInternational, PT BISI International, bisi international</v>
      </c>
      <c r="E135" t="str">
        <f t="shared" si="23"/>
        <v>BISI, BISI INTERNATIONAL, BISI International, BISI International Tbk, BISIInternational, PT BISI International, bisi international</v>
      </c>
      <c r="F135" t="str">
        <f t="shared" si="24"/>
        <v>bisi international</v>
      </c>
      <c r="G135" t="str">
        <f t="shared" si="27"/>
        <v>BISI, BISI INTERNATIONAL, BISI International, BISI International Tbk, BISIInternational, PT BISI International</v>
      </c>
      <c r="H135" t="str">
        <f t="shared" si="28"/>
        <v>BISI, BISI INTERNATIONAL, BISI International, BISI International Tbk, BISIInternational, PT BISI International</v>
      </c>
      <c r="I135" t="str">
        <f t="shared" si="25"/>
        <v>BISI INTERNATIONAL</v>
      </c>
      <c r="J135" t="str">
        <f t="shared" si="29"/>
        <v>BISI, BISI International, BISI International Tbk, BISIInternational, PT BISI International</v>
      </c>
      <c r="K135" t="str">
        <f t="shared" si="30"/>
        <v>BISI, BISI International, BISI International Tbk, BISIInternational, PT BISI International</v>
      </c>
      <c r="L135" t="str">
        <f t="shared" si="26"/>
        <v>BISIInternational</v>
      </c>
      <c r="M135" t="str">
        <f t="shared" si="31"/>
        <v>BISI, BISI International, BISI International Tbk, PT BISI International</v>
      </c>
      <c r="N135" t="str">
        <f t="shared" si="32"/>
        <v>BISI, BISI International, BISI International Tbk, PT BISI International</v>
      </c>
    </row>
    <row r="136" spans="1:14" x14ac:dyDescent="0.2">
      <c r="A136" t="s">
        <v>228</v>
      </c>
      <c r="B136" t="s">
        <v>3525</v>
      </c>
      <c r="C136" t="s">
        <v>7935</v>
      </c>
      <c r="D136" t="str">
        <f t="shared" si="22"/>
        <v>BJBR, BJB, BANK PEMBANGUNAN DAERAH JAWA BARAT DAN BANTEN, Bank BJB, Bank Jabar, Bank Pembangunan Daerah Jawa Barat dan Banten, Bank Pembangunan Daerah Jawa Barat dan Banten Tbk, BankPembangunanDaerahJawaBaratdanBanten, PT Bank Pembangunan Daerah Jawa Barat dan Banten, bank pembangunan daerah jawa barat dan banten</v>
      </c>
      <c r="E136" t="str">
        <f t="shared" si="23"/>
        <v>BJBR, BJB, BANK PEMBANGUNAN DAERAH JAWA BARAT DAN BANTEN, Bank BJB, Bank Jabar, Bank Pembangunan Daerah Jawa Barat dan Banten, Bank Pembangunan Daerah Jawa Barat dan Banten Tbk, BankPembangunanDaerahJawaBaratdanBanten, PT Bank Pembangunan Daerah Jawa Barat dan Banten, bank pembangunan daerah jawa barat dan banten</v>
      </c>
      <c r="F136" t="str">
        <f t="shared" si="24"/>
        <v>bank pembangunan daerah jawa barat dan banten</v>
      </c>
      <c r="G136" t="str">
        <f t="shared" si="27"/>
        <v>BJBR, BJB, BANK PEMBANGUNAN DAERAH JAWA BARAT DAN BANTEN, Bank BJB, Bank Jabar, Bank Pembangunan Daerah Jawa Barat dan Banten, Bank Pembangunan Daerah Jawa Barat dan Banten Tbk, BankPembangunanDaerahJawaBaratdanBanten, PT Bank Pembangunan Daerah Jawa Barat dan Banten</v>
      </c>
      <c r="H136" t="str">
        <f t="shared" si="28"/>
        <v>BJBR, BJB, BANK PEMBANGUNAN DAERAH JAWA BARAT DAN BANTEN, Bank BJB, Bank Jabar, Bank Pembangunan Daerah Jawa Barat dan Banten, Bank Pembangunan Daerah Jawa Barat dan Banten Tbk, BankPembangunanDaerahJawaBaratdanBanten, PT Bank Pembangunan Daerah Jawa Barat dan Banten</v>
      </c>
      <c r="I136" t="str">
        <f t="shared" si="25"/>
        <v>BANK PEMBANGUNAN DAERAH JAWA BARAT DAN BANTEN</v>
      </c>
      <c r="J136" t="str">
        <f t="shared" si="29"/>
        <v>BJBR, BJB, Bank BJB, Bank Jabar, Bank Pembangunan Daerah Jawa Barat dan Banten, Bank Pembangunan Daerah Jawa Barat dan Banten Tbk, BankPembangunanDaerahJawaBaratdanBanten, PT Bank Pembangunan Daerah Jawa Barat dan Banten</v>
      </c>
      <c r="K136" t="str">
        <f t="shared" si="30"/>
        <v>BJBR, BJB, Bank BJB, Bank Jabar, Bank Pembangunan Daerah Jawa Barat dan Banten, Bank Pembangunan Daerah Jawa Barat dan Banten Tbk, BankPembangunanDaerahJawaBaratdanBanten, PT Bank Pembangunan Daerah Jawa Barat dan Banten</v>
      </c>
      <c r="L136" t="str">
        <f t="shared" si="26"/>
        <v>BankPembangunanDaerahJawaBaratdanBanten</v>
      </c>
      <c r="M136" t="str">
        <f t="shared" si="31"/>
        <v>BJBR, BJB, Bank BJB, Bank Jabar, Bank Pembangunan Daerah Jawa Barat dan Banten, Bank Pembangunan Daerah Jawa Barat dan Banten Tbk, PT Bank Pembangunan Daerah Jawa Barat dan Banten</v>
      </c>
      <c r="N136" t="str">
        <f t="shared" si="32"/>
        <v>BJBR, BJB, Bank BJB, Bank Jabar, Bank Pembangunan Daerah Jawa Barat dan Banten, Bank Pembangunan Daerah Jawa Barat dan Banten Tbk, PT Bank Pembangunan Daerah Jawa Barat dan Banten</v>
      </c>
    </row>
    <row r="137" spans="1:14" x14ac:dyDescent="0.2">
      <c r="A137" t="s">
        <v>230</v>
      </c>
      <c r="B137" t="s">
        <v>3526</v>
      </c>
      <c r="C137" t="s">
        <v>7936</v>
      </c>
      <c r="D137" t="str">
        <f t="shared" si="22"/>
        <v>BJTM, BANK PEMBANGUNAN DAERAH JAWA TIMUR, Bank Jatim, Bank Pembangunan Daerah Jawa Timur, Bank Pembangunan Daerah Jawa Timur Tbk, BankPembangunanDaerahJawaTimur, PT Bank Pembangunan Daerah Jawa Timur, bank pembangunan daerah jawa timur</v>
      </c>
      <c r="E137" t="str">
        <f t="shared" si="23"/>
        <v>BJTM, BANK PEMBANGUNAN DAERAH JAWA TIMUR, Bank Jatim, Bank Pembangunan Daerah Jawa Timur, Bank Pembangunan Daerah Jawa Timur Tbk, BankPembangunanDaerahJawaTimur, PT Bank Pembangunan Daerah Jawa Timur, bank pembangunan daerah jawa timur</v>
      </c>
      <c r="F137" t="str">
        <f t="shared" si="24"/>
        <v>bank pembangunan daerah jawa timur</v>
      </c>
      <c r="G137" t="str">
        <f t="shared" si="27"/>
        <v>BJTM, BANK PEMBANGUNAN DAERAH JAWA TIMUR, Bank Jatim, Bank Pembangunan Daerah Jawa Timur, Bank Pembangunan Daerah Jawa Timur Tbk, BankPembangunanDaerahJawaTimur, PT Bank Pembangunan Daerah Jawa Timur</v>
      </c>
      <c r="H137" t="str">
        <f t="shared" si="28"/>
        <v>BJTM, BANK PEMBANGUNAN DAERAH JAWA TIMUR, Bank Jatim, Bank Pembangunan Daerah Jawa Timur, Bank Pembangunan Daerah Jawa Timur Tbk, BankPembangunanDaerahJawaTimur, PT Bank Pembangunan Daerah Jawa Timur</v>
      </c>
      <c r="I137" t="str">
        <f t="shared" si="25"/>
        <v>BANK PEMBANGUNAN DAERAH JAWA TIMUR</v>
      </c>
      <c r="J137" t="str">
        <f t="shared" si="29"/>
        <v>BJTM, Bank Jatim, Bank Pembangunan Daerah Jawa Timur, Bank Pembangunan Daerah Jawa Timur Tbk, BankPembangunanDaerahJawaTimur, PT Bank Pembangunan Daerah Jawa Timur</v>
      </c>
      <c r="K137" t="str">
        <f t="shared" si="30"/>
        <v>BJTM, Bank Jatim, Bank Pembangunan Daerah Jawa Timur, Bank Pembangunan Daerah Jawa Timur Tbk, BankPembangunanDaerahJawaTimur, PT Bank Pembangunan Daerah Jawa Timur</v>
      </c>
      <c r="L137" t="str">
        <f t="shared" si="26"/>
        <v>BankPembangunanDaerahJawaTimur</v>
      </c>
      <c r="M137" t="str">
        <f t="shared" si="31"/>
        <v>BJTM, Bank Jatim, Bank Pembangunan Daerah Jawa Timur, Bank Pembangunan Daerah Jawa Timur Tbk, PT Bank Pembangunan Daerah Jawa Timur</v>
      </c>
      <c r="N137" t="str">
        <f t="shared" si="32"/>
        <v>BJTM, Bank Jatim, Bank Pembangunan Daerah Jawa Timur, Bank Pembangunan Daerah Jawa Timur Tbk, PT Bank Pembangunan Daerah Jawa Timur</v>
      </c>
    </row>
    <row r="138" spans="1:14" x14ac:dyDescent="0.2">
      <c r="A138" t="s">
        <v>232</v>
      </c>
      <c r="B138" t="s">
        <v>3527</v>
      </c>
      <c r="C138" t="s">
        <v>7937</v>
      </c>
      <c r="D138" t="str">
        <f t="shared" si="22"/>
        <v>BKDP, BUKIT DARMO PROPERTY, Bukit Darmo Property, Bukit Darmo Property Tbk, BukitDarmoProperty, PT Bukit Darmo Property, bukit darmo property</v>
      </c>
      <c r="E138" t="str">
        <f t="shared" si="23"/>
        <v>BKDP, BUKIT DARMO PROPERTY, Bukit Darmo Property, Bukit Darmo Property Tbk, BukitDarmoProperty, PT Bukit Darmo Property, bukit darmo property</v>
      </c>
      <c r="F138" t="str">
        <f t="shared" si="24"/>
        <v>bukit darmo property</v>
      </c>
      <c r="G138" t="str">
        <f t="shared" si="27"/>
        <v>BKDP, BUKIT DARMO PROPERTY, Bukit Darmo Property, Bukit Darmo Property Tbk, BukitDarmoProperty, PT Bukit Darmo Property</v>
      </c>
      <c r="H138" t="str">
        <f t="shared" si="28"/>
        <v>BKDP, BUKIT DARMO PROPERTY, Bukit Darmo Property, Bukit Darmo Property Tbk, BukitDarmoProperty, PT Bukit Darmo Property</v>
      </c>
      <c r="I138" t="str">
        <f t="shared" si="25"/>
        <v>BUKIT DARMO PROPERTY</v>
      </c>
      <c r="J138" t="str">
        <f t="shared" si="29"/>
        <v>BKDP, Bukit Darmo Property, Bukit Darmo Property Tbk, BukitDarmoProperty, PT Bukit Darmo Property</v>
      </c>
      <c r="K138" t="str">
        <f t="shared" si="30"/>
        <v>BKDP, Bukit Darmo Property, Bukit Darmo Property Tbk, BukitDarmoProperty, PT Bukit Darmo Property</v>
      </c>
      <c r="L138" t="str">
        <f t="shared" si="26"/>
        <v>BukitDarmoProperty</v>
      </c>
      <c r="M138" t="str">
        <f t="shared" si="31"/>
        <v>BKDP, Bukit Darmo Property, Bukit Darmo Property Tbk, PT Bukit Darmo Property</v>
      </c>
      <c r="N138" t="str">
        <f t="shared" si="32"/>
        <v>BKDP, Bukit Darmo Property, Bukit Darmo Property Tbk, PT Bukit Darmo Property</v>
      </c>
    </row>
    <row r="139" spans="1:14" x14ac:dyDescent="0.2">
      <c r="A139" t="s">
        <v>235</v>
      </c>
      <c r="B139" t="s">
        <v>236</v>
      </c>
      <c r="C139" t="s">
        <v>7938</v>
      </c>
      <c r="D139" t="str">
        <f t="shared" si="22"/>
        <v>BKSL, PT Sentul City, SENTUL CITY, Sentul City, Sentul City Tbk, SentulCity, sentul city</v>
      </c>
      <c r="E139" t="str">
        <f t="shared" si="23"/>
        <v>BKSL, PT Sentul City, SENTUL CITY, Sentul City, Sentul City Tbk, SentulCity, sentul city</v>
      </c>
      <c r="F139" t="str">
        <f t="shared" si="24"/>
        <v>sentul city</v>
      </c>
      <c r="G139" t="str">
        <f t="shared" si="27"/>
        <v>BKSL, PT Sentul City, SENTUL CITY, Sentul City, Sentul City Tbk, SentulCity</v>
      </c>
      <c r="H139" t="str">
        <f t="shared" si="28"/>
        <v>BKSL, PT Sentul City, SENTUL CITY, Sentul City, Sentul City Tbk, SentulCity</v>
      </c>
      <c r="I139" t="str">
        <f t="shared" si="25"/>
        <v>SENTUL CITY</v>
      </c>
      <c r="J139" t="str">
        <f t="shared" si="29"/>
        <v>BKSL, PT Sentul City, Sentul City, Sentul City Tbk, SentulCity</v>
      </c>
      <c r="K139" t="str">
        <f t="shared" si="30"/>
        <v>BKSL, PT Sentul City, Sentul City, Sentul City Tbk, SentulCity</v>
      </c>
      <c r="L139" t="str">
        <f t="shared" si="26"/>
        <v>SentulCity</v>
      </c>
      <c r="M139" t="str">
        <f t="shared" si="31"/>
        <v>BKSL, PT Sentul City, Sentul City, Sentul City Tbk</v>
      </c>
      <c r="N139" t="str">
        <f t="shared" si="32"/>
        <v>BKSL, PT Sentul City, Sentul City, Sentul City Tbk</v>
      </c>
    </row>
    <row r="140" spans="1:14" x14ac:dyDescent="0.2">
      <c r="A140" t="s">
        <v>238</v>
      </c>
      <c r="B140" t="s">
        <v>239</v>
      </c>
      <c r="C140" t="s">
        <v>7939</v>
      </c>
      <c r="D140" t="str">
        <f t="shared" si="22"/>
        <v>BKSW, BANK QNB INDONESIA, Bank QNB Indonesia, Bank QNB Indonesia Tbk, BankQNBIndonesia, PT Bank QNB Indonesia, bank qnb indonesia</v>
      </c>
      <c r="E140" t="str">
        <f t="shared" si="23"/>
        <v>BKSW, BANK QNB INDONESIA, Bank QNB Indonesia, Bank QNB Indonesia Tbk, BankQNBIndonesia, PT Bank QNB Indonesia, bank qnb indonesia</v>
      </c>
      <c r="F140" t="str">
        <f t="shared" si="24"/>
        <v>bank qnb indonesia</v>
      </c>
      <c r="G140" t="str">
        <f t="shared" si="27"/>
        <v>BKSW, BANK QNB INDONESIA, Bank QNB Indonesia, Bank QNB Indonesia Tbk, BankQNBIndonesia, PT Bank QNB Indonesia</v>
      </c>
      <c r="H140" t="str">
        <f t="shared" si="28"/>
        <v>BKSW, BANK QNB INDONESIA, Bank QNB Indonesia, Bank QNB Indonesia Tbk, BankQNBIndonesia, PT Bank QNB Indonesia</v>
      </c>
      <c r="I140" t="str">
        <f t="shared" si="25"/>
        <v>BANK QNB INDONESIA</v>
      </c>
      <c r="J140" t="str">
        <f t="shared" si="29"/>
        <v>BKSW, Bank QNB Indonesia, Bank QNB Indonesia Tbk, BankQNBIndonesia, PT Bank QNB Indonesia</v>
      </c>
      <c r="K140" t="str">
        <f t="shared" si="30"/>
        <v>BKSW, Bank QNB Indonesia, Bank QNB Indonesia Tbk, BankQNBIndonesia, PT Bank QNB Indonesia</v>
      </c>
      <c r="L140" t="str">
        <f t="shared" si="26"/>
        <v>BankQNBIndonesia</v>
      </c>
      <c r="M140" t="str">
        <f t="shared" si="31"/>
        <v>BKSW, Bank QNB Indonesia, Bank QNB Indonesia Tbk, PT Bank QNB Indonesia</v>
      </c>
      <c r="N140" t="str">
        <f t="shared" si="32"/>
        <v>BKSW, Bank QNB Indonesia, Bank QNB Indonesia Tbk, PT Bank QNB Indonesia</v>
      </c>
    </row>
    <row r="141" spans="1:14" x14ac:dyDescent="0.2">
      <c r="A141" t="s">
        <v>2477</v>
      </c>
      <c r="B141" t="s">
        <v>2478</v>
      </c>
      <c r="C141" t="s">
        <v>7940</v>
      </c>
      <c r="D141" t="str">
        <f t="shared" si="22"/>
        <v>BLES, PT Superior Prima Sukses, SUPERIOR PRIMA SUKSES, Superior Prima Sukses, Superior Prima Sukses Tbk, SuperiorPrimaSukses, superior prima sukses</v>
      </c>
      <c r="E141" t="str">
        <f t="shared" si="23"/>
        <v>BLES, PT Superior Prima Sukses, SUPERIOR PRIMA SUKSES, Superior Prima Sukses, Superior Prima Sukses Tbk, SuperiorPrimaSukses, superior prima sukses</v>
      </c>
      <c r="F141" t="str">
        <f t="shared" si="24"/>
        <v>superior prima sukses</v>
      </c>
      <c r="G141" t="str">
        <f t="shared" si="27"/>
        <v>BLES, PT Superior Prima Sukses, SUPERIOR PRIMA SUKSES, Superior Prima Sukses, Superior Prima Sukses Tbk, SuperiorPrimaSukses</v>
      </c>
      <c r="H141" t="str">
        <f t="shared" si="28"/>
        <v>BLES, PT Superior Prima Sukses, SUPERIOR PRIMA SUKSES, Superior Prima Sukses, Superior Prima Sukses Tbk, SuperiorPrimaSukses</v>
      </c>
      <c r="I141" t="str">
        <f t="shared" si="25"/>
        <v>SUPERIOR PRIMA SUKSES</v>
      </c>
      <c r="J141" t="str">
        <f t="shared" si="29"/>
        <v>BLES, PT Superior Prima Sukses, Superior Prima Sukses, Superior Prima Sukses Tbk, SuperiorPrimaSukses</v>
      </c>
      <c r="K141" t="str">
        <f t="shared" si="30"/>
        <v>BLES, PT Superior Prima Sukses, Superior Prima Sukses, Superior Prima Sukses Tbk, SuperiorPrimaSukses</v>
      </c>
      <c r="L141" t="str">
        <f t="shared" si="26"/>
        <v>SuperiorPrimaSukses</v>
      </c>
      <c r="M141" t="str">
        <f t="shared" si="31"/>
        <v>BLES, PT Superior Prima Sukses, Superior Prima Sukses, Superior Prima Sukses Tbk</v>
      </c>
      <c r="N141" t="str">
        <f t="shared" si="32"/>
        <v>BLES, PT Superior Prima Sukses, Superior Prima Sukses, Superior Prima Sukses Tbk</v>
      </c>
    </row>
    <row r="142" spans="1:14" x14ac:dyDescent="0.2">
      <c r="A142" t="s">
        <v>2547</v>
      </c>
      <c r="B142" t="s">
        <v>2548</v>
      </c>
      <c r="C142" t="s">
        <v>7941</v>
      </c>
      <c r="D142" t="str">
        <f t="shared" si="22"/>
        <v>BLOG, PT Trimitra Trans Persada, TRIMITRA TRANS PERSADA, Trimitra Trans Persada, Trimitra Trans Persada Tbk, TrimitraTransPersada, trimitra trans persada</v>
      </c>
      <c r="E142" t="str">
        <f t="shared" si="23"/>
        <v>BLOG, PT Trimitra Trans Persada, TRIMITRA TRANS PERSADA, Trimitra Trans Persada, Trimitra Trans Persada Tbk, TrimitraTransPersada, trimitra trans persada</v>
      </c>
      <c r="F142" t="str">
        <f t="shared" si="24"/>
        <v>trimitra trans persada</v>
      </c>
      <c r="G142" t="str">
        <f t="shared" si="27"/>
        <v>BLOG, PT Trimitra Trans Persada, TRIMITRA TRANS PERSADA, Trimitra Trans Persada, Trimitra Trans Persada Tbk, TrimitraTransPersada</v>
      </c>
      <c r="H142" t="str">
        <f t="shared" si="28"/>
        <v>BLOG, PT Trimitra Trans Persada, TRIMITRA TRANS PERSADA, Trimitra Trans Persada, Trimitra Trans Persada Tbk, TrimitraTransPersada</v>
      </c>
      <c r="I142" t="str">
        <f t="shared" si="25"/>
        <v>TRIMITRA TRANS PERSADA</v>
      </c>
      <c r="J142" t="str">
        <f t="shared" si="29"/>
        <v>BLOG, PT Trimitra Trans Persada, Trimitra Trans Persada, Trimitra Trans Persada Tbk, TrimitraTransPersada</v>
      </c>
      <c r="K142" t="str">
        <f t="shared" si="30"/>
        <v>BLOG, PT Trimitra Trans Persada, Trimitra Trans Persada, Trimitra Trans Persada Tbk, TrimitraTransPersada</v>
      </c>
      <c r="L142" t="str">
        <f t="shared" si="26"/>
        <v>TrimitraTransPersada</v>
      </c>
      <c r="M142" t="str">
        <f t="shared" si="31"/>
        <v>BLOG, PT Trimitra Trans Persada, Trimitra Trans Persada, Trimitra Trans Persada Tbk</v>
      </c>
      <c r="N142" t="str">
        <f t="shared" si="32"/>
        <v>BLOG, PT Trimitra Trans Persada, Trimitra Trans Persada, Trimitra Trans Persada Tbk</v>
      </c>
    </row>
    <row r="143" spans="1:14" x14ac:dyDescent="0.2">
      <c r="A143" t="s">
        <v>241</v>
      </c>
      <c r="B143" t="s">
        <v>3528</v>
      </c>
      <c r="C143" t="s">
        <v>7942</v>
      </c>
      <c r="D143" t="str">
        <f t="shared" si="22"/>
        <v>BLTA, BERLIAN LAJU TANKER, Berlian Laju Tanker, Berlian Laju Tanker Tbk, BerlianLajuTanker, PT Berlian Laju Tanker, berlian laju tanker</v>
      </c>
      <c r="E143" t="str">
        <f t="shared" si="23"/>
        <v>BLTA, BERLIAN LAJU TANKER, Berlian Laju Tanker, Berlian Laju Tanker Tbk, BerlianLajuTanker, PT Berlian Laju Tanker, berlian laju tanker</v>
      </c>
      <c r="F143" t="str">
        <f t="shared" si="24"/>
        <v>berlian laju tanker</v>
      </c>
      <c r="G143" t="str">
        <f t="shared" si="27"/>
        <v>BLTA, BERLIAN LAJU TANKER, Berlian Laju Tanker, Berlian Laju Tanker Tbk, BerlianLajuTanker, PT Berlian Laju Tanker</v>
      </c>
      <c r="H143" t="str">
        <f t="shared" si="28"/>
        <v>BLTA, BERLIAN LAJU TANKER, Berlian Laju Tanker, Berlian Laju Tanker Tbk, BerlianLajuTanker, PT Berlian Laju Tanker</v>
      </c>
      <c r="I143" t="str">
        <f t="shared" si="25"/>
        <v>BERLIAN LAJU TANKER</v>
      </c>
      <c r="J143" t="str">
        <f t="shared" si="29"/>
        <v>BLTA, Berlian Laju Tanker, Berlian Laju Tanker Tbk, BerlianLajuTanker, PT Berlian Laju Tanker</v>
      </c>
      <c r="K143" t="str">
        <f t="shared" si="30"/>
        <v>BLTA, Berlian Laju Tanker, Berlian Laju Tanker Tbk, BerlianLajuTanker, PT Berlian Laju Tanker</v>
      </c>
      <c r="L143" t="str">
        <f t="shared" si="26"/>
        <v>BerlianLajuTanker</v>
      </c>
      <c r="M143" t="str">
        <f t="shared" si="31"/>
        <v>BLTA, Berlian Laju Tanker, Berlian Laju Tanker Tbk, PT Berlian Laju Tanker</v>
      </c>
      <c r="N143" t="str">
        <f t="shared" si="32"/>
        <v>BLTA, Berlian Laju Tanker, Berlian Laju Tanker Tbk, PT Berlian Laju Tanker</v>
      </c>
    </row>
    <row r="144" spans="1:14" x14ac:dyDescent="0.2">
      <c r="A144" t="s">
        <v>244</v>
      </c>
      <c r="B144" t="s">
        <v>245</v>
      </c>
      <c r="C144" t="s">
        <v>7943</v>
      </c>
      <c r="D144" t="str">
        <f t="shared" si="22"/>
        <v>BLTZ, GRAHA LAYAR PRIMA, Graha Layar Prima, Graha Layar Prima Tbk, GrahaLayarPrima, PT Graha Layar Prima, graha layar prima</v>
      </c>
      <c r="E144" t="str">
        <f t="shared" si="23"/>
        <v>BLTZ, GRAHA LAYAR PRIMA, Graha Layar Prima, Graha Layar Prima Tbk, GrahaLayarPrima, PT Graha Layar Prima, graha layar prima</v>
      </c>
      <c r="F144" t="str">
        <f t="shared" si="24"/>
        <v>graha layar prima</v>
      </c>
      <c r="G144" t="str">
        <f t="shared" si="27"/>
        <v>BLTZ, GRAHA LAYAR PRIMA, Graha Layar Prima, Graha Layar Prima Tbk, GrahaLayarPrima, PT Graha Layar Prima</v>
      </c>
      <c r="H144" t="str">
        <f t="shared" si="28"/>
        <v>BLTZ, GRAHA LAYAR PRIMA, Graha Layar Prima, Graha Layar Prima Tbk, GrahaLayarPrima, PT Graha Layar Prima</v>
      </c>
      <c r="I144" t="str">
        <f t="shared" si="25"/>
        <v>GRAHA LAYAR PRIMA</v>
      </c>
      <c r="J144" t="str">
        <f t="shared" si="29"/>
        <v>BLTZ, Graha Layar Prima, Graha Layar Prima Tbk, GrahaLayarPrima, PT Graha Layar Prima</v>
      </c>
      <c r="K144" t="str">
        <f t="shared" si="30"/>
        <v>BLTZ, Graha Layar Prima, Graha Layar Prima Tbk, GrahaLayarPrima, PT Graha Layar Prima</v>
      </c>
      <c r="L144" t="str">
        <f t="shared" si="26"/>
        <v>GrahaLayarPrima</v>
      </c>
      <c r="M144" t="str">
        <f t="shared" si="31"/>
        <v>BLTZ, Graha Layar Prima, Graha Layar Prima Tbk, PT Graha Layar Prima</v>
      </c>
      <c r="N144" t="str">
        <f t="shared" si="32"/>
        <v>BLTZ, Graha Layar Prima, Graha Layar Prima Tbk, PT Graha Layar Prima</v>
      </c>
    </row>
    <row r="145" spans="1:14" x14ac:dyDescent="0.2">
      <c r="A145" t="s">
        <v>1703</v>
      </c>
      <c r="B145" t="s">
        <v>1704</v>
      </c>
      <c r="C145" t="s">
        <v>7944</v>
      </c>
      <c r="D145" t="str">
        <f t="shared" si="22"/>
        <v>BLUE, BERKAH PRIMA PERKASA, Berkah Prima Perkasa, Berkah Prima Perkasa Tbk, BerkahPrimaPerkasa, PT Berkah Prima Perkasa, berkah prima perkasa</v>
      </c>
      <c r="E145" t="str">
        <f t="shared" si="23"/>
        <v>BLUE, BERKAH PRIMA PERKASA, Berkah Prima Perkasa, Berkah Prima Perkasa Tbk, BerkahPrimaPerkasa, PT Berkah Prima Perkasa, berkah prima perkasa</v>
      </c>
      <c r="F145" t="str">
        <f t="shared" si="24"/>
        <v>berkah prima perkasa</v>
      </c>
      <c r="G145" t="str">
        <f t="shared" si="27"/>
        <v>BLUE, BERKAH PRIMA PERKASA, Berkah Prima Perkasa, Berkah Prima Perkasa Tbk, BerkahPrimaPerkasa, PT Berkah Prima Perkasa</v>
      </c>
      <c r="H145" t="str">
        <f t="shared" si="28"/>
        <v>BLUE, BERKAH PRIMA PERKASA, Berkah Prima Perkasa, Berkah Prima Perkasa Tbk, BerkahPrimaPerkasa, PT Berkah Prima Perkasa</v>
      </c>
      <c r="I145" t="str">
        <f t="shared" si="25"/>
        <v>BERKAH PRIMA PERKASA</v>
      </c>
      <c r="J145" t="str">
        <f t="shared" si="29"/>
        <v>BLUE, Berkah Prima Perkasa, Berkah Prima Perkasa Tbk, BerkahPrimaPerkasa, PT Berkah Prima Perkasa</v>
      </c>
      <c r="K145" t="str">
        <f t="shared" si="30"/>
        <v>BLUE, Berkah Prima Perkasa, Berkah Prima Perkasa Tbk, BerkahPrimaPerkasa, PT Berkah Prima Perkasa</v>
      </c>
      <c r="L145" t="str">
        <f t="shared" si="26"/>
        <v>BerkahPrimaPerkasa</v>
      </c>
      <c r="M145" t="str">
        <f t="shared" si="31"/>
        <v>BLUE, Berkah Prima Perkasa, Berkah Prima Perkasa Tbk, PT Berkah Prima Perkasa</v>
      </c>
      <c r="N145" t="str">
        <f t="shared" si="32"/>
        <v>BLUE, Berkah Prima Perkasa, Berkah Prima Perkasa Tbk, PT Berkah Prima Perkasa</v>
      </c>
    </row>
    <row r="146" spans="1:14" x14ac:dyDescent="0.2">
      <c r="A146" t="s">
        <v>247</v>
      </c>
      <c r="B146" t="s">
        <v>248</v>
      </c>
      <c r="C146" t="s">
        <v>7945</v>
      </c>
      <c r="D146" t="str">
        <f t="shared" si="22"/>
        <v>BMAS, BANK MASPION INDONESIA, Bank Maspion Indonesia, Bank Maspion Indonesia Tbk, BankMaspionIndonesia, PT Bank Maspion Indonesia, bank maspion indonesia</v>
      </c>
      <c r="E146" t="str">
        <f t="shared" si="23"/>
        <v>BMAS, BANK MASPION INDONESIA, Bank Maspion Indonesia, Bank Maspion Indonesia Tbk, BankMaspionIndonesia, PT Bank Maspion Indonesia, bank maspion indonesia</v>
      </c>
      <c r="F146" t="str">
        <f t="shared" si="24"/>
        <v>bank maspion indonesia</v>
      </c>
      <c r="G146" t="str">
        <f t="shared" si="27"/>
        <v>BMAS, BANK MASPION INDONESIA, Bank Maspion Indonesia, Bank Maspion Indonesia Tbk, BankMaspionIndonesia, PT Bank Maspion Indonesia</v>
      </c>
      <c r="H146" t="str">
        <f t="shared" si="28"/>
        <v>BMAS, BANK MASPION INDONESIA, Bank Maspion Indonesia, Bank Maspion Indonesia Tbk, BankMaspionIndonesia, PT Bank Maspion Indonesia</v>
      </c>
      <c r="I146" t="str">
        <f t="shared" si="25"/>
        <v>BANK MASPION INDONESIA</v>
      </c>
      <c r="J146" t="str">
        <f t="shared" si="29"/>
        <v>BMAS, Bank Maspion Indonesia, Bank Maspion Indonesia Tbk, BankMaspionIndonesia, PT Bank Maspion Indonesia</v>
      </c>
      <c r="K146" t="str">
        <f t="shared" si="30"/>
        <v>BMAS, Bank Maspion Indonesia, Bank Maspion Indonesia Tbk, BankMaspionIndonesia, PT Bank Maspion Indonesia</v>
      </c>
      <c r="L146" t="str">
        <f t="shared" si="26"/>
        <v>BankMaspionIndonesia</v>
      </c>
      <c r="M146" t="str">
        <f t="shared" si="31"/>
        <v>BMAS, Bank Maspion Indonesia, Bank Maspion Indonesia Tbk, PT Bank Maspion Indonesia</v>
      </c>
      <c r="N146" t="str">
        <f t="shared" si="32"/>
        <v>BMAS, Bank Maspion Indonesia, Bank Maspion Indonesia Tbk, PT Bank Maspion Indonesia</v>
      </c>
    </row>
    <row r="147" spans="1:14" x14ac:dyDescent="0.2">
      <c r="A147" t="s">
        <v>2235</v>
      </c>
      <c r="B147" t="s">
        <v>2236</v>
      </c>
      <c r="C147" t="s">
        <v>7946</v>
      </c>
      <c r="D147" t="str">
        <f t="shared" si="22"/>
        <v>BMBL, LAVENDER BINA CENDIKIA, Lavender Bina Cendikia, Lavender Bina Cendikia Tbk, LavenderBinaCendikia, PT Lavender Bina Cendikia, lavender bina cendikia</v>
      </c>
      <c r="E147" t="str">
        <f t="shared" si="23"/>
        <v>BMBL, LAVENDER BINA CENDIKIA, Lavender Bina Cendikia, Lavender Bina Cendikia Tbk, LavenderBinaCendikia, PT Lavender Bina Cendikia, lavender bina cendikia</v>
      </c>
      <c r="F147" t="str">
        <f t="shared" si="24"/>
        <v>lavender bina cendikia</v>
      </c>
      <c r="G147" t="str">
        <f t="shared" si="27"/>
        <v>BMBL, LAVENDER BINA CENDIKIA, Lavender Bina Cendikia, Lavender Bina Cendikia Tbk, LavenderBinaCendikia, PT Lavender Bina Cendikia</v>
      </c>
      <c r="H147" t="str">
        <f t="shared" si="28"/>
        <v>BMBL, LAVENDER BINA CENDIKIA, Lavender Bina Cendikia, Lavender Bina Cendikia Tbk, LavenderBinaCendikia, PT Lavender Bina Cendikia</v>
      </c>
      <c r="I147" t="str">
        <f t="shared" si="25"/>
        <v>LAVENDER BINA CENDIKIA</v>
      </c>
      <c r="J147" t="str">
        <f t="shared" si="29"/>
        <v>BMBL, Lavender Bina Cendikia, Lavender Bina Cendikia Tbk, LavenderBinaCendikia, PT Lavender Bina Cendikia</v>
      </c>
      <c r="K147" t="str">
        <f t="shared" si="30"/>
        <v>BMBL, Lavender Bina Cendikia, Lavender Bina Cendikia Tbk, LavenderBinaCendikia, PT Lavender Bina Cendikia</v>
      </c>
      <c r="L147" t="str">
        <f t="shared" si="26"/>
        <v>LavenderBinaCendikia</v>
      </c>
      <c r="M147" t="str">
        <f t="shared" si="31"/>
        <v>BMBL, Lavender Bina Cendikia, Lavender Bina Cendikia Tbk, PT Lavender Bina Cendikia</v>
      </c>
      <c r="N147" t="str">
        <f t="shared" si="32"/>
        <v>BMBL, Lavender Bina Cendikia, Lavender Bina Cendikia Tbk, PT Lavender Bina Cendikia</v>
      </c>
    </row>
    <row r="148" spans="1:14" x14ac:dyDescent="0.2">
      <c r="A148" t="s">
        <v>1969</v>
      </c>
      <c r="B148" t="s">
        <v>1970</v>
      </c>
      <c r="C148" t="s">
        <v>7947</v>
      </c>
      <c r="D148" t="str">
        <f t="shared" si="22"/>
        <v>BMHS, BUNDAMEDIK, Bundamedik, Bundamedik Tbk, PT Bundamedik, bundamedik</v>
      </c>
      <c r="E148" t="str">
        <f t="shared" si="23"/>
        <v>BMHS, BUNDAMEDIK, Bundamedik, Bundamedik Tbk, PT Bundamedik, bundamedik</v>
      </c>
      <c r="F148" t="str">
        <f t="shared" si="24"/>
        <v>bundamedik</v>
      </c>
      <c r="G148" t="str">
        <f t="shared" si="27"/>
        <v>BMHS, BUNDAMEDIK, Bundamedik, Bundamedik Tbk, PT Bundamedik</v>
      </c>
      <c r="H148" t="str">
        <f t="shared" si="28"/>
        <v>BMHS, BUNDAMEDIK, Bundamedik, Bundamedik Tbk, PT Bundamedik</v>
      </c>
      <c r="I148" t="str">
        <f t="shared" si="25"/>
        <v>BUNDAMEDIK</v>
      </c>
      <c r="J148" t="str">
        <f t="shared" si="29"/>
        <v>BMHS, Bundamedik, Bundamedik Tbk, PT Bundamedik</v>
      </c>
      <c r="K148" t="str">
        <f t="shared" si="30"/>
        <v>BMHS, Bundamedik, Bundamedik Tbk, PT Bundamedik</v>
      </c>
      <c r="L148" t="str">
        <f t="shared" si="26"/>
        <v>Bundamedik</v>
      </c>
      <c r="M148" t="str">
        <f t="shared" si="31"/>
        <v>BMHS Tbk, PT Bundamedik</v>
      </c>
      <c r="N148" t="str">
        <f t="shared" si="32"/>
        <v>BMHS Tbk, PT Bundamedik</v>
      </c>
    </row>
    <row r="149" spans="1:14" x14ac:dyDescent="0.2">
      <c r="A149" t="s">
        <v>250</v>
      </c>
      <c r="B149" t="s">
        <v>251</v>
      </c>
      <c r="C149" t="s">
        <v>7948</v>
      </c>
      <c r="D149" t="str">
        <f t="shared" si="22"/>
        <v>BMRI, BANK MANDIRI (PERSERO), Bank Mandiri (Persero), Bank Mandiri (Persero) Tbk, BankMandiri(Persero), PT Bank Mandiri (Persero), bank mandiri (persero)</v>
      </c>
      <c r="E149" t="str">
        <f t="shared" si="23"/>
        <v>BMRI, BANK MANDIRI (PERSERO), Bank Mandiri (Persero), Bank Mandiri (Persero) Tbk, BankMandiri(Persero), PT Bank Mandiri (Persero), bank mandiri (persero)</v>
      </c>
      <c r="F149" t="str">
        <f t="shared" si="24"/>
        <v>bank mandiri (persero)</v>
      </c>
      <c r="G149" t="str">
        <f t="shared" si="27"/>
        <v>BMRI, BANK MANDIRI (PERSERO), Bank Mandiri (Persero), Bank Mandiri (Persero) Tbk, BankMandiri(Persero), PT Bank Mandiri (Persero)</v>
      </c>
      <c r="H149" t="str">
        <f t="shared" si="28"/>
        <v>BMRI, BANK MANDIRI (PERSERO), Bank Mandiri (Persero), Bank Mandiri (Persero) Tbk, BankMandiri(Persero), PT Bank Mandiri (Persero)</v>
      </c>
      <c r="I149" t="str">
        <f t="shared" si="25"/>
        <v>BANK MANDIRI (PERSERO)</v>
      </c>
      <c r="J149" t="str">
        <f t="shared" si="29"/>
        <v>BMRI, Bank Mandiri (Persero), Bank Mandiri (Persero) Tbk, BankMandiri(Persero), PT Bank Mandiri (Persero)</v>
      </c>
      <c r="K149" t="str">
        <f t="shared" si="30"/>
        <v>BMRI, Bank Mandiri (Persero), Bank Mandiri (Persero) Tbk, BankMandiri(Persero), PT Bank Mandiri (Persero)</v>
      </c>
      <c r="L149" t="str">
        <f t="shared" si="26"/>
        <v>BankMandiri(Persero)</v>
      </c>
      <c r="M149" t="str">
        <f t="shared" si="31"/>
        <v>BMRI, Bank Mandiri (Persero), Bank Mandiri (Persero) Tbk, PT Bank Mandiri (Persero)</v>
      </c>
      <c r="N149" t="str">
        <f t="shared" si="32"/>
        <v>BMRI, Bank Mandiri (Persero), Bank Mandiri (Persero) Tbk, PT Bank Mandiri (Persero)</v>
      </c>
    </row>
    <row r="150" spans="1:14" x14ac:dyDescent="0.2">
      <c r="A150" t="s">
        <v>253</v>
      </c>
      <c r="B150" t="s">
        <v>3529</v>
      </c>
      <c r="C150" t="s">
        <v>7949</v>
      </c>
      <c r="D150" t="str">
        <f t="shared" si="22"/>
        <v>BMSR, BINTANG MITRA SEMESTARAYA, Bintang Mitra Semestaraya, Bintang Mitra Semestaraya Tbk, BintangMitraSemestaraya, PT Bintang Mitra Semestaraya, bintang mitra semestaraya</v>
      </c>
      <c r="E150" t="str">
        <f t="shared" si="23"/>
        <v>BMSR, BINTANG MITRA SEMESTARAYA, Bintang Mitra Semestaraya, Bintang Mitra Semestaraya Tbk, BintangMitraSemestaraya, PT Bintang Mitra Semestaraya, bintang mitra semestaraya</v>
      </c>
      <c r="F150" t="str">
        <f t="shared" si="24"/>
        <v>bintang mitra semestaraya</v>
      </c>
      <c r="G150" t="str">
        <f t="shared" si="27"/>
        <v>BMSR, BINTANG MITRA SEMESTARAYA, Bintang Mitra Semestaraya, Bintang Mitra Semestaraya Tbk, BintangMitraSemestaraya, PT Bintang Mitra Semestaraya</v>
      </c>
      <c r="H150" t="str">
        <f t="shared" si="28"/>
        <v>BMSR, BINTANG MITRA SEMESTARAYA, Bintang Mitra Semestaraya, Bintang Mitra Semestaraya Tbk, BintangMitraSemestaraya, PT Bintang Mitra Semestaraya</v>
      </c>
      <c r="I150" t="str">
        <f t="shared" si="25"/>
        <v>BINTANG MITRA SEMESTARAYA</v>
      </c>
      <c r="J150" t="str">
        <f t="shared" si="29"/>
        <v>BMSR, Bintang Mitra Semestaraya, Bintang Mitra Semestaraya Tbk, BintangMitraSemestaraya, PT Bintang Mitra Semestaraya</v>
      </c>
      <c r="K150" t="str">
        <f t="shared" si="30"/>
        <v>BMSR, Bintang Mitra Semestaraya, Bintang Mitra Semestaraya Tbk, BintangMitraSemestaraya, PT Bintang Mitra Semestaraya</v>
      </c>
      <c r="L150" t="str">
        <f t="shared" si="26"/>
        <v>BintangMitraSemestaraya</v>
      </c>
      <c r="M150" t="str">
        <f t="shared" si="31"/>
        <v>BMSR, Bintang Mitra Semestaraya, Bintang Mitra Semestaraya Tbk, PT Bintang Mitra Semestaraya</v>
      </c>
      <c r="N150" t="str">
        <f t="shared" si="32"/>
        <v>BMSR, Bintang Mitra Semestaraya, Bintang Mitra Semestaraya Tbk, PT Bintang Mitra Semestaraya</v>
      </c>
    </row>
    <row r="151" spans="1:14" x14ac:dyDescent="0.2">
      <c r="A151" t="s">
        <v>256</v>
      </c>
      <c r="B151" t="s">
        <v>257</v>
      </c>
      <c r="C151" t="s">
        <v>7950</v>
      </c>
      <c r="D151" t="str">
        <f t="shared" si="22"/>
        <v>BMTR, GLOBAL MEDIACOM, Global Mediacom, Global Mediacom Tbk, GlobalMediacom, PT Global Mediacom, global mediacom</v>
      </c>
      <c r="E151" t="str">
        <f t="shared" si="23"/>
        <v>BMTR, GLOBAL MEDIACOM, Global Mediacom, Global Mediacom Tbk, GlobalMediacom, PT Global Mediacom, global mediacom</v>
      </c>
      <c r="F151" t="str">
        <f t="shared" si="24"/>
        <v>global mediacom</v>
      </c>
      <c r="G151" t="str">
        <f t="shared" si="27"/>
        <v>BMTR, GLOBAL MEDIACOM, Global Mediacom, Global Mediacom Tbk, GlobalMediacom, PT Global Mediacom</v>
      </c>
      <c r="H151" t="str">
        <f t="shared" si="28"/>
        <v>BMTR, GLOBAL MEDIACOM, Global Mediacom, Global Mediacom Tbk, GlobalMediacom, PT Global Mediacom</v>
      </c>
      <c r="I151" t="str">
        <f t="shared" si="25"/>
        <v>GLOBAL MEDIACOM</v>
      </c>
      <c r="J151" t="str">
        <f t="shared" si="29"/>
        <v>BMTR, Global Mediacom, Global Mediacom Tbk, GlobalMediacom, PT Global Mediacom</v>
      </c>
      <c r="K151" t="str">
        <f t="shared" si="30"/>
        <v>BMTR, Global Mediacom, Global Mediacom Tbk, GlobalMediacom, PT Global Mediacom</v>
      </c>
      <c r="L151" t="str">
        <f t="shared" si="26"/>
        <v>GlobalMediacom</v>
      </c>
      <c r="M151" t="str">
        <f t="shared" si="31"/>
        <v>BMTR, Global Mediacom, Global Mediacom Tbk, PT Global Mediacom</v>
      </c>
      <c r="N151" t="str">
        <f t="shared" si="32"/>
        <v>BMTR, Global Mediacom, Global Mediacom Tbk, PT Global Mediacom</v>
      </c>
    </row>
    <row r="152" spans="1:14" x14ac:dyDescent="0.2">
      <c r="A152" t="s">
        <v>259</v>
      </c>
      <c r="B152" t="s">
        <v>260</v>
      </c>
      <c r="C152" t="s">
        <v>7951</v>
      </c>
      <c r="D152" t="str">
        <f t="shared" si="22"/>
        <v>BNBA, BANK BUMI ARTA, Bank Bumi Arta, Bank Bumi Arta Tbk, BankBumiArta, PT Bank Bumi Arta, bank bumi arta</v>
      </c>
      <c r="E152" t="str">
        <f t="shared" si="23"/>
        <v>BNBA, BANK BUMI ARTA, Bank Bumi Arta, Bank Bumi Arta Tbk, BankBumiArta, PT Bank Bumi Arta, bank bumi arta</v>
      </c>
      <c r="F152" t="str">
        <f t="shared" si="24"/>
        <v>bank bumi arta</v>
      </c>
      <c r="G152" t="str">
        <f t="shared" si="27"/>
        <v>BNBA, BANK BUMI ARTA, Bank Bumi Arta, Bank Bumi Arta Tbk, BankBumiArta, PT Bank Bumi Arta</v>
      </c>
      <c r="H152" t="str">
        <f t="shared" si="28"/>
        <v>BNBA, BANK BUMI ARTA, Bank Bumi Arta, Bank Bumi Arta Tbk, BankBumiArta, PT Bank Bumi Arta</v>
      </c>
      <c r="I152" t="str">
        <f t="shared" si="25"/>
        <v>BANK BUMI ARTA</v>
      </c>
      <c r="J152" t="str">
        <f t="shared" si="29"/>
        <v>BNBA, Bank Bumi Arta, Bank Bumi Arta Tbk, BankBumiArta, PT Bank Bumi Arta</v>
      </c>
      <c r="K152" t="str">
        <f t="shared" si="30"/>
        <v>BNBA, Bank Bumi Arta, Bank Bumi Arta Tbk, BankBumiArta, PT Bank Bumi Arta</v>
      </c>
      <c r="L152" t="str">
        <f t="shared" si="26"/>
        <v>BankBumiArta</v>
      </c>
      <c r="M152" t="str">
        <f t="shared" si="31"/>
        <v>BNBA, Bank Bumi Arta, Bank Bumi Arta Tbk, PT Bank Bumi Arta</v>
      </c>
      <c r="N152" t="str">
        <f t="shared" si="32"/>
        <v>BNBA, Bank Bumi Arta, Bank Bumi Arta Tbk, PT Bank Bumi Arta</v>
      </c>
    </row>
    <row r="153" spans="1:14" x14ac:dyDescent="0.2">
      <c r="A153" t="s">
        <v>262</v>
      </c>
      <c r="B153" t="s">
        <v>3530</v>
      </c>
      <c r="C153" t="s">
        <v>7952</v>
      </c>
      <c r="D153" t="str">
        <f t="shared" si="22"/>
        <v>BNBR, BAKRIE &amp; BROTHERS, Bakrie &amp; Brothers, Bakrie &amp; Brothers Tbk, Bakrie&amp;Brothers, PT Bakrie &amp; Brothers, bakrie &amp; brothers</v>
      </c>
      <c r="E153" t="str">
        <f t="shared" si="23"/>
        <v>BNBR, BAKRIE &amp; BROTHERS, Bakrie &amp; Brothers, Bakrie &amp; Brothers Tbk, Bakrie&amp;Brothers, PT Bakrie &amp; Brothers, bakrie &amp; brothers</v>
      </c>
      <c r="F153" t="str">
        <f t="shared" si="24"/>
        <v>bakrie &amp; brothers</v>
      </c>
      <c r="G153" t="str">
        <f t="shared" si="27"/>
        <v>BNBR, BAKRIE &amp; BROTHERS, Bakrie &amp; Brothers, Bakrie &amp; Brothers Tbk, Bakrie&amp;Brothers, PT Bakrie &amp; Brothers</v>
      </c>
      <c r="H153" t="str">
        <f t="shared" si="28"/>
        <v>BNBR, BAKRIE &amp; BROTHERS, Bakrie &amp; Brothers, Bakrie &amp; Brothers Tbk, Bakrie&amp;Brothers, PT Bakrie &amp; Brothers</v>
      </c>
      <c r="I153" t="str">
        <f t="shared" si="25"/>
        <v>BAKRIE &amp; BROTHERS</v>
      </c>
      <c r="J153" t="str">
        <f t="shared" si="29"/>
        <v>BNBR, Bakrie &amp; Brothers, Bakrie &amp; Brothers Tbk, Bakrie&amp;Brothers, PT Bakrie &amp; Brothers</v>
      </c>
      <c r="K153" t="str">
        <f t="shared" si="30"/>
        <v>BNBR, Bakrie &amp; Brothers, Bakrie &amp; Brothers Tbk, Bakrie&amp;Brothers, PT Bakrie &amp; Brothers</v>
      </c>
      <c r="L153" t="str">
        <f t="shared" si="26"/>
        <v>Bakrie&amp;Brothers</v>
      </c>
      <c r="M153" t="str">
        <f t="shared" si="31"/>
        <v>BNBR, Bakrie &amp; Brothers, Bakrie &amp; Brothers Tbk, PT Bakrie &amp; Brothers</v>
      </c>
      <c r="N153" t="str">
        <f t="shared" si="32"/>
        <v>BNBR, Bakrie &amp; Brothers, Bakrie &amp; Brothers Tbk, PT Bakrie &amp; Brothers</v>
      </c>
    </row>
    <row r="154" spans="1:14" x14ac:dyDescent="0.2">
      <c r="A154" t="s">
        <v>265</v>
      </c>
      <c r="B154" t="s">
        <v>266</v>
      </c>
      <c r="C154" t="s">
        <v>7953</v>
      </c>
      <c r="D154" t="str">
        <f t="shared" si="22"/>
        <v>BNGA, BANK CIMB NIAGA, Bank CIMB Niaga, Bank CIMB Niaga Tbk, Bank Niaga, BankCIMBNiaga, Bank Niaga, PT Bank CIMB Niaga, bank cimb niaga</v>
      </c>
      <c r="E154" t="str">
        <f t="shared" si="23"/>
        <v>BNGA, BANK CIMB NIAGA, Bank CIMB Niaga, Bank CIMB Niaga Tbk, Bank Niaga, BankCIMBNiaga, Bank Niaga, PT Bank CIMB Niaga, bank cimb niaga</v>
      </c>
      <c r="F154" t="str">
        <f t="shared" si="24"/>
        <v>bank cimb niaga</v>
      </c>
      <c r="G154" t="str">
        <f t="shared" si="27"/>
        <v>BNGA, BANK CIMB NIAGA, Bank CIMB Niaga, Bank CIMB Niaga Tbk, Bank Niaga, BankCIMBNiaga, Bank Niaga, PT Bank CIMB Niaga</v>
      </c>
      <c r="H154" t="str">
        <f t="shared" si="28"/>
        <v>BNGA, BANK CIMB NIAGA, Bank CIMB Niaga, Bank CIMB Niaga Tbk, Bank Niaga, BankCIMBNiaga, Bank Niaga, PT Bank CIMB Niaga</v>
      </c>
      <c r="I154" t="str">
        <f t="shared" si="25"/>
        <v>BANK CIMB NIAGA</v>
      </c>
      <c r="J154" t="str">
        <f t="shared" si="29"/>
        <v>BNGA, Bank CIMB Niaga, Bank CIMB Niaga Tbk, Bank Niaga, BankCIMBNiaga, Bank Niaga, PT Bank CIMB Niaga</v>
      </c>
      <c r="K154" t="str">
        <f t="shared" si="30"/>
        <v>BNGA, Bank CIMB Niaga, Bank CIMB Niaga Tbk, Bank Niaga, BankCIMBNiaga, Bank Niaga, PT Bank CIMB Niaga</v>
      </c>
      <c r="L154" t="str">
        <f t="shared" si="26"/>
        <v>BankCIMBNiaga</v>
      </c>
      <c r="M154" t="str">
        <f t="shared" si="31"/>
        <v>BNGA, Bank CIMB Niaga, Bank CIMB Niaga Tbk, Bank Niaga, Bank Niaga, PT Bank CIMB Niaga</v>
      </c>
      <c r="N154" t="str">
        <f t="shared" si="32"/>
        <v>BNGA, Bank CIMB Niaga, Bank CIMB Niaga Tbk, Bank Niaga, Bank Niaga, PT Bank CIMB Niaga</v>
      </c>
    </row>
    <row r="155" spans="1:14" x14ac:dyDescent="0.2">
      <c r="A155" t="s">
        <v>268</v>
      </c>
      <c r="B155" t="s">
        <v>269</v>
      </c>
      <c r="C155" t="s">
        <v>7954</v>
      </c>
      <c r="D155" t="str">
        <f t="shared" si="22"/>
        <v>BNII, MAYBANK, BANK MAYBANK INDONESIA, Bank Maybank Indonesia, Bank Maybank Indonesia Tbk, BankMaybankIndonesia, PT Bank Maybank Indonesia, bank maybank indonesia</v>
      </c>
      <c r="E155" t="str">
        <f t="shared" si="23"/>
        <v>BNII, MAYBANK, BANK MAYBANK INDONESIA, Bank Maybank Indonesia, Bank Maybank Indonesia Tbk, BankMaybankIndonesia, PT Bank Maybank Indonesia, bank maybank indonesia</v>
      </c>
      <c r="F155" t="str">
        <f t="shared" si="24"/>
        <v>bank maybank indonesia</v>
      </c>
      <c r="G155" t="str">
        <f t="shared" si="27"/>
        <v>BNII, MAYBANK, BANK MAYBANK INDONESIA, Bank Maybank Indonesia, Bank Maybank Indonesia Tbk, BankMaybankIndonesia, PT Bank Maybank Indonesia</v>
      </c>
      <c r="H155" t="str">
        <f t="shared" si="28"/>
        <v>BNII, MAYBANK, BANK MAYBANK INDONESIA, Bank Maybank Indonesia, Bank Maybank Indonesia Tbk, BankMaybankIndonesia, PT Bank Maybank Indonesia</v>
      </c>
      <c r="I155" t="str">
        <f t="shared" si="25"/>
        <v>BANK MAYBANK INDONESIA</v>
      </c>
      <c r="J155" t="str">
        <f t="shared" si="29"/>
        <v>BNII, MAYBANK, Bank Maybank Indonesia, Bank Maybank Indonesia Tbk, BankMaybankIndonesia, PT Bank Maybank Indonesia</v>
      </c>
      <c r="K155" t="str">
        <f t="shared" si="30"/>
        <v>BNII, MAYBANK, Bank Maybank Indonesia, Bank Maybank Indonesia Tbk, BankMaybankIndonesia, PT Bank Maybank Indonesia</v>
      </c>
      <c r="L155" t="str">
        <f t="shared" si="26"/>
        <v>BankMaybankIndonesia</v>
      </c>
      <c r="M155" t="str">
        <f t="shared" si="31"/>
        <v>BNII, MAYBANK, Bank Maybank Indonesia, Bank Maybank Indonesia Tbk, PT Bank Maybank Indonesia</v>
      </c>
      <c r="N155" t="str">
        <f t="shared" si="32"/>
        <v>BNII, MAYBANK, Bank Maybank Indonesia, Bank Maybank Indonesia Tbk, PT Bank Maybank Indonesia</v>
      </c>
    </row>
    <row r="156" spans="1:14" x14ac:dyDescent="0.2">
      <c r="A156" t="s">
        <v>271</v>
      </c>
      <c r="B156" t="s">
        <v>272</v>
      </c>
      <c r="C156" t="s">
        <v>7955</v>
      </c>
      <c r="D156" t="str">
        <f t="shared" si="22"/>
        <v>BNLI, BANK PERMATA, Bank Permata, Bank Permata Tbk, BankPermata, PT Bank Permata, Permata, bank permata</v>
      </c>
      <c r="E156" t="str">
        <f t="shared" si="23"/>
        <v>BNLI, BANK PERMATA, Bank Permata, Bank Permata Tbk, BankPermata, PT Bank Permata, Permata, bank permata</v>
      </c>
      <c r="F156" t="str">
        <f t="shared" si="24"/>
        <v>bank permata</v>
      </c>
      <c r="G156" t="str">
        <f t="shared" si="27"/>
        <v>BNLI, BANK PERMATA, Bank Permata, Bank Permata Tbk, BankPermata, PT Bank Permata, Permata</v>
      </c>
      <c r="H156" t="str">
        <f t="shared" si="28"/>
        <v>BNLI, BANK PERMATA, Bank Permata, Bank Permata Tbk, BankPermata, PT Bank Permata, Permata</v>
      </c>
      <c r="I156" t="str">
        <f t="shared" si="25"/>
        <v>BANK PERMATA</v>
      </c>
      <c r="J156" t="str">
        <f t="shared" si="29"/>
        <v>BNLI, Bank Permata, Bank Permata Tbk, BankPermata, PT Bank Permata, Permata</v>
      </c>
      <c r="K156" t="str">
        <f t="shared" si="30"/>
        <v>BNLI, Bank Permata, Bank Permata Tbk, BankPermata, PT Bank Permata, Permata</v>
      </c>
      <c r="L156" t="str">
        <f t="shared" si="26"/>
        <v>BankPermata</v>
      </c>
      <c r="M156" t="str">
        <f t="shared" si="31"/>
        <v>BNLI, Bank Permata, Bank Permata Tbk, PT Bank Permata, Permata</v>
      </c>
      <c r="N156" t="str">
        <f t="shared" si="32"/>
        <v>BNLI, Bank Permata, Bank Permata Tbk, PT Bank Permata, Permata</v>
      </c>
    </row>
    <row r="157" spans="1:14" x14ac:dyDescent="0.2">
      <c r="A157" t="s">
        <v>2500</v>
      </c>
      <c r="B157" t="s">
        <v>2501</v>
      </c>
      <c r="C157" t="s">
        <v>7956</v>
      </c>
      <c r="D157" t="str">
        <f t="shared" si="22"/>
        <v>BOAT, NEWPORT MARINE SERVICES, Newport Marine Services, Newport Marine Services Tbk, NewportMarineServices, PT Newport Marine Services, newport marine services</v>
      </c>
      <c r="E157" t="str">
        <f t="shared" si="23"/>
        <v>BOAT, NEWPORT MARINE SERVICES, Newport Marine Services, Newport Marine Services Tbk, NewportMarineServices, PT Newport Marine Services, newport marine services</v>
      </c>
      <c r="F157" t="str">
        <f t="shared" si="24"/>
        <v>newport marine services</v>
      </c>
      <c r="G157" t="str">
        <f t="shared" si="27"/>
        <v>BOAT, NEWPORT MARINE SERVICES, Newport Marine Services, Newport Marine Services Tbk, NewportMarineServices, PT Newport Marine Services</v>
      </c>
      <c r="H157" t="str">
        <f t="shared" si="28"/>
        <v>BOAT, NEWPORT MARINE SERVICES, Newport Marine Services, Newport Marine Services Tbk, NewportMarineServices, PT Newport Marine Services</v>
      </c>
      <c r="I157" t="str">
        <f t="shared" si="25"/>
        <v>NEWPORT MARINE SERVICES</v>
      </c>
      <c r="J157" t="str">
        <f t="shared" si="29"/>
        <v>BOAT, Newport Marine Services, Newport Marine Services Tbk, NewportMarineServices, PT Newport Marine Services</v>
      </c>
      <c r="K157" t="str">
        <f t="shared" si="30"/>
        <v>BOAT, Newport Marine Services, Newport Marine Services Tbk, NewportMarineServices, PT Newport Marine Services</v>
      </c>
      <c r="L157" t="str">
        <f t="shared" si="26"/>
        <v>NewportMarineServices</v>
      </c>
      <c r="M157" t="str">
        <f t="shared" si="31"/>
        <v>BOAT, Newport Marine Services, Newport Marine Services Tbk, PT Newport Marine Services</v>
      </c>
      <c r="N157" t="str">
        <f t="shared" si="32"/>
        <v>BOAT, Newport Marine Services, Newport Marine Services Tbk, PT Newport Marine Services</v>
      </c>
    </row>
    <row r="158" spans="1:14" x14ac:dyDescent="0.2">
      <c r="A158" t="s">
        <v>2016</v>
      </c>
      <c r="B158" t="s">
        <v>3531</v>
      </c>
      <c r="C158" t="s">
        <v>7957</v>
      </c>
      <c r="D158" t="str">
        <f t="shared" si="22"/>
        <v>BOBA, FORMOSA INGREDIENT FACTORY, Formosa Ingredient Factory, Formosa Ingredient Factory Tbk, FormosaIngredientFactory, PT Formosa Ingredient Factory, formosa ingredient factory</v>
      </c>
      <c r="E158" t="str">
        <f t="shared" si="23"/>
        <v>BOBA, FORMOSA INGREDIENT FACTORY, Formosa Ingredient Factory, Formosa Ingredient Factory Tbk, FormosaIngredientFactory, PT Formosa Ingredient Factory, formosa ingredient factory</v>
      </c>
      <c r="F158" t="str">
        <f t="shared" si="24"/>
        <v>formosa ingredient factory</v>
      </c>
      <c r="G158" t="str">
        <f t="shared" si="27"/>
        <v>BOBA, FORMOSA INGREDIENT FACTORY, Formosa Ingredient Factory, Formosa Ingredient Factory Tbk, FormosaIngredientFactory, PT Formosa Ingredient Factory</v>
      </c>
      <c r="H158" t="str">
        <f t="shared" si="28"/>
        <v>BOBA, FORMOSA INGREDIENT FACTORY, Formosa Ingredient Factory, Formosa Ingredient Factory Tbk, FormosaIngredientFactory, PT Formosa Ingredient Factory</v>
      </c>
      <c r="I158" t="str">
        <f t="shared" si="25"/>
        <v>FORMOSA INGREDIENT FACTORY</v>
      </c>
      <c r="J158" t="str">
        <f t="shared" si="29"/>
        <v>BOBA, Formosa Ingredient Factory, Formosa Ingredient Factory Tbk, FormosaIngredientFactory, PT Formosa Ingredient Factory</v>
      </c>
      <c r="K158" t="str">
        <f t="shared" si="30"/>
        <v>BOBA, Formosa Ingredient Factory, Formosa Ingredient Factory Tbk, FormosaIngredientFactory, PT Formosa Ingredient Factory</v>
      </c>
      <c r="L158" t="str">
        <f t="shared" si="26"/>
        <v>FormosaIngredientFactory</v>
      </c>
      <c r="M158" t="str">
        <f t="shared" si="31"/>
        <v>BOBA, Formosa Ingredient Factory, Formosa Ingredient Factory Tbk, PT Formosa Ingredient Factory</v>
      </c>
      <c r="N158" t="str">
        <f t="shared" si="32"/>
        <v>BOBA, Formosa Ingredient Factory, Formosa Ingredient Factory Tbk, PT Formosa Ingredient Factory</v>
      </c>
    </row>
    <row r="159" spans="1:14" x14ac:dyDescent="0.2">
      <c r="A159" t="s">
        <v>1386</v>
      </c>
      <c r="B159" t="s">
        <v>1387</v>
      </c>
      <c r="C159" t="s">
        <v>7958</v>
      </c>
      <c r="D159" t="str">
        <f t="shared" si="22"/>
        <v>BOGA, APOLLO GLOBAL INTERACTIVE, Apollo Global Interactive, Apollo Global Interactive Tbk, ApolloGlobalInteractive, PT Apollo Global Interactive, apollo global interactive</v>
      </c>
      <c r="E159" t="str">
        <f t="shared" si="23"/>
        <v>BOGA, APOLLO GLOBAL INTERACTIVE, Apollo Global Interactive, Apollo Global Interactive Tbk, ApolloGlobalInteractive, PT Apollo Global Interactive, apollo global interactive</v>
      </c>
      <c r="F159" t="str">
        <f t="shared" si="24"/>
        <v>apollo global interactive</v>
      </c>
      <c r="G159" t="str">
        <f t="shared" si="27"/>
        <v>BOGA, APOLLO GLOBAL INTERACTIVE, Apollo Global Interactive, Apollo Global Interactive Tbk, ApolloGlobalInteractive, PT Apollo Global Interactive</v>
      </c>
      <c r="H159" t="str">
        <f t="shared" si="28"/>
        <v>BOGA, APOLLO GLOBAL INTERACTIVE, Apollo Global Interactive, Apollo Global Interactive Tbk, ApolloGlobalInteractive, PT Apollo Global Interactive</v>
      </c>
      <c r="I159" t="str">
        <f t="shared" si="25"/>
        <v>APOLLO GLOBAL INTERACTIVE</v>
      </c>
      <c r="J159" t="str">
        <f t="shared" si="29"/>
        <v>BOGA, Apollo Global Interactive, Apollo Global Interactive Tbk, ApolloGlobalInteractive, PT Apollo Global Interactive</v>
      </c>
      <c r="K159" t="str">
        <f t="shared" si="30"/>
        <v>BOGA, Apollo Global Interactive, Apollo Global Interactive Tbk, ApolloGlobalInteractive, PT Apollo Global Interactive</v>
      </c>
      <c r="L159" t="str">
        <f t="shared" si="26"/>
        <v>ApolloGlobalInteractive</v>
      </c>
      <c r="M159" t="str">
        <f t="shared" si="31"/>
        <v>BOGA, Apollo Global Interactive, Apollo Global Interactive Tbk, PT Apollo Global Interactive</v>
      </c>
      <c r="N159" t="str">
        <f t="shared" si="32"/>
        <v>BOGA, Apollo Global Interactive, Apollo Global Interactive Tbk, PT Apollo Global Interactive</v>
      </c>
    </row>
    <row r="160" spans="1:14" x14ac:dyDescent="0.2">
      <c r="A160" t="s">
        <v>1678</v>
      </c>
      <c r="B160" t="s">
        <v>1679</v>
      </c>
      <c r="C160" t="s">
        <v>7959</v>
      </c>
      <c r="D160" t="str">
        <f t="shared" si="22"/>
        <v>BOLA, BALI BINTANG SEJAHTERA, Bali Bintang Sejahtera, Bali Bintang Sejahtera Tbk, BaliBintangSejahtera, PT Bali Bintang Sejahtera, bali bintang sejahtera</v>
      </c>
      <c r="E160" t="str">
        <f t="shared" si="23"/>
        <v>BOLA, BALI BINTANG SEJAHTERA, Bali Bintang Sejahtera, Bali Bintang Sejahtera Tbk, BaliBintangSejahtera, PT Bali Bintang Sejahtera, bali bintang sejahtera</v>
      </c>
      <c r="F160" t="str">
        <f t="shared" si="24"/>
        <v>bali bintang sejahtera</v>
      </c>
      <c r="G160" t="str">
        <f t="shared" si="27"/>
        <v>BOLA, BALI BINTANG SEJAHTERA, Bali Bintang Sejahtera, Bali Bintang Sejahtera Tbk, BaliBintangSejahtera, PT Bali Bintang Sejahtera</v>
      </c>
      <c r="H160" t="str">
        <f t="shared" si="28"/>
        <v>BOLA, BALI BINTANG SEJAHTERA, Bali Bintang Sejahtera, Bali Bintang Sejahtera Tbk, BaliBintangSejahtera, PT Bali Bintang Sejahtera</v>
      </c>
      <c r="I160" t="str">
        <f t="shared" si="25"/>
        <v>BALI BINTANG SEJAHTERA</v>
      </c>
      <c r="J160" t="str">
        <f t="shared" si="29"/>
        <v>BOLA, Bali Bintang Sejahtera, Bali Bintang Sejahtera Tbk, BaliBintangSejahtera, PT Bali Bintang Sejahtera</v>
      </c>
      <c r="K160" t="str">
        <f t="shared" si="30"/>
        <v>BOLA, Bali Bintang Sejahtera, Bali Bintang Sejahtera Tbk, BaliBintangSejahtera, PT Bali Bintang Sejahtera</v>
      </c>
      <c r="L160" t="str">
        <f t="shared" si="26"/>
        <v>BaliBintangSejahtera</v>
      </c>
      <c r="M160" t="str">
        <f t="shared" si="31"/>
        <v>BOLA, Bali Bintang Sejahtera, Bali Bintang Sejahtera Tbk, PT Bali Bintang Sejahtera</v>
      </c>
      <c r="N160" t="str">
        <f t="shared" si="32"/>
        <v>BOLA, Bali Bintang Sejahtera, Bali Bintang Sejahtera Tbk, PT Bali Bintang Sejahtera</v>
      </c>
    </row>
    <row r="161" spans="1:14" x14ac:dyDescent="0.2">
      <c r="A161" t="s">
        <v>274</v>
      </c>
      <c r="B161" t="s">
        <v>275</v>
      </c>
      <c r="C161" t="s">
        <v>7960</v>
      </c>
      <c r="D161" t="str">
        <f t="shared" si="22"/>
        <v>BOLT, GARUDA METALINDO, Garuda Metalindo, Garuda Metalindo Tbk, GarudaMetalindo, PT Garuda Metalindo, garuda metalindo</v>
      </c>
      <c r="E161" t="str">
        <f t="shared" si="23"/>
        <v>BOLT, GARUDA METALINDO, Garuda Metalindo, Garuda Metalindo Tbk, GarudaMetalindo, PT Garuda Metalindo, garuda metalindo</v>
      </c>
      <c r="F161" t="str">
        <f t="shared" si="24"/>
        <v>garuda metalindo</v>
      </c>
      <c r="G161" t="str">
        <f t="shared" si="27"/>
        <v>BOLT, GARUDA METALINDO, Garuda Metalindo, Garuda Metalindo Tbk, GarudaMetalindo, PT Garuda Metalindo</v>
      </c>
      <c r="H161" t="str">
        <f t="shared" si="28"/>
        <v>BOLT, GARUDA METALINDO, Garuda Metalindo, Garuda Metalindo Tbk, GarudaMetalindo, PT Garuda Metalindo</v>
      </c>
      <c r="I161" t="str">
        <f t="shared" si="25"/>
        <v>GARUDA METALINDO</v>
      </c>
      <c r="J161" t="str">
        <f t="shared" si="29"/>
        <v>BOLT, Garuda Metalindo, Garuda Metalindo Tbk, GarudaMetalindo, PT Garuda Metalindo</v>
      </c>
      <c r="K161" t="str">
        <f t="shared" si="30"/>
        <v>BOLT, Garuda Metalindo, Garuda Metalindo Tbk, GarudaMetalindo, PT Garuda Metalindo</v>
      </c>
      <c r="L161" t="str">
        <f t="shared" si="26"/>
        <v>GarudaMetalindo</v>
      </c>
      <c r="M161" t="str">
        <f t="shared" si="31"/>
        <v>BOLT, Garuda Metalindo, Garuda Metalindo Tbk, PT Garuda Metalindo</v>
      </c>
      <c r="N161" t="str">
        <f t="shared" si="32"/>
        <v>BOLT, Garuda Metalindo, Garuda Metalindo Tbk, PT Garuda Metalindo</v>
      </c>
    </row>
    <row r="162" spans="1:14" x14ac:dyDescent="0.2">
      <c r="A162" t="s">
        <v>1494</v>
      </c>
      <c r="B162" t="s">
        <v>1495</v>
      </c>
      <c r="C162" t="s">
        <v>7961</v>
      </c>
      <c r="D162" t="str">
        <f t="shared" si="22"/>
        <v>BOSS, BORNEO OLAH SARANA SUKSES, Borneo Olah Sarana Sukses, Borneo Olah Sarana Sukses Tbk, BorneoOlahSaranaSukses, PT Borneo Olah Sarana Sukses, borneo olah sarana sukses</v>
      </c>
      <c r="E162" t="str">
        <f t="shared" si="23"/>
        <v>BOSS, BORNEO OLAH SARANA SUKSES, Borneo Olah Sarana Sukses, Borneo Olah Sarana Sukses Tbk, BorneoOlahSaranaSukses, PT Borneo Olah Sarana Sukses, borneo olah sarana sukses</v>
      </c>
      <c r="F162" t="str">
        <f t="shared" si="24"/>
        <v>borneo olah sarana sukses</v>
      </c>
      <c r="G162" t="str">
        <f t="shared" si="27"/>
        <v>BOSS, BORNEO OLAH SARANA SUKSES, Borneo Olah Sarana Sukses, Borneo Olah Sarana Sukses Tbk, BorneoOlahSaranaSukses, PT Borneo Olah Sarana Sukses</v>
      </c>
      <c r="H162" t="str">
        <f t="shared" si="28"/>
        <v>BOSS, BORNEO OLAH SARANA SUKSES, Borneo Olah Sarana Sukses, Borneo Olah Sarana Sukses Tbk, BorneoOlahSaranaSukses, PT Borneo Olah Sarana Sukses</v>
      </c>
      <c r="I162" t="str">
        <f t="shared" si="25"/>
        <v>BORNEO OLAH SARANA SUKSES</v>
      </c>
      <c r="J162" t="str">
        <f t="shared" si="29"/>
        <v>BOSS, Borneo Olah Sarana Sukses, Borneo Olah Sarana Sukses Tbk, BorneoOlahSaranaSukses, PT Borneo Olah Sarana Sukses</v>
      </c>
      <c r="K162" t="str">
        <f t="shared" si="30"/>
        <v>BOSS, Borneo Olah Sarana Sukses, Borneo Olah Sarana Sukses Tbk, BorneoOlahSaranaSukses, PT Borneo Olah Sarana Sukses</v>
      </c>
      <c r="L162" t="str">
        <f t="shared" si="26"/>
        <v>BorneoOlahSaranaSukses</v>
      </c>
      <c r="M162" t="str">
        <f t="shared" si="31"/>
        <v>BOSS, Borneo Olah Sarana Sukses, Borneo Olah Sarana Sukses Tbk, PT Borneo Olah Sarana Sukses</v>
      </c>
      <c r="N162" t="str">
        <f t="shared" si="32"/>
        <v>BOSS, Borneo Olah Sarana Sukses, Borneo Olah Sarana Sukses Tbk, PT Borneo Olah Sarana Sukses</v>
      </c>
    </row>
    <row r="163" spans="1:14" x14ac:dyDescent="0.2">
      <c r="A163" t="s">
        <v>277</v>
      </c>
      <c r="B163" t="s">
        <v>278</v>
      </c>
      <c r="C163" t="s">
        <v>7962</v>
      </c>
      <c r="D163" t="str">
        <f t="shared" si="22"/>
        <v>BPFI, PT Woori Finance Indonesia, WOORI FINANCE INDONESIA, Woori Finance Indonesia, Woori Finance Indonesia Tbk, WooriFinanceIndonesia, woori finance indonesia</v>
      </c>
      <c r="E163" t="str">
        <f t="shared" si="23"/>
        <v>BPFI, PT Woori Finance Indonesia, WOORI FINANCE INDONESIA, Woori Finance Indonesia, Woori Finance Indonesia Tbk, WooriFinanceIndonesia, woori finance indonesia</v>
      </c>
      <c r="F163" t="str">
        <f t="shared" si="24"/>
        <v>woori finance indonesia</v>
      </c>
      <c r="G163" t="str">
        <f t="shared" si="27"/>
        <v>BPFI, PT Woori Finance Indonesia, WOORI FINANCE INDONESIA, Woori Finance Indonesia, Woori Finance Indonesia Tbk, WooriFinanceIndonesia</v>
      </c>
      <c r="H163" t="str">
        <f t="shared" si="28"/>
        <v>BPFI, PT Woori Finance Indonesia, WOORI FINANCE INDONESIA, Woori Finance Indonesia, Woori Finance Indonesia Tbk, WooriFinanceIndonesia</v>
      </c>
      <c r="I163" t="str">
        <f t="shared" si="25"/>
        <v>WOORI FINANCE INDONESIA</v>
      </c>
      <c r="J163" t="str">
        <f t="shared" si="29"/>
        <v>BPFI, PT Woori Finance Indonesia, Woori Finance Indonesia, Woori Finance Indonesia Tbk, WooriFinanceIndonesia</v>
      </c>
      <c r="K163" t="str">
        <f t="shared" si="30"/>
        <v>BPFI, PT Woori Finance Indonesia, Woori Finance Indonesia, Woori Finance Indonesia Tbk, WooriFinanceIndonesia</v>
      </c>
      <c r="L163" t="str">
        <f t="shared" si="26"/>
        <v>WooriFinanceIndonesia</v>
      </c>
      <c r="M163" t="str">
        <f t="shared" si="31"/>
        <v>BPFI, PT Woori Finance Indonesia, Woori Finance Indonesia, Woori Finance Indonesia Tbk</v>
      </c>
      <c r="N163" t="str">
        <f t="shared" si="32"/>
        <v>BPFI, PT Woori Finance Indonesia, Woori Finance Indonesia, Woori Finance Indonesia Tbk</v>
      </c>
    </row>
    <row r="164" spans="1:14" x14ac:dyDescent="0.2">
      <c r="A164" t="s">
        <v>280</v>
      </c>
      <c r="B164" t="s">
        <v>3532</v>
      </c>
      <c r="C164" t="s">
        <v>7963</v>
      </c>
      <c r="D164" t="str">
        <f t="shared" si="22"/>
        <v>BPII, BATAVIA PROSPERINDO INTERNASIONAL, Batavia Prosperindo Internasional, Batavia Prosperindo Internasional Tbk, BataviaProsperindoInternasional, PT Batavia Prosperindo Internasional, batavia prosperindo internasional</v>
      </c>
      <c r="E164" t="str">
        <f t="shared" si="23"/>
        <v>BPII, BATAVIA PROSPERINDO INTERNASIONAL, Batavia Prosperindo Internasional, Batavia Prosperindo Internasional Tbk, BataviaProsperindoInternasional, PT Batavia Prosperindo Internasional, batavia prosperindo internasional</v>
      </c>
      <c r="F164" t="str">
        <f t="shared" si="24"/>
        <v>batavia prosperindo internasional</v>
      </c>
      <c r="G164" t="str">
        <f t="shared" si="27"/>
        <v>BPII, BATAVIA PROSPERINDO INTERNASIONAL, Batavia Prosperindo Internasional, Batavia Prosperindo Internasional Tbk, BataviaProsperindoInternasional, PT Batavia Prosperindo Internasional</v>
      </c>
      <c r="H164" t="str">
        <f t="shared" si="28"/>
        <v>BPII, BATAVIA PROSPERINDO INTERNASIONAL, Batavia Prosperindo Internasional, Batavia Prosperindo Internasional Tbk, BataviaProsperindoInternasional, PT Batavia Prosperindo Internasional</v>
      </c>
      <c r="I164" t="str">
        <f t="shared" si="25"/>
        <v>BATAVIA PROSPERINDO INTERNASIONAL</v>
      </c>
      <c r="J164" t="str">
        <f t="shared" si="29"/>
        <v>BPII, Batavia Prosperindo Internasional, Batavia Prosperindo Internasional Tbk, BataviaProsperindoInternasional, PT Batavia Prosperindo Internasional</v>
      </c>
      <c r="K164" t="str">
        <f t="shared" si="30"/>
        <v>BPII, Batavia Prosperindo Internasional, Batavia Prosperindo Internasional Tbk, BataviaProsperindoInternasional, PT Batavia Prosperindo Internasional</v>
      </c>
      <c r="L164" t="str">
        <f t="shared" si="26"/>
        <v>BataviaProsperindoInternasional</v>
      </c>
      <c r="M164" t="str">
        <f t="shared" si="31"/>
        <v>BPII, Batavia Prosperindo Internasional, Batavia Prosperindo Internasional Tbk, PT Batavia Prosperindo Internasional</v>
      </c>
      <c r="N164" t="str">
        <f t="shared" si="32"/>
        <v>BPII, Batavia Prosperindo Internasional, Batavia Prosperindo Internasional Tbk, PT Batavia Prosperindo Internasional</v>
      </c>
    </row>
    <row r="165" spans="1:14" x14ac:dyDescent="0.2">
      <c r="A165" t="s">
        <v>1554</v>
      </c>
      <c r="B165" t="s">
        <v>1555</v>
      </c>
      <c r="C165" t="s">
        <v>7964</v>
      </c>
      <c r="D165" t="str">
        <f t="shared" si="22"/>
        <v>BPTR, BATAVIA PROSPERINDO TRANS, Batavia Prosperindo Trans, Batavia Prosperindo Trans Tbk, BataviaProsperindoTrans, PT Batavia Prosperindo Trans, batavia prosperindo trans</v>
      </c>
      <c r="E165" t="str">
        <f t="shared" si="23"/>
        <v>BPTR, BATAVIA PROSPERINDO TRANS, Batavia Prosperindo Trans, Batavia Prosperindo Trans Tbk, BataviaProsperindoTrans, PT Batavia Prosperindo Trans, batavia prosperindo trans</v>
      </c>
      <c r="F165" t="str">
        <f t="shared" si="24"/>
        <v>batavia prosperindo trans</v>
      </c>
      <c r="G165" t="str">
        <f t="shared" si="27"/>
        <v>BPTR, BATAVIA PROSPERINDO TRANS, Batavia Prosperindo Trans, Batavia Prosperindo Trans Tbk, BataviaProsperindoTrans, PT Batavia Prosperindo Trans</v>
      </c>
      <c r="H165" t="str">
        <f t="shared" si="28"/>
        <v>BPTR, BATAVIA PROSPERINDO TRANS, Batavia Prosperindo Trans, Batavia Prosperindo Trans Tbk, BataviaProsperindoTrans, PT Batavia Prosperindo Trans</v>
      </c>
      <c r="I165" t="str">
        <f t="shared" si="25"/>
        <v>BATAVIA PROSPERINDO TRANS</v>
      </c>
      <c r="J165" t="str">
        <f t="shared" si="29"/>
        <v>BPTR, Batavia Prosperindo Trans, Batavia Prosperindo Trans Tbk, BataviaProsperindoTrans, PT Batavia Prosperindo Trans</v>
      </c>
      <c r="K165" t="str">
        <f t="shared" si="30"/>
        <v>BPTR, Batavia Prosperindo Trans, Batavia Prosperindo Trans Tbk, BataviaProsperindoTrans, PT Batavia Prosperindo Trans</v>
      </c>
      <c r="L165" t="str">
        <f t="shared" si="26"/>
        <v>BataviaProsperindoTrans</v>
      </c>
      <c r="M165" t="str">
        <f t="shared" si="31"/>
        <v>BPTR, Batavia Prosperindo Trans, Batavia Prosperindo Trans Tbk, PT Batavia Prosperindo Trans</v>
      </c>
      <c r="N165" t="str">
        <f t="shared" si="32"/>
        <v>BPTR, Batavia Prosperindo Trans, Batavia Prosperindo Trans Tbk, PT Batavia Prosperindo Trans</v>
      </c>
    </row>
    <row r="166" spans="1:14" x14ac:dyDescent="0.2">
      <c r="A166" t="s">
        <v>282</v>
      </c>
      <c r="B166" t="s">
        <v>283</v>
      </c>
      <c r="C166" t="s">
        <v>7965</v>
      </c>
      <c r="D166" t="str">
        <f t="shared" si="22"/>
        <v>BRAM, INDO KORDSA, Indo Kordsa, Indo Kordsa Tbk, IndoKordsa, PT Indo Kordsa, indo kordsa</v>
      </c>
      <c r="E166" t="str">
        <f t="shared" si="23"/>
        <v>BRAM, INDO KORDSA, Indo Kordsa, Indo Kordsa Tbk, IndoKordsa, PT Indo Kordsa, indo kordsa</v>
      </c>
      <c r="F166" t="str">
        <f t="shared" si="24"/>
        <v>indo kordsa</v>
      </c>
      <c r="G166" t="str">
        <f t="shared" si="27"/>
        <v>BRAM, INDO KORDSA, Indo Kordsa, Indo Kordsa Tbk, IndoKordsa, PT Indo Kordsa</v>
      </c>
      <c r="H166" t="str">
        <f t="shared" si="28"/>
        <v>BRAM, INDO KORDSA, Indo Kordsa, Indo Kordsa Tbk, IndoKordsa, PT Indo Kordsa</v>
      </c>
      <c r="I166" t="str">
        <f t="shared" si="25"/>
        <v>INDO KORDSA</v>
      </c>
      <c r="J166" t="str">
        <f t="shared" si="29"/>
        <v>BRAM, Indo Kordsa, Indo Kordsa Tbk, IndoKordsa, PT Indo Kordsa</v>
      </c>
      <c r="K166" t="str">
        <f t="shared" si="30"/>
        <v>BRAM, Indo Kordsa, Indo Kordsa Tbk, IndoKordsa, PT Indo Kordsa</v>
      </c>
      <c r="L166" t="str">
        <f t="shared" si="26"/>
        <v>IndoKordsa</v>
      </c>
      <c r="M166" t="str">
        <f t="shared" si="31"/>
        <v>BRAM, Indo Kordsa, Indo Kordsa Tbk, PT Indo Kordsa</v>
      </c>
      <c r="N166" t="str">
        <f t="shared" si="32"/>
        <v>BRAM, Indo Kordsa, Indo Kordsa Tbk, PT Indo Kordsa</v>
      </c>
    </row>
    <row r="167" spans="1:14" x14ac:dyDescent="0.2">
      <c r="A167" t="s">
        <v>2387</v>
      </c>
      <c r="B167" t="s">
        <v>2388</v>
      </c>
      <c r="C167" t="s">
        <v>7966</v>
      </c>
      <c r="D167" t="str">
        <f t="shared" si="22"/>
        <v>BREN, BARITO RENEWABLES ENERGY, Barito Renewables Energy, Barito Renewables Energy Tbk, BaritoRenewablesEnergy, PT Barito Renewables Energy, barito renewables energy</v>
      </c>
      <c r="E167" t="str">
        <f t="shared" si="23"/>
        <v>BREN, BARITO RENEWABLES ENERGY, Barito Renewables Energy, Barito Renewables Energy Tbk, BaritoRenewablesEnergy, PT Barito Renewables Energy, barito renewables energy</v>
      </c>
      <c r="F167" t="str">
        <f t="shared" si="24"/>
        <v>barito renewables energy</v>
      </c>
      <c r="G167" t="str">
        <f t="shared" si="27"/>
        <v>BREN, BARITO RENEWABLES ENERGY, Barito Renewables Energy, Barito Renewables Energy Tbk, BaritoRenewablesEnergy, PT Barito Renewables Energy</v>
      </c>
      <c r="H167" t="str">
        <f t="shared" si="28"/>
        <v>BREN, BARITO RENEWABLES ENERGY, Barito Renewables Energy, Barito Renewables Energy Tbk, BaritoRenewablesEnergy, PT Barito Renewables Energy</v>
      </c>
      <c r="I167" t="str">
        <f t="shared" si="25"/>
        <v>BARITO RENEWABLES ENERGY</v>
      </c>
      <c r="J167" t="str">
        <f t="shared" si="29"/>
        <v>BREN, Barito Renewables Energy, Barito Renewables Energy Tbk, BaritoRenewablesEnergy, PT Barito Renewables Energy</v>
      </c>
      <c r="K167" t="str">
        <f t="shared" si="30"/>
        <v>BREN, Barito Renewables Energy, Barito Renewables Energy Tbk, BaritoRenewablesEnergy, PT Barito Renewables Energy</v>
      </c>
      <c r="L167" t="str">
        <f t="shared" si="26"/>
        <v>BaritoRenewablesEnergy</v>
      </c>
      <c r="M167" t="str">
        <f t="shared" si="31"/>
        <v>BREN, Barito Renewables Energy, Barito Renewables Energy Tbk, PT Barito Renewables Energy</v>
      </c>
      <c r="N167" t="str">
        <f t="shared" si="32"/>
        <v>BREN, Barito Renewables Energy, Barito Renewables Energy Tbk, PT Barito Renewables Energy</v>
      </c>
    </row>
    <row r="168" spans="1:14" x14ac:dyDescent="0.2">
      <c r="A168" t="s">
        <v>1389</v>
      </c>
      <c r="B168" t="s">
        <v>1390</v>
      </c>
      <c r="C168" t="s">
        <v>7967</v>
      </c>
      <c r="D168" t="str">
        <f t="shared" si="22"/>
        <v>BRIS, BSI, BANK SYARIAH INDONESIA, Bank Syariah Indonesia, Bank Syariah Indonesia Tbk, BankSyariahIndonesia, PT Bank Syariah Indonesia, bank syariah indonesia</v>
      </c>
      <c r="E168" t="str">
        <f t="shared" si="23"/>
        <v>BRIS, BSI, BANK SYARIAH INDONESIA, Bank Syariah Indonesia, Bank Syariah Indonesia Tbk, BankSyariahIndonesia, PT Bank Syariah Indonesia, bank syariah indonesia</v>
      </c>
      <c r="F168" t="str">
        <f t="shared" si="24"/>
        <v>bank syariah indonesia</v>
      </c>
      <c r="G168" t="str">
        <f t="shared" si="27"/>
        <v>BRIS, BSI, BANK SYARIAH INDONESIA, Bank Syariah Indonesia, Bank Syariah Indonesia Tbk, BankSyariahIndonesia, PT Bank Syariah Indonesia</v>
      </c>
      <c r="H168" t="str">
        <f t="shared" si="28"/>
        <v>BRIS, BSI, BANK SYARIAH INDONESIA, Bank Syariah Indonesia, Bank Syariah Indonesia Tbk, BankSyariahIndonesia, PT Bank Syariah Indonesia</v>
      </c>
      <c r="I168" t="str">
        <f t="shared" si="25"/>
        <v>BANK SYARIAH INDONESIA</v>
      </c>
      <c r="J168" t="str">
        <f t="shared" si="29"/>
        <v>BRIS, BSI, Bank Syariah Indonesia, Bank Syariah Indonesia Tbk, BankSyariahIndonesia, PT Bank Syariah Indonesia</v>
      </c>
      <c r="K168" t="str">
        <f t="shared" si="30"/>
        <v>BRIS, BSI, Bank Syariah Indonesia, Bank Syariah Indonesia Tbk, BankSyariahIndonesia, PT Bank Syariah Indonesia</v>
      </c>
      <c r="L168" t="str">
        <f t="shared" si="26"/>
        <v>BankSyariahIndonesia</v>
      </c>
      <c r="M168" t="str">
        <f t="shared" si="31"/>
        <v>BRIS, BSI, Bank Syariah Indonesia, Bank Syariah Indonesia Tbk, PT Bank Syariah Indonesia</v>
      </c>
      <c r="N168" t="str">
        <f t="shared" si="32"/>
        <v>BRIS, BSI, Bank Syariah Indonesia, Bank Syariah Indonesia Tbk, PT Bank Syariah Indonesia</v>
      </c>
    </row>
    <row r="169" spans="1:14" x14ac:dyDescent="0.2">
      <c r="A169" t="s">
        <v>285</v>
      </c>
      <c r="B169" t="s">
        <v>286</v>
      </c>
      <c r="C169" t="s">
        <v>7968</v>
      </c>
      <c r="D169" t="str">
        <f t="shared" si="22"/>
        <v>BRMS, BUMI RESOURCES MINERALS, Bumi Resources Minerals, Bumi Resources Minerals Tbk, BumiResourcesMinerals, PT Bumi Resources Minerals, bumi resources minerals</v>
      </c>
      <c r="E169" t="str">
        <f t="shared" si="23"/>
        <v>BRMS, BUMI RESOURCES MINERALS, Bumi Resources Minerals, Bumi Resources Minerals Tbk, BumiResourcesMinerals, PT Bumi Resources Minerals, bumi resources minerals</v>
      </c>
      <c r="F169" t="str">
        <f t="shared" si="24"/>
        <v>bumi resources minerals</v>
      </c>
      <c r="G169" t="str">
        <f t="shared" si="27"/>
        <v>BRMS, BUMI RESOURCES MINERALS, Bumi Resources Minerals, Bumi Resources Minerals Tbk, BumiResourcesMinerals, PT Bumi Resources Minerals</v>
      </c>
      <c r="H169" t="str">
        <f t="shared" si="28"/>
        <v>BRMS, BUMI RESOURCES MINERALS, Bumi Resources Minerals, Bumi Resources Minerals Tbk, BumiResourcesMinerals, PT Bumi Resources Minerals</v>
      </c>
      <c r="I169" t="str">
        <f t="shared" si="25"/>
        <v>BUMI RESOURCES MINERALS</v>
      </c>
      <c r="J169" t="str">
        <f t="shared" si="29"/>
        <v>BRMS, Bumi Resources Minerals, Bumi Resources Minerals Tbk, BumiResourcesMinerals, PT Bumi Resources Minerals</v>
      </c>
      <c r="K169" t="str">
        <f t="shared" si="30"/>
        <v>BRMS, Bumi Resources Minerals, Bumi Resources Minerals Tbk, BumiResourcesMinerals, PT Bumi Resources Minerals</v>
      </c>
      <c r="L169" t="str">
        <f t="shared" si="26"/>
        <v>BumiResourcesMinerals</v>
      </c>
      <c r="M169" t="str">
        <f t="shared" si="31"/>
        <v>BRMS, Bumi Resources Minerals, Bumi Resources Minerals Tbk, PT Bumi Resources Minerals</v>
      </c>
      <c r="N169" t="str">
        <f t="shared" si="32"/>
        <v>BRMS, Bumi Resources Minerals, Bumi Resources Minerals Tbk, PT Bumi Resources Minerals</v>
      </c>
    </row>
    <row r="170" spans="1:14" x14ac:dyDescent="0.2">
      <c r="A170" t="s">
        <v>288</v>
      </c>
      <c r="B170" t="s">
        <v>289</v>
      </c>
      <c r="C170" t="s">
        <v>7969</v>
      </c>
      <c r="D170" t="str">
        <f t="shared" si="22"/>
        <v>BRNA, BERLINA, Berlina, Berlina Tbk, PT Berlina, berlina</v>
      </c>
      <c r="E170" t="str">
        <f t="shared" si="23"/>
        <v>BRNA, BERLINA, Berlina, Berlina Tbk, PT Berlina, berlina</v>
      </c>
      <c r="F170" t="str">
        <f t="shared" si="24"/>
        <v>berlina</v>
      </c>
      <c r="G170" t="str">
        <f t="shared" si="27"/>
        <v>BRNA, BERLINA, Berlina, Berlina Tbk, PT Berlina</v>
      </c>
      <c r="H170" t="str">
        <f t="shared" si="28"/>
        <v>BRNA, BERLINA, Berlina, Berlina Tbk, PT Berlina</v>
      </c>
      <c r="I170" t="str">
        <f t="shared" si="25"/>
        <v>BERLINA</v>
      </c>
      <c r="J170" t="str">
        <f t="shared" si="29"/>
        <v>BRNA, Berlina, Berlina Tbk, PT Berlina</v>
      </c>
      <c r="K170" t="str">
        <f t="shared" si="30"/>
        <v>BRNA, Berlina, Berlina Tbk, PT Berlina</v>
      </c>
      <c r="L170" t="str">
        <f t="shared" si="26"/>
        <v>Berlina</v>
      </c>
      <c r="M170" t="str">
        <f t="shared" si="31"/>
        <v>BRNA Tbk, PT Berlina</v>
      </c>
      <c r="N170" t="str">
        <f t="shared" si="32"/>
        <v>BRNA Tbk, PT Berlina</v>
      </c>
    </row>
    <row r="171" spans="1:14" x14ac:dyDescent="0.2">
      <c r="A171" t="s">
        <v>291</v>
      </c>
      <c r="B171" t="s">
        <v>292</v>
      </c>
      <c r="C171" t="s">
        <v>7970</v>
      </c>
      <c r="D171" t="str">
        <f t="shared" si="22"/>
        <v>BRPT, BARITO PACIFIC, Barito Pacific, Barito Pacific Tbk, BaritoPacific, PT Barito Pacific, barito pacific</v>
      </c>
      <c r="E171" t="str">
        <f t="shared" si="23"/>
        <v>BRPT, BARITO PACIFIC, Barito Pacific, Barito Pacific Tbk, BaritoPacific, PT Barito Pacific, barito pacific</v>
      </c>
      <c r="F171" t="str">
        <f t="shared" si="24"/>
        <v>barito pacific</v>
      </c>
      <c r="G171" t="str">
        <f t="shared" si="27"/>
        <v>BRPT, BARITO PACIFIC, Barito Pacific, Barito Pacific Tbk, BaritoPacific, PT Barito Pacific</v>
      </c>
      <c r="H171" t="str">
        <f t="shared" si="28"/>
        <v>BRPT, BARITO PACIFIC, Barito Pacific, Barito Pacific Tbk, BaritoPacific, PT Barito Pacific</v>
      </c>
      <c r="I171" t="str">
        <f t="shared" si="25"/>
        <v>BARITO PACIFIC</v>
      </c>
      <c r="J171" t="str">
        <f t="shared" si="29"/>
        <v>BRPT, Barito Pacific, Barito Pacific Tbk, BaritoPacific, PT Barito Pacific</v>
      </c>
      <c r="K171" t="str">
        <f t="shared" si="30"/>
        <v>BRPT, Barito Pacific, Barito Pacific Tbk, BaritoPacific, PT Barito Pacific</v>
      </c>
      <c r="L171" t="str">
        <f t="shared" si="26"/>
        <v>BaritoPacific</v>
      </c>
      <c r="M171" t="str">
        <f t="shared" si="31"/>
        <v>BRPT, Barito Pacific, Barito Pacific Tbk, PT Barito Pacific</v>
      </c>
      <c r="N171" t="str">
        <f t="shared" si="32"/>
        <v>BRPT, Barito Pacific, Barito Pacific Tbk, PT Barito Pacific</v>
      </c>
    </row>
    <row r="172" spans="1:14" x14ac:dyDescent="0.2">
      <c r="A172" t="s">
        <v>2523</v>
      </c>
      <c r="B172" t="s">
        <v>2524</v>
      </c>
      <c r="C172" t="s">
        <v>7971</v>
      </c>
      <c r="D172" t="str">
        <f t="shared" si="22"/>
        <v>BRRC, PT Raja Roti Cemerlang, RAJA ROTI CEMERLANG, Raja Roti Cemerlang, Raja Roti Cemerlang Tbk, RajaRotiCemerlang, raja roti cemerlang</v>
      </c>
      <c r="E172" t="str">
        <f t="shared" si="23"/>
        <v>BRRC, PT Raja Roti Cemerlang, RAJA ROTI CEMERLANG, Raja Roti Cemerlang, Raja Roti Cemerlang Tbk, RajaRotiCemerlang, raja roti cemerlang</v>
      </c>
      <c r="F172" t="str">
        <f t="shared" si="24"/>
        <v>raja roti cemerlang</v>
      </c>
      <c r="G172" t="str">
        <f t="shared" si="27"/>
        <v>BRRC, PT Raja Roti Cemerlang, RAJA ROTI CEMERLANG, Raja Roti Cemerlang, Raja Roti Cemerlang Tbk, RajaRotiCemerlang</v>
      </c>
      <c r="H172" t="str">
        <f t="shared" si="28"/>
        <v>BRRC, PT Raja Roti Cemerlang, RAJA ROTI CEMERLANG, Raja Roti Cemerlang, Raja Roti Cemerlang Tbk, RajaRotiCemerlang</v>
      </c>
      <c r="I172" t="str">
        <f t="shared" si="25"/>
        <v>RAJA ROTI CEMERLANG</v>
      </c>
      <c r="J172" t="str">
        <f t="shared" si="29"/>
        <v>BRRC, PT Raja Roti Cemerlang, Raja Roti Cemerlang, Raja Roti Cemerlang Tbk, RajaRotiCemerlang</v>
      </c>
      <c r="K172" t="str">
        <f t="shared" si="30"/>
        <v>BRRC, PT Raja Roti Cemerlang, Raja Roti Cemerlang, Raja Roti Cemerlang Tbk, RajaRotiCemerlang</v>
      </c>
      <c r="L172" t="str">
        <f t="shared" si="26"/>
        <v>RajaRotiCemerlang</v>
      </c>
      <c r="M172" t="str">
        <f t="shared" si="31"/>
        <v>BRRC, PT Raja Roti Cemerlang, Raja Roti Cemerlang, Raja Roti Cemerlang Tbk</v>
      </c>
      <c r="N172" t="str">
        <f t="shared" si="32"/>
        <v>BRRC, PT Raja Roti Cemerlang, Raja Roti Cemerlang, Raja Roti Cemerlang Tbk</v>
      </c>
    </row>
    <row r="173" spans="1:14" x14ac:dyDescent="0.2">
      <c r="A173" t="s">
        <v>2190</v>
      </c>
      <c r="B173" t="s">
        <v>2191</v>
      </c>
      <c r="C173" t="s">
        <v>7972</v>
      </c>
      <c r="D173" t="str">
        <f t="shared" si="22"/>
        <v>BSBK, PT Wulandari Bangun Laksana, WULANDARI BANGUN LAKSANA, Wulandari Bangun Laksana, Wulandari Bangun Laksana Tbk, WulandariBangunLaksana, wulandari bangun laksana</v>
      </c>
      <c r="E173" t="str">
        <f t="shared" si="23"/>
        <v>BSBK, PT Wulandari Bangun Laksana, WULANDARI BANGUN LAKSANA, Wulandari Bangun Laksana, Wulandari Bangun Laksana Tbk, WulandariBangunLaksana, wulandari bangun laksana</v>
      </c>
      <c r="F173" t="str">
        <f t="shared" si="24"/>
        <v>wulandari bangun laksana</v>
      </c>
      <c r="G173" t="str">
        <f t="shared" si="27"/>
        <v>BSBK, PT Wulandari Bangun Laksana, WULANDARI BANGUN LAKSANA, Wulandari Bangun Laksana, Wulandari Bangun Laksana Tbk, WulandariBangunLaksana</v>
      </c>
      <c r="H173" t="str">
        <f t="shared" si="28"/>
        <v>BSBK, PT Wulandari Bangun Laksana, WULANDARI BANGUN LAKSANA, Wulandari Bangun Laksana, Wulandari Bangun Laksana Tbk, WulandariBangunLaksana</v>
      </c>
      <c r="I173" t="str">
        <f t="shared" si="25"/>
        <v>WULANDARI BANGUN LAKSANA</v>
      </c>
      <c r="J173" t="str">
        <f t="shared" si="29"/>
        <v>BSBK, PT Wulandari Bangun Laksana, Wulandari Bangun Laksana, Wulandari Bangun Laksana Tbk, WulandariBangunLaksana</v>
      </c>
      <c r="K173" t="str">
        <f t="shared" si="30"/>
        <v>BSBK, PT Wulandari Bangun Laksana, Wulandari Bangun Laksana, Wulandari Bangun Laksana Tbk, WulandariBangunLaksana</v>
      </c>
      <c r="L173" t="str">
        <f t="shared" si="26"/>
        <v>WulandariBangunLaksana</v>
      </c>
      <c r="M173" t="str">
        <f t="shared" si="31"/>
        <v>BSBK, PT Wulandari Bangun Laksana, Wulandari Bangun Laksana, Wulandari Bangun Laksana Tbk</v>
      </c>
      <c r="N173" t="str">
        <f t="shared" si="32"/>
        <v>BSBK, PT Wulandari Bangun Laksana, Wulandari Bangun Laksana, Wulandari Bangun Laksana Tbk</v>
      </c>
    </row>
    <row r="174" spans="1:14" x14ac:dyDescent="0.2">
      <c r="A174" t="s">
        <v>294</v>
      </c>
      <c r="B174" t="s">
        <v>295</v>
      </c>
      <c r="C174" t="s">
        <v>7973</v>
      </c>
      <c r="D174" t="str">
        <f t="shared" si="22"/>
        <v>BSDE, BSD, BUMI SERPONG DAMAI, Bumi Serpong Damai, Bumi Serpong Damai Tbk, BumiSerpongDamai, PT Bumi Serpong Damai, bumi serpong damai</v>
      </c>
      <c r="E174" t="str">
        <f t="shared" si="23"/>
        <v>BSDE, BSD, BUMI SERPONG DAMAI, Bumi Serpong Damai, Bumi Serpong Damai Tbk, BumiSerpongDamai, PT Bumi Serpong Damai, bumi serpong damai</v>
      </c>
      <c r="F174" t="str">
        <f t="shared" si="24"/>
        <v>bumi serpong damai</v>
      </c>
      <c r="G174" t="str">
        <f t="shared" si="27"/>
        <v>BSDE, BSD, BUMI SERPONG DAMAI, Bumi Serpong Damai, Bumi Serpong Damai Tbk, BumiSerpongDamai, PT Bumi Serpong Damai</v>
      </c>
      <c r="H174" t="str">
        <f t="shared" si="28"/>
        <v>BSDE, BSD, BUMI SERPONG DAMAI, Bumi Serpong Damai, Bumi Serpong Damai Tbk, BumiSerpongDamai, PT Bumi Serpong Damai</v>
      </c>
      <c r="I174" t="str">
        <f t="shared" si="25"/>
        <v>BUMI SERPONG DAMAI</v>
      </c>
      <c r="J174" t="str">
        <f t="shared" si="29"/>
        <v>BSDE, BSD, Bumi Serpong Damai, Bumi Serpong Damai Tbk, BumiSerpongDamai, PT Bumi Serpong Damai</v>
      </c>
      <c r="K174" t="str">
        <f t="shared" si="30"/>
        <v>BSDE, BSD, Bumi Serpong Damai, Bumi Serpong Damai Tbk, BumiSerpongDamai, PT Bumi Serpong Damai</v>
      </c>
      <c r="L174" t="str">
        <f t="shared" si="26"/>
        <v>BumiSerpongDamai</v>
      </c>
      <c r="M174" t="str">
        <f t="shared" si="31"/>
        <v>BSDE, BSD, Bumi Serpong Damai, Bumi Serpong Damai Tbk, PT Bumi Serpong Damai</v>
      </c>
      <c r="N174" t="str">
        <f t="shared" si="32"/>
        <v>BSDE, BSD, Bumi Serpong Damai, Bumi Serpong Damai Tbk, PT Bumi Serpong Damai</v>
      </c>
    </row>
    <row r="175" spans="1:14" x14ac:dyDescent="0.2">
      <c r="A175" t="s">
        <v>297</v>
      </c>
      <c r="B175" t="s">
        <v>298</v>
      </c>
      <c r="C175" t="s">
        <v>7974</v>
      </c>
      <c r="D175" t="str">
        <f t="shared" si="22"/>
        <v>BSIM, BANK SINARMAS, Bank Sinarmas, Bank Sinarmas Tbk, BankSinarmas, PT Bank Sinarmas, Sinarmas, bank sinarmas</v>
      </c>
      <c r="E175" t="str">
        <f t="shared" si="23"/>
        <v>BSIM, BANK SINARMAS, Bank Sinarmas, Bank Sinarmas Tbk, BankSinarmas, PT Bank Sinarmas, Sinarmas, bank sinarmas</v>
      </c>
      <c r="F175" t="str">
        <f t="shared" si="24"/>
        <v>bank sinarmas</v>
      </c>
      <c r="G175" t="str">
        <f t="shared" si="27"/>
        <v>BSIM, BANK SINARMAS, Bank Sinarmas, Bank Sinarmas Tbk, BankSinarmas, PT Bank Sinarmas, Sinarmas</v>
      </c>
      <c r="H175" t="str">
        <f t="shared" si="28"/>
        <v>BSIM, BANK SINARMAS, Bank Sinarmas, Bank Sinarmas Tbk, BankSinarmas, PT Bank Sinarmas, Sinarmas</v>
      </c>
      <c r="I175" t="str">
        <f t="shared" si="25"/>
        <v>BANK SINARMAS</v>
      </c>
      <c r="J175" t="str">
        <f t="shared" si="29"/>
        <v>BSIM, Bank Sinarmas, Bank Sinarmas Tbk, BankSinarmas, PT Bank Sinarmas, Sinarmas</v>
      </c>
      <c r="K175" t="str">
        <f t="shared" si="30"/>
        <v>BSIM, Bank Sinarmas, Bank Sinarmas Tbk, BankSinarmas, PT Bank Sinarmas, Sinarmas</v>
      </c>
      <c r="L175" t="str">
        <f t="shared" si="26"/>
        <v>BankSinarmas</v>
      </c>
      <c r="M175" t="str">
        <f t="shared" si="31"/>
        <v>BSIM, Bank Sinarmas, Bank Sinarmas Tbk, PT Bank Sinarmas, Sinarmas</v>
      </c>
      <c r="N175" t="str">
        <f t="shared" si="32"/>
        <v>BSIM, Bank Sinarmas, Bank Sinarmas Tbk, PT Bank Sinarmas, Sinarmas</v>
      </c>
    </row>
    <row r="176" spans="1:14" x14ac:dyDescent="0.2">
      <c r="A176" t="s">
        <v>2055</v>
      </c>
      <c r="B176" t="s">
        <v>3533</v>
      </c>
      <c r="C176" t="s">
        <v>7975</v>
      </c>
      <c r="D176" t="str">
        <f t="shared" si="22"/>
        <v>BSML, BINTANG SAMUDERA MANDIRI LINES, Bintang Samudera Mandiri Lines, Bintang Samudera Mandiri Lines Tbk, BintangSamuderaMandiriLines, PT Bintang Samudera Mandiri Lines, bintang samudera mandiri lines</v>
      </c>
      <c r="E176" t="str">
        <f t="shared" si="23"/>
        <v>BSML, BINTANG SAMUDERA MANDIRI LINES, Bintang Samudera Mandiri Lines, Bintang Samudera Mandiri Lines Tbk, BintangSamuderaMandiriLines, PT Bintang Samudera Mandiri Lines, bintang samudera mandiri lines</v>
      </c>
      <c r="F176" t="str">
        <f t="shared" si="24"/>
        <v>bintang samudera mandiri lines</v>
      </c>
      <c r="G176" t="str">
        <f t="shared" si="27"/>
        <v>BSML, BINTANG SAMUDERA MANDIRI LINES, Bintang Samudera Mandiri Lines, Bintang Samudera Mandiri Lines Tbk, BintangSamuderaMandiriLines, PT Bintang Samudera Mandiri Lines</v>
      </c>
      <c r="H176" t="str">
        <f t="shared" si="28"/>
        <v>BSML, BINTANG SAMUDERA MANDIRI LINES, Bintang Samudera Mandiri Lines, Bintang Samudera Mandiri Lines Tbk, BintangSamuderaMandiriLines, PT Bintang Samudera Mandiri Lines</v>
      </c>
      <c r="I176" t="str">
        <f t="shared" si="25"/>
        <v>BINTANG SAMUDERA MANDIRI LINES</v>
      </c>
      <c r="J176" t="str">
        <f t="shared" si="29"/>
        <v>BSML, Bintang Samudera Mandiri Lines, Bintang Samudera Mandiri Lines Tbk, BintangSamuderaMandiriLines, PT Bintang Samudera Mandiri Lines</v>
      </c>
      <c r="K176" t="str">
        <f t="shared" si="30"/>
        <v>BSML, Bintang Samudera Mandiri Lines, Bintang Samudera Mandiri Lines Tbk, BintangSamuderaMandiriLines, PT Bintang Samudera Mandiri Lines</v>
      </c>
      <c r="L176" t="str">
        <f t="shared" si="26"/>
        <v>BintangSamuderaMandiriLines</v>
      </c>
      <c r="M176" t="str">
        <f t="shared" si="31"/>
        <v>BSML, Bintang Samudera Mandiri Lines, Bintang Samudera Mandiri Lines Tbk, PT Bintang Samudera Mandiri Lines</v>
      </c>
      <c r="N176" t="str">
        <f t="shared" si="32"/>
        <v>BSML, Bintang Samudera Mandiri Lines, Bintang Samudera Mandiri Lines Tbk, PT Bintang Samudera Mandiri Lines</v>
      </c>
    </row>
    <row r="177" spans="1:14" x14ac:dyDescent="0.2">
      <c r="A177" t="s">
        <v>300</v>
      </c>
      <c r="B177" t="s">
        <v>301</v>
      </c>
      <c r="C177" t="s">
        <v>7976</v>
      </c>
      <c r="D177" t="str">
        <f t="shared" si="22"/>
        <v>BSSR, BARAMULTI SUKSESSARANA, Baramulti Suksessarana, Baramulti Suksessarana Tbk, BaramultiSuksessarana, PT Baramulti Suksessarana, baramulti suksessarana</v>
      </c>
      <c r="E177" t="str">
        <f t="shared" si="23"/>
        <v>BSSR, BARAMULTI SUKSESSARANA, Baramulti Suksessarana, Baramulti Suksessarana Tbk, BaramultiSuksessarana, PT Baramulti Suksessarana, baramulti suksessarana</v>
      </c>
      <c r="F177" t="str">
        <f t="shared" si="24"/>
        <v>baramulti suksessarana</v>
      </c>
      <c r="G177" t="str">
        <f t="shared" si="27"/>
        <v>BSSR, BARAMULTI SUKSESSARANA, Baramulti Suksessarana, Baramulti Suksessarana Tbk, BaramultiSuksessarana, PT Baramulti Suksessarana</v>
      </c>
      <c r="H177" t="str">
        <f t="shared" si="28"/>
        <v>BSSR, BARAMULTI SUKSESSARANA, Baramulti Suksessarana, Baramulti Suksessarana Tbk, BaramultiSuksessarana, PT Baramulti Suksessarana</v>
      </c>
      <c r="I177" t="str">
        <f t="shared" si="25"/>
        <v>BARAMULTI SUKSESSARANA</v>
      </c>
      <c r="J177" t="str">
        <f t="shared" si="29"/>
        <v>BSSR, Baramulti Suksessarana, Baramulti Suksessarana Tbk, BaramultiSuksessarana, PT Baramulti Suksessarana</v>
      </c>
      <c r="K177" t="str">
        <f t="shared" si="30"/>
        <v>BSSR, Baramulti Suksessarana, Baramulti Suksessarana Tbk, BaramultiSuksessarana, PT Baramulti Suksessarana</v>
      </c>
      <c r="L177" t="str">
        <f t="shared" si="26"/>
        <v>BaramultiSuksessarana</v>
      </c>
      <c r="M177" t="str">
        <f t="shared" si="31"/>
        <v>BSSR, Baramulti Suksessarana, Baramulti Suksessarana Tbk, PT Baramulti Suksessarana</v>
      </c>
      <c r="N177" t="str">
        <f t="shared" si="32"/>
        <v>BSSR, Baramulti Suksessarana, Baramulti Suksessarana Tbk, PT Baramulti Suksessarana</v>
      </c>
    </row>
    <row r="178" spans="1:14" x14ac:dyDescent="0.2">
      <c r="A178" t="s">
        <v>303</v>
      </c>
      <c r="B178" t="s">
        <v>304</v>
      </c>
      <c r="C178" t="s">
        <v>7977</v>
      </c>
      <c r="D178" t="str">
        <f t="shared" si="22"/>
        <v>BSWD, BANK OF INDIA INDONESIA, Bank Of India Indonesia, Bank Of India Indonesia Tbk, BankOfIndiaIndonesia, PT Bank Of India Indonesia, bank of india indonesia</v>
      </c>
      <c r="E178" t="str">
        <f t="shared" si="23"/>
        <v>BSWD, BANK OF INDIA INDONESIA, Bank Of India Indonesia, Bank Of India Indonesia Tbk, BankOfIndiaIndonesia, PT Bank Of India Indonesia, bank of india indonesia</v>
      </c>
      <c r="F178" t="str">
        <f t="shared" si="24"/>
        <v>bank of india indonesia</v>
      </c>
      <c r="G178" t="str">
        <f t="shared" si="27"/>
        <v>BSWD, BANK OF INDIA INDONESIA, Bank Of India Indonesia, Bank Of India Indonesia Tbk, BankOfIndiaIndonesia, PT Bank Of India Indonesia</v>
      </c>
      <c r="H178" t="str">
        <f t="shared" si="28"/>
        <v>BSWD, BANK OF INDIA INDONESIA, Bank Of India Indonesia, Bank Of India Indonesia Tbk, BankOfIndiaIndonesia, PT Bank Of India Indonesia</v>
      </c>
      <c r="I178" t="str">
        <f t="shared" si="25"/>
        <v>BANK OF INDIA INDONESIA</v>
      </c>
      <c r="J178" t="str">
        <f t="shared" si="29"/>
        <v>BSWD, Bank Of India Indonesia, Bank Of India Indonesia Tbk, BankOfIndiaIndonesia, PT Bank Of India Indonesia</v>
      </c>
      <c r="K178" t="str">
        <f t="shared" si="30"/>
        <v>BSWD, Bank Of India Indonesia, Bank Of India Indonesia Tbk, BankOfIndiaIndonesia, PT Bank Of India Indonesia</v>
      </c>
      <c r="L178" t="str">
        <f t="shared" si="26"/>
        <v>BankOfIndiaIndonesia</v>
      </c>
      <c r="M178" t="str">
        <f t="shared" si="31"/>
        <v>BSWD, Bank Of India Indonesia, Bank Of India Indonesia Tbk, PT Bank Of India Indonesia</v>
      </c>
      <c r="N178" t="str">
        <f t="shared" si="32"/>
        <v>BSWD, Bank Of India Indonesia, Bank Of India Indonesia Tbk, PT Bank Of India Indonesia</v>
      </c>
    </row>
    <row r="179" spans="1:14" x14ac:dyDescent="0.2">
      <c r="A179" t="s">
        <v>306</v>
      </c>
      <c r="B179" t="s">
        <v>3534</v>
      </c>
      <c r="C179" t="s">
        <v>7978</v>
      </c>
      <c r="D179" t="str">
        <f t="shared" si="22"/>
        <v>BTEK, BUMI TEKNOKULTURA UNGGUL, Bumi Teknokultura Unggul, Bumi Teknokultura Unggul Tbk, BumiTeknokulturaUnggul, PT Bumi Teknokultura Unggul, bumi teknokultura unggul</v>
      </c>
      <c r="E179" t="str">
        <f t="shared" si="23"/>
        <v>BTEK, BUMI TEKNOKULTURA UNGGUL, Bumi Teknokultura Unggul, Bumi Teknokultura Unggul Tbk, BumiTeknokulturaUnggul, PT Bumi Teknokultura Unggul, bumi teknokultura unggul</v>
      </c>
      <c r="F179" t="str">
        <f t="shared" si="24"/>
        <v>bumi teknokultura unggul</v>
      </c>
      <c r="G179" t="str">
        <f t="shared" si="27"/>
        <v>BTEK, BUMI TEKNOKULTURA UNGGUL, Bumi Teknokultura Unggul, Bumi Teknokultura Unggul Tbk, BumiTeknokulturaUnggul, PT Bumi Teknokultura Unggul</v>
      </c>
      <c r="H179" t="str">
        <f t="shared" si="28"/>
        <v>BTEK, BUMI TEKNOKULTURA UNGGUL, Bumi Teknokultura Unggul, Bumi Teknokultura Unggul Tbk, BumiTeknokulturaUnggul, PT Bumi Teknokultura Unggul</v>
      </c>
      <c r="I179" t="str">
        <f t="shared" si="25"/>
        <v>BUMI TEKNOKULTURA UNGGUL</v>
      </c>
      <c r="J179" t="str">
        <f t="shared" si="29"/>
        <v>BTEK, Bumi Teknokultura Unggul, Bumi Teknokultura Unggul Tbk, BumiTeknokulturaUnggul, PT Bumi Teknokultura Unggul</v>
      </c>
      <c r="K179" t="str">
        <f t="shared" si="30"/>
        <v>BTEK, Bumi Teknokultura Unggul, Bumi Teknokultura Unggul Tbk, BumiTeknokulturaUnggul, PT Bumi Teknokultura Unggul</v>
      </c>
      <c r="L179" t="str">
        <f t="shared" si="26"/>
        <v>BumiTeknokulturaUnggul</v>
      </c>
      <c r="M179" t="str">
        <f t="shared" si="31"/>
        <v>BTEK, Bumi Teknokultura Unggul, Bumi Teknokultura Unggul Tbk, PT Bumi Teknokultura Unggul</v>
      </c>
      <c r="N179" t="str">
        <f t="shared" si="32"/>
        <v>BTEK, Bumi Teknokultura Unggul, Bumi Teknokultura Unggul Tbk, PT Bumi Teknokultura Unggul</v>
      </c>
    </row>
    <row r="180" spans="1:14" x14ac:dyDescent="0.2">
      <c r="A180" t="s">
        <v>309</v>
      </c>
      <c r="B180" t="s">
        <v>310</v>
      </c>
      <c r="C180" t="s">
        <v>7979</v>
      </c>
      <c r="D180" t="str">
        <f t="shared" si="22"/>
        <v>BTEL, BAKRIE TELECOM, Bakrie Telecom, Bakrie Telecom Tbk, BakrieTelecom, PT Bakrie Telecom, bakrie telecom</v>
      </c>
      <c r="E180" t="str">
        <f t="shared" si="23"/>
        <v>BTEL, BAKRIE TELECOM, Bakrie Telecom, Bakrie Telecom Tbk, BakrieTelecom, PT Bakrie Telecom, bakrie telecom</v>
      </c>
      <c r="F180" t="str">
        <f t="shared" si="24"/>
        <v>bakrie telecom</v>
      </c>
      <c r="G180" t="str">
        <f t="shared" si="27"/>
        <v>BTEL, BAKRIE TELECOM, Bakrie Telecom, Bakrie Telecom Tbk, BakrieTelecom, PT Bakrie Telecom</v>
      </c>
      <c r="H180" t="str">
        <f t="shared" si="28"/>
        <v>BTEL, BAKRIE TELECOM, Bakrie Telecom, Bakrie Telecom Tbk, BakrieTelecom, PT Bakrie Telecom</v>
      </c>
      <c r="I180" t="str">
        <f t="shared" si="25"/>
        <v>BAKRIE TELECOM</v>
      </c>
      <c r="J180" t="str">
        <f t="shared" si="29"/>
        <v>BTEL, Bakrie Telecom, Bakrie Telecom Tbk, BakrieTelecom, PT Bakrie Telecom</v>
      </c>
      <c r="K180" t="str">
        <f t="shared" si="30"/>
        <v>BTEL, Bakrie Telecom, Bakrie Telecom Tbk, BakrieTelecom, PT Bakrie Telecom</v>
      </c>
      <c r="L180" t="str">
        <f t="shared" si="26"/>
        <v>BakrieTelecom</v>
      </c>
      <c r="M180" t="str">
        <f t="shared" si="31"/>
        <v>BTEL, Bakrie Telecom, Bakrie Telecom Tbk, PT Bakrie Telecom</v>
      </c>
      <c r="N180" t="str">
        <f t="shared" si="32"/>
        <v>BTEL, Bakrie Telecom, Bakrie Telecom Tbk, PT Bakrie Telecom</v>
      </c>
    </row>
    <row r="181" spans="1:14" x14ac:dyDescent="0.2">
      <c r="A181" t="s">
        <v>312</v>
      </c>
      <c r="B181" t="s">
        <v>313</v>
      </c>
      <c r="C181" t="s">
        <v>7980</v>
      </c>
      <c r="D181" t="str">
        <f t="shared" si="22"/>
        <v>BTON, BETONJAYA MANUNGGAL, Betonjaya Manunggal, Betonjaya Manunggal Tbk, BetonjayaManunggal, PT Betonjaya Manunggal, betonjaya manunggal</v>
      </c>
      <c r="E181" t="str">
        <f t="shared" si="23"/>
        <v>BTON, BETONJAYA MANUNGGAL, Betonjaya Manunggal, Betonjaya Manunggal Tbk, BetonjayaManunggal, PT Betonjaya Manunggal, betonjaya manunggal</v>
      </c>
      <c r="F181" t="str">
        <f t="shared" si="24"/>
        <v>betonjaya manunggal</v>
      </c>
      <c r="G181" t="str">
        <f t="shared" si="27"/>
        <v>BTON, BETONJAYA MANUNGGAL, Betonjaya Manunggal, Betonjaya Manunggal Tbk, BetonjayaManunggal, PT Betonjaya Manunggal</v>
      </c>
      <c r="H181" t="str">
        <f t="shared" si="28"/>
        <v>BTON, BETONJAYA MANUNGGAL, Betonjaya Manunggal, Betonjaya Manunggal Tbk, BetonjayaManunggal, PT Betonjaya Manunggal</v>
      </c>
      <c r="I181" t="str">
        <f t="shared" si="25"/>
        <v>BETONJAYA MANUNGGAL</v>
      </c>
      <c r="J181" t="str">
        <f t="shared" si="29"/>
        <v>BTON, Betonjaya Manunggal, Betonjaya Manunggal Tbk, BetonjayaManunggal, PT Betonjaya Manunggal</v>
      </c>
      <c r="K181" t="str">
        <f t="shared" si="30"/>
        <v>BTON, Betonjaya Manunggal, Betonjaya Manunggal Tbk, BetonjayaManunggal, PT Betonjaya Manunggal</v>
      </c>
      <c r="L181" t="str">
        <f t="shared" si="26"/>
        <v>BetonjayaManunggal</v>
      </c>
      <c r="M181" t="str">
        <f t="shared" si="31"/>
        <v>BTON, Betonjaya Manunggal, Betonjaya Manunggal Tbk, PT Betonjaya Manunggal</v>
      </c>
      <c r="N181" t="str">
        <f t="shared" si="32"/>
        <v>BTON, Betonjaya Manunggal, Betonjaya Manunggal Tbk, PT Betonjaya Manunggal</v>
      </c>
    </row>
    <row r="182" spans="1:14" x14ac:dyDescent="0.2">
      <c r="A182" t="s">
        <v>314</v>
      </c>
      <c r="B182" t="s">
        <v>315</v>
      </c>
      <c r="C182" t="s">
        <v>7981</v>
      </c>
      <c r="D182" t="str">
        <f t="shared" si="22"/>
        <v>BTPN, BANK SMBC INDONESIA, Bank SMBC Indonesia, Bank SMBC Indonesia Tbk, BankSMBCIndonesia, PT Bank SMBC Indonesia, bank smbc indonesia</v>
      </c>
      <c r="E182" t="str">
        <f t="shared" si="23"/>
        <v>BTPN, BANK SMBC INDONESIA, Bank SMBC Indonesia, Bank SMBC Indonesia Tbk, BankSMBCIndonesia, PT Bank SMBC Indonesia, bank smbc indonesia</v>
      </c>
      <c r="F182" t="str">
        <f t="shared" si="24"/>
        <v>bank smbc indonesia</v>
      </c>
      <c r="G182" t="str">
        <f t="shared" si="27"/>
        <v>BTPN, BANK SMBC INDONESIA, Bank SMBC Indonesia, Bank SMBC Indonesia Tbk, BankSMBCIndonesia, PT Bank SMBC Indonesia</v>
      </c>
      <c r="H182" t="str">
        <f t="shared" si="28"/>
        <v>BTPN, BANK SMBC INDONESIA, Bank SMBC Indonesia, Bank SMBC Indonesia Tbk, BankSMBCIndonesia, PT Bank SMBC Indonesia</v>
      </c>
      <c r="I182" t="str">
        <f t="shared" si="25"/>
        <v>BANK SMBC INDONESIA</v>
      </c>
      <c r="J182" t="str">
        <f t="shared" si="29"/>
        <v>BTPN, Bank SMBC Indonesia, Bank SMBC Indonesia Tbk, BankSMBCIndonesia, PT Bank SMBC Indonesia</v>
      </c>
      <c r="K182" t="str">
        <f t="shared" si="30"/>
        <v>BTPN, Bank SMBC Indonesia, Bank SMBC Indonesia Tbk, BankSMBCIndonesia, PT Bank SMBC Indonesia</v>
      </c>
      <c r="L182" t="str">
        <f t="shared" si="26"/>
        <v>BankSMBCIndonesia</v>
      </c>
      <c r="M182" t="str">
        <f t="shared" si="31"/>
        <v>BTPN, Bank SMBC Indonesia, Bank SMBC Indonesia Tbk, PT Bank SMBC Indonesia</v>
      </c>
      <c r="N182" t="str">
        <f t="shared" si="32"/>
        <v>BTPN, Bank SMBC Indonesia, Bank SMBC Indonesia Tbk, PT Bank SMBC Indonesia</v>
      </c>
    </row>
    <row r="183" spans="1:14" x14ac:dyDescent="0.2">
      <c r="A183" t="s">
        <v>1515</v>
      </c>
      <c r="B183" t="s">
        <v>1516</v>
      </c>
      <c r="C183" t="s">
        <v>7982</v>
      </c>
      <c r="D183" t="str">
        <f t="shared" si="22"/>
        <v>BTPS, BANK BTPN SYARIAH, Bank BTPN Syariah, Bank BTPN Syariah Tbk, Bank Syariah, BankBTPNSyariah, PT Bank BTPN Syariah, Syariah, bank btpn syariah</v>
      </c>
      <c r="E183" t="str">
        <f t="shared" si="23"/>
        <v>BTPS, BANK BTPN SYARIAH, Bank BTPN Syariah, Bank BTPN Syariah Tbk, Bank Syariah, BankBTPNSyariah, PT Bank BTPN Syariah, Syariah, bank btpn syariah</v>
      </c>
      <c r="F183" t="str">
        <f t="shared" si="24"/>
        <v>bank btpn syariah</v>
      </c>
      <c r="G183" t="str">
        <f t="shared" si="27"/>
        <v>BTPS, BANK BTPN SYARIAH, Bank BTPN Syariah, Bank BTPN Syariah Tbk, Bank Syariah, BankBTPNSyariah, PT Bank BTPN Syariah, Syariah</v>
      </c>
      <c r="H183" t="str">
        <f t="shared" si="28"/>
        <v>BTPS, BANK BTPN SYARIAH, Bank BTPN Syariah, Bank BTPN Syariah Tbk, Bank Syariah, BankBTPNSyariah, PT Bank BTPN Syariah, Syariah</v>
      </c>
      <c r="I183" t="str">
        <f t="shared" si="25"/>
        <v>BANK BTPN SYARIAH</v>
      </c>
      <c r="J183" t="str">
        <f t="shared" si="29"/>
        <v>BTPS, Bank BTPN Syariah, Bank BTPN Syariah Tbk, Bank Syariah, BankBTPNSyariah, PT Bank BTPN Syariah, Syariah</v>
      </c>
      <c r="K183" t="str">
        <f t="shared" si="30"/>
        <v>BTPS, Bank BTPN Syariah, Bank BTPN Syariah Tbk, Bank Syariah, BankBTPNSyariah, PT Bank BTPN Syariah, Syariah</v>
      </c>
      <c r="L183" t="str">
        <f t="shared" si="26"/>
        <v>BankBTPNSyariah</v>
      </c>
      <c r="M183" t="str">
        <f t="shared" si="31"/>
        <v>BTPS, Bank BTPN Syariah, Bank BTPN Syariah Tbk, Bank Syariah, PT Bank BTPN Syariah, Syariah</v>
      </c>
      <c r="N183" t="str">
        <f t="shared" si="32"/>
        <v>BTPS, Bank BTPN Syariah, Bank BTPN Syariah Tbk, Bank Syariah, PT Bank BTPN Syariah, Syariah</v>
      </c>
    </row>
    <row r="184" spans="1:14" x14ac:dyDescent="0.2">
      <c r="A184" t="s">
        <v>2165</v>
      </c>
      <c r="B184" t="s">
        <v>2166</v>
      </c>
      <c r="C184" t="s">
        <v>7983</v>
      </c>
      <c r="D184" t="str">
        <f t="shared" si="22"/>
        <v>BUAH, PT Segar Kumala Indonesia, SEGAR KUMALA INDONESIA, Segar Kumala Indonesia, Segar Kumala Indonesia Tbk, SegarKumalaIndonesia, segar kumala indonesia</v>
      </c>
      <c r="E184" t="str">
        <f t="shared" si="23"/>
        <v>BUAH, PT Segar Kumala Indonesia, SEGAR KUMALA INDONESIA, Segar Kumala Indonesia, Segar Kumala Indonesia Tbk, SegarKumalaIndonesia, segar kumala indonesia</v>
      </c>
      <c r="F184" t="str">
        <f t="shared" si="24"/>
        <v>segar kumala indonesia</v>
      </c>
      <c r="G184" t="str">
        <f t="shared" si="27"/>
        <v>BUAH, PT Segar Kumala Indonesia, SEGAR KUMALA INDONESIA, Segar Kumala Indonesia, Segar Kumala Indonesia Tbk, SegarKumalaIndonesia</v>
      </c>
      <c r="H184" t="str">
        <f t="shared" si="28"/>
        <v>BUAH, PT Segar Kumala Indonesia, SEGAR KUMALA INDONESIA, Segar Kumala Indonesia, Segar Kumala Indonesia Tbk, SegarKumalaIndonesia</v>
      </c>
      <c r="I184" t="str">
        <f t="shared" si="25"/>
        <v>SEGAR KUMALA INDONESIA</v>
      </c>
      <c r="J184" t="str">
        <f t="shared" si="29"/>
        <v>BUAH, PT Segar Kumala Indonesia, Segar Kumala Indonesia, Segar Kumala Indonesia Tbk, SegarKumalaIndonesia</v>
      </c>
      <c r="K184" t="str">
        <f t="shared" si="30"/>
        <v>BUAH, PT Segar Kumala Indonesia, Segar Kumala Indonesia, Segar Kumala Indonesia Tbk, SegarKumalaIndonesia</v>
      </c>
      <c r="L184" t="str">
        <f t="shared" si="26"/>
        <v>SegarKumalaIndonesia</v>
      </c>
      <c r="M184" t="str">
        <f t="shared" si="31"/>
        <v>BUAH, PT Segar Kumala Indonesia, Segar Kumala Indonesia, Segar Kumala Indonesia Tbk</v>
      </c>
      <c r="N184" t="str">
        <f t="shared" si="32"/>
        <v>BUAH, PT Segar Kumala Indonesia, Segar Kumala Indonesia, Segar Kumala Indonesia Tbk</v>
      </c>
    </row>
    <row r="185" spans="1:14" x14ac:dyDescent="0.2">
      <c r="A185" t="s">
        <v>317</v>
      </c>
      <c r="B185" t="s">
        <v>318</v>
      </c>
      <c r="C185" t="s">
        <v>7984</v>
      </c>
      <c r="D185" t="str">
        <f t="shared" si="22"/>
        <v>BUDI, BUDI STARCH &amp; SWEETENER, Budi Starch &amp; Sweetener, Budi Starch &amp; Sweetener Tbk, BudiStarch&amp;Sweetener, PT Budi Starch &amp; Sweetener, budi starch &amp; sweetener</v>
      </c>
      <c r="E185" t="str">
        <f t="shared" si="23"/>
        <v>BUDI, BUDI STARCH &amp; SWEETENER, Budi Starch &amp; Sweetener, Budi Starch &amp; Sweetener Tbk, BudiStarch&amp;Sweetener, PT Budi Starch &amp; Sweetener, budi starch &amp; sweetener</v>
      </c>
      <c r="F185" t="str">
        <f t="shared" si="24"/>
        <v>budi starch &amp; sweetener</v>
      </c>
      <c r="G185" t="str">
        <f t="shared" si="27"/>
        <v>BUDI, BUDI STARCH &amp; SWEETENER, Budi Starch &amp; Sweetener, Budi Starch &amp; Sweetener Tbk, BudiStarch&amp;Sweetener, PT Budi Starch &amp; Sweetener</v>
      </c>
      <c r="H185" t="str">
        <f t="shared" si="28"/>
        <v>BUDI, BUDI STARCH &amp; SWEETENER, Budi Starch &amp; Sweetener, Budi Starch &amp; Sweetener Tbk, BudiStarch&amp;Sweetener, PT Budi Starch &amp; Sweetener</v>
      </c>
      <c r="I185" t="str">
        <f t="shared" si="25"/>
        <v>BUDI STARCH &amp; SWEETENER</v>
      </c>
      <c r="J185" t="str">
        <f t="shared" si="29"/>
        <v>BUDI, Budi Starch &amp; Sweetener, Budi Starch &amp; Sweetener Tbk, BudiStarch&amp;Sweetener, PT Budi Starch &amp; Sweetener</v>
      </c>
      <c r="K185" t="str">
        <f t="shared" si="30"/>
        <v>BUDI, Budi Starch &amp; Sweetener, Budi Starch &amp; Sweetener Tbk, BudiStarch&amp;Sweetener, PT Budi Starch &amp; Sweetener</v>
      </c>
      <c r="L185" t="str">
        <f t="shared" si="26"/>
        <v>BudiStarch&amp;Sweetener</v>
      </c>
      <c r="M185" t="str">
        <f t="shared" si="31"/>
        <v>BUDI, Budi Starch &amp; Sweetener, Budi Starch &amp; Sweetener Tbk, PT Budi Starch &amp; Sweetener</v>
      </c>
      <c r="N185" t="str">
        <f t="shared" si="32"/>
        <v>BUDI, Budi Starch &amp; Sweetener, Budi Starch &amp; Sweetener Tbk, PT Budi Starch &amp; Sweetener</v>
      </c>
    </row>
    <row r="186" spans="1:14" x14ac:dyDescent="0.2">
      <c r="A186" t="s">
        <v>1980</v>
      </c>
      <c r="B186" t="s">
        <v>1981</v>
      </c>
      <c r="C186" t="s">
        <v>7985</v>
      </c>
      <c r="D186" t="str">
        <f t="shared" si="22"/>
        <v>BUKA, Bukalapak, BUKALAPAK.COM, Bukalapak.com, Bukalapak.com Tbk, PT Bukalapak.com, bukalapak.com</v>
      </c>
      <c r="E186" t="str">
        <f t="shared" si="23"/>
        <v>BUKA, Bukalapak, BUKALAPAK.COM, Bukalapak.com, Bukalapak.com Tbk, PT Bukalapak.com, bukalapak.com</v>
      </c>
      <c r="F186" t="str">
        <f t="shared" si="24"/>
        <v>bukalapak.com</v>
      </c>
      <c r="G186" t="str">
        <f t="shared" si="27"/>
        <v>BUKA, Bukalapak, BUKALAPAK.COM, Bukalapak.com, Bukalapak.com Tbk, PT Bukalapak.com</v>
      </c>
      <c r="H186" t="str">
        <f t="shared" si="28"/>
        <v>BUKA, Bukalapak, BUKALAPAK.COM, Bukalapak.com, Bukalapak.com Tbk, PT Bukalapak.com</v>
      </c>
      <c r="I186" t="str">
        <f t="shared" si="25"/>
        <v>BUKALAPAK.COM</v>
      </c>
      <c r="J186" t="str">
        <f t="shared" si="29"/>
        <v>BUKA, Bukalapak, Bukalapak.com, Bukalapak.com Tbk, PT Bukalapak.com</v>
      </c>
      <c r="K186" t="str">
        <f t="shared" si="30"/>
        <v>BUKA, Bukalapak, Bukalapak.com, Bukalapak.com Tbk, PT Bukalapak.com</v>
      </c>
      <c r="L186" t="str">
        <f t="shared" si="26"/>
        <v>Bukalapak.com</v>
      </c>
      <c r="M186" t="str">
        <f t="shared" si="31"/>
        <v>BUKA, Bukalapak Tbk, PT Bukalapak.com</v>
      </c>
      <c r="N186" t="str">
        <f t="shared" si="32"/>
        <v>BUKA, Bukalapak Tbk, PT Bukalapak.com</v>
      </c>
    </row>
    <row r="187" spans="1:14" x14ac:dyDescent="0.2">
      <c r="A187" t="s">
        <v>320</v>
      </c>
      <c r="B187" t="s">
        <v>321</v>
      </c>
      <c r="C187" t="s">
        <v>7986</v>
      </c>
      <c r="D187" t="str">
        <f t="shared" si="22"/>
        <v>BUKK, BUKAKA TEKNIK UTAMA, Bukaka Teknik Utama, Bukaka Teknik Utama Tbk, BukakaTeknikUtama, PT Bukaka Teknik Utama, bukaka teknik utama</v>
      </c>
      <c r="E187" t="str">
        <f t="shared" si="23"/>
        <v>BUKK, BUKAKA TEKNIK UTAMA, Bukaka Teknik Utama, Bukaka Teknik Utama Tbk, BukakaTeknikUtama, PT Bukaka Teknik Utama, bukaka teknik utama</v>
      </c>
      <c r="F187" t="str">
        <f t="shared" si="24"/>
        <v>bukaka teknik utama</v>
      </c>
      <c r="G187" t="str">
        <f t="shared" si="27"/>
        <v>BUKK, BUKAKA TEKNIK UTAMA, Bukaka Teknik Utama, Bukaka Teknik Utama Tbk, BukakaTeknikUtama, PT Bukaka Teknik Utama</v>
      </c>
      <c r="H187" t="str">
        <f t="shared" si="28"/>
        <v>BUKK, BUKAKA TEKNIK UTAMA, Bukaka Teknik Utama, Bukaka Teknik Utama Tbk, BukakaTeknikUtama, PT Bukaka Teknik Utama</v>
      </c>
      <c r="I187" t="str">
        <f t="shared" si="25"/>
        <v>BUKAKA TEKNIK UTAMA</v>
      </c>
      <c r="J187" t="str">
        <f t="shared" si="29"/>
        <v>BUKK, Bukaka Teknik Utama, Bukaka Teknik Utama Tbk, BukakaTeknikUtama, PT Bukaka Teknik Utama</v>
      </c>
      <c r="K187" t="str">
        <f t="shared" si="30"/>
        <v>BUKK, Bukaka Teknik Utama, Bukaka Teknik Utama Tbk, BukakaTeknikUtama, PT Bukaka Teknik Utama</v>
      </c>
      <c r="L187" t="str">
        <f t="shared" si="26"/>
        <v>BukakaTeknikUtama</v>
      </c>
      <c r="M187" t="str">
        <f t="shared" si="31"/>
        <v>BUKK, Bukaka Teknik Utama, Bukaka Teknik Utama Tbk, PT Bukaka Teknik Utama</v>
      </c>
      <c r="N187" t="str">
        <f t="shared" si="32"/>
        <v>BUKK, Bukaka Teknik Utama, Bukaka Teknik Utama Tbk, PT Bukaka Teknik Utama</v>
      </c>
    </row>
    <row r="188" spans="1:14" x14ac:dyDescent="0.2">
      <c r="A188" t="s">
        <v>323</v>
      </c>
      <c r="B188" t="s">
        <v>324</v>
      </c>
      <c r="C188" t="s">
        <v>7987</v>
      </c>
      <c r="D188" t="str">
        <f t="shared" si="22"/>
        <v>BULL, BUANA LINTAS LAUTAN, Buana Lintas Lautan, Buana Lintas Lautan Tbk, BuanaLintasLautan, PT Buana Lintas Lautan, buana lintas lautan</v>
      </c>
      <c r="E188" t="str">
        <f t="shared" si="23"/>
        <v>BULL, BUANA LINTAS LAUTAN, Buana Lintas Lautan, Buana Lintas Lautan Tbk, BuanaLintasLautan, PT Buana Lintas Lautan, buana lintas lautan</v>
      </c>
      <c r="F188" t="str">
        <f t="shared" si="24"/>
        <v>buana lintas lautan</v>
      </c>
      <c r="G188" t="str">
        <f t="shared" si="27"/>
        <v>BULL, BUANA LINTAS LAUTAN, Buana Lintas Lautan, Buana Lintas Lautan Tbk, BuanaLintasLautan, PT Buana Lintas Lautan</v>
      </c>
      <c r="H188" t="str">
        <f t="shared" si="28"/>
        <v>BULL, BUANA LINTAS LAUTAN, Buana Lintas Lautan, Buana Lintas Lautan Tbk, BuanaLintasLautan, PT Buana Lintas Lautan</v>
      </c>
      <c r="I188" t="str">
        <f t="shared" si="25"/>
        <v>BUANA LINTAS LAUTAN</v>
      </c>
      <c r="J188" t="str">
        <f t="shared" si="29"/>
        <v>BULL, Buana Lintas Lautan, Buana Lintas Lautan Tbk, BuanaLintasLautan, PT Buana Lintas Lautan</v>
      </c>
      <c r="K188" t="str">
        <f t="shared" si="30"/>
        <v>BULL, Buana Lintas Lautan, Buana Lintas Lautan Tbk, BuanaLintasLautan, PT Buana Lintas Lautan</v>
      </c>
      <c r="L188" t="str">
        <f t="shared" si="26"/>
        <v>BuanaLintasLautan</v>
      </c>
      <c r="M188" t="str">
        <f t="shared" si="31"/>
        <v>BULL, Buana Lintas Lautan, Buana Lintas Lautan Tbk, PT Buana Lintas Lautan</v>
      </c>
      <c r="N188" t="str">
        <f t="shared" si="32"/>
        <v>BULL, Buana Lintas Lautan, Buana Lintas Lautan Tbk, PT Buana Lintas Lautan</v>
      </c>
    </row>
    <row r="189" spans="1:14" x14ac:dyDescent="0.2">
      <c r="A189" t="s">
        <v>326</v>
      </c>
      <c r="B189" t="s">
        <v>327</v>
      </c>
      <c r="C189" t="s">
        <v>7988</v>
      </c>
      <c r="D189" t="str">
        <f t="shared" si="22"/>
        <v>BUMI, BUMI RESOURCES, Bumi Resources, Bumi Resources Tbk, BumiResources, PT Bumi Resources, bumi resources</v>
      </c>
      <c r="E189" t="str">
        <f t="shared" si="23"/>
        <v>BUMI, BUMI RESOURCES, Bumi Resources, Bumi Resources Tbk, BumiResources, PT Bumi Resources, bumi resources</v>
      </c>
      <c r="F189" t="str">
        <f t="shared" si="24"/>
        <v>bumi resources</v>
      </c>
      <c r="G189" t="str">
        <f t="shared" si="27"/>
        <v>BUMI, BUMI RESOURCES, Bumi Resources, Bumi Resources Tbk, BumiResources, PT Bumi Resources</v>
      </c>
      <c r="H189" t="str">
        <f t="shared" si="28"/>
        <v>BUMI, BUMI RESOURCES, Bumi Resources, Bumi Resources Tbk, BumiResources, PT Bumi Resources</v>
      </c>
      <c r="I189" t="str">
        <f t="shared" si="25"/>
        <v>BUMI RESOURCES</v>
      </c>
      <c r="J189" t="str">
        <f t="shared" si="29"/>
        <v>BUMI, Bumi Resources, Bumi Resources Tbk, BumiResources, PT Bumi Resources</v>
      </c>
      <c r="K189" t="str">
        <f t="shared" si="30"/>
        <v>BUMI, Bumi Resources, Bumi Resources Tbk, BumiResources, PT Bumi Resources</v>
      </c>
      <c r="L189" t="str">
        <f t="shared" si="26"/>
        <v>BumiResources</v>
      </c>
      <c r="M189" t="str">
        <f t="shared" si="31"/>
        <v>BUMI, Bumi Resources, Bumi Resources Tbk, PT Bumi Resources</v>
      </c>
      <c r="N189" t="str">
        <f t="shared" si="32"/>
        <v>BUMI, Bumi Resources, Bumi Resources Tbk, PT Bumi Resources</v>
      </c>
    </row>
    <row r="190" spans="1:14" x14ac:dyDescent="0.2">
      <c r="A190" t="s">
        <v>329</v>
      </c>
      <c r="B190" t="s">
        <v>330</v>
      </c>
      <c r="C190" t="s">
        <v>7989</v>
      </c>
      <c r="D190" t="str">
        <f t="shared" si="22"/>
        <v>BUVA, BUKIT ULUWATU VILLA, Bukit Uluwatu Villa, Bukit Uluwatu Villa Tbk, BukitUluwatuVilla, PT Bukit Uluwatu Villa, bukit uluwatu villa</v>
      </c>
      <c r="E190" t="str">
        <f t="shared" si="23"/>
        <v>BUVA, BUKIT ULUWATU VILLA, Bukit Uluwatu Villa, Bukit Uluwatu Villa Tbk, BukitUluwatuVilla, PT Bukit Uluwatu Villa, bukit uluwatu villa</v>
      </c>
      <c r="F190" t="str">
        <f t="shared" si="24"/>
        <v>bukit uluwatu villa</v>
      </c>
      <c r="G190" t="str">
        <f t="shared" si="27"/>
        <v>BUVA, BUKIT ULUWATU VILLA, Bukit Uluwatu Villa, Bukit Uluwatu Villa Tbk, BukitUluwatuVilla, PT Bukit Uluwatu Villa</v>
      </c>
      <c r="H190" t="str">
        <f t="shared" si="28"/>
        <v>BUVA, BUKIT ULUWATU VILLA, Bukit Uluwatu Villa, Bukit Uluwatu Villa Tbk, BukitUluwatuVilla, PT Bukit Uluwatu Villa</v>
      </c>
      <c r="I190" t="str">
        <f t="shared" si="25"/>
        <v>BUKIT ULUWATU VILLA</v>
      </c>
      <c r="J190" t="str">
        <f t="shared" si="29"/>
        <v>BUVA, Bukit Uluwatu Villa, Bukit Uluwatu Villa Tbk, BukitUluwatuVilla, PT Bukit Uluwatu Villa</v>
      </c>
      <c r="K190" t="str">
        <f t="shared" si="30"/>
        <v>BUVA, Bukit Uluwatu Villa, Bukit Uluwatu Villa Tbk, BukitUluwatuVilla, PT Bukit Uluwatu Villa</v>
      </c>
      <c r="L190" t="str">
        <f t="shared" si="26"/>
        <v>BukitUluwatuVilla</v>
      </c>
      <c r="M190" t="str">
        <f t="shared" si="31"/>
        <v>BUVA, Bukit Uluwatu Villa, Bukit Uluwatu Villa Tbk, PT Bukit Uluwatu Villa</v>
      </c>
      <c r="N190" t="str">
        <f t="shared" si="32"/>
        <v>BUVA, Bukit Uluwatu Villa, Bukit Uluwatu Villa Tbk, PT Bukit Uluwatu Villa</v>
      </c>
    </row>
    <row r="191" spans="1:14" x14ac:dyDescent="0.2">
      <c r="A191" t="s">
        <v>332</v>
      </c>
      <c r="B191" t="s">
        <v>3233</v>
      </c>
      <c r="C191" t="s">
        <v>7990</v>
      </c>
      <c r="D191" t="str">
        <f t="shared" si="22"/>
        <v>BVIC, BANK VICTORIA INTERNATIONAL, Bank International, Bank Victoria International, Bank Victoria International Tbk, BankVictoriaInternational, International, PT Bank Victoria International, bank victoria international</v>
      </c>
      <c r="E191" t="str">
        <f t="shared" si="23"/>
        <v>BVIC, BANK VICTORIA INTERNATIONAL, Bank International, Bank Victoria International, Bank Victoria International Tbk, BankVictoriaInternational, International, PT Bank Victoria International, bank victoria international</v>
      </c>
      <c r="F191" t="str">
        <f t="shared" si="24"/>
        <v>bank victoria international</v>
      </c>
      <c r="G191" t="str">
        <f t="shared" si="27"/>
        <v>BVIC, BANK VICTORIA INTERNATIONAL, Bank International, Bank Victoria International, Bank Victoria International Tbk, BankVictoriaInternational, International, PT Bank Victoria International</v>
      </c>
      <c r="H191" t="str">
        <f t="shared" si="28"/>
        <v>BVIC, BANK VICTORIA INTERNATIONAL, Bank International, Bank Victoria International, Bank Victoria International Tbk, BankVictoriaInternational, International, PT Bank Victoria International</v>
      </c>
      <c r="I191" t="str">
        <f t="shared" si="25"/>
        <v>BANK VICTORIA INTERNATIONAL</v>
      </c>
      <c r="J191" t="str">
        <f t="shared" si="29"/>
        <v>BVIC, Bank International, Bank Victoria International, Bank Victoria International Tbk, BankVictoriaInternational, International, PT Bank Victoria International</v>
      </c>
      <c r="K191" t="str">
        <f t="shared" si="30"/>
        <v>BVIC, Bank International, Bank Victoria International, Bank Victoria International Tbk, BankVictoriaInternational, International, PT Bank Victoria International</v>
      </c>
      <c r="L191" t="str">
        <f t="shared" si="26"/>
        <v>BankVictoriaInternational</v>
      </c>
      <c r="M191" t="str">
        <f t="shared" si="31"/>
        <v>BVIC, Bank International, Bank Victoria International, Bank Victoria International Tbk, International, PT Bank Victoria International</v>
      </c>
      <c r="N191" t="str">
        <f t="shared" si="32"/>
        <v>BVIC, Bank International, Bank Victoria International, Bank Victoria International Tbk, International, PT Bank Victoria International</v>
      </c>
    </row>
    <row r="192" spans="1:14" x14ac:dyDescent="0.2">
      <c r="A192" t="s">
        <v>334</v>
      </c>
      <c r="B192" t="s">
        <v>335</v>
      </c>
      <c r="C192" t="s">
        <v>7991</v>
      </c>
      <c r="D192" t="str">
        <f t="shared" si="22"/>
        <v>BWPT, EAGLE HIGH PLANTATIONS, Eagle High Plantations, Eagle High Plantations Tbk, EagleHighPlantations, PT Eagle High Plantations, eagle high plantations</v>
      </c>
      <c r="E192" t="str">
        <f t="shared" si="23"/>
        <v>BWPT, EAGLE HIGH PLANTATIONS, Eagle High Plantations, Eagle High Plantations Tbk, EagleHighPlantations, PT Eagle High Plantations, eagle high plantations</v>
      </c>
      <c r="F192" t="str">
        <f t="shared" si="24"/>
        <v>eagle high plantations</v>
      </c>
      <c r="G192" t="str">
        <f t="shared" si="27"/>
        <v>BWPT, EAGLE HIGH PLANTATIONS, Eagle High Plantations, Eagle High Plantations Tbk, EagleHighPlantations, PT Eagle High Plantations</v>
      </c>
      <c r="H192" t="str">
        <f t="shared" si="28"/>
        <v>BWPT, EAGLE HIGH PLANTATIONS, Eagle High Plantations, Eagle High Plantations Tbk, EagleHighPlantations, PT Eagle High Plantations</v>
      </c>
      <c r="I192" t="str">
        <f t="shared" si="25"/>
        <v>EAGLE HIGH PLANTATIONS</v>
      </c>
      <c r="J192" t="str">
        <f t="shared" si="29"/>
        <v>BWPT, Eagle High Plantations, Eagle High Plantations Tbk, EagleHighPlantations, PT Eagle High Plantations</v>
      </c>
      <c r="K192" t="str">
        <f t="shared" si="30"/>
        <v>BWPT, Eagle High Plantations, Eagle High Plantations Tbk, EagleHighPlantations, PT Eagle High Plantations</v>
      </c>
      <c r="L192" t="str">
        <f t="shared" si="26"/>
        <v>EagleHighPlantations</v>
      </c>
      <c r="M192" t="str">
        <f t="shared" si="31"/>
        <v>BWPT, Eagle High Plantations, Eagle High Plantations Tbk, PT Eagle High Plantations</v>
      </c>
      <c r="N192" t="str">
        <f t="shared" si="32"/>
        <v>BWPT, Eagle High Plantations, Eagle High Plantations Tbk, PT Eagle High Plantations</v>
      </c>
    </row>
    <row r="193" spans="1:14" x14ac:dyDescent="0.2">
      <c r="A193" t="s">
        <v>337</v>
      </c>
      <c r="B193" t="s">
        <v>338</v>
      </c>
      <c r="C193" t="s">
        <v>7992</v>
      </c>
      <c r="D193" t="str">
        <f t="shared" si="22"/>
        <v>BYAN, BAYAN RESOURCES, Bayan Resources, Bayan Resources Tbk, BayanResources, PT Bayan Resources, bayan resources</v>
      </c>
      <c r="E193" t="str">
        <f t="shared" si="23"/>
        <v>BYAN, BAYAN RESOURCES, Bayan Resources, Bayan Resources Tbk, BayanResources, PT Bayan Resources, bayan resources</v>
      </c>
      <c r="F193" t="str">
        <f t="shared" si="24"/>
        <v>bayan resources</v>
      </c>
      <c r="G193" t="str">
        <f t="shared" si="27"/>
        <v>BYAN, BAYAN RESOURCES, Bayan Resources, Bayan Resources Tbk, BayanResources, PT Bayan Resources</v>
      </c>
      <c r="H193" t="str">
        <f t="shared" si="28"/>
        <v>BYAN, BAYAN RESOURCES, Bayan Resources, Bayan Resources Tbk, BayanResources, PT Bayan Resources</v>
      </c>
      <c r="I193" t="str">
        <f t="shared" si="25"/>
        <v>BAYAN RESOURCES</v>
      </c>
      <c r="J193" t="str">
        <f t="shared" si="29"/>
        <v>BYAN, Bayan Resources, Bayan Resources Tbk, BayanResources, PT Bayan Resources</v>
      </c>
      <c r="K193" t="str">
        <f t="shared" si="30"/>
        <v>BYAN, Bayan Resources, Bayan Resources Tbk, BayanResources, PT Bayan Resources</v>
      </c>
      <c r="L193" t="str">
        <f t="shared" si="26"/>
        <v>BayanResources</v>
      </c>
      <c r="M193" t="str">
        <f t="shared" si="31"/>
        <v>BYAN, Bayan Resources, Bayan Resources Tbk, PT Bayan Resources</v>
      </c>
      <c r="N193" t="str">
        <f t="shared" si="32"/>
        <v>BYAN, Bayan Resources, Bayan Resources Tbk, PT Bayan Resources</v>
      </c>
    </row>
    <row r="194" spans="1:14" x14ac:dyDescent="0.2">
      <c r="A194" t="s">
        <v>1611</v>
      </c>
      <c r="B194" t="s">
        <v>1612</v>
      </c>
      <c r="C194" t="s">
        <v>7993</v>
      </c>
      <c r="D194" t="str">
        <f t="shared" ref="D194:D257" si="33">SUBSTITUTE(C194, _xlfn.CONCAT(", ", B194), "")</f>
        <v>CAKK, CAHAYAPUTRA ASA KERAMIK, Cahayaputra Asa Keramik, Cahayaputra Asa Keramik Tbk, CahayaputraAsaKeramik, PT Cahayaputra Asa Keramik, cahayaputra asa keramik</v>
      </c>
      <c r="E194" t="str">
        <f t="shared" ref="E194:E257" si="34">SUBSTITUTE(D194, _xlfn.CONCAT(B194, ", "), "")</f>
        <v>CAKK, CAHAYAPUTRA ASA KERAMIK, Cahayaputra Asa Keramik, Cahayaputra Asa Keramik Tbk, CahayaputraAsaKeramik, PT Cahayaputra Asa Keramik, cahayaputra asa keramik</v>
      </c>
      <c r="F194" t="str">
        <f t="shared" ref="F194:F257" si="35">LOWER(MID(B194, 1, FIND(" Tbk.", B194)-1))</f>
        <v>cahayaputra asa keramik</v>
      </c>
      <c r="G194" t="str">
        <f t="shared" si="27"/>
        <v>CAKK, CAHAYAPUTRA ASA KERAMIK, Cahayaputra Asa Keramik, Cahayaputra Asa Keramik Tbk, CahayaputraAsaKeramik, PT Cahayaputra Asa Keramik</v>
      </c>
      <c r="H194" t="str">
        <f t="shared" si="28"/>
        <v>CAKK, CAHAYAPUTRA ASA KERAMIK, Cahayaputra Asa Keramik, Cahayaputra Asa Keramik Tbk, CahayaputraAsaKeramik, PT Cahayaputra Asa Keramik</v>
      </c>
      <c r="I194" t="str">
        <f t="shared" ref="I194:I257" si="36">UPPER(MID(B194, 1, FIND(" Tbk.", B194)-1))</f>
        <v>CAHAYAPUTRA ASA KERAMIK</v>
      </c>
      <c r="J194" t="str">
        <f t="shared" si="29"/>
        <v>CAKK, Cahayaputra Asa Keramik, Cahayaputra Asa Keramik Tbk, CahayaputraAsaKeramik, PT Cahayaputra Asa Keramik</v>
      </c>
      <c r="K194" t="str">
        <f t="shared" si="30"/>
        <v>CAKK, Cahayaputra Asa Keramik, Cahayaputra Asa Keramik Tbk, CahayaputraAsaKeramik, PT Cahayaputra Asa Keramik</v>
      </c>
      <c r="L194" t="str">
        <f t="shared" ref="L194:L257" si="37">SUBSTITUTE(MID(B194, 1, FIND(" Tbk.", B194)-1), " ", "")</f>
        <v>CahayaputraAsaKeramik</v>
      </c>
      <c r="M194" t="str">
        <f t="shared" si="31"/>
        <v>CAKK, Cahayaputra Asa Keramik, Cahayaputra Asa Keramik Tbk, PT Cahayaputra Asa Keramik</v>
      </c>
      <c r="N194" t="str">
        <f t="shared" si="32"/>
        <v>CAKK, Cahayaputra Asa Keramik, Cahayaputra Asa Keramik Tbk, PT Cahayaputra Asa Keramik</v>
      </c>
    </row>
    <row r="195" spans="1:14" x14ac:dyDescent="0.2">
      <c r="A195" t="s">
        <v>1483</v>
      </c>
      <c r="B195" t="s">
        <v>3535</v>
      </c>
      <c r="C195" t="s">
        <v>7994</v>
      </c>
      <c r="D195" t="str">
        <f t="shared" si="33"/>
        <v>CAMP, CAMPINA ICE CREAM INDUSTRY, Campina Ice Cream Industry, Campina Ice Cream Industry Tbk, CampinaIceCreamIndustry, PT Campina Ice Cream Industry, campina ice cream industry</v>
      </c>
      <c r="E195" t="str">
        <f t="shared" si="34"/>
        <v>CAMP, CAMPINA ICE CREAM INDUSTRY, Campina Ice Cream Industry, Campina Ice Cream Industry Tbk, CampinaIceCreamIndustry, PT Campina Ice Cream Industry, campina ice cream industry</v>
      </c>
      <c r="F195" t="str">
        <f t="shared" si="35"/>
        <v>campina ice cream industry</v>
      </c>
      <c r="G195" t="str">
        <f t="shared" ref="G195:G258" si="38">SUBSTITUTE(E195, _xlfn.CONCAT(", ", F195), "")</f>
        <v>CAMP, CAMPINA ICE CREAM INDUSTRY, Campina Ice Cream Industry, Campina Ice Cream Industry Tbk, CampinaIceCreamIndustry, PT Campina Ice Cream Industry</v>
      </c>
      <c r="H195" t="str">
        <f t="shared" ref="H195:H258" si="39">SUBSTITUTE(G195, _xlfn.CONCAT(F195, ", "), "")</f>
        <v>CAMP, CAMPINA ICE CREAM INDUSTRY, Campina Ice Cream Industry, Campina Ice Cream Industry Tbk, CampinaIceCreamIndustry, PT Campina Ice Cream Industry</v>
      </c>
      <c r="I195" t="str">
        <f t="shared" si="36"/>
        <v>CAMPINA ICE CREAM INDUSTRY</v>
      </c>
      <c r="J195" t="str">
        <f t="shared" ref="J195:J258" si="40">SUBSTITUTE(H195, _xlfn.CONCAT(", ", I195), "")</f>
        <v>CAMP, Campina Ice Cream Industry, Campina Ice Cream Industry Tbk, CampinaIceCreamIndustry, PT Campina Ice Cream Industry</v>
      </c>
      <c r="K195" t="str">
        <f t="shared" ref="K195:K258" si="41">SUBSTITUTE(J195, _xlfn.CONCAT(I195, ", "), "")</f>
        <v>CAMP, Campina Ice Cream Industry, Campina Ice Cream Industry Tbk, CampinaIceCreamIndustry, PT Campina Ice Cream Industry</v>
      </c>
      <c r="L195" t="str">
        <f t="shared" si="37"/>
        <v>CampinaIceCreamIndustry</v>
      </c>
      <c r="M195" t="str">
        <f t="shared" ref="M195:M258" si="42">SUBSTITUTE(K195, _xlfn.CONCAT(", ", L195), "")</f>
        <v>CAMP, Campina Ice Cream Industry, Campina Ice Cream Industry Tbk, PT Campina Ice Cream Industry</v>
      </c>
      <c r="N195" t="str">
        <f t="shared" ref="N195:N258" si="43">SUBSTITUTE(M195, _xlfn.CONCAT(L195, ", "), "")</f>
        <v>CAMP, Campina Ice Cream Industry, Campina Ice Cream Industry Tbk, PT Campina Ice Cream Industry</v>
      </c>
    </row>
    <row r="196" spans="1:14" x14ac:dyDescent="0.2">
      <c r="A196" t="s">
        <v>340</v>
      </c>
      <c r="B196" t="s">
        <v>3536</v>
      </c>
      <c r="C196" t="s">
        <v>7995</v>
      </c>
      <c r="D196" t="str">
        <f t="shared" si="33"/>
        <v>CANI, CAPITOL NUSANTARA INDONESIA, Capitol Nusantara Indonesia, Capitol Nusantara Indonesia Tbk, CapitolNusantaraIndonesia, PT Capitol Nusantara Indonesia, capitol nusantara indonesia</v>
      </c>
      <c r="E196" t="str">
        <f t="shared" si="34"/>
        <v>CANI, CAPITOL NUSANTARA INDONESIA, Capitol Nusantara Indonesia, Capitol Nusantara Indonesia Tbk, CapitolNusantaraIndonesia, PT Capitol Nusantara Indonesia, capitol nusantara indonesia</v>
      </c>
      <c r="F196" t="str">
        <f t="shared" si="35"/>
        <v>capitol nusantara indonesia</v>
      </c>
      <c r="G196" t="str">
        <f t="shared" si="38"/>
        <v>CANI, CAPITOL NUSANTARA INDONESIA, Capitol Nusantara Indonesia, Capitol Nusantara Indonesia Tbk, CapitolNusantaraIndonesia, PT Capitol Nusantara Indonesia</v>
      </c>
      <c r="H196" t="str">
        <f t="shared" si="39"/>
        <v>CANI, CAPITOL NUSANTARA INDONESIA, Capitol Nusantara Indonesia, Capitol Nusantara Indonesia Tbk, CapitolNusantaraIndonesia, PT Capitol Nusantara Indonesia</v>
      </c>
      <c r="I196" t="str">
        <f t="shared" si="36"/>
        <v>CAPITOL NUSANTARA INDONESIA</v>
      </c>
      <c r="J196" t="str">
        <f t="shared" si="40"/>
        <v>CANI, Capitol Nusantara Indonesia, Capitol Nusantara Indonesia Tbk, CapitolNusantaraIndonesia, PT Capitol Nusantara Indonesia</v>
      </c>
      <c r="K196" t="str">
        <f t="shared" si="41"/>
        <v>CANI, Capitol Nusantara Indonesia, Capitol Nusantara Indonesia Tbk, CapitolNusantaraIndonesia, PT Capitol Nusantara Indonesia</v>
      </c>
      <c r="L196" t="str">
        <f t="shared" si="37"/>
        <v>CapitolNusantaraIndonesia</v>
      </c>
      <c r="M196" t="str">
        <f t="shared" si="42"/>
        <v>CANI, Capitol Nusantara Indonesia, Capitol Nusantara Indonesia Tbk, PT Capitol Nusantara Indonesia</v>
      </c>
      <c r="N196" t="str">
        <f t="shared" si="43"/>
        <v>CANI, Capitol Nusantara Indonesia, Capitol Nusantara Indonesia Tbk, PT Capitol Nusantara Indonesia</v>
      </c>
    </row>
    <row r="197" spans="1:14" x14ac:dyDescent="0.2">
      <c r="A197" t="s">
        <v>2601</v>
      </c>
      <c r="B197" t="s">
        <v>3537</v>
      </c>
      <c r="C197" t="s">
        <v>7996</v>
      </c>
      <c r="D197" t="str">
        <f t="shared" si="33"/>
        <v>CARE, METRO HEALTHCARE INDONESIA, Metro Healthcare Indonesia, Metro Healthcare Indonesia Tbk, MetroHealthcareIndonesia, PT Metro Healthcare Indonesia, metro healthcare indonesia</v>
      </c>
      <c r="E197" t="str">
        <f t="shared" si="34"/>
        <v>CARE, METRO HEALTHCARE INDONESIA, Metro Healthcare Indonesia, Metro Healthcare Indonesia Tbk, MetroHealthcareIndonesia, PT Metro Healthcare Indonesia, metro healthcare indonesia</v>
      </c>
      <c r="F197" t="str">
        <f t="shared" si="35"/>
        <v>metro healthcare indonesia</v>
      </c>
      <c r="G197" t="str">
        <f t="shared" si="38"/>
        <v>CARE, METRO HEALTHCARE INDONESIA, Metro Healthcare Indonesia, Metro Healthcare Indonesia Tbk, MetroHealthcareIndonesia, PT Metro Healthcare Indonesia</v>
      </c>
      <c r="H197" t="str">
        <f t="shared" si="39"/>
        <v>CARE, METRO HEALTHCARE INDONESIA, Metro Healthcare Indonesia, Metro Healthcare Indonesia Tbk, MetroHealthcareIndonesia, PT Metro Healthcare Indonesia</v>
      </c>
      <c r="I197" t="str">
        <f t="shared" si="36"/>
        <v>METRO HEALTHCARE INDONESIA</v>
      </c>
      <c r="J197" t="str">
        <f t="shared" si="40"/>
        <v>CARE, Metro Healthcare Indonesia, Metro Healthcare Indonesia Tbk, MetroHealthcareIndonesia, PT Metro Healthcare Indonesia</v>
      </c>
      <c r="K197" t="str">
        <f t="shared" si="41"/>
        <v>CARE, Metro Healthcare Indonesia, Metro Healthcare Indonesia Tbk, MetroHealthcareIndonesia, PT Metro Healthcare Indonesia</v>
      </c>
      <c r="L197" t="str">
        <f t="shared" si="37"/>
        <v>MetroHealthcareIndonesia</v>
      </c>
      <c r="M197" t="str">
        <f t="shared" si="42"/>
        <v>CARE, Metro Healthcare Indonesia, Metro Healthcare Indonesia Tbk, PT Metro Healthcare Indonesia</v>
      </c>
      <c r="N197" t="str">
        <f t="shared" si="43"/>
        <v>CARE, Metro Healthcare Indonesia, Metro Healthcare Indonesia Tbk, PT Metro Healthcare Indonesia</v>
      </c>
    </row>
    <row r="198" spans="1:14" x14ac:dyDescent="0.2">
      <c r="A198" t="s">
        <v>1394</v>
      </c>
      <c r="B198" t="s">
        <v>3538</v>
      </c>
      <c r="C198" t="s">
        <v>7997</v>
      </c>
      <c r="D198" t="str">
        <f t="shared" si="33"/>
        <v>CARS, INDUSTRI DAN PERDAGANGAN BINTRACO DHARMA, Industri dan Perdagangan Bintraco Dharma, Industri dan Perdagangan Bintraco Dharma Tbk, IndustridanPerdaganganBintracoDharma, PT Industri dan Perdagangan Bintraco Dharma, industri dan perdagangan bintraco dharma</v>
      </c>
      <c r="E198" t="str">
        <f t="shared" si="34"/>
        <v>CARS, INDUSTRI DAN PERDAGANGAN BINTRACO DHARMA, Industri dan Perdagangan Bintraco Dharma, Industri dan Perdagangan Bintraco Dharma Tbk, IndustridanPerdaganganBintracoDharma, PT Industri dan Perdagangan Bintraco Dharma, industri dan perdagangan bintraco dharma</v>
      </c>
      <c r="F198" t="str">
        <f t="shared" si="35"/>
        <v>industri dan perdagangan bintraco dharma</v>
      </c>
      <c r="G198" t="str">
        <f t="shared" si="38"/>
        <v>CARS, INDUSTRI DAN PERDAGANGAN BINTRACO DHARMA, Industri dan Perdagangan Bintraco Dharma, Industri dan Perdagangan Bintraco Dharma Tbk, IndustridanPerdaganganBintracoDharma, PT Industri dan Perdagangan Bintraco Dharma</v>
      </c>
      <c r="H198" t="str">
        <f t="shared" si="39"/>
        <v>CARS, INDUSTRI DAN PERDAGANGAN BINTRACO DHARMA, Industri dan Perdagangan Bintraco Dharma, Industri dan Perdagangan Bintraco Dharma Tbk, IndustridanPerdaganganBintracoDharma, PT Industri dan Perdagangan Bintraco Dharma</v>
      </c>
      <c r="I198" t="str">
        <f t="shared" si="36"/>
        <v>INDUSTRI DAN PERDAGANGAN BINTRACO DHARMA</v>
      </c>
      <c r="J198" t="str">
        <f t="shared" si="40"/>
        <v>CARS, Industri dan Perdagangan Bintraco Dharma, Industri dan Perdagangan Bintraco Dharma Tbk, IndustridanPerdaganganBintracoDharma, PT Industri dan Perdagangan Bintraco Dharma</v>
      </c>
      <c r="K198" t="str">
        <f t="shared" si="41"/>
        <v>CARS, Industri dan Perdagangan Bintraco Dharma, Industri dan Perdagangan Bintraco Dharma Tbk, IndustridanPerdaganganBintracoDharma, PT Industri dan Perdagangan Bintraco Dharma</v>
      </c>
      <c r="L198" t="str">
        <f t="shared" si="37"/>
        <v>IndustridanPerdaganganBintracoDharma</v>
      </c>
      <c r="M198" t="str">
        <f t="shared" si="42"/>
        <v>CARS, Industri dan Perdagangan Bintraco Dharma, Industri dan Perdagangan Bintraco Dharma Tbk, PT Industri dan Perdagangan Bintraco Dharma</v>
      </c>
      <c r="N198" t="str">
        <f t="shared" si="43"/>
        <v>CARS, Industri dan Perdagangan Bintraco Dharma, Industri dan Perdagangan Bintraco Dharma Tbk, PT Industri dan Perdagangan Bintraco Dharma</v>
      </c>
    </row>
    <row r="199" spans="1:14" x14ac:dyDescent="0.2">
      <c r="A199" t="s">
        <v>1345</v>
      </c>
      <c r="B199" t="s">
        <v>3539</v>
      </c>
      <c r="C199" t="s">
        <v>7998</v>
      </c>
      <c r="D199" t="str">
        <f t="shared" si="33"/>
        <v>CASA, CAPITAL FINANCIAL INDONESIA, Capital Financial Indonesia, Capital Financial Indonesia Tbk, CapitalFinancialIndonesia, PT Capital Financial Indonesia, capital financial indonesia</v>
      </c>
      <c r="E199" t="str">
        <f t="shared" si="34"/>
        <v>CASA, CAPITAL FINANCIAL INDONESIA, Capital Financial Indonesia, Capital Financial Indonesia Tbk, CapitalFinancialIndonesia, PT Capital Financial Indonesia, capital financial indonesia</v>
      </c>
      <c r="F199" t="str">
        <f t="shared" si="35"/>
        <v>capital financial indonesia</v>
      </c>
      <c r="G199" t="str">
        <f t="shared" si="38"/>
        <v>CASA, CAPITAL FINANCIAL INDONESIA, Capital Financial Indonesia, Capital Financial Indonesia Tbk, CapitalFinancialIndonesia, PT Capital Financial Indonesia</v>
      </c>
      <c r="H199" t="str">
        <f t="shared" si="39"/>
        <v>CASA, CAPITAL FINANCIAL INDONESIA, Capital Financial Indonesia, Capital Financial Indonesia Tbk, CapitalFinancialIndonesia, PT Capital Financial Indonesia</v>
      </c>
      <c r="I199" t="str">
        <f t="shared" si="36"/>
        <v>CAPITAL FINANCIAL INDONESIA</v>
      </c>
      <c r="J199" t="str">
        <f t="shared" si="40"/>
        <v>CASA, Capital Financial Indonesia, Capital Financial Indonesia Tbk, CapitalFinancialIndonesia, PT Capital Financial Indonesia</v>
      </c>
      <c r="K199" t="str">
        <f t="shared" si="41"/>
        <v>CASA, Capital Financial Indonesia, Capital Financial Indonesia Tbk, CapitalFinancialIndonesia, PT Capital Financial Indonesia</v>
      </c>
      <c r="L199" t="str">
        <f t="shared" si="37"/>
        <v>CapitalFinancialIndonesia</v>
      </c>
      <c r="M199" t="str">
        <f t="shared" si="42"/>
        <v>CASA, Capital Financial Indonesia, Capital Financial Indonesia Tbk, PT Capital Financial Indonesia</v>
      </c>
      <c r="N199" t="str">
        <f t="shared" si="43"/>
        <v>CASA, Capital Financial Indonesia, Capital Financial Indonesia Tbk, PT Capital Financial Indonesia</v>
      </c>
    </row>
    <row r="200" spans="1:14" x14ac:dyDescent="0.2">
      <c r="A200" t="s">
        <v>1845</v>
      </c>
      <c r="B200" t="s">
        <v>3540</v>
      </c>
      <c r="C200" t="s">
        <v>7999</v>
      </c>
      <c r="D200" t="str">
        <f t="shared" si="33"/>
        <v>CASH, CASHLEZ WORLDWIDE INDONESIA, Cashlez Worldwide Indonesia, Cashlez Worldwide Indonesia Tbk, CashlezWorldwideIndonesia, PT Cashlez Worldwide Indonesia, cashlez worldwide indonesia</v>
      </c>
      <c r="E200" t="str">
        <f t="shared" si="34"/>
        <v>CASH, CASHLEZ WORLDWIDE INDONESIA, Cashlez Worldwide Indonesia, Cashlez Worldwide Indonesia Tbk, CashlezWorldwideIndonesia, PT Cashlez Worldwide Indonesia, cashlez worldwide indonesia</v>
      </c>
      <c r="F200" t="str">
        <f t="shared" si="35"/>
        <v>cashlez worldwide indonesia</v>
      </c>
      <c r="G200" t="str">
        <f t="shared" si="38"/>
        <v>CASH, CASHLEZ WORLDWIDE INDONESIA, Cashlez Worldwide Indonesia, Cashlez Worldwide Indonesia Tbk, CashlezWorldwideIndonesia, PT Cashlez Worldwide Indonesia</v>
      </c>
      <c r="H200" t="str">
        <f t="shared" si="39"/>
        <v>CASH, CASHLEZ WORLDWIDE INDONESIA, Cashlez Worldwide Indonesia, Cashlez Worldwide Indonesia Tbk, CashlezWorldwideIndonesia, PT Cashlez Worldwide Indonesia</v>
      </c>
      <c r="I200" t="str">
        <f t="shared" si="36"/>
        <v>CASHLEZ WORLDWIDE INDONESIA</v>
      </c>
      <c r="J200" t="str">
        <f t="shared" si="40"/>
        <v>CASH, Cashlez Worldwide Indonesia, Cashlez Worldwide Indonesia Tbk, CashlezWorldwideIndonesia, PT Cashlez Worldwide Indonesia</v>
      </c>
      <c r="K200" t="str">
        <f t="shared" si="41"/>
        <v>CASH, Cashlez Worldwide Indonesia, Cashlez Worldwide Indonesia Tbk, CashlezWorldwideIndonesia, PT Cashlez Worldwide Indonesia</v>
      </c>
      <c r="L200" t="str">
        <f t="shared" si="37"/>
        <v>CashlezWorldwideIndonesia</v>
      </c>
      <c r="M200" t="str">
        <f t="shared" si="42"/>
        <v>CASH, Cashlez Worldwide Indonesia, Cashlez Worldwide Indonesia Tbk, PT Cashlez Worldwide Indonesia</v>
      </c>
      <c r="N200" t="str">
        <f t="shared" si="43"/>
        <v>CASH, Cashlez Worldwide Indonesia, Cashlez Worldwide Indonesia Tbk, PT Cashlez Worldwide Indonesia</v>
      </c>
    </row>
    <row r="201" spans="1:14" x14ac:dyDescent="0.2">
      <c r="A201" t="s">
        <v>342</v>
      </c>
      <c r="B201" t="s">
        <v>343</v>
      </c>
      <c r="C201" t="s">
        <v>8000</v>
      </c>
      <c r="D201" t="str">
        <f t="shared" si="33"/>
        <v>CASS, CAHAYA AERO SERVICES, Cahaya Aero Services, Cahaya Aero Services Tbk, CahayaAeroServices, PT Cahaya Aero Services, cahaya aero services</v>
      </c>
      <c r="E201" t="str">
        <f t="shared" si="34"/>
        <v>CASS, CAHAYA AERO SERVICES, Cahaya Aero Services, Cahaya Aero Services Tbk, CahayaAeroServices, PT Cahaya Aero Services, cahaya aero services</v>
      </c>
      <c r="F201" t="str">
        <f t="shared" si="35"/>
        <v>cahaya aero services</v>
      </c>
      <c r="G201" t="str">
        <f t="shared" si="38"/>
        <v>CASS, CAHAYA AERO SERVICES, Cahaya Aero Services, Cahaya Aero Services Tbk, CahayaAeroServices, PT Cahaya Aero Services</v>
      </c>
      <c r="H201" t="str">
        <f t="shared" si="39"/>
        <v>CASS, CAHAYA AERO SERVICES, Cahaya Aero Services, Cahaya Aero Services Tbk, CahayaAeroServices, PT Cahaya Aero Services</v>
      </c>
      <c r="I201" t="str">
        <f t="shared" si="36"/>
        <v>CAHAYA AERO SERVICES</v>
      </c>
      <c r="J201" t="str">
        <f t="shared" si="40"/>
        <v>CASS, Cahaya Aero Services, Cahaya Aero Services Tbk, CahayaAeroServices, PT Cahaya Aero Services</v>
      </c>
      <c r="K201" t="str">
        <f t="shared" si="41"/>
        <v>CASS, Cahaya Aero Services, Cahaya Aero Services Tbk, CahayaAeroServices, PT Cahaya Aero Services</v>
      </c>
      <c r="L201" t="str">
        <f t="shared" si="37"/>
        <v>CahayaAeroServices</v>
      </c>
      <c r="M201" t="str">
        <f t="shared" si="42"/>
        <v>CASS, Cahaya Aero Services, Cahaya Aero Services Tbk, PT Cahaya Aero Services</v>
      </c>
      <c r="N201" t="str">
        <f t="shared" si="43"/>
        <v>CASS, Cahaya Aero Services, Cahaya Aero Services Tbk, PT Cahaya Aero Services</v>
      </c>
    </row>
    <row r="202" spans="1:14" x14ac:dyDescent="0.2">
      <c r="A202" t="s">
        <v>2528</v>
      </c>
      <c r="B202" t="s">
        <v>2529</v>
      </c>
      <c r="C202" t="s">
        <v>8001</v>
      </c>
      <c r="D202" t="str">
        <f t="shared" si="33"/>
        <v>CBDK, BANGUN KOSAMBI SUKSES, Bangun Kosambi Sukses, Bangun Kosambi Sukses Tbk, BangunKosambiSukses, PT Bangun Kosambi Sukses, bangun kosambi sukses</v>
      </c>
      <c r="E202" t="str">
        <f t="shared" si="34"/>
        <v>CBDK, BANGUN KOSAMBI SUKSES, Bangun Kosambi Sukses, Bangun Kosambi Sukses Tbk, BangunKosambiSukses, PT Bangun Kosambi Sukses, bangun kosambi sukses</v>
      </c>
      <c r="F202" t="str">
        <f t="shared" si="35"/>
        <v>bangun kosambi sukses</v>
      </c>
      <c r="G202" t="str">
        <f t="shared" si="38"/>
        <v>CBDK, BANGUN KOSAMBI SUKSES, Bangun Kosambi Sukses, Bangun Kosambi Sukses Tbk, BangunKosambiSukses, PT Bangun Kosambi Sukses</v>
      </c>
      <c r="H202" t="str">
        <f t="shared" si="39"/>
        <v>CBDK, BANGUN KOSAMBI SUKSES, Bangun Kosambi Sukses, Bangun Kosambi Sukses Tbk, BangunKosambiSukses, PT Bangun Kosambi Sukses</v>
      </c>
      <c r="I202" t="str">
        <f t="shared" si="36"/>
        <v>BANGUN KOSAMBI SUKSES</v>
      </c>
      <c r="J202" t="str">
        <f t="shared" si="40"/>
        <v>CBDK, Bangun Kosambi Sukses, Bangun Kosambi Sukses Tbk, BangunKosambiSukses, PT Bangun Kosambi Sukses</v>
      </c>
      <c r="K202" t="str">
        <f t="shared" si="41"/>
        <v>CBDK, Bangun Kosambi Sukses, Bangun Kosambi Sukses Tbk, BangunKosambiSukses, PT Bangun Kosambi Sukses</v>
      </c>
      <c r="L202" t="str">
        <f t="shared" si="37"/>
        <v>BangunKosambiSukses</v>
      </c>
      <c r="M202" t="str">
        <f t="shared" si="42"/>
        <v>CBDK, Bangun Kosambi Sukses, Bangun Kosambi Sukses Tbk, PT Bangun Kosambi Sukses</v>
      </c>
      <c r="N202" t="str">
        <f t="shared" si="43"/>
        <v>CBDK, Bangun Kosambi Sukses, Bangun Kosambi Sukses Tbk, PT Bangun Kosambi Sukses</v>
      </c>
    </row>
    <row r="203" spans="1:14" x14ac:dyDescent="0.2">
      <c r="A203" t="s">
        <v>1833</v>
      </c>
      <c r="B203" t="s">
        <v>1834</v>
      </c>
      <c r="C203" t="s">
        <v>8002</v>
      </c>
      <c r="D203" t="str">
        <f t="shared" si="33"/>
        <v>CBMF, CAHAYA BINTANG MEDAN, Cahaya Bintang Medan, Cahaya Bintang Medan Tbk, CahayaBintangMedan, PT Cahaya Bintang Medan, cahaya bintang medan</v>
      </c>
      <c r="E203" t="str">
        <f t="shared" si="34"/>
        <v>CBMF, CAHAYA BINTANG MEDAN, Cahaya Bintang Medan, Cahaya Bintang Medan Tbk, CahayaBintangMedan, PT Cahaya Bintang Medan, cahaya bintang medan</v>
      </c>
      <c r="F203" t="str">
        <f t="shared" si="35"/>
        <v>cahaya bintang medan</v>
      </c>
      <c r="G203" t="str">
        <f t="shared" si="38"/>
        <v>CBMF, CAHAYA BINTANG MEDAN, Cahaya Bintang Medan, Cahaya Bintang Medan Tbk, CahayaBintangMedan, PT Cahaya Bintang Medan</v>
      </c>
      <c r="H203" t="str">
        <f t="shared" si="39"/>
        <v>CBMF, CAHAYA BINTANG MEDAN, Cahaya Bintang Medan, Cahaya Bintang Medan Tbk, CahayaBintangMedan, PT Cahaya Bintang Medan</v>
      </c>
      <c r="I203" t="str">
        <f t="shared" si="36"/>
        <v>CAHAYA BINTANG MEDAN</v>
      </c>
      <c r="J203" t="str">
        <f t="shared" si="40"/>
        <v>CBMF, Cahaya Bintang Medan, Cahaya Bintang Medan Tbk, CahayaBintangMedan, PT Cahaya Bintang Medan</v>
      </c>
      <c r="K203" t="str">
        <f t="shared" si="41"/>
        <v>CBMF, Cahaya Bintang Medan, Cahaya Bintang Medan Tbk, CahayaBintangMedan, PT Cahaya Bintang Medan</v>
      </c>
      <c r="L203" t="str">
        <f t="shared" si="37"/>
        <v>CahayaBintangMedan</v>
      </c>
      <c r="M203" t="str">
        <f t="shared" si="42"/>
        <v>CBMF, Cahaya Bintang Medan, Cahaya Bintang Medan Tbk, PT Cahaya Bintang Medan</v>
      </c>
      <c r="N203" t="str">
        <f t="shared" si="43"/>
        <v>CBMF, Cahaya Bintang Medan, Cahaya Bintang Medan Tbk, PT Cahaya Bintang Medan</v>
      </c>
    </row>
    <row r="204" spans="1:14" x14ac:dyDescent="0.2">
      <c r="A204" t="s">
        <v>2225</v>
      </c>
      <c r="B204" t="s">
        <v>2226</v>
      </c>
      <c r="C204" t="s">
        <v>8003</v>
      </c>
      <c r="D204" t="str">
        <f t="shared" si="33"/>
        <v>CBPE, CITRA BUANA PRASIDA, Citra Buana Prasida, Citra Buana Prasida Tbk, CitraBuanaPrasida, PT Citra Buana Prasida, citra buana prasida</v>
      </c>
      <c r="E204" t="str">
        <f t="shared" si="34"/>
        <v>CBPE, CITRA BUANA PRASIDA, Citra Buana Prasida, Citra Buana Prasida Tbk, CitraBuanaPrasida, PT Citra Buana Prasida, citra buana prasida</v>
      </c>
      <c r="F204" t="str">
        <f t="shared" si="35"/>
        <v>citra buana prasida</v>
      </c>
      <c r="G204" t="str">
        <f t="shared" si="38"/>
        <v>CBPE, CITRA BUANA PRASIDA, Citra Buana Prasida, Citra Buana Prasida Tbk, CitraBuanaPrasida, PT Citra Buana Prasida</v>
      </c>
      <c r="H204" t="str">
        <f t="shared" si="39"/>
        <v>CBPE, CITRA BUANA PRASIDA, Citra Buana Prasida, Citra Buana Prasida Tbk, CitraBuanaPrasida, PT Citra Buana Prasida</v>
      </c>
      <c r="I204" t="str">
        <f t="shared" si="36"/>
        <v>CITRA BUANA PRASIDA</v>
      </c>
      <c r="J204" t="str">
        <f t="shared" si="40"/>
        <v>CBPE, Citra Buana Prasida, Citra Buana Prasida Tbk, CitraBuanaPrasida, PT Citra Buana Prasida</v>
      </c>
      <c r="K204" t="str">
        <f t="shared" si="41"/>
        <v>CBPE, Citra Buana Prasida, Citra Buana Prasida Tbk, CitraBuanaPrasida, PT Citra Buana Prasida</v>
      </c>
      <c r="L204" t="str">
        <f t="shared" si="37"/>
        <v>CitraBuanaPrasida</v>
      </c>
      <c r="M204" t="str">
        <f t="shared" si="42"/>
        <v>CBPE, Citra Buana Prasida, Citra Buana Prasida Tbk, PT Citra Buana Prasida</v>
      </c>
      <c r="N204" t="str">
        <f t="shared" si="43"/>
        <v>CBPE, Citra Buana Prasida, Citra Buana Prasida Tbk, PT Citra Buana Prasida</v>
      </c>
    </row>
    <row r="205" spans="1:14" x14ac:dyDescent="0.2">
      <c r="A205" t="s">
        <v>2230</v>
      </c>
      <c r="B205" t="s">
        <v>3541</v>
      </c>
      <c r="C205" t="s">
        <v>8004</v>
      </c>
      <c r="D205" t="str">
        <f t="shared" si="33"/>
        <v>CBRE, CAKRA BUANA RESOURCES ENERGI, Cakra Buana Resources Energi, Cakra Buana Resources Energi Tbk, CakraBuanaResourcesEnergi, PT Cakra Buana Resources Energi, cakra buana resources energi</v>
      </c>
      <c r="E205" t="str">
        <f t="shared" si="34"/>
        <v>CBRE, CAKRA BUANA RESOURCES ENERGI, Cakra Buana Resources Energi, Cakra Buana Resources Energi Tbk, CakraBuanaResourcesEnergi, PT Cakra Buana Resources Energi, cakra buana resources energi</v>
      </c>
      <c r="F205" t="str">
        <f t="shared" si="35"/>
        <v>cakra buana resources energi</v>
      </c>
      <c r="G205" t="str">
        <f t="shared" si="38"/>
        <v>CBRE, CAKRA BUANA RESOURCES ENERGI, Cakra Buana Resources Energi, Cakra Buana Resources Energi Tbk, CakraBuanaResourcesEnergi, PT Cakra Buana Resources Energi</v>
      </c>
      <c r="H205" t="str">
        <f t="shared" si="39"/>
        <v>CBRE, CAKRA BUANA RESOURCES ENERGI, Cakra Buana Resources Energi, Cakra Buana Resources Energi Tbk, CakraBuanaResourcesEnergi, PT Cakra Buana Resources Energi</v>
      </c>
      <c r="I205" t="str">
        <f t="shared" si="36"/>
        <v>CAKRA BUANA RESOURCES ENERGI</v>
      </c>
      <c r="J205" t="str">
        <f t="shared" si="40"/>
        <v>CBRE, Cakra Buana Resources Energi, Cakra Buana Resources Energi Tbk, CakraBuanaResourcesEnergi, PT Cakra Buana Resources Energi</v>
      </c>
      <c r="K205" t="str">
        <f t="shared" si="41"/>
        <v>CBRE, Cakra Buana Resources Energi, Cakra Buana Resources Energi Tbk, CakraBuanaResourcesEnergi, PT Cakra Buana Resources Energi</v>
      </c>
      <c r="L205" t="str">
        <f t="shared" si="37"/>
        <v>CakraBuanaResourcesEnergi</v>
      </c>
      <c r="M205" t="str">
        <f t="shared" si="42"/>
        <v>CBRE, Cakra Buana Resources Energi, Cakra Buana Resources Energi Tbk, PT Cakra Buana Resources Energi</v>
      </c>
      <c r="N205" t="str">
        <f t="shared" si="43"/>
        <v>CBRE, Cakra Buana Resources Energi, Cakra Buana Resources Energi Tbk, PT Cakra Buana Resources Energi</v>
      </c>
    </row>
    <row r="206" spans="1:14" x14ac:dyDescent="0.2">
      <c r="A206" t="s">
        <v>2179</v>
      </c>
      <c r="B206" t="s">
        <v>2180</v>
      </c>
      <c r="C206" t="s">
        <v>8005</v>
      </c>
      <c r="D206" t="str">
        <f t="shared" si="33"/>
        <v>CBUT, CITRA BORNEO UTAMA, Citra Borneo Utama, Citra Borneo Utama Tbk, CitraBorneoUtama, PT Citra Borneo Utama, citra borneo utama</v>
      </c>
      <c r="E206" t="str">
        <f t="shared" si="34"/>
        <v>CBUT, CITRA BORNEO UTAMA, Citra Borneo Utama, Citra Borneo Utama Tbk, CitraBorneoUtama, PT Citra Borneo Utama, citra borneo utama</v>
      </c>
      <c r="F206" t="str">
        <f t="shared" si="35"/>
        <v>citra borneo utama</v>
      </c>
      <c r="G206" t="str">
        <f t="shared" si="38"/>
        <v>CBUT, CITRA BORNEO UTAMA, Citra Borneo Utama, Citra Borneo Utama Tbk, CitraBorneoUtama, PT Citra Borneo Utama</v>
      </c>
      <c r="H206" t="str">
        <f t="shared" si="39"/>
        <v>CBUT, CITRA BORNEO UTAMA, Citra Borneo Utama, Citra Borneo Utama Tbk, CitraBorneoUtama, PT Citra Borneo Utama</v>
      </c>
      <c r="I206" t="str">
        <f t="shared" si="36"/>
        <v>CITRA BORNEO UTAMA</v>
      </c>
      <c r="J206" t="str">
        <f t="shared" si="40"/>
        <v>CBUT, Citra Borneo Utama, Citra Borneo Utama Tbk, CitraBorneoUtama, PT Citra Borneo Utama</v>
      </c>
      <c r="K206" t="str">
        <f t="shared" si="41"/>
        <v>CBUT, Citra Borneo Utama, Citra Borneo Utama Tbk, CitraBorneoUtama, PT Citra Borneo Utama</v>
      </c>
      <c r="L206" t="str">
        <f t="shared" si="37"/>
        <v>CitraBorneoUtama</v>
      </c>
      <c r="M206" t="str">
        <f t="shared" si="42"/>
        <v>CBUT, Citra Borneo Utama, Citra Borneo Utama Tbk, PT Citra Borneo Utama</v>
      </c>
      <c r="N206" t="str">
        <f t="shared" si="43"/>
        <v>CBUT, Citra Borneo Utama, Citra Borneo Utama Tbk, PT Citra Borneo Utama</v>
      </c>
    </row>
    <row r="207" spans="1:14" x14ac:dyDescent="0.2">
      <c r="A207" t="s">
        <v>1680</v>
      </c>
      <c r="B207" t="s">
        <v>3542</v>
      </c>
      <c r="C207" t="s">
        <v>8006</v>
      </c>
      <c r="D207" t="str">
        <f t="shared" si="33"/>
        <v>CCSI, COMMUNICATION CABLE SYSTEMS INDONESIA, Communication Cable Systems Indonesia, Communication Cable Systems Indonesia Tbk, CommunicationCableSystemsIndonesia, PT Communication Cable Systems Indonesia, communication cable systems indonesia</v>
      </c>
      <c r="E207" t="str">
        <f t="shared" si="34"/>
        <v>CCSI, COMMUNICATION CABLE SYSTEMS INDONESIA, Communication Cable Systems Indonesia, Communication Cable Systems Indonesia Tbk, CommunicationCableSystemsIndonesia, PT Communication Cable Systems Indonesia, communication cable systems indonesia</v>
      </c>
      <c r="F207" t="str">
        <f t="shared" si="35"/>
        <v>communication cable systems indonesia</v>
      </c>
      <c r="G207" t="str">
        <f t="shared" si="38"/>
        <v>CCSI, COMMUNICATION CABLE SYSTEMS INDONESIA, Communication Cable Systems Indonesia, Communication Cable Systems Indonesia Tbk, CommunicationCableSystemsIndonesia, PT Communication Cable Systems Indonesia</v>
      </c>
      <c r="H207" t="str">
        <f t="shared" si="39"/>
        <v>CCSI, COMMUNICATION CABLE SYSTEMS INDONESIA, Communication Cable Systems Indonesia, Communication Cable Systems Indonesia Tbk, CommunicationCableSystemsIndonesia, PT Communication Cable Systems Indonesia</v>
      </c>
      <c r="I207" t="str">
        <f t="shared" si="36"/>
        <v>COMMUNICATION CABLE SYSTEMS INDONESIA</v>
      </c>
      <c r="J207" t="str">
        <f t="shared" si="40"/>
        <v>CCSI, Communication Cable Systems Indonesia, Communication Cable Systems Indonesia Tbk, CommunicationCableSystemsIndonesia, PT Communication Cable Systems Indonesia</v>
      </c>
      <c r="K207" t="str">
        <f t="shared" si="41"/>
        <v>CCSI, Communication Cable Systems Indonesia, Communication Cable Systems Indonesia Tbk, CommunicationCableSystemsIndonesia, PT Communication Cable Systems Indonesia</v>
      </c>
      <c r="L207" t="str">
        <f t="shared" si="37"/>
        <v>CommunicationCableSystemsIndonesia</v>
      </c>
      <c r="M207" t="str">
        <f t="shared" si="42"/>
        <v>CCSI, Communication Cable Systems Indonesia, Communication Cable Systems Indonesia Tbk, PT Communication Cable Systems Indonesia</v>
      </c>
      <c r="N207" t="str">
        <f t="shared" si="43"/>
        <v>CCSI, Communication Cable Systems Indonesia, Communication Cable Systems Indonesia Tbk, PT Communication Cable Systems Indonesia</v>
      </c>
    </row>
    <row r="208" spans="1:14" x14ac:dyDescent="0.2">
      <c r="A208" t="s">
        <v>2544</v>
      </c>
      <c r="B208" t="s">
        <v>2545</v>
      </c>
      <c r="C208" t="s">
        <v>8007</v>
      </c>
      <c r="D208" t="str">
        <f t="shared" si="33"/>
        <v>CDIA, CHANDRA DAYA INVESTASI, Chandra Daya Investasi, Chandra Daya Investasi Tbk, ChandraDayaInvestasi, PT Chandra Daya Investasi, chandra daya investasi</v>
      </c>
      <c r="E208" t="str">
        <f t="shared" si="34"/>
        <v>CDIA, CHANDRA DAYA INVESTASI, Chandra Daya Investasi, Chandra Daya Investasi Tbk, ChandraDayaInvestasi, PT Chandra Daya Investasi, chandra daya investasi</v>
      </c>
      <c r="F208" t="str">
        <f t="shared" si="35"/>
        <v>chandra daya investasi</v>
      </c>
      <c r="G208" t="str">
        <f t="shared" si="38"/>
        <v>CDIA, CHANDRA DAYA INVESTASI, Chandra Daya Investasi, Chandra Daya Investasi Tbk, ChandraDayaInvestasi, PT Chandra Daya Investasi</v>
      </c>
      <c r="H208" t="str">
        <f t="shared" si="39"/>
        <v>CDIA, CHANDRA DAYA INVESTASI, Chandra Daya Investasi, Chandra Daya Investasi Tbk, ChandraDayaInvestasi, PT Chandra Daya Investasi</v>
      </c>
      <c r="I208" t="str">
        <f t="shared" si="36"/>
        <v>CHANDRA DAYA INVESTASI</v>
      </c>
      <c r="J208" t="str">
        <f t="shared" si="40"/>
        <v>CDIA, Chandra Daya Investasi, Chandra Daya Investasi Tbk, ChandraDayaInvestasi, PT Chandra Daya Investasi</v>
      </c>
      <c r="K208" t="str">
        <f t="shared" si="41"/>
        <v>CDIA, Chandra Daya Investasi, Chandra Daya Investasi Tbk, ChandraDayaInvestasi, PT Chandra Daya Investasi</v>
      </c>
      <c r="L208" t="str">
        <f t="shared" si="37"/>
        <v>ChandraDayaInvestasi</v>
      </c>
      <c r="M208" t="str">
        <f t="shared" si="42"/>
        <v>CDIA, Chandra Daya Investasi, Chandra Daya Investasi Tbk, PT Chandra Daya Investasi</v>
      </c>
      <c r="N208" t="str">
        <f t="shared" si="43"/>
        <v>CDIA, Chandra Daya Investasi, Chandra Daya Investasi Tbk, PT Chandra Daya Investasi</v>
      </c>
    </row>
    <row r="209" spans="1:14" x14ac:dyDescent="0.2">
      <c r="A209" t="s">
        <v>345</v>
      </c>
      <c r="B209" t="s">
        <v>346</v>
      </c>
      <c r="C209" t="s">
        <v>8008</v>
      </c>
      <c r="D209" t="str">
        <f t="shared" si="33"/>
        <v>CEKA, PT Wilmar Cahaya Indonesia, WILMAR CAHAYA INDONESIA, Wilmar Cahaya Indonesia, Wilmar Cahaya Indonesia Tbk, WilmarCahayaIndonesia, wilmar cahaya indonesia</v>
      </c>
      <c r="E209" t="str">
        <f t="shared" si="34"/>
        <v>CEKA, PT Wilmar Cahaya Indonesia, WILMAR CAHAYA INDONESIA, Wilmar Cahaya Indonesia, Wilmar Cahaya Indonesia Tbk, WilmarCahayaIndonesia, wilmar cahaya indonesia</v>
      </c>
      <c r="F209" t="str">
        <f t="shared" si="35"/>
        <v>wilmar cahaya indonesia</v>
      </c>
      <c r="G209" t="str">
        <f t="shared" si="38"/>
        <v>CEKA, PT Wilmar Cahaya Indonesia, WILMAR CAHAYA INDONESIA, Wilmar Cahaya Indonesia, Wilmar Cahaya Indonesia Tbk, WilmarCahayaIndonesia</v>
      </c>
      <c r="H209" t="str">
        <f t="shared" si="39"/>
        <v>CEKA, PT Wilmar Cahaya Indonesia, WILMAR CAHAYA INDONESIA, Wilmar Cahaya Indonesia, Wilmar Cahaya Indonesia Tbk, WilmarCahayaIndonesia</v>
      </c>
      <c r="I209" t="str">
        <f t="shared" si="36"/>
        <v>WILMAR CAHAYA INDONESIA</v>
      </c>
      <c r="J209" t="str">
        <f t="shared" si="40"/>
        <v>CEKA, PT Wilmar Cahaya Indonesia, Wilmar Cahaya Indonesia, Wilmar Cahaya Indonesia Tbk, WilmarCahayaIndonesia</v>
      </c>
      <c r="K209" t="str">
        <f t="shared" si="41"/>
        <v>CEKA, PT Wilmar Cahaya Indonesia, Wilmar Cahaya Indonesia, Wilmar Cahaya Indonesia Tbk, WilmarCahayaIndonesia</v>
      </c>
      <c r="L209" t="str">
        <f t="shared" si="37"/>
        <v>WilmarCahayaIndonesia</v>
      </c>
      <c r="M209" t="str">
        <f t="shared" si="42"/>
        <v>CEKA, PT Wilmar Cahaya Indonesia, Wilmar Cahaya Indonesia, Wilmar Cahaya Indonesia Tbk</v>
      </c>
      <c r="N209" t="str">
        <f t="shared" si="43"/>
        <v>CEKA, PT Wilmar Cahaya Indonesia, Wilmar Cahaya Indonesia, Wilmar Cahaya Indonesia Tbk</v>
      </c>
    </row>
    <row r="210" spans="1:14" x14ac:dyDescent="0.2">
      <c r="A210" t="s">
        <v>348</v>
      </c>
      <c r="B210" t="s">
        <v>3543</v>
      </c>
      <c r="C210" t="s">
        <v>8009</v>
      </c>
      <c r="D210" t="str">
        <f t="shared" si="33"/>
        <v>CENT, CENTRATAMA TELEKOMUNIKASI INDONESIA, Centratama Telekomunikasi Indonesia, Centratama Telekomunikasi Indonesia Tbk, CentratamaTelekomunikasiIndonesia, PT Centratama Telekomunikasi Indonesia, centratama telekomunikasi indonesia</v>
      </c>
      <c r="E210" t="str">
        <f t="shared" si="34"/>
        <v>CENT, CENTRATAMA TELEKOMUNIKASI INDONESIA, Centratama Telekomunikasi Indonesia, Centratama Telekomunikasi Indonesia Tbk, CentratamaTelekomunikasiIndonesia, PT Centratama Telekomunikasi Indonesia, centratama telekomunikasi indonesia</v>
      </c>
      <c r="F210" t="str">
        <f t="shared" si="35"/>
        <v>centratama telekomunikasi indonesia</v>
      </c>
      <c r="G210" t="str">
        <f t="shared" si="38"/>
        <v>CENT, CENTRATAMA TELEKOMUNIKASI INDONESIA, Centratama Telekomunikasi Indonesia, Centratama Telekomunikasi Indonesia Tbk, CentratamaTelekomunikasiIndonesia, PT Centratama Telekomunikasi Indonesia</v>
      </c>
      <c r="H210" t="str">
        <f t="shared" si="39"/>
        <v>CENT, CENTRATAMA TELEKOMUNIKASI INDONESIA, Centratama Telekomunikasi Indonesia, Centratama Telekomunikasi Indonesia Tbk, CentratamaTelekomunikasiIndonesia, PT Centratama Telekomunikasi Indonesia</v>
      </c>
      <c r="I210" t="str">
        <f t="shared" si="36"/>
        <v>CENTRATAMA TELEKOMUNIKASI INDONESIA</v>
      </c>
      <c r="J210" t="str">
        <f t="shared" si="40"/>
        <v>CENT, Centratama Telekomunikasi Indonesia, Centratama Telekomunikasi Indonesia Tbk, CentratamaTelekomunikasiIndonesia, PT Centratama Telekomunikasi Indonesia</v>
      </c>
      <c r="K210" t="str">
        <f t="shared" si="41"/>
        <v>CENT, Centratama Telekomunikasi Indonesia, Centratama Telekomunikasi Indonesia Tbk, CentratamaTelekomunikasiIndonesia, PT Centratama Telekomunikasi Indonesia</v>
      </c>
      <c r="L210" t="str">
        <f t="shared" si="37"/>
        <v>CentratamaTelekomunikasiIndonesia</v>
      </c>
      <c r="M210" t="str">
        <f t="shared" si="42"/>
        <v>CENT, Centratama Telekomunikasi Indonesia, Centratama Telekomunikasi Indonesia Tbk, PT Centratama Telekomunikasi Indonesia</v>
      </c>
      <c r="N210" t="str">
        <f t="shared" si="43"/>
        <v>CENT, Centratama Telekomunikasi Indonesia, Centratama Telekomunikasi Indonesia Tbk, PT Centratama Telekomunikasi Indonesia</v>
      </c>
    </row>
    <row r="211" spans="1:14" x14ac:dyDescent="0.2">
      <c r="A211" t="s">
        <v>350</v>
      </c>
      <c r="B211" t="s">
        <v>351</v>
      </c>
      <c r="C211" t="s">
        <v>8010</v>
      </c>
      <c r="D211" t="str">
        <f t="shared" si="33"/>
        <v>CFIN, CLIPAN FINANCE INDONESIA, Clipan Finance Indonesia, Clipan Finance Indonesia Tbk, ClipanFinanceIndonesia, PT Clipan Finance Indonesia, clipan finance indonesia</v>
      </c>
      <c r="E211" t="str">
        <f t="shared" si="34"/>
        <v>CFIN, CLIPAN FINANCE INDONESIA, Clipan Finance Indonesia, Clipan Finance Indonesia Tbk, ClipanFinanceIndonesia, PT Clipan Finance Indonesia, clipan finance indonesia</v>
      </c>
      <c r="F211" t="str">
        <f t="shared" si="35"/>
        <v>clipan finance indonesia</v>
      </c>
      <c r="G211" t="str">
        <f t="shared" si="38"/>
        <v>CFIN, CLIPAN FINANCE INDONESIA, Clipan Finance Indonesia, Clipan Finance Indonesia Tbk, ClipanFinanceIndonesia, PT Clipan Finance Indonesia</v>
      </c>
      <c r="H211" t="str">
        <f t="shared" si="39"/>
        <v>CFIN, CLIPAN FINANCE INDONESIA, Clipan Finance Indonesia, Clipan Finance Indonesia Tbk, ClipanFinanceIndonesia, PT Clipan Finance Indonesia</v>
      </c>
      <c r="I211" t="str">
        <f t="shared" si="36"/>
        <v>CLIPAN FINANCE INDONESIA</v>
      </c>
      <c r="J211" t="str">
        <f t="shared" si="40"/>
        <v>CFIN, Clipan Finance Indonesia, Clipan Finance Indonesia Tbk, ClipanFinanceIndonesia, PT Clipan Finance Indonesia</v>
      </c>
      <c r="K211" t="str">
        <f t="shared" si="41"/>
        <v>CFIN, Clipan Finance Indonesia, Clipan Finance Indonesia Tbk, ClipanFinanceIndonesia, PT Clipan Finance Indonesia</v>
      </c>
      <c r="L211" t="str">
        <f t="shared" si="37"/>
        <v>ClipanFinanceIndonesia</v>
      </c>
      <c r="M211" t="str">
        <f t="shared" si="42"/>
        <v>CFIN, Clipan Finance Indonesia, Clipan Finance Indonesia Tbk, PT Clipan Finance Indonesia</v>
      </c>
      <c r="N211" t="str">
        <f t="shared" si="43"/>
        <v>CFIN, Clipan Finance Indonesia, Clipan Finance Indonesia Tbk, PT Clipan Finance Indonesia</v>
      </c>
    </row>
    <row r="212" spans="1:14" x14ac:dyDescent="0.2">
      <c r="A212" t="s">
        <v>2625</v>
      </c>
      <c r="B212" t="s">
        <v>2626</v>
      </c>
      <c r="C212" t="s">
        <v>8011</v>
      </c>
      <c r="D212" t="str">
        <f t="shared" si="33"/>
        <v>CGAS, CITRA NUSANTARA GEMILANG, Citra Nusantara Gemilang, Citra Nusantara Gemilang Tbk, CitraNusantaraGemilang, PT Citra Nusantara Gemilang, citra nusantara gemilang</v>
      </c>
      <c r="E212" t="str">
        <f t="shared" si="34"/>
        <v>CGAS, CITRA NUSANTARA GEMILANG, Citra Nusantara Gemilang, Citra Nusantara Gemilang Tbk, CitraNusantaraGemilang, PT Citra Nusantara Gemilang, citra nusantara gemilang</v>
      </c>
      <c r="F212" t="str">
        <f t="shared" si="35"/>
        <v>citra nusantara gemilang</v>
      </c>
      <c r="G212" t="str">
        <f t="shared" si="38"/>
        <v>CGAS, CITRA NUSANTARA GEMILANG, Citra Nusantara Gemilang, Citra Nusantara Gemilang Tbk, CitraNusantaraGemilang, PT Citra Nusantara Gemilang</v>
      </c>
      <c r="H212" t="str">
        <f t="shared" si="39"/>
        <v>CGAS, CITRA NUSANTARA GEMILANG, Citra Nusantara Gemilang, Citra Nusantara Gemilang Tbk, CitraNusantaraGemilang, PT Citra Nusantara Gemilang</v>
      </c>
      <c r="I212" t="str">
        <f t="shared" si="36"/>
        <v>CITRA NUSANTARA GEMILANG</v>
      </c>
      <c r="J212" t="str">
        <f t="shared" si="40"/>
        <v>CGAS, Citra Nusantara Gemilang, Citra Nusantara Gemilang Tbk, CitraNusantaraGemilang, PT Citra Nusantara Gemilang</v>
      </c>
      <c r="K212" t="str">
        <f t="shared" si="41"/>
        <v>CGAS, Citra Nusantara Gemilang, Citra Nusantara Gemilang Tbk, CitraNusantaraGemilang, PT Citra Nusantara Gemilang</v>
      </c>
      <c r="L212" t="str">
        <f t="shared" si="37"/>
        <v>CitraNusantaraGemilang</v>
      </c>
      <c r="M212" t="str">
        <f t="shared" si="42"/>
        <v>CGAS, Citra Nusantara Gemilang, Citra Nusantara Gemilang Tbk, PT Citra Nusantara Gemilang</v>
      </c>
      <c r="N212" t="str">
        <f t="shared" si="43"/>
        <v>CGAS, Citra Nusantara Gemilang, Citra Nusantara Gemilang Tbk, PT Citra Nusantara Gemilang</v>
      </c>
    </row>
    <row r="213" spans="1:14" x14ac:dyDescent="0.2">
      <c r="A213" t="s">
        <v>2553</v>
      </c>
      <c r="B213" t="s">
        <v>2554</v>
      </c>
      <c r="C213" t="s">
        <v>8012</v>
      </c>
      <c r="D213" t="str">
        <f t="shared" si="33"/>
        <v>CHEK, DIASTIKA BIOTEKINDO, Diastika Biotekindo, Diastika Biotekindo Tbk, DiastikaBiotekindo, PT Diastika Biotekindo, diastika biotekindo</v>
      </c>
      <c r="E213" t="str">
        <f t="shared" si="34"/>
        <v>CHEK, DIASTIKA BIOTEKINDO, Diastika Biotekindo, Diastika Biotekindo Tbk, DiastikaBiotekindo, PT Diastika Biotekindo, diastika biotekindo</v>
      </c>
      <c r="F213" t="str">
        <f t="shared" si="35"/>
        <v>diastika biotekindo</v>
      </c>
      <c r="G213" t="str">
        <f t="shared" si="38"/>
        <v>CHEK, DIASTIKA BIOTEKINDO, Diastika Biotekindo, Diastika Biotekindo Tbk, DiastikaBiotekindo, PT Diastika Biotekindo</v>
      </c>
      <c r="H213" t="str">
        <f t="shared" si="39"/>
        <v>CHEK, DIASTIKA BIOTEKINDO, Diastika Biotekindo, Diastika Biotekindo Tbk, DiastikaBiotekindo, PT Diastika Biotekindo</v>
      </c>
      <c r="I213" t="str">
        <f t="shared" si="36"/>
        <v>DIASTIKA BIOTEKINDO</v>
      </c>
      <c r="J213" t="str">
        <f t="shared" si="40"/>
        <v>CHEK, Diastika Biotekindo, Diastika Biotekindo Tbk, DiastikaBiotekindo, PT Diastika Biotekindo</v>
      </c>
      <c r="K213" t="str">
        <f t="shared" si="41"/>
        <v>CHEK, Diastika Biotekindo, Diastika Biotekindo Tbk, DiastikaBiotekindo, PT Diastika Biotekindo</v>
      </c>
      <c r="L213" t="str">
        <f t="shared" si="37"/>
        <v>DiastikaBiotekindo</v>
      </c>
      <c r="M213" t="str">
        <f t="shared" si="42"/>
        <v>CHEK, Diastika Biotekindo, Diastika Biotekindo Tbk, PT Diastika Biotekindo</v>
      </c>
      <c r="N213" t="str">
        <f t="shared" si="43"/>
        <v>CHEK, Diastika Biotekindo, Diastika Biotekindo Tbk, PT Diastika Biotekindo</v>
      </c>
    </row>
    <row r="214" spans="1:14" x14ac:dyDescent="0.2">
      <c r="A214" t="s">
        <v>2123</v>
      </c>
      <c r="B214" t="s">
        <v>2124</v>
      </c>
      <c r="C214" t="s">
        <v>8013</v>
      </c>
      <c r="D214" t="str">
        <f t="shared" si="33"/>
        <v>CHEM, CHEMSTAR INDONESIA, Chemstar Indonesia, Chemstar Indonesia Tbk, ChemstarIndonesia, PT Chemstar Indonesia, chemstar indonesia</v>
      </c>
      <c r="E214" t="str">
        <f t="shared" si="34"/>
        <v>CHEM, CHEMSTAR INDONESIA, Chemstar Indonesia, Chemstar Indonesia Tbk, ChemstarIndonesia, PT Chemstar Indonesia, chemstar indonesia</v>
      </c>
      <c r="F214" t="str">
        <f t="shared" si="35"/>
        <v>chemstar indonesia</v>
      </c>
      <c r="G214" t="str">
        <f t="shared" si="38"/>
        <v>CHEM, CHEMSTAR INDONESIA, Chemstar Indonesia, Chemstar Indonesia Tbk, ChemstarIndonesia, PT Chemstar Indonesia</v>
      </c>
      <c r="H214" t="str">
        <f t="shared" si="39"/>
        <v>CHEM, CHEMSTAR INDONESIA, Chemstar Indonesia, Chemstar Indonesia Tbk, ChemstarIndonesia, PT Chemstar Indonesia</v>
      </c>
      <c r="I214" t="str">
        <f t="shared" si="36"/>
        <v>CHEMSTAR INDONESIA</v>
      </c>
      <c r="J214" t="str">
        <f t="shared" si="40"/>
        <v>CHEM, Chemstar Indonesia, Chemstar Indonesia Tbk, ChemstarIndonesia, PT Chemstar Indonesia</v>
      </c>
      <c r="K214" t="str">
        <f t="shared" si="41"/>
        <v>CHEM, Chemstar Indonesia, Chemstar Indonesia Tbk, ChemstarIndonesia, PT Chemstar Indonesia</v>
      </c>
      <c r="L214" t="str">
        <f t="shared" si="37"/>
        <v>ChemstarIndonesia</v>
      </c>
      <c r="M214" t="str">
        <f t="shared" si="42"/>
        <v>CHEM, Chemstar Indonesia, Chemstar Indonesia Tbk, PT Chemstar Indonesia</v>
      </c>
      <c r="N214" t="str">
        <f t="shared" si="43"/>
        <v>CHEM, Chemstar Indonesia, Chemstar Indonesia Tbk, PT Chemstar Indonesia</v>
      </c>
    </row>
    <row r="215" spans="1:14" x14ac:dyDescent="0.2">
      <c r="A215" t="s">
        <v>2258</v>
      </c>
      <c r="B215" t="s">
        <v>2259</v>
      </c>
      <c r="C215" t="s">
        <v>8014</v>
      </c>
      <c r="D215" t="str">
        <f t="shared" si="33"/>
        <v>CHIP, PELITA TEKNOLOGI GLOBAL, PT Pelita Teknologi Global, Pelita Teknologi Global, Pelita Teknologi Global Tbk, PelitaTeknologiGlobal, pelita teknologi global</v>
      </c>
      <c r="E215" t="str">
        <f t="shared" si="34"/>
        <v>CHIP, PELITA TEKNOLOGI GLOBAL, PT Pelita Teknologi Global, Pelita Teknologi Global, Pelita Teknologi Global Tbk, PelitaTeknologiGlobal, pelita teknologi global</v>
      </c>
      <c r="F215" t="str">
        <f t="shared" si="35"/>
        <v>pelita teknologi global</v>
      </c>
      <c r="G215" t="str">
        <f t="shared" si="38"/>
        <v>CHIP, PELITA TEKNOLOGI GLOBAL, PT Pelita Teknologi Global, Pelita Teknologi Global, Pelita Teknologi Global Tbk, PelitaTeknologiGlobal</v>
      </c>
      <c r="H215" t="str">
        <f t="shared" si="39"/>
        <v>CHIP, PELITA TEKNOLOGI GLOBAL, PT Pelita Teknologi Global, Pelita Teknologi Global, Pelita Teknologi Global Tbk, PelitaTeknologiGlobal</v>
      </c>
      <c r="I215" t="str">
        <f t="shared" si="36"/>
        <v>PELITA TEKNOLOGI GLOBAL</v>
      </c>
      <c r="J215" t="str">
        <f t="shared" si="40"/>
        <v>CHIP, PT Pelita Teknologi Global, Pelita Teknologi Global, Pelita Teknologi Global Tbk, PelitaTeknologiGlobal</v>
      </c>
      <c r="K215" t="str">
        <f t="shared" si="41"/>
        <v>CHIP, PT Pelita Teknologi Global, Pelita Teknologi Global, Pelita Teknologi Global Tbk, PelitaTeknologiGlobal</v>
      </c>
      <c r="L215" t="str">
        <f t="shared" si="37"/>
        <v>PelitaTeknologiGlobal</v>
      </c>
      <c r="M215" t="str">
        <f t="shared" si="42"/>
        <v>CHIP, PT Pelita Teknologi Global, Pelita Teknologi Global, Pelita Teknologi Global Tbk</v>
      </c>
      <c r="N215" t="str">
        <f t="shared" si="43"/>
        <v>CHIP, PT Pelita Teknologi Global, Pelita Teknologi Global, Pelita Teknologi Global Tbk</v>
      </c>
    </row>
    <row r="216" spans="1:14" x14ac:dyDescent="0.2">
      <c r="A216" t="s">
        <v>353</v>
      </c>
      <c r="B216" t="s">
        <v>354</v>
      </c>
      <c r="C216" t="s">
        <v>8015</v>
      </c>
      <c r="D216" t="str">
        <f t="shared" si="33"/>
        <v>CINT, CHITOSE INTERNASIONAL, Chitose Internasional, Chitose Internasional Tbk, ChitoseInternasional, PT Chitose Internasional, chitose internasional</v>
      </c>
      <c r="E216" t="str">
        <f t="shared" si="34"/>
        <v>CINT, CHITOSE INTERNASIONAL, Chitose Internasional, Chitose Internasional Tbk, ChitoseInternasional, PT Chitose Internasional, chitose internasional</v>
      </c>
      <c r="F216" t="str">
        <f t="shared" si="35"/>
        <v>chitose internasional</v>
      </c>
      <c r="G216" t="str">
        <f t="shared" si="38"/>
        <v>CINT, CHITOSE INTERNASIONAL, Chitose Internasional, Chitose Internasional Tbk, ChitoseInternasional, PT Chitose Internasional</v>
      </c>
      <c r="H216" t="str">
        <f t="shared" si="39"/>
        <v>CINT, CHITOSE INTERNASIONAL, Chitose Internasional, Chitose Internasional Tbk, ChitoseInternasional, PT Chitose Internasional</v>
      </c>
      <c r="I216" t="str">
        <f t="shared" si="36"/>
        <v>CHITOSE INTERNASIONAL</v>
      </c>
      <c r="J216" t="str">
        <f t="shared" si="40"/>
        <v>CINT, Chitose Internasional, Chitose Internasional Tbk, ChitoseInternasional, PT Chitose Internasional</v>
      </c>
      <c r="K216" t="str">
        <f t="shared" si="41"/>
        <v>CINT, Chitose Internasional, Chitose Internasional Tbk, ChitoseInternasional, PT Chitose Internasional</v>
      </c>
      <c r="L216" t="str">
        <f t="shared" si="37"/>
        <v>ChitoseInternasional</v>
      </c>
      <c r="M216" t="str">
        <f t="shared" si="42"/>
        <v>CINT, Chitose Internasional, Chitose Internasional Tbk, PT Chitose Internasional</v>
      </c>
      <c r="N216" t="str">
        <f t="shared" si="43"/>
        <v>CINT, Chitose Internasional, Chitose Internasional Tbk, PT Chitose Internasional</v>
      </c>
    </row>
    <row r="217" spans="1:14" x14ac:dyDescent="0.2">
      <c r="A217" t="s">
        <v>356</v>
      </c>
      <c r="B217" t="s">
        <v>357</v>
      </c>
      <c r="C217" t="s">
        <v>8016</v>
      </c>
      <c r="D217" t="str">
        <f t="shared" si="33"/>
        <v>CITA, CITA MINERAL INVESTINDO, Cita Mineral Investindo, Cita Mineral Investindo Tbk, CitaMineralInvestindo, PT Cita Mineral Investindo, cita mineral investindo</v>
      </c>
      <c r="E217" t="str">
        <f t="shared" si="34"/>
        <v>CITA, CITA MINERAL INVESTINDO, Cita Mineral Investindo, Cita Mineral Investindo Tbk, CitaMineralInvestindo, PT Cita Mineral Investindo, cita mineral investindo</v>
      </c>
      <c r="F217" t="str">
        <f t="shared" si="35"/>
        <v>cita mineral investindo</v>
      </c>
      <c r="G217" t="str">
        <f t="shared" si="38"/>
        <v>CITA, CITA MINERAL INVESTINDO, Cita Mineral Investindo, Cita Mineral Investindo Tbk, CitaMineralInvestindo, PT Cita Mineral Investindo</v>
      </c>
      <c r="H217" t="str">
        <f t="shared" si="39"/>
        <v>CITA, CITA MINERAL INVESTINDO, Cita Mineral Investindo, Cita Mineral Investindo Tbk, CitaMineralInvestindo, PT Cita Mineral Investindo</v>
      </c>
      <c r="I217" t="str">
        <f t="shared" si="36"/>
        <v>CITA MINERAL INVESTINDO</v>
      </c>
      <c r="J217" t="str">
        <f t="shared" si="40"/>
        <v>CITA, Cita Mineral Investindo, Cita Mineral Investindo Tbk, CitaMineralInvestindo, PT Cita Mineral Investindo</v>
      </c>
      <c r="K217" t="str">
        <f t="shared" si="41"/>
        <v>CITA, Cita Mineral Investindo, Cita Mineral Investindo Tbk, CitaMineralInvestindo, PT Cita Mineral Investindo</v>
      </c>
      <c r="L217" t="str">
        <f t="shared" si="37"/>
        <v>CitaMineralInvestindo</v>
      </c>
      <c r="M217" t="str">
        <f t="shared" si="42"/>
        <v>CITA, Cita Mineral Investindo, Cita Mineral Investindo Tbk, PT Cita Mineral Investindo</v>
      </c>
      <c r="N217" t="str">
        <f t="shared" si="43"/>
        <v>CITA, Cita Mineral Investindo, Cita Mineral Investindo Tbk, PT Cita Mineral Investindo</v>
      </c>
    </row>
    <row r="218" spans="1:14" x14ac:dyDescent="0.2">
      <c r="A218" t="s">
        <v>1586</v>
      </c>
      <c r="B218" t="s">
        <v>1587</v>
      </c>
      <c r="C218" t="s">
        <v>8017</v>
      </c>
      <c r="D218" t="str">
        <f t="shared" si="33"/>
        <v>CITY, NATURA CITY DEVELOPMENTS, Natura City Developments, Natura City Developments Tbk, NaturaCityDevelopments, PT Natura City Developments, natura city developments</v>
      </c>
      <c r="E218" t="str">
        <f t="shared" si="34"/>
        <v>CITY, NATURA CITY DEVELOPMENTS, Natura City Developments, Natura City Developments Tbk, NaturaCityDevelopments, PT Natura City Developments, natura city developments</v>
      </c>
      <c r="F218" t="str">
        <f t="shared" si="35"/>
        <v>natura city developments</v>
      </c>
      <c r="G218" t="str">
        <f t="shared" si="38"/>
        <v>CITY, NATURA CITY DEVELOPMENTS, Natura City Developments, Natura City Developments Tbk, NaturaCityDevelopments, PT Natura City Developments</v>
      </c>
      <c r="H218" t="str">
        <f t="shared" si="39"/>
        <v>CITY, NATURA CITY DEVELOPMENTS, Natura City Developments, Natura City Developments Tbk, NaturaCityDevelopments, PT Natura City Developments</v>
      </c>
      <c r="I218" t="str">
        <f t="shared" si="36"/>
        <v>NATURA CITY DEVELOPMENTS</v>
      </c>
      <c r="J218" t="str">
        <f t="shared" si="40"/>
        <v>CITY, Natura City Developments, Natura City Developments Tbk, NaturaCityDevelopments, PT Natura City Developments</v>
      </c>
      <c r="K218" t="str">
        <f t="shared" si="41"/>
        <v>CITY, Natura City Developments, Natura City Developments Tbk, NaturaCityDevelopments, PT Natura City Developments</v>
      </c>
      <c r="L218" t="str">
        <f t="shared" si="37"/>
        <v>NaturaCityDevelopments</v>
      </c>
      <c r="M218" t="str">
        <f t="shared" si="42"/>
        <v>CITY, Natura City Developments, Natura City Developments Tbk, PT Natura City Developments</v>
      </c>
      <c r="N218" t="str">
        <f t="shared" si="43"/>
        <v>CITY, Natura City Developments, Natura City Developments Tbk, PT Natura City Developments</v>
      </c>
    </row>
    <row r="219" spans="1:14" x14ac:dyDescent="0.2">
      <c r="A219" t="s">
        <v>1649</v>
      </c>
      <c r="B219" t="s">
        <v>1650</v>
      </c>
      <c r="C219" t="s">
        <v>8018</v>
      </c>
      <c r="D219" t="str">
        <f t="shared" si="33"/>
        <v>CLAY, CITRA PUTRA REALTY, Citra Putra Realty, Citra Putra Realty Tbk, CitraPutraRealty, PT Citra Putra Realty, citra putra realty</v>
      </c>
      <c r="E219" t="str">
        <f t="shared" si="34"/>
        <v>CLAY, CITRA PUTRA REALTY, Citra Putra Realty, Citra Putra Realty Tbk, CitraPutraRealty, PT Citra Putra Realty, citra putra realty</v>
      </c>
      <c r="F219" t="str">
        <f t="shared" si="35"/>
        <v>citra putra realty</v>
      </c>
      <c r="G219" t="str">
        <f t="shared" si="38"/>
        <v>CLAY, CITRA PUTRA REALTY, Citra Putra Realty, Citra Putra Realty Tbk, CitraPutraRealty, PT Citra Putra Realty</v>
      </c>
      <c r="H219" t="str">
        <f t="shared" si="39"/>
        <v>CLAY, CITRA PUTRA REALTY, Citra Putra Realty, Citra Putra Realty Tbk, CitraPutraRealty, PT Citra Putra Realty</v>
      </c>
      <c r="I219" t="str">
        <f t="shared" si="36"/>
        <v>CITRA PUTRA REALTY</v>
      </c>
      <c r="J219" t="str">
        <f t="shared" si="40"/>
        <v>CLAY, Citra Putra Realty, Citra Putra Realty Tbk, CitraPutraRealty, PT Citra Putra Realty</v>
      </c>
      <c r="K219" t="str">
        <f t="shared" si="41"/>
        <v>CLAY, Citra Putra Realty, Citra Putra Realty Tbk, CitraPutraRealty, PT Citra Putra Realty</v>
      </c>
      <c r="L219" t="str">
        <f t="shared" si="37"/>
        <v>CitraPutraRealty</v>
      </c>
      <c r="M219" t="str">
        <f t="shared" si="42"/>
        <v>CLAY, Citra Putra Realty, Citra Putra Realty Tbk, PT Citra Putra Realty</v>
      </c>
      <c r="N219" t="str">
        <f t="shared" si="43"/>
        <v>CLAY, Citra Putra Realty, Citra Putra Realty Tbk, PT Citra Putra Realty</v>
      </c>
    </row>
    <row r="220" spans="1:14" x14ac:dyDescent="0.2">
      <c r="A220" t="s">
        <v>1399</v>
      </c>
      <c r="B220" t="s">
        <v>1400</v>
      </c>
      <c r="C220" t="s">
        <v>8019</v>
      </c>
      <c r="D220" t="str">
        <f t="shared" si="33"/>
        <v>CLEO, PT Sariguna Primatirta, SARIGUNA PRIMATIRTA, Sariguna Primatirta, Sariguna Primatirta Tbk, SarigunaPrimatirta, sariguna primatirta</v>
      </c>
      <c r="E220" t="str">
        <f t="shared" si="34"/>
        <v>CLEO, PT Sariguna Primatirta, SARIGUNA PRIMATIRTA, Sariguna Primatirta, Sariguna Primatirta Tbk, SarigunaPrimatirta, sariguna primatirta</v>
      </c>
      <c r="F220" t="str">
        <f t="shared" si="35"/>
        <v>sariguna primatirta</v>
      </c>
      <c r="G220" t="str">
        <f t="shared" si="38"/>
        <v>CLEO, PT Sariguna Primatirta, SARIGUNA PRIMATIRTA, Sariguna Primatirta, Sariguna Primatirta Tbk, SarigunaPrimatirta</v>
      </c>
      <c r="H220" t="str">
        <f t="shared" si="39"/>
        <v>CLEO, PT Sariguna Primatirta, SARIGUNA PRIMATIRTA, Sariguna Primatirta, Sariguna Primatirta Tbk, SarigunaPrimatirta</v>
      </c>
      <c r="I220" t="str">
        <f t="shared" si="36"/>
        <v>SARIGUNA PRIMATIRTA</v>
      </c>
      <c r="J220" t="str">
        <f t="shared" si="40"/>
        <v>CLEO, PT Sariguna Primatirta, Sariguna Primatirta, Sariguna Primatirta Tbk, SarigunaPrimatirta</v>
      </c>
      <c r="K220" t="str">
        <f t="shared" si="41"/>
        <v>CLEO, PT Sariguna Primatirta, Sariguna Primatirta, Sariguna Primatirta Tbk, SarigunaPrimatirta</v>
      </c>
      <c r="L220" t="str">
        <f t="shared" si="37"/>
        <v>SarigunaPrimatirta</v>
      </c>
      <c r="M220" t="str">
        <f t="shared" si="42"/>
        <v>CLEO, PT Sariguna Primatirta, Sariguna Primatirta, Sariguna Primatirta Tbk</v>
      </c>
      <c r="N220" t="str">
        <f t="shared" si="43"/>
        <v>CLEO, PT Sariguna Primatirta, Sariguna Primatirta, Sariguna Primatirta Tbk</v>
      </c>
    </row>
    <row r="221" spans="1:14" x14ac:dyDescent="0.2">
      <c r="A221" t="s">
        <v>359</v>
      </c>
      <c r="B221" t="s">
        <v>360</v>
      </c>
      <c r="C221" t="s">
        <v>8020</v>
      </c>
      <c r="D221" t="str">
        <f t="shared" si="33"/>
        <v>CLPI, COLORPAK INDONESIA, Colorpak Indonesia, Colorpak Indonesia Tbk, ColorpakIndonesia, PT Colorpak Indonesia, colorpak indonesia</v>
      </c>
      <c r="E221" t="str">
        <f t="shared" si="34"/>
        <v>CLPI, COLORPAK INDONESIA, Colorpak Indonesia, Colorpak Indonesia Tbk, ColorpakIndonesia, PT Colorpak Indonesia, colorpak indonesia</v>
      </c>
      <c r="F221" t="str">
        <f t="shared" si="35"/>
        <v>colorpak indonesia</v>
      </c>
      <c r="G221" t="str">
        <f t="shared" si="38"/>
        <v>CLPI, COLORPAK INDONESIA, Colorpak Indonesia, Colorpak Indonesia Tbk, ColorpakIndonesia, PT Colorpak Indonesia</v>
      </c>
      <c r="H221" t="str">
        <f t="shared" si="39"/>
        <v>CLPI, COLORPAK INDONESIA, Colorpak Indonesia, Colorpak Indonesia Tbk, ColorpakIndonesia, PT Colorpak Indonesia</v>
      </c>
      <c r="I221" t="str">
        <f t="shared" si="36"/>
        <v>COLORPAK INDONESIA</v>
      </c>
      <c r="J221" t="str">
        <f t="shared" si="40"/>
        <v>CLPI, Colorpak Indonesia, Colorpak Indonesia Tbk, ColorpakIndonesia, PT Colorpak Indonesia</v>
      </c>
      <c r="K221" t="str">
        <f t="shared" si="41"/>
        <v>CLPI, Colorpak Indonesia, Colorpak Indonesia Tbk, ColorpakIndonesia, PT Colorpak Indonesia</v>
      </c>
      <c r="L221" t="str">
        <f t="shared" si="37"/>
        <v>ColorpakIndonesia</v>
      </c>
      <c r="M221" t="str">
        <f t="shared" si="42"/>
        <v>CLPI, Colorpak Indonesia, Colorpak Indonesia Tbk, PT Colorpak Indonesia</v>
      </c>
      <c r="N221" t="str">
        <f t="shared" si="43"/>
        <v>CLPI, Colorpak Indonesia, Colorpak Indonesia Tbk, PT Colorpak Indonesia</v>
      </c>
    </row>
    <row r="222" spans="1:14" x14ac:dyDescent="0.2">
      <c r="A222" t="s">
        <v>362</v>
      </c>
      <c r="B222" t="s">
        <v>3544</v>
      </c>
      <c r="C222" t="s">
        <v>8021</v>
      </c>
      <c r="D222" t="str">
        <f t="shared" si="33"/>
        <v>CMNP, CITRA MARGA NUSAPHALA PERSADA, Citra Marga Nusaphala Persada, Citra Marga Nusaphala Persada Tbk, CitraMargaNusaphalaPersada, PT Citra Marga Nusaphala Persada, citra marga nusaphala persada</v>
      </c>
      <c r="E222" t="str">
        <f t="shared" si="34"/>
        <v>CMNP, CITRA MARGA NUSAPHALA PERSADA, Citra Marga Nusaphala Persada, Citra Marga Nusaphala Persada Tbk, CitraMargaNusaphalaPersada, PT Citra Marga Nusaphala Persada, citra marga nusaphala persada</v>
      </c>
      <c r="F222" t="str">
        <f t="shared" si="35"/>
        <v>citra marga nusaphala persada</v>
      </c>
      <c r="G222" t="str">
        <f t="shared" si="38"/>
        <v>CMNP, CITRA MARGA NUSAPHALA PERSADA, Citra Marga Nusaphala Persada, Citra Marga Nusaphala Persada Tbk, CitraMargaNusaphalaPersada, PT Citra Marga Nusaphala Persada</v>
      </c>
      <c r="H222" t="str">
        <f t="shared" si="39"/>
        <v>CMNP, CITRA MARGA NUSAPHALA PERSADA, Citra Marga Nusaphala Persada, Citra Marga Nusaphala Persada Tbk, CitraMargaNusaphalaPersada, PT Citra Marga Nusaphala Persada</v>
      </c>
      <c r="I222" t="str">
        <f t="shared" si="36"/>
        <v>CITRA MARGA NUSAPHALA PERSADA</v>
      </c>
      <c r="J222" t="str">
        <f t="shared" si="40"/>
        <v>CMNP, Citra Marga Nusaphala Persada, Citra Marga Nusaphala Persada Tbk, CitraMargaNusaphalaPersada, PT Citra Marga Nusaphala Persada</v>
      </c>
      <c r="K222" t="str">
        <f t="shared" si="41"/>
        <v>CMNP, Citra Marga Nusaphala Persada, Citra Marga Nusaphala Persada Tbk, CitraMargaNusaphalaPersada, PT Citra Marga Nusaphala Persada</v>
      </c>
      <c r="L222" t="str">
        <f t="shared" si="37"/>
        <v>CitraMargaNusaphalaPersada</v>
      </c>
      <c r="M222" t="str">
        <f t="shared" si="42"/>
        <v>CMNP, Citra Marga Nusaphala Persada, Citra Marga Nusaphala Persada Tbk, PT Citra Marga Nusaphala Persada</v>
      </c>
      <c r="N222" t="str">
        <f t="shared" si="43"/>
        <v>CMNP, Citra Marga Nusaphala Persada, Citra Marga Nusaphala Persada Tbk, PT Citra Marga Nusaphala Persada</v>
      </c>
    </row>
    <row r="223" spans="1:14" x14ac:dyDescent="0.2">
      <c r="A223" t="s">
        <v>2004</v>
      </c>
      <c r="B223" t="s">
        <v>2005</v>
      </c>
      <c r="C223" t="s">
        <v>8022</v>
      </c>
      <c r="D223" t="str">
        <f t="shared" si="33"/>
        <v>CMNT, CEMINDO GEMILANG, Cemindo Gemilang, Cemindo Gemilang Tbk, CemindoGemilang, PT Cemindo Gemilang, cemindo gemilang</v>
      </c>
      <c r="E223" t="str">
        <f t="shared" si="34"/>
        <v>CMNT, CEMINDO GEMILANG, Cemindo Gemilang, Cemindo Gemilang Tbk, CemindoGemilang, PT Cemindo Gemilang, cemindo gemilang</v>
      </c>
      <c r="F223" t="str">
        <f t="shared" si="35"/>
        <v>cemindo gemilang</v>
      </c>
      <c r="G223" t="str">
        <f t="shared" si="38"/>
        <v>CMNT, CEMINDO GEMILANG, Cemindo Gemilang, Cemindo Gemilang Tbk, CemindoGemilang, PT Cemindo Gemilang</v>
      </c>
      <c r="H223" t="str">
        <f t="shared" si="39"/>
        <v>CMNT, CEMINDO GEMILANG, Cemindo Gemilang, Cemindo Gemilang Tbk, CemindoGemilang, PT Cemindo Gemilang</v>
      </c>
      <c r="I223" t="str">
        <f t="shared" si="36"/>
        <v>CEMINDO GEMILANG</v>
      </c>
      <c r="J223" t="str">
        <f t="shared" si="40"/>
        <v>CMNT, Cemindo Gemilang, Cemindo Gemilang Tbk, CemindoGemilang, PT Cemindo Gemilang</v>
      </c>
      <c r="K223" t="str">
        <f t="shared" si="41"/>
        <v>CMNT, Cemindo Gemilang, Cemindo Gemilang Tbk, CemindoGemilang, PT Cemindo Gemilang</v>
      </c>
      <c r="L223" t="str">
        <f t="shared" si="37"/>
        <v>CemindoGemilang</v>
      </c>
      <c r="M223" t="str">
        <f t="shared" si="42"/>
        <v>CMNT, Cemindo Gemilang, Cemindo Gemilang Tbk, PT Cemindo Gemilang</v>
      </c>
      <c r="N223" t="str">
        <f t="shared" si="43"/>
        <v>CMNT, Cemindo Gemilang, Cemindo Gemilang Tbk, PT Cemindo Gemilang</v>
      </c>
    </row>
    <row r="224" spans="1:14" x14ac:dyDescent="0.2">
      <c r="A224" t="s">
        <v>364</v>
      </c>
      <c r="B224" t="s">
        <v>365</v>
      </c>
      <c r="C224" t="s">
        <v>8023</v>
      </c>
      <c r="D224" t="str">
        <f t="shared" si="33"/>
        <v>CMPP, AIRASIA INDONESIA, AirAsia Indonesia, AirAsia Indonesia Tbk, AirAsiaIndonesia, PT AirAsia Indonesia, airasia indonesia</v>
      </c>
      <c r="E224" t="str">
        <f t="shared" si="34"/>
        <v>CMPP, AIRASIA INDONESIA, AirAsia Indonesia, AirAsia Indonesia Tbk, AirAsiaIndonesia, PT AirAsia Indonesia, airasia indonesia</v>
      </c>
      <c r="F224" t="str">
        <f t="shared" si="35"/>
        <v>airasia indonesia</v>
      </c>
      <c r="G224" t="str">
        <f t="shared" si="38"/>
        <v>CMPP, AIRASIA INDONESIA, AirAsia Indonesia, AirAsia Indonesia Tbk, AirAsiaIndonesia, PT AirAsia Indonesia</v>
      </c>
      <c r="H224" t="str">
        <f t="shared" si="39"/>
        <v>CMPP, AIRASIA INDONESIA, AirAsia Indonesia, AirAsia Indonesia Tbk, AirAsiaIndonesia, PT AirAsia Indonesia</v>
      </c>
      <c r="I224" t="str">
        <f t="shared" si="36"/>
        <v>AIRASIA INDONESIA</v>
      </c>
      <c r="J224" t="str">
        <f t="shared" si="40"/>
        <v>CMPP, AirAsia Indonesia, AirAsia Indonesia Tbk, AirAsiaIndonesia, PT AirAsia Indonesia</v>
      </c>
      <c r="K224" t="str">
        <f t="shared" si="41"/>
        <v>CMPP, AirAsia Indonesia, AirAsia Indonesia Tbk, AirAsiaIndonesia, PT AirAsia Indonesia</v>
      </c>
      <c r="L224" t="str">
        <f t="shared" si="37"/>
        <v>AirAsiaIndonesia</v>
      </c>
      <c r="M224" t="str">
        <f t="shared" si="42"/>
        <v>CMPP, AirAsia Indonesia, AirAsia Indonesia Tbk, PT AirAsia Indonesia</v>
      </c>
      <c r="N224" t="str">
        <f t="shared" si="43"/>
        <v>CMPP, AirAsia Indonesia, AirAsia Indonesia Tbk, PT AirAsia Indonesia</v>
      </c>
    </row>
    <row r="225" spans="1:14" x14ac:dyDescent="0.2">
      <c r="A225" t="s">
        <v>2028</v>
      </c>
      <c r="B225" t="s">
        <v>2029</v>
      </c>
      <c r="C225" t="s">
        <v>8024</v>
      </c>
      <c r="D225" t="str">
        <f t="shared" si="33"/>
        <v>CMRY, CISARUA MOUNTAIN DAIRY, Cisarua Mountain Dairy, Cisarua Mountain Dairy Tbk, CisaruaMountainDairy, PT Cisarua Mountain Dairy, cisarua mountain dairy</v>
      </c>
      <c r="E225" t="str">
        <f t="shared" si="34"/>
        <v>CMRY, CISARUA MOUNTAIN DAIRY, Cisarua Mountain Dairy, Cisarua Mountain Dairy Tbk, CisaruaMountainDairy, PT Cisarua Mountain Dairy, cisarua mountain dairy</v>
      </c>
      <c r="F225" t="str">
        <f t="shared" si="35"/>
        <v>cisarua mountain dairy</v>
      </c>
      <c r="G225" t="str">
        <f t="shared" si="38"/>
        <v>CMRY, CISARUA MOUNTAIN DAIRY, Cisarua Mountain Dairy, Cisarua Mountain Dairy Tbk, CisaruaMountainDairy, PT Cisarua Mountain Dairy</v>
      </c>
      <c r="H225" t="str">
        <f t="shared" si="39"/>
        <v>CMRY, CISARUA MOUNTAIN DAIRY, Cisarua Mountain Dairy, Cisarua Mountain Dairy Tbk, CisaruaMountainDairy, PT Cisarua Mountain Dairy</v>
      </c>
      <c r="I225" t="str">
        <f t="shared" si="36"/>
        <v>CISARUA MOUNTAIN DAIRY</v>
      </c>
      <c r="J225" t="str">
        <f t="shared" si="40"/>
        <v>CMRY, Cisarua Mountain Dairy, Cisarua Mountain Dairy Tbk, CisaruaMountainDairy, PT Cisarua Mountain Dairy</v>
      </c>
      <c r="K225" t="str">
        <f t="shared" si="41"/>
        <v>CMRY, Cisarua Mountain Dairy, Cisarua Mountain Dairy Tbk, CisaruaMountainDairy, PT Cisarua Mountain Dairy</v>
      </c>
      <c r="L225" t="str">
        <f t="shared" si="37"/>
        <v>CisaruaMountainDairy</v>
      </c>
      <c r="M225" t="str">
        <f t="shared" si="42"/>
        <v>CMRY, Cisarua Mountain Dairy, Cisarua Mountain Dairy Tbk, PT Cisarua Mountain Dairy</v>
      </c>
      <c r="N225" t="str">
        <f t="shared" si="43"/>
        <v>CMRY, Cisarua Mountain Dairy, Cisarua Mountain Dairy Tbk, PT Cisarua Mountain Dairy</v>
      </c>
    </row>
    <row r="226" spans="1:14" x14ac:dyDescent="0.2">
      <c r="A226" t="s">
        <v>367</v>
      </c>
      <c r="B226" t="s">
        <v>3545</v>
      </c>
      <c r="C226" t="s">
        <v>8025</v>
      </c>
      <c r="D226" t="str">
        <f t="shared" si="33"/>
        <v>CNKO, EXPLOITASI ENERGI INDONESIA, Exploitasi Energi Indonesia, Exploitasi Energi Indonesia Tbk, ExploitasiEnergiIndonesia, PT Exploitasi Energi Indonesia, exploitasi energi indonesia</v>
      </c>
      <c r="E226" t="str">
        <f t="shared" si="34"/>
        <v>CNKO, EXPLOITASI ENERGI INDONESIA, Exploitasi Energi Indonesia, Exploitasi Energi Indonesia Tbk, ExploitasiEnergiIndonesia, PT Exploitasi Energi Indonesia, exploitasi energi indonesia</v>
      </c>
      <c r="F226" t="str">
        <f t="shared" si="35"/>
        <v>exploitasi energi indonesia</v>
      </c>
      <c r="G226" t="str">
        <f t="shared" si="38"/>
        <v>CNKO, EXPLOITASI ENERGI INDONESIA, Exploitasi Energi Indonesia, Exploitasi Energi Indonesia Tbk, ExploitasiEnergiIndonesia, PT Exploitasi Energi Indonesia</v>
      </c>
      <c r="H226" t="str">
        <f t="shared" si="39"/>
        <v>CNKO, EXPLOITASI ENERGI INDONESIA, Exploitasi Energi Indonesia, Exploitasi Energi Indonesia Tbk, ExploitasiEnergiIndonesia, PT Exploitasi Energi Indonesia</v>
      </c>
      <c r="I226" t="str">
        <f t="shared" si="36"/>
        <v>EXPLOITASI ENERGI INDONESIA</v>
      </c>
      <c r="J226" t="str">
        <f t="shared" si="40"/>
        <v>CNKO, Exploitasi Energi Indonesia, Exploitasi Energi Indonesia Tbk, ExploitasiEnergiIndonesia, PT Exploitasi Energi Indonesia</v>
      </c>
      <c r="K226" t="str">
        <f t="shared" si="41"/>
        <v>CNKO, Exploitasi Energi Indonesia, Exploitasi Energi Indonesia Tbk, ExploitasiEnergiIndonesia, PT Exploitasi Energi Indonesia</v>
      </c>
      <c r="L226" t="str">
        <f t="shared" si="37"/>
        <v>ExploitasiEnergiIndonesia</v>
      </c>
      <c r="M226" t="str">
        <f t="shared" si="42"/>
        <v>CNKO, Exploitasi Energi Indonesia, Exploitasi Energi Indonesia Tbk, PT Exploitasi Energi Indonesia</v>
      </c>
      <c r="N226" t="str">
        <f t="shared" si="43"/>
        <v>CNKO, Exploitasi Energi Indonesia, Exploitasi Energi Indonesia Tbk, PT Exploitasi Energi Indonesia</v>
      </c>
    </row>
    <row r="227" spans="1:14" x14ac:dyDescent="0.2">
      <c r="A227" t="s">
        <v>2339</v>
      </c>
      <c r="B227" t="s">
        <v>2340</v>
      </c>
      <c r="C227" t="s">
        <v>8026</v>
      </c>
      <c r="D227" t="str">
        <f t="shared" si="33"/>
        <v>CNMA, NUSANTARA SEJAHTERA RAYA, Nusantara Sejahtera Raya, Nusantara Sejahtera Raya Tbk, NusantaraSejahteraRaya, PT Nusantara Sejahtera Raya, nusantara sejahtera raya</v>
      </c>
      <c r="E227" t="str">
        <f t="shared" si="34"/>
        <v>CNMA, NUSANTARA SEJAHTERA RAYA, Nusantara Sejahtera Raya, Nusantara Sejahtera Raya Tbk, NusantaraSejahteraRaya, PT Nusantara Sejahtera Raya, nusantara sejahtera raya</v>
      </c>
      <c r="F227" t="str">
        <f t="shared" si="35"/>
        <v>nusantara sejahtera raya</v>
      </c>
      <c r="G227" t="str">
        <f t="shared" si="38"/>
        <v>CNMA, NUSANTARA SEJAHTERA RAYA, Nusantara Sejahtera Raya, Nusantara Sejahtera Raya Tbk, NusantaraSejahteraRaya, PT Nusantara Sejahtera Raya</v>
      </c>
      <c r="H227" t="str">
        <f t="shared" si="39"/>
        <v>CNMA, NUSANTARA SEJAHTERA RAYA, Nusantara Sejahtera Raya, Nusantara Sejahtera Raya Tbk, NusantaraSejahteraRaya, PT Nusantara Sejahtera Raya</v>
      </c>
      <c r="I227" t="str">
        <f t="shared" si="36"/>
        <v>NUSANTARA SEJAHTERA RAYA</v>
      </c>
      <c r="J227" t="str">
        <f t="shared" si="40"/>
        <v>CNMA, Nusantara Sejahtera Raya, Nusantara Sejahtera Raya Tbk, NusantaraSejahteraRaya, PT Nusantara Sejahtera Raya</v>
      </c>
      <c r="K227" t="str">
        <f t="shared" si="41"/>
        <v>CNMA, Nusantara Sejahtera Raya, Nusantara Sejahtera Raya Tbk, NusantaraSejahteraRaya, PT Nusantara Sejahtera Raya</v>
      </c>
      <c r="L227" t="str">
        <f t="shared" si="37"/>
        <v>NusantaraSejahteraRaya</v>
      </c>
      <c r="M227" t="str">
        <f t="shared" si="42"/>
        <v>CNMA, Nusantara Sejahtera Raya, Nusantara Sejahtera Raya Tbk, PT Nusantara Sejahtera Raya</v>
      </c>
      <c r="N227" t="str">
        <f t="shared" si="43"/>
        <v>CNMA, Nusantara Sejahtera Raya, Nusantara Sejahtera Raya Tbk, PT Nusantara Sejahtera Raya</v>
      </c>
    </row>
    <row r="228" spans="1:14" x14ac:dyDescent="0.2">
      <c r="A228" t="s">
        <v>369</v>
      </c>
      <c r="B228" t="s">
        <v>370</v>
      </c>
      <c r="C228" t="s">
        <v>8027</v>
      </c>
      <c r="D228" t="str">
        <f t="shared" si="33"/>
        <v>CNTX, CENTURY TEXTILE INDUSTRY, Century Textile Industry, Century Textile Industry Tbk, CenturyTextileIndustry, PT Century Textile Industry, century textile industry</v>
      </c>
      <c r="E228" t="str">
        <f t="shared" si="34"/>
        <v>CNTX, CENTURY TEXTILE INDUSTRY, Century Textile Industry, Century Textile Industry Tbk, CenturyTextileIndustry, PT Century Textile Industry, century textile industry</v>
      </c>
      <c r="F228" t="str">
        <f t="shared" si="35"/>
        <v>century textile industry</v>
      </c>
      <c r="G228" t="str">
        <f t="shared" si="38"/>
        <v>CNTX, CENTURY TEXTILE INDUSTRY, Century Textile Industry, Century Textile Industry Tbk, CenturyTextileIndustry, PT Century Textile Industry</v>
      </c>
      <c r="H228" t="str">
        <f t="shared" si="39"/>
        <v>CNTX, CENTURY TEXTILE INDUSTRY, Century Textile Industry, Century Textile Industry Tbk, CenturyTextileIndustry, PT Century Textile Industry</v>
      </c>
      <c r="I228" t="str">
        <f t="shared" si="36"/>
        <v>CENTURY TEXTILE INDUSTRY</v>
      </c>
      <c r="J228" t="str">
        <f t="shared" si="40"/>
        <v>CNTX, Century Textile Industry, Century Textile Industry Tbk, CenturyTextileIndustry, PT Century Textile Industry</v>
      </c>
      <c r="K228" t="str">
        <f t="shared" si="41"/>
        <v>CNTX, Century Textile Industry, Century Textile Industry Tbk, CenturyTextileIndustry, PT Century Textile Industry</v>
      </c>
      <c r="L228" t="str">
        <f t="shared" si="37"/>
        <v>CenturyTextileIndustry</v>
      </c>
      <c r="M228" t="str">
        <f t="shared" si="42"/>
        <v>CNTX, Century Textile Industry, Century Textile Industry Tbk, PT Century Textile Industry</v>
      </c>
      <c r="N228" t="str">
        <f t="shared" si="43"/>
        <v>CNTX, Century Textile Industry, Century Textile Industry Tbk, PT Century Textile Industry</v>
      </c>
    </row>
    <row r="229" spans="1:14" x14ac:dyDescent="0.2">
      <c r="A229" t="s">
        <v>2173</v>
      </c>
      <c r="B229" t="s">
        <v>2174</v>
      </c>
      <c r="C229" t="s">
        <v>8028</v>
      </c>
      <c r="D229" t="str">
        <f t="shared" si="33"/>
        <v>COAL, BLACK DIAMOND RESOURCES, Black Diamond Resources, Black Diamond Resources Tbk, BlackDiamondResources, PT Black Diamond Resources, black diamond resources</v>
      </c>
      <c r="E229" t="str">
        <f t="shared" si="34"/>
        <v>COAL, BLACK DIAMOND RESOURCES, Black Diamond Resources, Black Diamond Resources Tbk, BlackDiamondResources, PT Black Diamond Resources, black diamond resources</v>
      </c>
      <c r="F229" t="str">
        <f t="shared" si="35"/>
        <v>black diamond resources</v>
      </c>
      <c r="G229" t="str">
        <f t="shared" si="38"/>
        <v>COAL, BLACK DIAMOND RESOURCES, Black Diamond Resources, Black Diamond Resources Tbk, BlackDiamondResources, PT Black Diamond Resources</v>
      </c>
      <c r="H229" t="str">
        <f t="shared" si="39"/>
        <v>COAL, BLACK DIAMOND RESOURCES, Black Diamond Resources, Black Diamond Resources Tbk, BlackDiamondResources, PT Black Diamond Resources</v>
      </c>
      <c r="I229" t="str">
        <f t="shared" si="36"/>
        <v>BLACK DIAMOND RESOURCES</v>
      </c>
      <c r="J229" t="str">
        <f t="shared" si="40"/>
        <v>COAL, Black Diamond Resources, Black Diamond Resources Tbk, BlackDiamondResources, PT Black Diamond Resources</v>
      </c>
      <c r="K229" t="str">
        <f t="shared" si="41"/>
        <v>COAL, Black Diamond Resources, Black Diamond Resources Tbk, BlackDiamondResources, PT Black Diamond Resources</v>
      </c>
      <c r="L229" t="str">
        <f t="shared" si="37"/>
        <v>BlackDiamondResources</v>
      </c>
      <c r="M229" t="str">
        <f t="shared" si="42"/>
        <v>COAL, Black Diamond Resources, Black Diamond Resources Tbk, PT Black Diamond Resources</v>
      </c>
      <c r="N229" t="str">
        <f t="shared" si="43"/>
        <v>COAL, Black Diamond Resources, Black Diamond Resources Tbk, PT Black Diamond Resources</v>
      </c>
    </row>
    <row r="230" spans="1:14" x14ac:dyDescent="0.2">
      <c r="A230" t="s">
        <v>1657</v>
      </c>
      <c r="B230" t="s">
        <v>3546</v>
      </c>
      <c r="C230" t="s">
        <v>8029</v>
      </c>
      <c r="D230" t="str">
        <f t="shared" si="33"/>
        <v>COCO, PT Wahana Interfood Nusantara, WAHANA INTERFOOD NUSANTARA, Wahana Interfood Nusantara, Wahana Interfood Nusantara Tbk, WahanaInterfoodNusantara, wahana interfood nusantara</v>
      </c>
      <c r="E230" t="str">
        <f t="shared" si="34"/>
        <v>COCO, PT Wahana Interfood Nusantara, WAHANA INTERFOOD NUSANTARA, Wahana Interfood Nusantara, Wahana Interfood Nusantara Tbk, WahanaInterfoodNusantara, wahana interfood nusantara</v>
      </c>
      <c r="F230" t="str">
        <f t="shared" si="35"/>
        <v>wahana interfood nusantara</v>
      </c>
      <c r="G230" t="str">
        <f t="shared" si="38"/>
        <v>COCO, PT Wahana Interfood Nusantara, WAHANA INTERFOOD NUSANTARA, Wahana Interfood Nusantara, Wahana Interfood Nusantara Tbk, WahanaInterfoodNusantara</v>
      </c>
      <c r="H230" t="str">
        <f t="shared" si="39"/>
        <v>COCO, PT Wahana Interfood Nusantara, WAHANA INTERFOOD NUSANTARA, Wahana Interfood Nusantara, Wahana Interfood Nusantara Tbk, WahanaInterfoodNusantara</v>
      </c>
      <c r="I230" t="str">
        <f t="shared" si="36"/>
        <v>WAHANA INTERFOOD NUSANTARA</v>
      </c>
      <c r="J230" t="str">
        <f t="shared" si="40"/>
        <v>COCO, PT Wahana Interfood Nusantara, Wahana Interfood Nusantara, Wahana Interfood Nusantara Tbk, WahanaInterfoodNusantara</v>
      </c>
      <c r="K230" t="str">
        <f t="shared" si="41"/>
        <v>COCO, PT Wahana Interfood Nusantara, Wahana Interfood Nusantara, Wahana Interfood Nusantara Tbk, WahanaInterfoodNusantara</v>
      </c>
      <c r="L230" t="str">
        <f t="shared" si="37"/>
        <v>WahanaInterfoodNusantara</v>
      </c>
      <c r="M230" t="str">
        <f t="shared" si="42"/>
        <v>COCO, PT Wahana Interfood Nusantara, Wahana Interfood Nusantara, Wahana Interfood Nusantara Tbk</v>
      </c>
      <c r="N230" t="str">
        <f t="shared" si="43"/>
        <v>COCO, PT Wahana Interfood Nusantara, Wahana Interfood Nusantara, Wahana Interfood Nusantara Tbk</v>
      </c>
    </row>
    <row r="231" spans="1:14" x14ac:dyDescent="0.2">
      <c r="A231" t="s">
        <v>2541</v>
      </c>
      <c r="B231" t="s">
        <v>2542</v>
      </c>
      <c r="C231" t="s">
        <v>8030</v>
      </c>
      <c r="D231" t="str">
        <f t="shared" si="33"/>
        <v>COIN, INDOKRIO KOIN SEMESTA, Indokrio Koin Semesta, Indokrio Koin Semesta Tbk, IndokrioKoinSemesta, PT Indokrio Koin Semesta, indokrio koin semesta</v>
      </c>
      <c r="E231" t="str">
        <f t="shared" si="34"/>
        <v>COIN, INDOKRIO KOIN SEMESTA, Indokrio Koin Semesta, Indokrio Koin Semesta Tbk, IndokrioKoinSemesta, PT Indokrio Koin Semesta, indokrio koin semesta</v>
      </c>
      <c r="F231" t="str">
        <f t="shared" si="35"/>
        <v>indokripto koin semesta</v>
      </c>
      <c r="G231" t="str">
        <f t="shared" si="38"/>
        <v>COIN, INDOKRIO KOIN SEMESTA, Indokrio Koin Semesta, Indokrio Koin Semesta Tbk, IndokrioKoinSemesta, PT Indokrio Koin Semesta, indokrio koin semesta</v>
      </c>
      <c r="H231" t="str">
        <f t="shared" si="39"/>
        <v>COIN, INDOKRIO KOIN SEMESTA, Indokrio Koin Semesta, Indokrio Koin Semesta Tbk, IndokrioKoinSemesta, PT Indokrio Koin Semesta, indokrio koin semesta</v>
      </c>
      <c r="I231" t="str">
        <f t="shared" si="36"/>
        <v>INDOKRIPTO KOIN SEMESTA</v>
      </c>
      <c r="J231" t="str">
        <f t="shared" si="40"/>
        <v>COIN, INDOKRIO KOIN SEMESTA, Indokrio Koin Semesta, Indokrio Koin Semesta Tbk, IndokrioKoinSemesta, PT Indokrio Koin Semesta, indokrio koin semesta</v>
      </c>
      <c r="K231" t="str">
        <f t="shared" si="41"/>
        <v>COIN, INDOKRIO KOIN SEMESTA, Indokrio Koin Semesta, Indokrio Koin Semesta Tbk, IndokrioKoinSemesta, PT Indokrio Koin Semesta, indokrio koin semesta</v>
      </c>
      <c r="L231" t="str">
        <f t="shared" si="37"/>
        <v>IndokriptoKoinSemesta</v>
      </c>
      <c r="M231" t="str">
        <f t="shared" si="42"/>
        <v>COIN, INDOKRIO KOIN SEMESTA, Indokrio Koin Semesta, Indokrio Koin Semesta Tbk, IndokrioKoinSemesta, PT Indokrio Koin Semesta, indokrio koin semesta</v>
      </c>
      <c r="N231" t="str">
        <f t="shared" si="43"/>
        <v>COIN, INDOKRIO KOIN SEMESTA, Indokrio Koin Semesta, Indokrio Koin Semesta Tbk, IndokrioKoinSemesta, PT Indokrio Koin Semesta, indokrio koin semesta</v>
      </c>
    </row>
    <row r="232" spans="1:14" x14ac:dyDescent="0.2">
      <c r="A232" t="s">
        <v>372</v>
      </c>
      <c r="B232" t="s">
        <v>373</v>
      </c>
      <c r="C232" t="s">
        <v>8031</v>
      </c>
      <c r="D232" t="str">
        <f t="shared" si="33"/>
        <v>COWL, COWELL DEVELOPMENT, Cowell Development, Cowell Development Tbk, CowellDevelopment, PT Cowell Development, cowell development</v>
      </c>
      <c r="E232" t="str">
        <f t="shared" si="34"/>
        <v>COWL, COWELL DEVELOPMENT, Cowell Development, Cowell Development Tbk, CowellDevelopment, PT Cowell Development, cowell development</v>
      </c>
      <c r="F232" t="str">
        <f t="shared" si="35"/>
        <v>cowell development</v>
      </c>
      <c r="G232" t="str">
        <f t="shared" si="38"/>
        <v>COWL, COWELL DEVELOPMENT, Cowell Development, Cowell Development Tbk, CowellDevelopment, PT Cowell Development</v>
      </c>
      <c r="H232" t="str">
        <f t="shared" si="39"/>
        <v>COWL, COWELL DEVELOPMENT, Cowell Development, Cowell Development Tbk, CowellDevelopment, PT Cowell Development</v>
      </c>
      <c r="I232" t="str">
        <f t="shared" si="36"/>
        <v>COWELL DEVELOPMENT</v>
      </c>
      <c r="J232" t="str">
        <f t="shared" si="40"/>
        <v>COWL, Cowell Development, Cowell Development Tbk, CowellDevelopment, PT Cowell Development</v>
      </c>
      <c r="K232" t="str">
        <f t="shared" si="41"/>
        <v>COWL, Cowell Development, Cowell Development Tbk, CowellDevelopment, PT Cowell Development</v>
      </c>
      <c r="L232" t="str">
        <f t="shared" si="37"/>
        <v>CowellDevelopment</v>
      </c>
      <c r="M232" t="str">
        <f t="shared" si="42"/>
        <v>COWL, Cowell Development, Cowell Development Tbk, PT Cowell Development</v>
      </c>
      <c r="N232" t="str">
        <f t="shared" si="43"/>
        <v>COWL, Cowell Development, Cowell Development Tbk, PT Cowell Development</v>
      </c>
    </row>
    <row r="233" spans="1:14" x14ac:dyDescent="0.2">
      <c r="A233" t="s">
        <v>375</v>
      </c>
      <c r="B233" t="s">
        <v>3547</v>
      </c>
      <c r="C233" t="s">
        <v>8032</v>
      </c>
      <c r="D233" t="str">
        <f t="shared" si="33"/>
        <v>CPIN, CHAROEN POKPHAND INDONESIA, Charoen Pokphand Indonesia, Charoen Pokphand Indonesia Tbk, CharoenPokphandIndonesia, PT Charoen Pokphand Indonesia, charoen pokphand indonesia</v>
      </c>
      <c r="E233" t="str">
        <f t="shared" si="34"/>
        <v>CPIN, CHAROEN POKPHAND INDONESIA, Charoen Pokphand Indonesia, Charoen Pokphand Indonesia Tbk, CharoenPokphandIndonesia, PT Charoen Pokphand Indonesia, charoen pokphand indonesia</v>
      </c>
      <c r="F233" t="str">
        <f t="shared" si="35"/>
        <v>charoen pokphand indonesia</v>
      </c>
      <c r="G233" t="str">
        <f t="shared" si="38"/>
        <v>CPIN, CHAROEN POKPHAND INDONESIA, Charoen Pokphand Indonesia, Charoen Pokphand Indonesia Tbk, CharoenPokphandIndonesia, PT Charoen Pokphand Indonesia</v>
      </c>
      <c r="H233" t="str">
        <f t="shared" si="39"/>
        <v>CPIN, CHAROEN POKPHAND INDONESIA, Charoen Pokphand Indonesia, Charoen Pokphand Indonesia Tbk, CharoenPokphandIndonesia, PT Charoen Pokphand Indonesia</v>
      </c>
      <c r="I233" t="str">
        <f t="shared" si="36"/>
        <v>CHAROEN POKPHAND INDONESIA</v>
      </c>
      <c r="J233" t="str">
        <f t="shared" si="40"/>
        <v>CPIN, Charoen Pokphand Indonesia, Charoen Pokphand Indonesia Tbk, CharoenPokphandIndonesia, PT Charoen Pokphand Indonesia</v>
      </c>
      <c r="K233" t="str">
        <f t="shared" si="41"/>
        <v>CPIN, Charoen Pokphand Indonesia, Charoen Pokphand Indonesia Tbk, CharoenPokphandIndonesia, PT Charoen Pokphand Indonesia</v>
      </c>
      <c r="L233" t="str">
        <f t="shared" si="37"/>
        <v>CharoenPokphandIndonesia</v>
      </c>
      <c r="M233" t="str">
        <f t="shared" si="42"/>
        <v>CPIN, Charoen Pokphand Indonesia, Charoen Pokphand Indonesia Tbk, PT Charoen Pokphand Indonesia</v>
      </c>
      <c r="N233" t="str">
        <f t="shared" si="43"/>
        <v>CPIN, Charoen Pokphand Indonesia, Charoen Pokphand Indonesia Tbk, PT Charoen Pokphand Indonesia</v>
      </c>
    </row>
    <row r="234" spans="1:14" x14ac:dyDescent="0.2">
      <c r="A234" t="s">
        <v>1663</v>
      </c>
      <c r="B234" t="s">
        <v>1664</v>
      </c>
      <c r="C234" t="s">
        <v>8033</v>
      </c>
      <c r="D234" t="str">
        <f t="shared" si="33"/>
        <v>CPRI, CAPRI NUSA SATU PROPERTI, Capri Nusa Satu Properti, Capri Nusa Satu Properti Tbk, CapriNusaSatuProperti, PT Capri Nusa Satu Properti, capri nusa satu properti</v>
      </c>
      <c r="E234" t="str">
        <f t="shared" si="34"/>
        <v>CPRI, CAPRI NUSA SATU PROPERTI, Capri Nusa Satu Properti, Capri Nusa Satu Properti Tbk, CapriNusaSatuProperti, PT Capri Nusa Satu Properti, capri nusa satu properti</v>
      </c>
      <c r="F234" t="str">
        <f t="shared" si="35"/>
        <v>capri nusa satu properti</v>
      </c>
      <c r="G234" t="str">
        <f t="shared" si="38"/>
        <v>CPRI, CAPRI NUSA SATU PROPERTI, Capri Nusa Satu Properti, Capri Nusa Satu Properti Tbk, CapriNusaSatuProperti, PT Capri Nusa Satu Properti</v>
      </c>
      <c r="H234" t="str">
        <f t="shared" si="39"/>
        <v>CPRI, CAPRI NUSA SATU PROPERTI, Capri Nusa Satu Properti, Capri Nusa Satu Properti Tbk, CapriNusaSatuProperti, PT Capri Nusa Satu Properti</v>
      </c>
      <c r="I234" t="str">
        <f t="shared" si="36"/>
        <v>CAPRI NUSA SATU PROPERTI</v>
      </c>
      <c r="J234" t="str">
        <f t="shared" si="40"/>
        <v>CPRI, Capri Nusa Satu Properti, Capri Nusa Satu Properti Tbk, CapriNusaSatuProperti, PT Capri Nusa Satu Properti</v>
      </c>
      <c r="K234" t="str">
        <f t="shared" si="41"/>
        <v>CPRI, Capri Nusa Satu Properti, Capri Nusa Satu Properti Tbk, CapriNusaSatuProperti, PT Capri Nusa Satu Properti</v>
      </c>
      <c r="L234" t="str">
        <f t="shared" si="37"/>
        <v>CapriNusaSatuProperti</v>
      </c>
      <c r="M234" t="str">
        <f t="shared" si="42"/>
        <v>CPRI, Capri Nusa Satu Properti, Capri Nusa Satu Properti Tbk, PT Capri Nusa Satu Properti</v>
      </c>
      <c r="N234" t="str">
        <f t="shared" si="43"/>
        <v>CPRI, Capri Nusa Satu Properti, Capri Nusa Satu Properti Tbk, PT Capri Nusa Satu Properti</v>
      </c>
    </row>
    <row r="235" spans="1:14" x14ac:dyDescent="0.2">
      <c r="A235" t="s">
        <v>378</v>
      </c>
      <c r="B235" t="s">
        <v>379</v>
      </c>
      <c r="C235" t="s">
        <v>8034</v>
      </c>
      <c r="D235" t="str">
        <f t="shared" si="33"/>
        <v>CPRO, CENTRAL PROTEINA PRIMA, Central Proteina Prima, Central Proteina Prima Tbk, CentralProteinaPrima, PT Central Proteina Prima, central proteina prima</v>
      </c>
      <c r="E235" t="str">
        <f t="shared" si="34"/>
        <v>CPRO, CENTRAL PROTEINA PRIMA, Central Proteina Prima, Central Proteina Prima Tbk, CentralProteinaPrima, PT Central Proteina Prima, central proteina prima</v>
      </c>
      <c r="F235" t="str">
        <f t="shared" si="35"/>
        <v>central proteina prima</v>
      </c>
      <c r="G235" t="str">
        <f t="shared" si="38"/>
        <v>CPRO, CENTRAL PROTEINA PRIMA, Central Proteina Prima, Central Proteina Prima Tbk, CentralProteinaPrima, PT Central Proteina Prima</v>
      </c>
      <c r="H235" t="str">
        <f t="shared" si="39"/>
        <v>CPRO, CENTRAL PROTEINA PRIMA, Central Proteina Prima, Central Proteina Prima Tbk, CentralProteinaPrima, PT Central Proteina Prima</v>
      </c>
      <c r="I235" t="str">
        <f t="shared" si="36"/>
        <v>CENTRAL PROTEINA PRIMA</v>
      </c>
      <c r="J235" t="str">
        <f t="shared" si="40"/>
        <v>CPRO, Central Proteina Prima, Central Proteina Prima Tbk, CentralProteinaPrima, PT Central Proteina Prima</v>
      </c>
      <c r="K235" t="str">
        <f t="shared" si="41"/>
        <v>CPRO, Central Proteina Prima, Central Proteina Prima Tbk, CentralProteinaPrima, PT Central Proteina Prima</v>
      </c>
      <c r="L235" t="str">
        <f t="shared" si="37"/>
        <v>CentralProteinaPrima</v>
      </c>
      <c r="M235" t="str">
        <f t="shared" si="42"/>
        <v>CPRO, Central Proteina Prima, Central Proteina Prima Tbk, PT Central Proteina Prima</v>
      </c>
      <c r="N235" t="str">
        <f t="shared" si="43"/>
        <v>CPRO, Central Proteina Prima, Central Proteina Prima Tbk, PT Central Proteina Prima</v>
      </c>
    </row>
    <row r="236" spans="1:14" x14ac:dyDescent="0.2">
      <c r="A236" t="s">
        <v>2167</v>
      </c>
      <c r="B236" t="s">
        <v>2168</v>
      </c>
      <c r="C236" t="s">
        <v>8035</v>
      </c>
      <c r="D236" t="str">
        <f t="shared" si="33"/>
        <v>CRAB, PT Toba Surimi Industries, TOBA SURIMI INDUSTRIES, Toba Surimi Industries, Toba Surimi Industries Tbk, TobaSurimiIndustries, toba surimi industries</v>
      </c>
      <c r="E236" t="str">
        <f t="shared" si="34"/>
        <v>CRAB, PT Toba Surimi Industries, TOBA SURIMI INDUSTRIES, Toba Surimi Industries, Toba Surimi Industries Tbk, TobaSurimiIndustries, toba surimi industries</v>
      </c>
      <c r="F236" t="str">
        <f t="shared" si="35"/>
        <v>toba surimi industries</v>
      </c>
      <c r="G236" t="str">
        <f t="shared" si="38"/>
        <v>CRAB, PT Toba Surimi Industries, TOBA SURIMI INDUSTRIES, Toba Surimi Industries, Toba Surimi Industries Tbk, TobaSurimiIndustries</v>
      </c>
      <c r="H236" t="str">
        <f t="shared" si="39"/>
        <v>CRAB, PT Toba Surimi Industries, TOBA SURIMI INDUSTRIES, Toba Surimi Industries, Toba Surimi Industries Tbk, TobaSurimiIndustries</v>
      </c>
      <c r="I236" t="str">
        <f t="shared" si="36"/>
        <v>TOBA SURIMI INDUSTRIES</v>
      </c>
      <c r="J236" t="str">
        <f t="shared" si="40"/>
        <v>CRAB, PT Toba Surimi Industries, Toba Surimi Industries, Toba Surimi Industries Tbk, TobaSurimiIndustries</v>
      </c>
      <c r="K236" t="str">
        <f t="shared" si="41"/>
        <v>CRAB, PT Toba Surimi Industries, Toba Surimi Industries, Toba Surimi Industries Tbk, TobaSurimiIndustries</v>
      </c>
      <c r="L236" t="str">
        <f t="shared" si="37"/>
        <v>TobaSurimiIndustries</v>
      </c>
      <c r="M236" t="str">
        <f t="shared" si="42"/>
        <v>CRAB, PT Toba Surimi Industries, Toba Surimi Industries, Toba Surimi Industries Tbk</v>
      </c>
      <c r="N236" t="str">
        <f t="shared" si="43"/>
        <v>CRAB, PT Toba Surimi Industries, Toba Surimi Industries, Toba Surimi Industries Tbk</v>
      </c>
    </row>
    <row r="237" spans="1:14" x14ac:dyDescent="0.2">
      <c r="A237" t="s">
        <v>2321</v>
      </c>
      <c r="B237" t="s">
        <v>2322</v>
      </c>
      <c r="C237" t="s">
        <v>8036</v>
      </c>
      <c r="D237" t="str">
        <f t="shared" si="33"/>
        <v>CRSN, CARSURIN, Carsurin, Carsurin Tbk, PT Carsurin, carsurin</v>
      </c>
      <c r="E237" t="str">
        <f t="shared" si="34"/>
        <v>CRSN, CARSURIN, Carsurin, Carsurin Tbk, PT Carsurin, carsurin</v>
      </c>
      <c r="F237" t="str">
        <f t="shared" si="35"/>
        <v>carsurin</v>
      </c>
      <c r="G237" t="str">
        <f t="shared" si="38"/>
        <v>CRSN, CARSURIN, Carsurin, Carsurin Tbk, PT Carsurin</v>
      </c>
      <c r="H237" t="str">
        <f t="shared" si="39"/>
        <v>CRSN, CARSURIN, Carsurin, Carsurin Tbk, PT Carsurin</v>
      </c>
      <c r="I237" t="str">
        <f t="shared" si="36"/>
        <v>CARSURIN</v>
      </c>
      <c r="J237" t="str">
        <f t="shared" si="40"/>
        <v>CRSN, Carsurin, Carsurin Tbk, PT Carsurin</v>
      </c>
      <c r="K237" t="str">
        <f t="shared" si="41"/>
        <v>CRSN, Carsurin, Carsurin Tbk, PT Carsurin</v>
      </c>
      <c r="L237" t="str">
        <f t="shared" si="37"/>
        <v>Carsurin</v>
      </c>
      <c r="M237" t="str">
        <f t="shared" si="42"/>
        <v>CRSN Tbk, PT Carsurin</v>
      </c>
      <c r="N237" t="str">
        <f t="shared" si="43"/>
        <v>CRSN Tbk, PT Carsurin</v>
      </c>
    </row>
    <row r="238" spans="1:14" x14ac:dyDescent="0.2">
      <c r="A238" t="s">
        <v>381</v>
      </c>
      <c r="B238" t="s">
        <v>382</v>
      </c>
      <c r="C238" t="s">
        <v>8037</v>
      </c>
      <c r="D238" t="str">
        <f t="shared" si="33"/>
        <v>CSAP, CATUR SENTOSA ADIPRANA, Catur Sentosa Adiprana, Catur Sentosa Adiprana Tbk, CaturSentosaAdiprana, PT Catur Sentosa Adiprana, catur sentosa adiprana</v>
      </c>
      <c r="E238" t="str">
        <f t="shared" si="34"/>
        <v>CSAP, CATUR SENTOSA ADIPRANA, Catur Sentosa Adiprana, Catur Sentosa Adiprana Tbk, CaturSentosaAdiprana, PT Catur Sentosa Adiprana, catur sentosa adiprana</v>
      </c>
      <c r="F238" t="str">
        <f t="shared" si="35"/>
        <v>catur sentosa adiprana</v>
      </c>
      <c r="G238" t="str">
        <f t="shared" si="38"/>
        <v>CSAP, CATUR SENTOSA ADIPRANA, Catur Sentosa Adiprana, Catur Sentosa Adiprana Tbk, CaturSentosaAdiprana, PT Catur Sentosa Adiprana</v>
      </c>
      <c r="H238" t="str">
        <f t="shared" si="39"/>
        <v>CSAP, CATUR SENTOSA ADIPRANA, Catur Sentosa Adiprana, Catur Sentosa Adiprana Tbk, CaturSentosaAdiprana, PT Catur Sentosa Adiprana</v>
      </c>
      <c r="I238" t="str">
        <f t="shared" si="36"/>
        <v>CATUR SENTOSA ADIPRANA</v>
      </c>
      <c r="J238" t="str">
        <f t="shared" si="40"/>
        <v>CSAP, Catur Sentosa Adiprana, Catur Sentosa Adiprana Tbk, CaturSentosaAdiprana, PT Catur Sentosa Adiprana</v>
      </c>
      <c r="K238" t="str">
        <f t="shared" si="41"/>
        <v>CSAP, Catur Sentosa Adiprana, Catur Sentosa Adiprana Tbk, CaturSentosaAdiprana, PT Catur Sentosa Adiprana</v>
      </c>
      <c r="L238" t="str">
        <f t="shared" si="37"/>
        <v>CaturSentosaAdiprana</v>
      </c>
      <c r="M238" t="str">
        <f t="shared" si="42"/>
        <v>CSAP, Catur Sentosa Adiprana, Catur Sentosa Adiprana Tbk, PT Catur Sentosa Adiprana</v>
      </c>
      <c r="N238" t="str">
        <f t="shared" si="43"/>
        <v>CSAP, Catur Sentosa Adiprana, Catur Sentosa Adiprana Tbk, PT Catur Sentosa Adiprana</v>
      </c>
    </row>
    <row r="239" spans="1:14" x14ac:dyDescent="0.2">
      <c r="A239" t="s">
        <v>1405</v>
      </c>
      <c r="B239" t="s">
        <v>3548</v>
      </c>
      <c r="C239" t="s">
        <v>8038</v>
      </c>
      <c r="D239" t="str">
        <f t="shared" si="33"/>
        <v>CSIS, CAHAYASAKTI INVESTINDO SUKSES, Cahayasakti Investindo Sukses, Cahayasakti Investindo Sukses Tbk, CahayasaktiInvestindoSukses, PT Cahayasakti Investindo Sukses, cahayasakti investindo sukses</v>
      </c>
      <c r="E239" t="str">
        <f t="shared" si="34"/>
        <v>CSIS, CAHAYASAKTI INVESTINDO SUKSES, Cahayasakti Investindo Sukses, Cahayasakti Investindo Sukses Tbk, CahayasaktiInvestindoSukses, PT Cahayasakti Investindo Sukses, cahayasakti investindo sukses</v>
      </c>
      <c r="F239" t="str">
        <f t="shared" si="35"/>
        <v>cahayasakti investindo sukses</v>
      </c>
      <c r="G239" t="str">
        <f t="shared" si="38"/>
        <v>CSIS, CAHAYASAKTI INVESTINDO SUKSES, Cahayasakti Investindo Sukses, Cahayasakti Investindo Sukses Tbk, CahayasaktiInvestindoSukses, PT Cahayasakti Investindo Sukses</v>
      </c>
      <c r="H239" t="str">
        <f t="shared" si="39"/>
        <v>CSIS, CAHAYASAKTI INVESTINDO SUKSES, Cahayasakti Investindo Sukses, Cahayasakti Investindo Sukses Tbk, CahayasaktiInvestindoSukses, PT Cahayasakti Investindo Sukses</v>
      </c>
      <c r="I239" t="str">
        <f t="shared" si="36"/>
        <v>CAHAYASAKTI INVESTINDO SUKSES</v>
      </c>
      <c r="J239" t="str">
        <f t="shared" si="40"/>
        <v>CSIS, Cahayasakti Investindo Sukses, Cahayasakti Investindo Sukses Tbk, CahayasaktiInvestindoSukses, PT Cahayasakti Investindo Sukses</v>
      </c>
      <c r="K239" t="str">
        <f t="shared" si="41"/>
        <v>CSIS, Cahayasakti Investindo Sukses, Cahayasakti Investindo Sukses Tbk, CahayasaktiInvestindoSukses, PT Cahayasakti Investindo Sukses</v>
      </c>
      <c r="L239" t="str">
        <f t="shared" si="37"/>
        <v>CahayasaktiInvestindoSukses</v>
      </c>
      <c r="M239" t="str">
        <f t="shared" si="42"/>
        <v>CSIS, Cahayasakti Investindo Sukses, Cahayasakti Investindo Sukses Tbk, PT Cahayasakti Investindo Sukses</v>
      </c>
      <c r="N239" t="str">
        <f t="shared" si="43"/>
        <v>CSIS, Cahayasakti Investindo Sukses, Cahayasakti Investindo Sukses Tbk, PT Cahayasakti Investindo Sukses</v>
      </c>
    </row>
    <row r="240" spans="1:14" x14ac:dyDescent="0.2">
      <c r="A240" t="s">
        <v>1838</v>
      </c>
      <c r="B240" t="s">
        <v>1839</v>
      </c>
      <c r="C240" t="s">
        <v>8039</v>
      </c>
      <c r="D240" t="str">
        <f t="shared" si="33"/>
        <v>CSMI, CIA SELERA MURNI, Cia Selera Murni, Cia Selera Murni Tbk, CiaSeleraMurni, PT Cia Selera Murni, cia selera murni</v>
      </c>
      <c r="E240" t="str">
        <f t="shared" si="34"/>
        <v>CSMI, CIA SELERA MURNI, Cia Selera Murni, Cia Selera Murni Tbk, CiaSeleraMurni, PT Cia Selera Murni, cia selera murni</v>
      </c>
      <c r="F240" t="str">
        <f t="shared" si="35"/>
        <v>cipta selera murni</v>
      </c>
      <c r="G240" t="str">
        <f t="shared" si="38"/>
        <v>CSMI, CIA SELERA MURNI, Cia Selera Murni, Cia Selera Murni Tbk, CiaSeleraMurni, PT Cia Selera Murni, cia selera murni</v>
      </c>
      <c r="H240" t="str">
        <f t="shared" si="39"/>
        <v>CSMI, CIA SELERA MURNI, Cia Selera Murni, Cia Selera Murni Tbk, CiaSeleraMurni, PT Cia Selera Murni, cia selera murni</v>
      </c>
      <c r="I240" t="str">
        <f t="shared" si="36"/>
        <v>CIPTA SELERA MURNI</v>
      </c>
      <c r="J240" t="str">
        <f t="shared" si="40"/>
        <v>CSMI, CIA SELERA MURNI, Cia Selera Murni, Cia Selera Murni Tbk, CiaSeleraMurni, PT Cia Selera Murni, cia selera murni</v>
      </c>
      <c r="K240" t="str">
        <f t="shared" si="41"/>
        <v>CSMI, CIA SELERA MURNI, Cia Selera Murni, Cia Selera Murni Tbk, CiaSeleraMurni, PT Cia Selera Murni, cia selera murni</v>
      </c>
      <c r="L240" t="str">
        <f t="shared" si="37"/>
        <v>CiptaSeleraMurni</v>
      </c>
      <c r="M240" t="str">
        <f t="shared" si="42"/>
        <v>CSMI, CIA SELERA MURNI, Cia Selera Murni, Cia Selera Murni Tbk, CiaSeleraMurni, PT Cia Selera Murni, cia selera murni</v>
      </c>
      <c r="N240" t="str">
        <f t="shared" si="43"/>
        <v>CSMI, CIA SELERA MURNI, Cia Selera Murni, Cia Selera Murni Tbk, CiaSeleraMurni, PT Cia Selera Murni, cia selera murni</v>
      </c>
    </row>
    <row r="241" spans="1:14" x14ac:dyDescent="0.2">
      <c r="A241" t="s">
        <v>1799</v>
      </c>
      <c r="B241" t="s">
        <v>1800</v>
      </c>
      <c r="C241" t="s">
        <v>8040</v>
      </c>
      <c r="D241" t="str">
        <f t="shared" si="33"/>
        <v>CSRA, CISADANE SAWIT RAYA, Cisadane Sawit Raya, Cisadane Sawit Raya Tbk, CisadaneSawitRaya, PT Cisadane Sawit Raya, cisadane sawit raya</v>
      </c>
      <c r="E241" t="str">
        <f t="shared" si="34"/>
        <v>CSRA, CISADANE SAWIT RAYA, Cisadane Sawit Raya, Cisadane Sawit Raya Tbk, CisadaneSawitRaya, PT Cisadane Sawit Raya, cisadane sawit raya</v>
      </c>
      <c r="F241" t="str">
        <f t="shared" si="35"/>
        <v>cisadane sawit raya</v>
      </c>
      <c r="G241" t="str">
        <f t="shared" si="38"/>
        <v>CSRA, CISADANE SAWIT RAYA, Cisadane Sawit Raya, Cisadane Sawit Raya Tbk, CisadaneSawitRaya, PT Cisadane Sawit Raya</v>
      </c>
      <c r="H241" t="str">
        <f t="shared" si="39"/>
        <v>CSRA, CISADANE SAWIT RAYA, Cisadane Sawit Raya, Cisadane Sawit Raya Tbk, CisadaneSawitRaya, PT Cisadane Sawit Raya</v>
      </c>
      <c r="I241" t="str">
        <f t="shared" si="36"/>
        <v>CISADANE SAWIT RAYA</v>
      </c>
      <c r="J241" t="str">
        <f t="shared" si="40"/>
        <v>CSRA, Cisadane Sawit Raya, Cisadane Sawit Raya Tbk, CisadaneSawitRaya, PT Cisadane Sawit Raya</v>
      </c>
      <c r="K241" t="str">
        <f t="shared" si="41"/>
        <v>CSRA, Cisadane Sawit Raya, Cisadane Sawit Raya Tbk, CisadaneSawitRaya, PT Cisadane Sawit Raya</v>
      </c>
      <c r="L241" t="str">
        <f t="shared" si="37"/>
        <v>CisadaneSawitRaya</v>
      </c>
      <c r="M241" t="str">
        <f t="shared" si="42"/>
        <v>CSRA, Cisadane Sawit Raya, Cisadane Sawit Raya Tbk, PT Cisadane Sawit Raya</v>
      </c>
      <c r="N241" t="str">
        <f t="shared" si="43"/>
        <v>CSRA, Cisadane Sawit Raya, Cisadane Sawit Raya Tbk, PT Cisadane Sawit Raya</v>
      </c>
    </row>
    <row r="242" spans="1:14" x14ac:dyDescent="0.2">
      <c r="A242" t="s">
        <v>384</v>
      </c>
      <c r="B242" t="s">
        <v>385</v>
      </c>
      <c r="C242" t="s">
        <v>8041</v>
      </c>
      <c r="D242" t="str">
        <f t="shared" si="33"/>
        <v>CTBN, CITRA TUBINDO, Citra Tubindo, Citra Tubindo Tbk, CitraTubindo, PT Citra Tubindo, citra tubindo</v>
      </c>
      <c r="E242" t="str">
        <f t="shared" si="34"/>
        <v>CTBN, CITRA TUBINDO, Citra Tubindo, Citra Tubindo Tbk, CitraTubindo, PT Citra Tubindo, citra tubindo</v>
      </c>
      <c r="F242" t="str">
        <f t="shared" si="35"/>
        <v>citra tubindo</v>
      </c>
      <c r="G242" t="str">
        <f t="shared" si="38"/>
        <v>CTBN, CITRA TUBINDO, Citra Tubindo, Citra Tubindo Tbk, CitraTubindo, PT Citra Tubindo</v>
      </c>
      <c r="H242" t="str">
        <f t="shared" si="39"/>
        <v>CTBN, CITRA TUBINDO, Citra Tubindo, Citra Tubindo Tbk, CitraTubindo, PT Citra Tubindo</v>
      </c>
      <c r="I242" t="str">
        <f t="shared" si="36"/>
        <v>CITRA TUBINDO</v>
      </c>
      <c r="J242" t="str">
        <f t="shared" si="40"/>
        <v>CTBN, Citra Tubindo, Citra Tubindo Tbk, CitraTubindo, PT Citra Tubindo</v>
      </c>
      <c r="K242" t="str">
        <f t="shared" si="41"/>
        <v>CTBN, Citra Tubindo, Citra Tubindo Tbk, CitraTubindo, PT Citra Tubindo</v>
      </c>
      <c r="L242" t="str">
        <f t="shared" si="37"/>
        <v>CitraTubindo</v>
      </c>
      <c r="M242" t="str">
        <f t="shared" si="42"/>
        <v>CTBN, Citra Tubindo, Citra Tubindo Tbk, PT Citra Tubindo</v>
      </c>
      <c r="N242" t="str">
        <f t="shared" si="43"/>
        <v>CTBN, Citra Tubindo, Citra Tubindo Tbk, PT Citra Tubindo</v>
      </c>
    </row>
    <row r="243" spans="1:14" x14ac:dyDescent="0.2">
      <c r="A243" t="s">
        <v>387</v>
      </c>
      <c r="B243" t="s">
        <v>388</v>
      </c>
      <c r="C243" t="s">
        <v>8042</v>
      </c>
      <c r="D243" t="str">
        <f t="shared" si="33"/>
        <v>CTRA, CIPUTRA DEVELOPMENT, Ciputra Development, Ciputra Development Tbk, CiputraDevelopment, PT Ciputra Development, ciputra development</v>
      </c>
      <c r="E243" t="str">
        <f t="shared" si="34"/>
        <v>CTRA, CIPUTRA DEVELOPMENT, Ciputra Development, Ciputra Development Tbk, CiputraDevelopment, PT Ciputra Development, ciputra development</v>
      </c>
      <c r="F243" t="str">
        <f t="shared" si="35"/>
        <v>ciputra development</v>
      </c>
      <c r="G243" t="str">
        <f t="shared" si="38"/>
        <v>CTRA, CIPUTRA DEVELOPMENT, Ciputra Development, Ciputra Development Tbk, CiputraDevelopment, PT Ciputra Development</v>
      </c>
      <c r="H243" t="str">
        <f t="shared" si="39"/>
        <v>CTRA, CIPUTRA DEVELOPMENT, Ciputra Development, Ciputra Development Tbk, CiputraDevelopment, PT Ciputra Development</v>
      </c>
      <c r="I243" t="str">
        <f t="shared" si="36"/>
        <v>CIPUTRA DEVELOPMENT</v>
      </c>
      <c r="J243" t="str">
        <f t="shared" si="40"/>
        <v>CTRA, Ciputra Development, Ciputra Development Tbk, CiputraDevelopment, PT Ciputra Development</v>
      </c>
      <c r="K243" t="str">
        <f t="shared" si="41"/>
        <v>CTRA, Ciputra Development, Ciputra Development Tbk, CiputraDevelopment, PT Ciputra Development</v>
      </c>
      <c r="L243" t="str">
        <f t="shared" si="37"/>
        <v>CiputraDevelopment</v>
      </c>
      <c r="M243" t="str">
        <f t="shared" si="42"/>
        <v>CTRA, Ciputra Development, Ciputra Development Tbk, PT Ciputra Development</v>
      </c>
      <c r="N243" t="str">
        <f t="shared" si="43"/>
        <v>CTRA, Ciputra Development, Ciputra Development Tbk, PT Ciputra Development</v>
      </c>
    </row>
    <row r="244" spans="1:14" x14ac:dyDescent="0.2">
      <c r="A244" t="s">
        <v>390</v>
      </c>
      <c r="B244" t="s">
        <v>391</v>
      </c>
      <c r="C244" t="s">
        <v>8043</v>
      </c>
      <c r="D244" t="str">
        <f t="shared" si="33"/>
        <v>CTTH, CITATAH, Citatah, Citatah Tbk, PT Citatah, citatah</v>
      </c>
      <c r="E244" t="str">
        <f t="shared" si="34"/>
        <v>CTTH, CITATAH, Citatah, Citatah Tbk, PT Citatah, citatah</v>
      </c>
      <c r="F244" t="str">
        <f t="shared" si="35"/>
        <v>citatah</v>
      </c>
      <c r="G244" t="str">
        <f t="shared" si="38"/>
        <v>CTTH, CITATAH, Citatah, Citatah Tbk, PT Citatah</v>
      </c>
      <c r="H244" t="str">
        <f t="shared" si="39"/>
        <v>CTTH, CITATAH, Citatah, Citatah Tbk, PT Citatah</v>
      </c>
      <c r="I244" t="str">
        <f t="shared" si="36"/>
        <v>CITATAH</v>
      </c>
      <c r="J244" t="str">
        <f t="shared" si="40"/>
        <v>CTTH, Citatah, Citatah Tbk, PT Citatah</v>
      </c>
      <c r="K244" t="str">
        <f t="shared" si="41"/>
        <v>CTTH, Citatah, Citatah Tbk, PT Citatah</v>
      </c>
      <c r="L244" t="str">
        <f t="shared" si="37"/>
        <v>Citatah</v>
      </c>
      <c r="M244" t="str">
        <f t="shared" si="42"/>
        <v>CTTH Tbk, PT Citatah</v>
      </c>
      <c r="N244" t="str">
        <f t="shared" si="43"/>
        <v>CTTH Tbk, PT Citatah</v>
      </c>
    </row>
    <row r="245" spans="1:14" x14ac:dyDescent="0.2">
      <c r="A245" t="s">
        <v>2286</v>
      </c>
      <c r="B245" t="s">
        <v>2287</v>
      </c>
      <c r="C245" t="s">
        <v>8044</v>
      </c>
      <c r="D245" t="str">
        <f t="shared" si="33"/>
        <v>CUAN, PETRINDO JAYA KREASI, PT Petrindo Jaya Kreasi, Petrindo Jaya Kreasi, Petrindo Jaya Kreasi Tbk, PetrindoJayaKreasi, petrindo jaya kreasi</v>
      </c>
      <c r="E245" t="str">
        <f t="shared" si="34"/>
        <v>CUAN, PETRINDO JAYA KREASI, PT Petrindo Jaya Kreasi, Petrindo Jaya Kreasi, Petrindo Jaya Kreasi Tbk, PetrindoJayaKreasi, petrindo jaya kreasi</v>
      </c>
      <c r="F245" t="str">
        <f t="shared" si="35"/>
        <v>petrindo jaya kreasi</v>
      </c>
      <c r="G245" t="str">
        <f t="shared" si="38"/>
        <v>CUAN, PETRINDO JAYA KREASI, PT Petrindo Jaya Kreasi, Petrindo Jaya Kreasi, Petrindo Jaya Kreasi Tbk, PetrindoJayaKreasi</v>
      </c>
      <c r="H245" t="str">
        <f t="shared" si="39"/>
        <v>CUAN, PETRINDO JAYA KREASI, PT Petrindo Jaya Kreasi, Petrindo Jaya Kreasi, Petrindo Jaya Kreasi Tbk, PetrindoJayaKreasi</v>
      </c>
      <c r="I245" t="str">
        <f t="shared" si="36"/>
        <v>PETRINDO JAYA KREASI</v>
      </c>
      <c r="J245" t="str">
        <f t="shared" si="40"/>
        <v>CUAN, PT Petrindo Jaya Kreasi, Petrindo Jaya Kreasi, Petrindo Jaya Kreasi Tbk, PetrindoJayaKreasi</v>
      </c>
      <c r="K245" t="str">
        <f t="shared" si="41"/>
        <v>CUAN, PT Petrindo Jaya Kreasi, Petrindo Jaya Kreasi, Petrindo Jaya Kreasi Tbk, PetrindoJayaKreasi</v>
      </c>
      <c r="L245" t="str">
        <f t="shared" si="37"/>
        <v>PetrindoJayaKreasi</v>
      </c>
      <c r="M245" t="str">
        <f t="shared" si="42"/>
        <v>CUAN, PT Petrindo Jaya Kreasi, Petrindo Jaya Kreasi, Petrindo Jaya Kreasi Tbk</v>
      </c>
      <c r="N245" t="str">
        <f t="shared" si="43"/>
        <v>CUAN, PT Petrindo Jaya Kreasi, Petrindo Jaya Kreasi, Petrindo Jaya Kreasi Tbk</v>
      </c>
    </row>
    <row r="246" spans="1:14" x14ac:dyDescent="0.2">
      <c r="A246" t="s">
        <v>2357</v>
      </c>
      <c r="B246" t="s">
        <v>2358</v>
      </c>
      <c r="C246" t="s">
        <v>8045</v>
      </c>
      <c r="D246" t="str">
        <f t="shared" si="33"/>
        <v>CYBR, ITSEC ASIA, ITSEC Asia, ITSEC Asia Tbk, ITSECAsia, PT ITSEC Asia, itsec asia</v>
      </c>
      <c r="E246" t="str">
        <f t="shared" si="34"/>
        <v>CYBR, ITSEC ASIA, ITSEC Asia, ITSEC Asia Tbk, ITSECAsia, PT ITSEC Asia, itsec asia</v>
      </c>
      <c r="F246" t="str">
        <f t="shared" si="35"/>
        <v>itsec asia</v>
      </c>
      <c r="G246" t="str">
        <f t="shared" si="38"/>
        <v>CYBR, ITSEC ASIA, ITSEC Asia, ITSEC Asia Tbk, ITSECAsia, PT ITSEC Asia</v>
      </c>
      <c r="H246" t="str">
        <f t="shared" si="39"/>
        <v>CYBR, ITSEC ASIA, ITSEC Asia, ITSEC Asia Tbk, ITSECAsia, PT ITSEC Asia</v>
      </c>
      <c r="I246" t="str">
        <f t="shared" si="36"/>
        <v>ITSEC ASIA</v>
      </c>
      <c r="J246" t="str">
        <f t="shared" si="40"/>
        <v>CYBR, ITSEC Asia, ITSEC Asia Tbk, ITSECAsia, PT ITSEC Asia</v>
      </c>
      <c r="K246" t="str">
        <f t="shared" si="41"/>
        <v>CYBR, ITSEC Asia, ITSEC Asia Tbk, ITSECAsia, PT ITSEC Asia</v>
      </c>
      <c r="L246" t="str">
        <f t="shared" si="37"/>
        <v>ITSECAsia</v>
      </c>
      <c r="M246" t="str">
        <f t="shared" si="42"/>
        <v>CYBR, ITSEC Asia, ITSEC Asia Tbk, PT ITSEC Asia</v>
      </c>
      <c r="N246" t="str">
        <f t="shared" si="43"/>
        <v>CYBR, ITSEC Asia, ITSEC Asia Tbk, PT ITSEC Asia</v>
      </c>
    </row>
    <row r="247" spans="1:14" x14ac:dyDescent="0.2">
      <c r="A247" t="s">
        <v>2497</v>
      </c>
      <c r="B247" t="s">
        <v>2498</v>
      </c>
      <c r="C247" t="s">
        <v>8046</v>
      </c>
      <c r="D247" t="str">
        <f t="shared" si="33"/>
        <v>DAAZ, DAAZ BARA LESTARI, Daaz Bara Lestari, Daaz Bara Lestari Tbk, DaazBaraLestari, PT Daaz Bara Lestari, daaz bara lestari</v>
      </c>
      <c r="E247" t="str">
        <f t="shared" si="34"/>
        <v>DAAZ, DAAZ BARA LESTARI, Daaz Bara Lestari, Daaz Bara Lestari Tbk, DaazBaraLestari, PT Daaz Bara Lestari, daaz bara lestari</v>
      </c>
      <c r="F247" t="str">
        <f t="shared" si="35"/>
        <v>daaz bara lestari</v>
      </c>
      <c r="G247" t="str">
        <f t="shared" si="38"/>
        <v>DAAZ, DAAZ BARA LESTARI, Daaz Bara Lestari, Daaz Bara Lestari Tbk, DaazBaraLestari, PT Daaz Bara Lestari</v>
      </c>
      <c r="H247" t="str">
        <f t="shared" si="39"/>
        <v>DAAZ, DAAZ BARA LESTARI, Daaz Bara Lestari, Daaz Bara Lestari Tbk, DaazBaraLestari, PT Daaz Bara Lestari</v>
      </c>
      <c r="I247" t="str">
        <f t="shared" si="36"/>
        <v>DAAZ BARA LESTARI</v>
      </c>
      <c r="J247" t="str">
        <f t="shared" si="40"/>
        <v>DAAZ, Daaz Bara Lestari, Daaz Bara Lestari Tbk, DaazBaraLestari, PT Daaz Bara Lestari</v>
      </c>
      <c r="K247" t="str">
        <f t="shared" si="41"/>
        <v>DAAZ, Daaz Bara Lestari, Daaz Bara Lestari Tbk, DaazBaraLestari, PT Daaz Bara Lestari</v>
      </c>
      <c r="L247" t="str">
        <f t="shared" si="37"/>
        <v>DaazBaraLestari</v>
      </c>
      <c r="M247" t="str">
        <f t="shared" si="42"/>
        <v>DAAZ, Daaz Bara Lestari, Daaz Bara Lestari Tbk, PT Daaz Bara Lestari</v>
      </c>
      <c r="N247" t="str">
        <f t="shared" si="43"/>
        <v>DAAZ, Daaz Bara Lestari, Daaz Bara Lestari Tbk, PT Daaz Bara Lestari</v>
      </c>
    </row>
    <row r="248" spans="1:14" x14ac:dyDescent="0.2">
      <c r="A248" t="s">
        <v>2587</v>
      </c>
      <c r="B248" t="s">
        <v>2588</v>
      </c>
      <c r="C248" t="s">
        <v>8047</v>
      </c>
      <c r="D248" t="str">
        <f t="shared" si="33"/>
        <v>DADA, DIAMOND CITRA PROPERTINDO, Diamond Citra Propertindo, Diamond Citra Propertindo Tbk, DiamondCitraPropertindo, PT Diamond Citra Propertindo, diamond citra propertindo</v>
      </c>
      <c r="E248" t="str">
        <f t="shared" si="34"/>
        <v>DADA, DIAMOND CITRA PROPERTINDO, Diamond Citra Propertindo, Diamond Citra Propertindo Tbk, DiamondCitraPropertindo, PT Diamond Citra Propertindo, diamond citra propertindo</v>
      </c>
      <c r="F248" t="str">
        <f t="shared" si="35"/>
        <v>diamond citra propertindo</v>
      </c>
      <c r="G248" t="str">
        <f t="shared" si="38"/>
        <v>DADA, DIAMOND CITRA PROPERTINDO, Diamond Citra Propertindo, Diamond Citra Propertindo Tbk, DiamondCitraPropertindo, PT Diamond Citra Propertindo</v>
      </c>
      <c r="H248" t="str">
        <f t="shared" si="39"/>
        <v>DADA, DIAMOND CITRA PROPERTINDO, Diamond Citra Propertindo, Diamond Citra Propertindo Tbk, DiamondCitraPropertindo, PT Diamond Citra Propertindo</v>
      </c>
      <c r="I248" t="str">
        <f t="shared" si="36"/>
        <v>DIAMOND CITRA PROPERTINDO</v>
      </c>
      <c r="J248" t="str">
        <f t="shared" si="40"/>
        <v>DADA, Diamond Citra Propertindo, Diamond Citra Propertindo Tbk, DiamondCitraPropertindo, PT Diamond Citra Propertindo</v>
      </c>
      <c r="K248" t="str">
        <f t="shared" si="41"/>
        <v>DADA, Diamond Citra Propertindo, Diamond Citra Propertindo Tbk, DiamondCitraPropertindo, PT Diamond Citra Propertindo</v>
      </c>
      <c r="L248" t="str">
        <f t="shared" si="37"/>
        <v>DiamondCitraPropertindo</v>
      </c>
      <c r="M248" t="str">
        <f t="shared" si="42"/>
        <v>DADA, Diamond Citra Propertindo, Diamond Citra Propertindo Tbk, PT Diamond Citra Propertindo</v>
      </c>
      <c r="N248" t="str">
        <f t="shared" si="43"/>
        <v>DADA, Diamond Citra Propertindo, Diamond Citra Propertindo Tbk, PT Diamond Citra Propertindo</v>
      </c>
    </row>
    <row r="249" spans="1:14" x14ac:dyDescent="0.2">
      <c r="A249" t="s">
        <v>393</v>
      </c>
      <c r="B249" t="s">
        <v>394</v>
      </c>
      <c r="C249" t="s">
        <v>8048</v>
      </c>
      <c r="D249" t="str">
        <f t="shared" si="33"/>
        <v>DART, DUTA ANGGADA REALTY, Duta Anggada Realty, Duta Anggada Realty Tbk, DutaAnggadaRealty, PT Duta Anggada Realty, duta anggada realty</v>
      </c>
      <c r="E249" t="str">
        <f t="shared" si="34"/>
        <v>DART, DUTA ANGGADA REALTY, Duta Anggada Realty, Duta Anggada Realty Tbk, DutaAnggadaRealty, PT Duta Anggada Realty, duta anggada realty</v>
      </c>
      <c r="F249" t="str">
        <f t="shared" si="35"/>
        <v>duta anggada realty</v>
      </c>
      <c r="G249" t="str">
        <f t="shared" si="38"/>
        <v>DART, DUTA ANGGADA REALTY, Duta Anggada Realty, Duta Anggada Realty Tbk, DutaAnggadaRealty, PT Duta Anggada Realty</v>
      </c>
      <c r="H249" t="str">
        <f t="shared" si="39"/>
        <v>DART, DUTA ANGGADA REALTY, Duta Anggada Realty, Duta Anggada Realty Tbk, DutaAnggadaRealty, PT Duta Anggada Realty</v>
      </c>
      <c r="I249" t="str">
        <f t="shared" si="36"/>
        <v>DUTA ANGGADA REALTY</v>
      </c>
      <c r="J249" t="str">
        <f t="shared" si="40"/>
        <v>DART, Duta Anggada Realty, Duta Anggada Realty Tbk, DutaAnggadaRealty, PT Duta Anggada Realty</v>
      </c>
      <c r="K249" t="str">
        <f t="shared" si="41"/>
        <v>DART, Duta Anggada Realty, Duta Anggada Realty Tbk, DutaAnggadaRealty, PT Duta Anggada Realty</v>
      </c>
      <c r="L249" t="str">
        <f t="shared" si="37"/>
        <v>DutaAnggadaRealty</v>
      </c>
      <c r="M249" t="str">
        <f t="shared" si="42"/>
        <v>DART, Duta Anggada Realty, Duta Anggada Realty Tbk, PT Duta Anggada Realty</v>
      </c>
      <c r="N249" t="str">
        <f t="shared" si="43"/>
        <v>DART, Duta Anggada Realty, Duta Anggada Realty Tbk, PT Duta Anggada Realty</v>
      </c>
    </row>
    <row r="250" spans="1:14" x14ac:dyDescent="0.2">
      <c r="A250" t="s">
        <v>2458</v>
      </c>
      <c r="B250" t="s">
        <v>2459</v>
      </c>
      <c r="C250" t="s">
        <v>8049</v>
      </c>
      <c r="D250" t="str">
        <f t="shared" si="33"/>
        <v>DATA, PT Remala Abadi, REMALA ABADI, Remala Abadi, Remala Abadi Tbk, RemalaAbadi, remala abadi</v>
      </c>
      <c r="E250" t="str">
        <f t="shared" si="34"/>
        <v>DATA, PT Remala Abadi, REMALA ABADI, Remala Abadi, Remala Abadi Tbk, RemalaAbadi, remala abadi</v>
      </c>
      <c r="F250" t="str">
        <f t="shared" si="35"/>
        <v>remala abadi</v>
      </c>
      <c r="G250" t="str">
        <f t="shared" si="38"/>
        <v>DATA, PT Remala Abadi, REMALA ABADI, Remala Abadi, Remala Abadi Tbk, RemalaAbadi</v>
      </c>
      <c r="H250" t="str">
        <f t="shared" si="39"/>
        <v>DATA, PT Remala Abadi, REMALA ABADI, Remala Abadi, Remala Abadi Tbk, RemalaAbadi</v>
      </c>
      <c r="I250" t="str">
        <f t="shared" si="36"/>
        <v>REMALA ABADI</v>
      </c>
      <c r="J250" t="str">
        <f t="shared" si="40"/>
        <v>DATA, PT Remala Abadi, Remala Abadi, Remala Abadi Tbk, RemalaAbadi</v>
      </c>
      <c r="K250" t="str">
        <f t="shared" si="41"/>
        <v>DATA, PT Remala Abadi, Remala Abadi, Remala Abadi Tbk, RemalaAbadi</v>
      </c>
      <c r="L250" t="str">
        <f t="shared" si="37"/>
        <v>RemalaAbadi</v>
      </c>
      <c r="M250" t="str">
        <f t="shared" si="42"/>
        <v>DATA, PT Remala Abadi, Remala Abadi, Remala Abadi Tbk</v>
      </c>
      <c r="N250" t="str">
        <f t="shared" si="43"/>
        <v>DATA, PT Remala Abadi, Remala Abadi, Remala Abadi Tbk</v>
      </c>
    </row>
    <row r="251" spans="1:14" x14ac:dyDescent="0.2">
      <c r="A251" t="s">
        <v>1347</v>
      </c>
      <c r="B251" t="s">
        <v>1348</v>
      </c>
      <c r="C251" t="s">
        <v>8050</v>
      </c>
      <c r="D251" t="str">
        <f t="shared" si="33"/>
        <v>DAYA, DUTA INTIDAYA, Duta Intidaya, Duta Intidaya Tbk, DutaIntidaya, PT Duta Intidaya, duta intidaya</v>
      </c>
      <c r="E251" t="str">
        <f t="shared" si="34"/>
        <v>DAYA, DUTA INTIDAYA, Duta Intidaya, Duta Intidaya Tbk, DutaIntidaya, PT Duta Intidaya, duta intidaya</v>
      </c>
      <c r="F251" t="str">
        <f t="shared" si="35"/>
        <v>duta intidaya</v>
      </c>
      <c r="G251" t="str">
        <f t="shared" si="38"/>
        <v>DAYA, DUTA INTIDAYA, Duta Intidaya, Duta Intidaya Tbk, DutaIntidaya, PT Duta Intidaya</v>
      </c>
      <c r="H251" t="str">
        <f t="shared" si="39"/>
        <v>DAYA, DUTA INTIDAYA, Duta Intidaya, Duta Intidaya Tbk, DutaIntidaya, PT Duta Intidaya</v>
      </c>
      <c r="I251" t="str">
        <f t="shared" si="36"/>
        <v>DUTA INTIDAYA</v>
      </c>
      <c r="J251" t="str">
        <f t="shared" si="40"/>
        <v>DAYA, Duta Intidaya, Duta Intidaya Tbk, DutaIntidaya, PT Duta Intidaya</v>
      </c>
      <c r="K251" t="str">
        <f t="shared" si="41"/>
        <v>DAYA, Duta Intidaya, Duta Intidaya Tbk, DutaIntidaya, PT Duta Intidaya</v>
      </c>
      <c r="L251" t="str">
        <f t="shared" si="37"/>
        <v>DutaIntidaya</v>
      </c>
      <c r="M251" t="str">
        <f t="shared" si="42"/>
        <v>DAYA, Duta Intidaya, Duta Intidaya Tbk, PT Duta Intidaya</v>
      </c>
      <c r="N251" t="str">
        <f t="shared" si="43"/>
        <v>DAYA, Duta Intidaya, Duta Intidaya Tbk, PT Duta Intidaya</v>
      </c>
    </row>
    <row r="252" spans="1:14" x14ac:dyDescent="0.2">
      <c r="A252" t="s">
        <v>2649</v>
      </c>
      <c r="B252" t="s">
        <v>2650</v>
      </c>
      <c r="C252" t="s">
        <v>8051</v>
      </c>
      <c r="D252" t="str">
        <f t="shared" si="33"/>
        <v>DCII, DCI, DCI INDONESIA, DCI Indonesia, DCI Indonesia Tbk, DCIIndonesia, PT DCI Indonesia, dci indonesia</v>
      </c>
      <c r="E252" t="str">
        <f t="shared" si="34"/>
        <v>DCII, DCI, DCI INDONESIA, DCI Indonesia, DCI Indonesia Tbk, DCIIndonesia, PT DCI Indonesia, dci indonesia</v>
      </c>
      <c r="F252" t="str">
        <f t="shared" si="35"/>
        <v>dci indonesia</v>
      </c>
      <c r="G252" t="str">
        <f t="shared" si="38"/>
        <v>DCII, DCI, DCI INDONESIA, DCI Indonesia, DCI Indonesia Tbk, DCIIndonesia, PT DCI Indonesia</v>
      </c>
      <c r="H252" t="str">
        <f t="shared" si="39"/>
        <v>DCII, DCI, DCI INDONESIA, DCI Indonesia, DCI Indonesia Tbk, DCIIndonesia, PT DCI Indonesia</v>
      </c>
      <c r="I252" t="str">
        <f t="shared" si="36"/>
        <v>DCI INDONESIA</v>
      </c>
      <c r="J252" t="str">
        <f t="shared" si="40"/>
        <v>DCII, DCI, DCI Indonesia, DCI Indonesia Tbk, DCIIndonesia, PT DCI Indonesia</v>
      </c>
      <c r="K252" t="str">
        <f t="shared" si="41"/>
        <v>DCII, DCI, DCI Indonesia, DCI Indonesia Tbk, DCIIndonesia, PT DCI Indonesia</v>
      </c>
      <c r="L252" t="str">
        <f t="shared" si="37"/>
        <v>DCIIndonesia</v>
      </c>
      <c r="M252" t="str">
        <f t="shared" si="42"/>
        <v>DCII, DCI, DCI Indonesia, DCI Indonesia Tbk, PT DCI Indonesia</v>
      </c>
      <c r="N252" t="str">
        <f t="shared" si="43"/>
        <v>DCII, DCI, DCI Indonesia, DCI Indonesia Tbk, PT DCI Indonesia</v>
      </c>
    </row>
    <row r="253" spans="1:14" x14ac:dyDescent="0.2">
      <c r="A253" t="s">
        <v>1620</v>
      </c>
      <c r="B253" t="s">
        <v>3549</v>
      </c>
      <c r="C253" t="s">
        <v>8052</v>
      </c>
      <c r="D253" t="str">
        <f t="shared" si="33"/>
        <v>DEAL, DEWATA FREIGHTINTERNATIONAL, Dewata Freightinternational, Dewata Freightinternational Tbk, DewataFreightinternational, PT Dewata Freightinternational, dewata freightinternational</v>
      </c>
      <c r="E253" t="str">
        <f t="shared" si="34"/>
        <v>DEAL, DEWATA FREIGHTINTERNATIONAL, Dewata Freightinternational, Dewata Freightinternational Tbk, DewataFreightinternational, PT Dewata Freightinternational, dewata freightinternational</v>
      </c>
      <c r="F253" t="str">
        <f t="shared" si="35"/>
        <v>dewata freightinternational</v>
      </c>
      <c r="G253" t="str">
        <f t="shared" si="38"/>
        <v>DEAL, DEWATA FREIGHTINTERNATIONAL, Dewata Freightinternational, Dewata Freightinternational Tbk, DewataFreightinternational, PT Dewata Freightinternational</v>
      </c>
      <c r="H253" t="str">
        <f t="shared" si="39"/>
        <v>DEAL, DEWATA FREIGHTINTERNATIONAL, Dewata Freightinternational, Dewata Freightinternational Tbk, DewataFreightinternational, PT Dewata Freightinternational</v>
      </c>
      <c r="I253" t="str">
        <f t="shared" si="36"/>
        <v>DEWATA FREIGHTINTERNATIONAL</v>
      </c>
      <c r="J253" t="str">
        <f t="shared" si="40"/>
        <v>DEAL, Dewata Freightinternational, Dewata Freightinternational Tbk, DewataFreightinternational, PT Dewata Freightinternational</v>
      </c>
      <c r="K253" t="str">
        <f t="shared" si="41"/>
        <v>DEAL, Dewata Freightinternational, Dewata Freightinternational Tbk, DewataFreightinternational, PT Dewata Freightinternational</v>
      </c>
      <c r="L253" t="str">
        <f t="shared" si="37"/>
        <v>DewataFreightinternational</v>
      </c>
      <c r="M253" t="str">
        <f t="shared" si="42"/>
        <v>DEAL, Dewata Freightinternational, Dewata Freightinternational Tbk, PT Dewata Freightinternational</v>
      </c>
      <c r="N253" t="str">
        <f t="shared" si="43"/>
        <v>DEAL, Dewata Freightinternational, Dewata Freightinternational Tbk, PT Dewata Freightinternational</v>
      </c>
    </row>
    <row r="254" spans="1:14" x14ac:dyDescent="0.2">
      <c r="A254" t="s">
        <v>396</v>
      </c>
      <c r="B254" t="s">
        <v>397</v>
      </c>
      <c r="C254" t="s">
        <v>8053</v>
      </c>
      <c r="D254" t="str">
        <f t="shared" si="33"/>
        <v>DEFI, DANASUPRA ERAPACIFIC, Danasupra Erapacific, Danasupra Erapacific Tbk, DanasupraErapacific, PT Danasupra Erapacific, danasupra erapacific</v>
      </c>
      <c r="E254" t="str">
        <f t="shared" si="34"/>
        <v>DEFI, DANASUPRA ERAPACIFIC, Danasupra Erapacific, Danasupra Erapacific Tbk, DanasupraErapacific, PT Danasupra Erapacific, danasupra erapacific</v>
      </c>
      <c r="F254" t="str">
        <f t="shared" si="35"/>
        <v>danasupra erapacific</v>
      </c>
      <c r="G254" t="str">
        <f t="shared" si="38"/>
        <v>DEFI, DANASUPRA ERAPACIFIC, Danasupra Erapacific, Danasupra Erapacific Tbk, DanasupraErapacific, PT Danasupra Erapacific</v>
      </c>
      <c r="H254" t="str">
        <f t="shared" si="39"/>
        <v>DEFI, DANASUPRA ERAPACIFIC, Danasupra Erapacific, Danasupra Erapacific Tbk, DanasupraErapacific, PT Danasupra Erapacific</v>
      </c>
      <c r="I254" t="str">
        <f t="shared" si="36"/>
        <v>DANASUPRA ERAPACIFIC</v>
      </c>
      <c r="J254" t="str">
        <f t="shared" si="40"/>
        <v>DEFI, Danasupra Erapacific, Danasupra Erapacific Tbk, DanasupraErapacific, PT Danasupra Erapacific</v>
      </c>
      <c r="K254" t="str">
        <f t="shared" si="41"/>
        <v>DEFI, Danasupra Erapacific, Danasupra Erapacific Tbk, DanasupraErapacific, PT Danasupra Erapacific</v>
      </c>
      <c r="L254" t="str">
        <f t="shared" si="37"/>
        <v>DanasupraErapacific</v>
      </c>
      <c r="M254" t="str">
        <f t="shared" si="42"/>
        <v>DEFI, Danasupra Erapacific, Danasupra Erapacific Tbk, PT Danasupra Erapacific</v>
      </c>
      <c r="N254" t="str">
        <f t="shared" si="43"/>
        <v>DEFI, Danasupra Erapacific, Danasupra Erapacific Tbk, PT Danasupra Erapacific</v>
      </c>
    </row>
    <row r="255" spans="1:14" x14ac:dyDescent="0.2">
      <c r="A255" t="s">
        <v>2022</v>
      </c>
      <c r="B255" t="s">
        <v>2023</v>
      </c>
      <c r="C255" t="s">
        <v>8054</v>
      </c>
      <c r="D255" t="str">
        <f t="shared" si="33"/>
        <v>DEPO, CATURKARDA DEPO BANGUNAN, Caturkarda Depo Bangunan, Caturkarda Depo Bangunan Tbk, CaturkardaDepoBangunan, PT Caturkarda Depo Bangunan, caturkarda depo bangunan</v>
      </c>
      <c r="E255" t="str">
        <f t="shared" si="34"/>
        <v>DEPO, CATURKARDA DEPO BANGUNAN, Caturkarda Depo Bangunan, Caturkarda Depo Bangunan Tbk, CaturkardaDepoBangunan, PT Caturkarda Depo Bangunan, caturkarda depo bangunan</v>
      </c>
      <c r="F255" t="str">
        <f t="shared" si="35"/>
        <v>caturkarda depo bangunan</v>
      </c>
      <c r="G255" t="str">
        <f t="shared" si="38"/>
        <v>DEPO, CATURKARDA DEPO BANGUNAN, Caturkarda Depo Bangunan, Caturkarda Depo Bangunan Tbk, CaturkardaDepoBangunan, PT Caturkarda Depo Bangunan</v>
      </c>
      <c r="H255" t="str">
        <f t="shared" si="39"/>
        <v>DEPO, CATURKARDA DEPO BANGUNAN, Caturkarda Depo Bangunan, Caturkarda Depo Bangunan Tbk, CaturkardaDepoBangunan, PT Caturkarda Depo Bangunan</v>
      </c>
      <c r="I255" t="str">
        <f t="shared" si="36"/>
        <v>CATURKARDA DEPO BANGUNAN</v>
      </c>
      <c r="J255" t="str">
        <f t="shared" si="40"/>
        <v>DEPO, Caturkarda Depo Bangunan, Caturkarda Depo Bangunan Tbk, CaturkardaDepoBangunan, PT Caturkarda Depo Bangunan</v>
      </c>
      <c r="K255" t="str">
        <f t="shared" si="41"/>
        <v>DEPO, Caturkarda Depo Bangunan, Caturkarda Depo Bangunan Tbk, CaturkardaDepoBangunan, PT Caturkarda Depo Bangunan</v>
      </c>
      <c r="L255" t="str">
        <f t="shared" si="37"/>
        <v>CaturkardaDepoBangunan</v>
      </c>
      <c r="M255" t="str">
        <f t="shared" si="42"/>
        <v>DEPO, Caturkarda Depo Bangunan, Caturkarda Depo Bangunan Tbk, PT Caturkarda Depo Bangunan</v>
      </c>
      <c r="N255" t="str">
        <f t="shared" si="43"/>
        <v>DEPO, Caturkarda Depo Bangunan, Caturkarda Depo Bangunan Tbk, PT Caturkarda Depo Bangunan</v>
      </c>
    </row>
    <row r="256" spans="1:14" x14ac:dyDescent="0.2">
      <c r="A256" t="s">
        <v>399</v>
      </c>
      <c r="B256" t="s">
        <v>3550</v>
      </c>
      <c r="C256" t="s">
        <v>8055</v>
      </c>
      <c r="D256" t="str">
        <f t="shared" si="33"/>
        <v>DEWA, DARMA HENWA, Darma Henwa, Darma Henwa Tbk, DarmaHenwa, PT Darma Henwa, darma henwa</v>
      </c>
      <c r="E256" t="str">
        <f t="shared" si="34"/>
        <v>DEWA, DARMA HENWA, Darma Henwa, Darma Henwa Tbk, DarmaHenwa, PT Darma Henwa, darma henwa</v>
      </c>
      <c r="F256" t="str">
        <f t="shared" si="35"/>
        <v>darma henwa</v>
      </c>
      <c r="G256" t="str">
        <f t="shared" si="38"/>
        <v>DEWA, DARMA HENWA, Darma Henwa, Darma Henwa Tbk, DarmaHenwa, PT Darma Henwa</v>
      </c>
      <c r="H256" t="str">
        <f t="shared" si="39"/>
        <v>DEWA, DARMA HENWA, Darma Henwa, Darma Henwa Tbk, DarmaHenwa, PT Darma Henwa</v>
      </c>
      <c r="I256" t="str">
        <f t="shared" si="36"/>
        <v>DARMA HENWA</v>
      </c>
      <c r="J256" t="str">
        <f t="shared" si="40"/>
        <v>DEWA, Darma Henwa, Darma Henwa Tbk, DarmaHenwa, PT Darma Henwa</v>
      </c>
      <c r="K256" t="str">
        <f t="shared" si="41"/>
        <v>DEWA, Darma Henwa, Darma Henwa Tbk, DarmaHenwa, PT Darma Henwa</v>
      </c>
      <c r="L256" t="str">
        <f t="shared" si="37"/>
        <v>DarmaHenwa</v>
      </c>
      <c r="M256" t="str">
        <f t="shared" si="42"/>
        <v>DEWA, Darma Henwa, Darma Henwa Tbk, PT Darma Henwa</v>
      </c>
      <c r="N256" t="str">
        <f t="shared" si="43"/>
        <v>DEWA, Darma Henwa, Darma Henwa Tbk, PT Darma Henwa</v>
      </c>
    </row>
    <row r="257" spans="1:14" x14ac:dyDescent="0.2">
      <c r="A257" t="s">
        <v>2126</v>
      </c>
      <c r="B257" t="s">
        <v>2127</v>
      </c>
      <c r="C257" t="s">
        <v>8056</v>
      </c>
      <c r="D257" t="str">
        <f t="shared" si="33"/>
        <v>DEWI, DEWI SHRI FARMINDO, Dewi Shri Farmindo, Dewi Shri Farmindo Tbk, DewiShriFarmindo, PT Dewi Shri Farmindo, dewi shri farmindo</v>
      </c>
      <c r="E257" t="str">
        <f t="shared" si="34"/>
        <v>DEWI, DEWI SHRI FARMINDO, Dewi Shri Farmindo, Dewi Shri Farmindo Tbk, DewiShriFarmindo, PT Dewi Shri Farmindo, dewi shri farmindo</v>
      </c>
      <c r="F257" t="str">
        <f t="shared" si="35"/>
        <v>dewi shri farmindo</v>
      </c>
      <c r="G257" t="str">
        <f t="shared" si="38"/>
        <v>DEWI, DEWI SHRI FARMINDO, Dewi Shri Farmindo, Dewi Shri Farmindo Tbk, DewiShriFarmindo, PT Dewi Shri Farmindo</v>
      </c>
      <c r="H257" t="str">
        <f t="shared" si="39"/>
        <v>DEWI, DEWI SHRI FARMINDO, Dewi Shri Farmindo, Dewi Shri Farmindo Tbk, DewiShriFarmindo, PT Dewi Shri Farmindo</v>
      </c>
      <c r="I257" t="str">
        <f t="shared" si="36"/>
        <v>DEWI SHRI FARMINDO</v>
      </c>
      <c r="J257" t="str">
        <f t="shared" si="40"/>
        <v>DEWI, Dewi Shri Farmindo, Dewi Shri Farmindo Tbk, DewiShriFarmindo, PT Dewi Shri Farmindo</v>
      </c>
      <c r="K257" t="str">
        <f t="shared" si="41"/>
        <v>DEWI, Dewi Shri Farmindo, Dewi Shri Farmindo Tbk, DewiShriFarmindo, PT Dewi Shri Farmindo</v>
      </c>
      <c r="L257" t="str">
        <f t="shared" si="37"/>
        <v>DewiShriFarmindo</v>
      </c>
      <c r="M257" t="str">
        <f t="shared" si="42"/>
        <v>DEWI, Dewi Shri Farmindo, Dewi Shri Farmindo Tbk, PT Dewi Shri Farmindo</v>
      </c>
      <c r="N257" t="str">
        <f t="shared" si="43"/>
        <v>DEWI, Dewi Shri Farmindo, Dewi Shri Farmindo Tbk, PT Dewi Shri Farmindo</v>
      </c>
    </row>
    <row r="258" spans="1:14" x14ac:dyDescent="0.2">
      <c r="A258" t="s">
        <v>1509</v>
      </c>
      <c r="B258" t="s">
        <v>1510</v>
      </c>
      <c r="C258" t="s">
        <v>8057</v>
      </c>
      <c r="D258" t="str">
        <f t="shared" ref="D258:D321" si="44">SUBSTITUTE(C258, _xlfn.CONCAT(", ", B258), "")</f>
        <v>DFAM, DAFAM PROPERTY INDONESIA, Dafam Property Indonesia, Dafam Property Indonesia Tbk, DafamPropertyIndonesia, PT Dafam Property Indonesia, dafam property indonesia</v>
      </c>
      <c r="E258" t="str">
        <f t="shared" ref="E258:E321" si="45">SUBSTITUTE(D258, _xlfn.CONCAT(B258, ", "), "")</f>
        <v>DFAM, DAFAM PROPERTY INDONESIA, Dafam Property Indonesia, Dafam Property Indonesia Tbk, DafamPropertyIndonesia, PT Dafam Property Indonesia, dafam property indonesia</v>
      </c>
      <c r="F258" t="str">
        <f t="shared" ref="F258:F321" si="46">LOWER(MID(B258, 1, FIND(" Tbk.", B258)-1))</f>
        <v>dafam property indonesia</v>
      </c>
      <c r="G258" t="str">
        <f t="shared" si="38"/>
        <v>DFAM, DAFAM PROPERTY INDONESIA, Dafam Property Indonesia, Dafam Property Indonesia Tbk, DafamPropertyIndonesia, PT Dafam Property Indonesia</v>
      </c>
      <c r="H258" t="str">
        <f t="shared" si="39"/>
        <v>DFAM, DAFAM PROPERTY INDONESIA, Dafam Property Indonesia, Dafam Property Indonesia Tbk, DafamPropertyIndonesia, PT Dafam Property Indonesia</v>
      </c>
      <c r="I258" t="str">
        <f t="shared" ref="I258:I321" si="47">UPPER(MID(B258, 1, FIND(" Tbk.", B258)-1))</f>
        <v>DAFAM PROPERTY INDONESIA</v>
      </c>
      <c r="J258" t="str">
        <f t="shared" si="40"/>
        <v>DFAM, Dafam Property Indonesia, Dafam Property Indonesia Tbk, DafamPropertyIndonesia, PT Dafam Property Indonesia</v>
      </c>
      <c r="K258" t="str">
        <f t="shared" si="41"/>
        <v>DFAM, Dafam Property Indonesia, Dafam Property Indonesia Tbk, DafamPropertyIndonesia, PT Dafam Property Indonesia</v>
      </c>
      <c r="L258" t="str">
        <f t="shared" ref="L258:L321" si="48">SUBSTITUTE(MID(B258, 1, FIND(" Tbk.", B258)-1), " ", "")</f>
        <v>DafamPropertyIndonesia</v>
      </c>
      <c r="M258" t="str">
        <f t="shared" si="42"/>
        <v>DFAM, Dafam Property Indonesia, Dafam Property Indonesia Tbk, PT Dafam Property Indonesia</v>
      </c>
      <c r="N258" t="str">
        <f t="shared" si="43"/>
        <v>DFAM, Dafam Property Indonesia, Dafam Property Indonesia Tbk, PT Dafam Property Indonesia</v>
      </c>
    </row>
    <row r="259" spans="1:14" x14ac:dyDescent="0.2">
      <c r="A259" t="s">
        <v>402</v>
      </c>
      <c r="B259" t="s">
        <v>3551</v>
      </c>
      <c r="C259" t="s">
        <v>8058</v>
      </c>
      <c r="D259" t="str">
        <f t="shared" si="44"/>
        <v>DGIK, NUSA KONSTRUKSI ENJINIRING, Nusa Konstruksi Enjiniring, Nusa Konstruksi Enjiniring Tbk, NusaKonstruksiEnjiniring, PT Nusa Konstruksi Enjiniring, nusa konstruksi enjiniring</v>
      </c>
      <c r="E259" t="str">
        <f t="shared" si="45"/>
        <v>DGIK, NUSA KONSTRUKSI ENJINIRING, Nusa Konstruksi Enjiniring, Nusa Konstruksi Enjiniring Tbk, NusaKonstruksiEnjiniring, PT Nusa Konstruksi Enjiniring, nusa konstruksi enjiniring</v>
      </c>
      <c r="F259" t="str">
        <f t="shared" si="46"/>
        <v>nusa konstruksi enjiniring</v>
      </c>
      <c r="G259" t="str">
        <f t="shared" ref="G259:G322" si="49">SUBSTITUTE(E259, _xlfn.CONCAT(", ", F259), "")</f>
        <v>DGIK, NUSA KONSTRUKSI ENJINIRING, Nusa Konstruksi Enjiniring, Nusa Konstruksi Enjiniring Tbk, NusaKonstruksiEnjiniring, PT Nusa Konstruksi Enjiniring</v>
      </c>
      <c r="H259" t="str">
        <f t="shared" ref="H259:H322" si="50">SUBSTITUTE(G259, _xlfn.CONCAT(F259, ", "), "")</f>
        <v>DGIK, NUSA KONSTRUKSI ENJINIRING, Nusa Konstruksi Enjiniring, Nusa Konstruksi Enjiniring Tbk, NusaKonstruksiEnjiniring, PT Nusa Konstruksi Enjiniring</v>
      </c>
      <c r="I259" t="str">
        <f t="shared" si="47"/>
        <v>NUSA KONSTRUKSI ENJINIRING</v>
      </c>
      <c r="J259" t="str">
        <f t="shared" ref="J259:J322" si="51">SUBSTITUTE(H259, _xlfn.CONCAT(", ", I259), "")</f>
        <v>DGIK, Nusa Konstruksi Enjiniring, Nusa Konstruksi Enjiniring Tbk, NusaKonstruksiEnjiniring, PT Nusa Konstruksi Enjiniring</v>
      </c>
      <c r="K259" t="str">
        <f t="shared" ref="K259:K322" si="52">SUBSTITUTE(J259, _xlfn.CONCAT(I259, ", "), "")</f>
        <v>DGIK, Nusa Konstruksi Enjiniring, Nusa Konstruksi Enjiniring Tbk, NusaKonstruksiEnjiniring, PT Nusa Konstruksi Enjiniring</v>
      </c>
      <c r="L259" t="str">
        <f t="shared" si="48"/>
        <v>NusaKonstruksiEnjiniring</v>
      </c>
      <c r="M259" t="str">
        <f t="shared" ref="M259:M322" si="53">SUBSTITUTE(K259, _xlfn.CONCAT(", ", L259), "")</f>
        <v>DGIK, Nusa Konstruksi Enjiniring, Nusa Konstruksi Enjiniring Tbk, PT Nusa Konstruksi Enjiniring</v>
      </c>
      <c r="N259" t="str">
        <f t="shared" ref="N259:N322" si="54">SUBSTITUTE(M259, _xlfn.CONCAT(L259, ", "), "")</f>
        <v>DGIK, Nusa Konstruksi Enjiniring, Nusa Konstruksi Enjiniring Tbk, PT Nusa Konstruksi Enjiniring</v>
      </c>
    </row>
    <row r="260" spans="1:14" x14ac:dyDescent="0.2">
      <c r="A260" t="s">
        <v>2655</v>
      </c>
      <c r="B260" t="s">
        <v>3552</v>
      </c>
      <c r="C260" t="s">
        <v>8059</v>
      </c>
      <c r="D260" t="str">
        <f t="shared" si="44"/>
        <v>DGNS, Diagnos, DIAGNOS LABORATORIUM UTAMA, Diagnos Laboratorium Utama, Diagnos Laboratorium Utama Tbk, DiagnosLaboratoriumUtama, PT Diagnos Laboratorium Utama, diagnos laboratorium utama</v>
      </c>
      <c r="E260" t="str">
        <f t="shared" si="45"/>
        <v>DGNS, Diagnos, DIAGNOS LABORATORIUM UTAMA, Diagnos Laboratorium Utama, Diagnos Laboratorium Utama Tbk, DiagnosLaboratoriumUtama, PT Diagnos Laboratorium Utama, diagnos laboratorium utama</v>
      </c>
      <c r="F260" t="str">
        <f t="shared" si="46"/>
        <v>diagnos laboratorium utama</v>
      </c>
      <c r="G260" t="str">
        <f t="shared" si="49"/>
        <v>DGNS, Diagnos, DIAGNOS LABORATORIUM UTAMA, Diagnos Laboratorium Utama, Diagnos Laboratorium Utama Tbk, DiagnosLaboratoriumUtama, PT Diagnos Laboratorium Utama</v>
      </c>
      <c r="H260" t="str">
        <f t="shared" si="50"/>
        <v>DGNS, Diagnos, DIAGNOS LABORATORIUM UTAMA, Diagnos Laboratorium Utama, Diagnos Laboratorium Utama Tbk, DiagnosLaboratoriumUtama, PT Diagnos Laboratorium Utama</v>
      </c>
      <c r="I260" t="str">
        <f t="shared" si="47"/>
        <v>DIAGNOS LABORATORIUM UTAMA</v>
      </c>
      <c r="J260" t="str">
        <f t="shared" si="51"/>
        <v>DGNS, Diagnos, Diagnos Laboratorium Utama, Diagnos Laboratorium Utama Tbk, DiagnosLaboratoriumUtama, PT Diagnos Laboratorium Utama</v>
      </c>
      <c r="K260" t="str">
        <f t="shared" si="52"/>
        <v>DGNS, Diagnos, Diagnos Laboratorium Utama, Diagnos Laboratorium Utama Tbk, DiagnosLaboratoriumUtama, PT Diagnos Laboratorium Utama</v>
      </c>
      <c r="L260" t="str">
        <f t="shared" si="48"/>
        <v>DiagnosLaboratoriumUtama</v>
      </c>
      <c r="M260" t="str">
        <f t="shared" si="53"/>
        <v>DGNS, Diagnos, Diagnos Laboratorium Utama, Diagnos Laboratorium Utama Tbk, PT Diagnos Laboratorium Utama</v>
      </c>
      <c r="N260" t="str">
        <f t="shared" si="54"/>
        <v>DGNS, Diagnos, Diagnos Laboratorium Utama, Diagnos Laboratorium Utama Tbk, PT Diagnos Laboratorium Utama</v>
      </c>
    </row>
    <row r="261" spans="1:14" x14ac:dyDescent="0.2">
      <c r="A261" t="s">
        <v>2526</v>
      </c>
      <c r="B261" t="s">
        <v>2527</v>
      </c>
      <c r="C261" t="s">
        <v>8060</v>
      </c>
      <c r="D261" t="str">
        <f t="shared" si="44"/>
        <v>DGWG, DELTA GIRI WACANA, Delta Giri Wacana, Delta Giri Wacana Tbk, DeltaGiriWacana, PT Delta Giri Wacana, delta giri wacana</v>
      </c>
      <c r="E261" t="str">
        <f t="shared" si="45"/>
        <v>DGWG, DELTA GIRI WACANA, Delta Giri Wacana, Delta Giri Wacana Tbk, DeltaGiriWacana, PT Delta Giri Wacana, delta giri wacana</v>
      </c>
      <c r="F261" t="str">
        <f t="shared" si="46"/>
        <v>delta giri wacana</v>
      </c>
      <c r="G261" t="str">
        <f t="shared" si="49"/>
        <v>DGWG, DELTA GIRI WACANA, Delta Giri Wacana, Delta Giri Wacana Tbk, DeltaGiriWacana, PT Delta Giri Wacana</v>
      </c>
      <c r="H261" t="str">
        <f t="shared" si="50"/>
        <v>DGWG, DELTA GIRI WACANA, Delta Giri Wacana, Delta Giri Wacana Tbk, DeltaGiriWacana, PT Delta Giri Wacana</v>
      </c>
      <c r="I261" t="str">
        <f t="shared" si="47"/>
        <v>DELTA GIRI WACANA</v>
      </c>
      <c r="J261" t="str">
        <f t="shared" si="51"/>
        <v>DGWG, Delta Giri Wacana, Delta Giri Wacana Tbk, DeltaGiriWacana, PT Delta Giri Wacana</v>
      </c>
      <c r="K261" t="str">
        <f t="shared" si="52"/>
        <v>DGWG, Delta Giri Wacana, Delta Giri Wacana Tbk, DeltaGiriWacana, PT Delta Giri Wacana</v>
      </c>
      <c r="L261" t="str">
        <f t="shared" si="48"/>
        <v>DeltaGiriWacana</v>
      </c>
      <c r="M261" t="str">
        <f t="shared" si="53"/>
        <v>DGWG, Delta Giri Wacana, Delta Giri Wacana Tbk, PT Delta Giri Wacana</v>
      </c>
      <c r="N261" t="str">
        <f t="shared" si="54"/>
        <v>DGWG, Delta Giri Wacana, Delta Giri Wacana Tbk, PT Delta Giri Wacana</v>
      </c>
    </row>
    <row r="262" spans="1:14" x14ac:dyDescent="0.2">
      <c r="A262" t="s">
        <v>1583</v>
      </c>
      <c r="B262" t="s">
        <v>1584</v>
      </c>
      <c r="C262" t="s">
        <v>8061</v>
      </c>
      <c r="D262" t="str">
        <f t="shared" si="44"/>
        <v>DIGI, ARKADIA DIGITAL MEDIA, Arkadia Digital Media, Arkadia Digital Media Tbk, ArkadiaDigitalMedia, PT Arkadia Digital Media, arkadia digital media</v>
      </c>
      <c r="E262" t="str">
        <f t="shared" si="45"/>
        <v>DIGI, ARKADIA DIGITAL MEDIA, Arkadia Digital Media, Arkadia Digital Media Tbk, ArkadiaDigitalMedia, PT Arkadia Digital Media, arkadia digital media</v>
      </c>
      <c r="F262" t="str">
        <f t="shared" si="46"/>
        <v>arkadia digital media</v>
      </c>
      <c r="G262" t="str">
        <f t="shared" si="49"/>
        <v>DIGI, ARKADIA DIGITAL MEDIA, Arkadia Digital Media, Arkadia Digital Media Tbk, ArkadiaDigitalMedia, PT Arkadia Digital Media</v>
      </c>
      <c r="H262" t="str">
        <f t="shared" si="50"/>
        <v>DIGI, ARKADIA DIGITAL MEDIA, Arkadia Digital Media, Arkadia Digital Media Tbk, ArkadiaDigitalMedia, PT Arkadia Digital Media</v>
      </c>
      <c r="I262" t="str">
        <f t="shared" si="47"/>
        <v>ARKADIA DIGITAL MEDIA</v>
      </c>
      <c r="J262" t="str">
        <f t="shared" si="51"/>
        <v>DIGI, Arkadia Digital Media, Arkadia Digital Media Tbk, ArkadiaDigitalMedia, PT Arkadia Digital Media</v>
      </c>
      <c r="K262" t="str">
        <f t="shared" si="52"/>
        <v>DIGI, Arkadia Digital Media, Arkadia Digital Media Tbk, ArkadiaDigitalMedia, PT Arkadia Digital Media</v>
      </c>
      <c r="L262" t="str">
        <f t="shared" si="48"/>
        <v>ArkadiaDigitalMedia</v>
      </c>
      <c r="M262" t="str">
        <f t="shared" si="53"/>
        <v>DIGI, Arkadia Digital Media, Arkadia Digital Media Tbk, PT Arkadia Digital Media</v>
      </c>
      <c r="N262" t="str">
        <f t="shared" si="54"/>
        <v>DIGI, Arkadia Digital Media, Arkadia Digital Media Tbk, PT Arkadia Digital Media</v>
      </c>
    </row>
    <row r="263" spans="1:14" x14ac:dyDescent="0.2">
      <c r="A263" t="s">
        <v>404</v>
      </c>
      <c r="B263" t="s">
        <v>405</v>
      </c>
      <c r="C263" t="s">
        <v>8062</v>
      </c>
      <c r="D263" t="str">
        <f t="shared" si="44"/>
        <v>DILD, INTILAND DEVELOPMENT, Intiland Development, Intiland Development Tbk, IntilandDevelopment, PT Intiland Development, intiland development</v>
      </c>
      <c r="E263" t="str">
        <f t="shared" si="45"/>
        <v>DILD, INTILAND DEVELOPMENT, Intiland Development, Intiland Development Tbk, IntilandDevelopment, PT Intiland Development, intiland development</v>
      </c>
      <c r="F263" t="str">
        <f t="shared" si="46"/>
        <v>intiland development</v>
      </c>
      <c r="G263" t="str">
        <f t="shared" si="49"/>
        <v>DILD, INTILAND DEVELOPMENT, Intiland Development, Intiland Development Tbk, IntilandDevelopment, PT Intiland Development</v>
      </c>
      <c r="H263" t="str">
        <f t="shared" si="50"/>
        <v>DILD, INTILAND DEVELOPMENT, Intiland Development, Intiland Development Tbk, IntilandDevelopment, PT Intiland Development</v>
      </c>
      <c r="I263" t="str">
        <f t="shared" si="47"/>
        <v>INTILAND DEVELOPMENT</v>
      </c>
      <c r="J263" t="str">
        <f t="shared" si="51"/>
        <v>DILD, Intiland Development, Intiland Development Tbk, IntilandDevelopment, PT Intiland Development</v>
      </c>
      <c r="K263" t="str">
        <f t="shared" si="52"/>
        <v>DILD, Intiland Development, Intiland Development Tbk, IntilandDevelopment, PT Intiland Development</v>
      </c>
      <c r="L263" t="str">
        <f t="shared" si="48"/>
        <v>IntilandDevelopment</v>
      </c>
      <c r="M263" t="str">
        <f t="shared" si="53"/>
        <v>DILD, Intiland Development, Intiland Development Tbk, PT Intiland Development</v>
      </c>
      <c r="N263" t="str">
        <f t="shared" si="54"/>
        <v>DILD, Intiland Development, Intiland Development Tbk, PT Intiland Development</v>
      </c>
    </row>
    <row r="264" spans="1:14" x14ac:dyDescent="0.2">
      <c r="A264" t="s">
        <v>1625</v>
      </c>
      <c r="B264" t="s">
        <v>3553</v>
      </c>
      <c r="C264" t="s">
        <v>8063</v>
      </c>
      <c r="D264" t="str">
        <f t="shared" si="44"/>
        <v>DIVA, DISTRIBUSI VOUCHER NUSANTARA, Distribusi Voucher Nusantara, Distribusi Voucher Nusantara Tbk, DistribusiVoucherNusantara, PT Distribusi Voucher Nusantara, distribusi voucher nusantara</v>
      </c>
      <c r="E264" t="str">
        <f t="shared" si="45"/>
        <v>DIVA, DISTRIBUSI VOUCHER NUSANTARA, Distribusi Voucher Nusantara, Distribusi Voucher Nusantara Tbk, DistribusiVoucherNusantara, PT Distribusi Voucher Nusantara, distribusi voucher nusantara</v>
      </c>
      <c r="F264" t="str">
        <f t="shared" si="46"/>
        <v>distribusi voucher nusantara</v>
      </c>
      <c r="G264" t="str">
        <f t="shared" si="49"/>
        <v>DIVA, DISTRIBUSI VOUCHER NUSANTARA, Distribusi Voucher Nusantara, Distribusi Voucher Nusantara Tbk, DistribusiVoucherNusantara, PT Distribusi Voucher Nusantara</v>
      </c>
      <c r="H264" t="str">
        <f t="shared" si="50"/>
        <v>DIVA, DISTRIBUSI VOUCHER NUSANTARA, Distribusi Voucher Nusantara, Distribusi Voucher Nusantara Tbk, DistribusiVoucherNusantara, PT Distribusi Voucher Nusantara</v>
      </c>
      <c r="I264" t="str">
        <f t="shared" si="47"/>
        <v>DISTRIBUSI VOUCHER NUSANTARA</v>
      </c>
      <c r="J264" t="str">
        <f t="shared" si="51"/>
        <v>DIVA, Distribusi Voucher Nusantara, Distribusi Voucher Nusantara Tbk, DistribusiVoucherNusantara, PT Distribusi Voucher Nusantara</v>
      </c>
      <c r="K264" t="str">
        <f t="shared" si="52"/>
        <v>DIVA, Distribusi Voucher Nusantara, Distribusi Voucher Nusantara Tbk, DistribusiVoucherNusantara, PT Distribusi Voucher Nusantara</v>
      </c>
      <c r="L264" t="str">
        <f t="shared" si="48"/>
        <v>DistribusiVoucherNusantara</v>
      </c>
      <c r="M264" t="str">
        <f t="shared" si="53"/>
        <v>DIVA, Distribusi Voucher Nusantara, Distribusi Voucher Nusantara Tbk, PT Distribusi Voucher Nusantara</v>
      </c>
      <c r="N264" t="str">
        <f t="shared" si="54"/>
        <v>DIVA, Distribusi Voucher Nusantara, Distribusi Voucher Nusantara Tbk, PT Distribusi Voucher Nusantara</v>
      </c>
    </row>
    <row r="265" spans="1:14" x14ac:dyDescent="0.2">
      <c r="A265" t="s">
        <v>407</v>
      </c>
      <c r="B265" t="s">
        <v>408</v>
      </c>
      <c r="C265" t="s">
        <v>8064</v>
      </c>
      <c r="D265" t="str">
        <f t="shared" si="44"/>
        <v>DKFT, CENTRAL OMEGA RESOURCES, Central Omega Resources, Central Omega Resources Tbk, CentralOmegaResources, PT Central Omega Resources, central omega resources</v>
      </c>
      <c r="E265" t="str">
        <f t="shared" si="45"/>
        <v>DKFT, CENTRAL OMEGA RESOURCES, Central Omega Resources, Central Omega Resources Tbk, CentralOmegaResources, PT Central Omega Resources, central omega resources</v>
      </c>
      <c r="F265" t="str">
        <f t="shared" si="46"/>
        <v>central omega resources</v>
      </c>
      <c r="G265" t="str">
        <f t="shared" si="49"/>
        <v>DKFT, CENTRAL OMEGA RESOURCES, Central Omega Resources, Central Omega Resources Tbk, CentralOmegaResources, PT Central Omega Resources</v>
      </c>
      <c r="H265" t="str">
        <f t="shared" si="50"/>
        <v>DKFT, CENTRAL OMEGA RESOURCES, Central Omega Resources, Central Omega Resources Tbk, CentralOmegaResources, PT Central Omega Resources</v>
      </c>
      <c r="I265" t="str">
        <f t="shared" si="47"/>
        <v>CENTRAL OMEGA RESOURCES</v>
      </c>
      <c r="J265" t="str">
        <f t="shared" si="51"/>
        <v>DKFT, Central Omega Resources, Central Omega Resources Tbk, CentralOmegaResources, PT Central Omega Resources</v>
      </c>
      <c r="K265" t="str">
        <f t="shared" si="52"/>
        <v>DKFT, Central Omega Resources, Central Omega Resources Tbk, CentralOmegaResources, PT Central Omega Resources</v>
      </c>
      <c r="L265" t="str">
        <f t="shared" si="48"/>
        <v>CentralOmegaResources</v>
      </c>
      <c r="M265" t="str">
        <f t="shared" si="53"/>
        <v>DKFT, Central Omega Resources, Central Omega Resources Tbk, PT Central Omega Resources</v>
      </c>
      <c r="N265" t="str">
        <f t="shared" si="54"/>
        <v>DKFT, Central Omega Resources, Central Omega Resources Tbk, PT Central Omega Resources</v>
      </c>
    </row>
    <row r="266" spans="1:14" x14ac:dyDescent="0.2">
      <c r="A266" t="s">
        <v>2581</v>
      </c>
      <c r="B266" t="s">
        <v>2582</v>
      </c>
      <c r="C266" t="s">
        <v>8065</v>
      </c>
      <c r="D266" t="str">
        <f t="shared" si="44"/>
        <v>DKHH, CIA SARANA MEDIKA, Cia Sarana Medika, Cia Sarana Medika Tbk, CiaSaranaMedika, PT Cia Sarana Medika, cia sarana medika</v>
      </c>
      <c r="E266" t="str">
        <f t="shared" si="45"/>
        <v>DKHH, CIA SARANA MEDIKA, Cia Sarana Medika, Cia Sarana Medika Tbk, CiaSaranaMedika, PT Cia Sarana Medika, cia sarana medika</v>
      </c>
      <c r="F266" t="str">
        <f t="shared" si="46"/>
        <v>cipta sarana medika</v>
      </c>
      <c r="G266" t="str">
        <f t="shared" si="49"/>
        <v>DKHH, CIA SARANA MEDIKA, Cia Sarana Medika, Cia Sarana Medika Tbk, CiaSaranaMedika, PT Cia Sarana Medika, cia sarana medika</v>
      </c>
      <c r="H266" t="str">
        <f t="shared" si="50"/>
        <v>DKHH, CIA SARANA MEDIKA, Cia Sarana Medika, Cia Sarana Medika Tbk, CiaSaranaMedika, PT Cia Sarana Medika, cia sarana medika</v>
      </c>
      <c r="I266" t="str">
        <f t="shared" si="47"/>
        <v>CIPTA SARANA MEDIKA</v>
      </c>
      <c r="J266" t="str">
        <f t="shared" si="51"/>
        <v>DKHH, CIA SARANA MEDIKA, Cia Sarana Medika, Cia Sarana Medika Tbk, CiaSaranaMedika, PT Cia Sarana Medika, cia sarana medika</v>
      </c>
      <c r="K266" t="str">
        <f t="shared" si="52"/>
        <v>DKHH, CIA SARANA MEDIKA, Cia Sarana Medika, Cia Sarana Medika Tbk, CiaSaranaMedika, PT Cia Sarana Medika, cia sarana medika</v>
      </c>
      <c r="L266" t="str">
        <f t="shared" si="48"/>
        <v>CiptaSaranaMedika</v>
      </c>
      <c r="M266" t="str">
        <f t="shared" si="53"/>
        <v>DKHH, CIA SARANA MEDIKA, Cia Sarana Medika, Cia Sarana Medika Tbk, CiaSaranaMedika, PT Cia Sarana Medika, cia sarana medika</v>
      </c>
      <c r="N266" t="str">
        <f t="shared" si="54"/>
        <v>DKHH, CIA SARANA MEDIKA, Cia Sarana Medika, Cia Sarana Medika Tbk, CiaSaranaMedika, PT Cia Sarana Medika, cia sarana medika</v>
      </c>
    </row>
    <row r="267" spans="1:14" x14ac:dyDescent="0.2">
      <c r="A267" t="s">
        <v>410</v>
      </c>
      <c r="B267" t="s">
        <v>411</v>
      </c>
      <c r="C267" t="s">
        <v>8066</v>
      </c>
      <c r="D267" t="str">
        <f t="shared" si="44"/>
        <v>DLTA, DELTA DJAKARTA, Delta Djakarta, Delta Djakarta Tbk, DeltaDjakarta, PT Delta Djakarta, delta djakarta</v>
      </c>
      <c r="E267" t="str">
        <f t="shared" si="45"/>
        <v>DLTA, DELTA DJAKARTA, Delta Djakarta, Delta Djakarta Tbk, DeltaDjakarta, PT Delta Djakarta, delta djakarta</v>
      </c>
      <c r="F267" t="str">
        <f t="shared" si="46"/>
        <v>delta djakarta</v>
      </c>
      <c r="G267" t="str">
        <f t="shared" si="49"/>
        <v>DLTA, DELTA DJAKARTA, Delta Djakarta, Delta Djakarta Tbk, DeltaDjakarta, PT Delta Djakarta</v>
      </c>
      <c r="H267" t="str">
        <f t="shared" si="50"/>
        <v>DLTA, DELTA DJAKARTA, Delta Djakarta, Delta Djakarta Tbk, DeltaDjakarta, PT Delta Djakarta</v>
      </c>
      <c r="I267" t="str">
        <f t="shared" si="47"/>
        <v>DELTA DJAKARTA</v>
      </c>
      <c r="J267" t="str">
        <f t="shared" si="51"/>
        <v>DLTA, Delta Djakarta, Delta Djakarta Tbk, DeltaDjakarta, PT Delta Djakarta</v>
      </c>
      <c r="K267" t="str">
        <f t="shared" si="52"/>
        <v>DLTA, Delta Djakarta, Delta Djakarta Tbk, DeltaDjakarta, PT Delta Djakarta</v>
      </c>
      <c r="L267" t="str">
        <f t="shared" si="48"/>
        <v>DeltaDjakarta</v>
      </c>
      <c r="M267" t="str">
        <f t="shared" si="53"/>
        <v>DLTA, Delta Djakarta, Delta Djakarta Tbk, PT Delta Djakarta</v>
      </c>
      <c r="N267" t="str">
        <f t="shared" si="54"/>
        <v>DLTA, Delta Djakarta, Delta Djakarta Tbk, PT Delta Djakarta</v>
      </c>
    </row>
    <row r="268" spans="1:14" x14ac:dyDescent="0.2">
      <c r="A268" t="s">
        <v>413</v>
      </c>
      <c r="B268" t="s">
        <v>414</v>
      </c>
      <c r="C268" t="s">
        <v>8067</v>
      </c>
      <c r="D268" t="str">
        <f t="shared" si="44"/>
        <v>DMAS, PT Puradelta Lestari, PURADELTA LESTARI, Puradelta Lestari, Puradelta Lestari Tbk, PuradeltaLestari, puradelta lestari</v>
      </c>
      <c r="E268" t="str">
        <f t="shared" si="45"/>
        <v>DMAS, PT Puradelta Lestari, PURADELTA LESTARI, Puradelta Lestari, Puradelta Lestari Tbk, PuradeltaLestari, puradelta lestari</v>
      </c>
      <c r="F268" t="str">
        <f t="shared" si="46"/>
        <v>puradelta lestari</v>
      </c>
      <c r="G268" t="str">
        <f t="shared" si="49"/>
        <v>DMAS, PT Puradelta Lestari, PURADELTA LESTARI, Puradelta Lestari, Puradelta Lestari Tbk, PuradeltaLestari</v>
      </c>
      <c r="H268" t="str">
        <f t="shared" si="50"/>
        <v>DMAS, PT Puradelta Lestari, PURADELTA LESTARI, Puradelta Lestari, Puradelta Lestari Tbk, PuradeltaLestari</v>
      </c>
      <c r="I268" t="str">
        <f t="shared" si="47"/>
        <v>PURADELTA LESTARI</v>
      </c>
      <c r="J268" t="str">
        <f t="shared" si="51"/>
        <v>DMAS, PT Puradelta Lestari, Puradelta Lestari, Puradelta Lestari Tbk, PuradeltaLestari</v>
      </c>
      <c r="K268" t="str">
        <f t="shared" si="52"/>
        <v>DMAS, PT Puradelta Lestari, Puradelta Lestari, Puradelta Lestari Tbk, PuradeltaLestari</v>
      </c>
      <c r="L268" t="str">
        <f t="shared" si="48"/>
        <v>PuradeltaLestari</v>
      </c>
      <c r="M268" t="str">
        <f t="shared" si="53"/>
        <v>DMAS, PT Puradelta Lestari, Puradelta Lestari, Puradelta Lestari Tbk</v>
      </c>
      <c r="N268" t="str">
        <f t="shared" si="54"/>
        <v>DMAS, PT Puradelta Lestari, Puradelta Lestari, Puradelta Lestari Tbk</v>
      </c>
    </row>
    <row r="269" spans="1:14" x14ac:dyDescent="0.2">
      <c r="A269" t="s">
        <v>1753</v>
      </c>
      <c r="B269" t="s">
        <v>1754</v>
      </c>
      <c r="C269" t="s">
        <v>8068</v>
      </c>
      <c r="D269" t="str">
        <f t="shared" si="44"/>
        <v>DMMX, DIGITAL MEDIATAMA MAXIMA, Digital Mediatama Maxima, Digital Mediatama Maxima Tbk, DigitalMediatamaMaxima, PT Digital Mediatama Maxima, digital mediatama maxima</v>
      </c>
      <c r="E269" t="str">
        <f t="shared" si="45"/>
        <v>DMMX, DIGITAL MEDIATAMA MAXIMA, Digital Mediatama Maxima, Digital Mediatama Maxima Tbk, DigitalMediatamaMaxima, PT Digital Mediatama Maxima, digital mediatama maxima</v>
      </c>
      <c r="F269" t="str">
        <f t="shared" si="46"/>
        <v>digital mediatama maxima</v>
      </c>
      <c r="G269" t="str">
        <f t="shared" si="49"/>
        <v>DMMX, DIGITAL MEDIATAMA MAXIMA, Digital Mediatama Maxima, Digital Mediatama Maxima Tbk, DigitalMediatamaMaxima, PT Digital Mediatama Maxima</v>
      </c>
      <c r="H269" t="str">
        <f t="shared" si="50"/>
        <v>DMMX, DIGITAL MEDIATAMA MAXIMA, Digital Mediatama Maxima, Digital Mediatama Maxima Tbk, DigitalMediatamaMaxima, PT Digital Mediatama Maxima</v>
      </c>
      <c r="I269" t="str">
        <f t="shared" si="47"/>
        <v>DIGITAL MEDIATAMA MAXIMA</v>
      </c>
      <c r="J269" t="str">
        <f t="shared" si="51"/>
        <v>DMMX, Digital Mediatama Maxima, Digital Mediatama Maxima Tbk, DigitalMediatamaMaxima, PT Digital Mediatama Maxima</v>
      </c>
      <c r="K269" t="str">
        <f t="shared" si="52"/>
        <v>DMMX, Digital Mediatama Maxima, Digital Mediatama Maxima Tbk, DigitalMediatamaMaxima, PT Digital Mediatama Maxima</v>
      </c>
      <c r="L269" t="str">
        <f t="shared" si="48"/>
        <v>DigitalMediatamaMaxima</v>
      </c>
      <c r="M269" t="str">
        <f t="shared" si="53"/>
        <v>DMMX, Digital Mediatama Maxima, Digital Mediatama Maxima Tbk, PT Digital Mediatama Maxima</v>
      </c>
      <c r="N269" t="str">
        <f t="shared" si="54"/>
        <v>DMMX, Digital Mediatama Maxima, Digital Mediatama Maxima Tbk, PT Digital Mediatama Maxima</v>
      </c>
    </row>
    <row r="270" spans="1:14" x14ac:dyDescent="0.2">
      <c r="A270" t="s">
        <v>1810</v>
      </c>
      <c r="B270" t="s">
        <v>1811</v>
      </c>
      <c r="C270" t="s">
        <v>8069</v>
      </c>
      <c r="D270" t="str">
        <f t="shared" si="44"/>
        <v>DMND, DIAMOND FOOD INDONESIA, Diamond Food Indonesia, Diamond Food Indonesia Tbk, DiamondFoodIndonesia, PT Diamond Food Indonesia, diamond food indonesia</v>
      </c>
      <c r="E270" t="str">
        <f t="shared" si="45"/>
        <v>DMND, DIAMOND FOOD INDONESIA, Diamond Food Indonesia, Diamond Food Indonesia Tbk, DiamondFoodIndonesia, PT Diamond Food Indonesia, diamond food indonesia</v>
      </c>
      <c r="F270" t="str">
        <f t="shared" si="46"/>
        <v>diamond food indonesia</v>
      </c>
      <c r="G270" t="str">
        <f t="shared" si="49"/>
        <v>DMND, DIAMOND FOOD INDONESIA, Diamond Food Indonesia, Diamond Food Indonesia Tbk, DiamondFoodIndonesia, PT Diamond Food Indonesia</v>
      </c>
      <c r="H270" t="str">
        <f t="shared" si="50"/>
        <v>DMND, DIAMOND FOOD INDONESIA, Diamond Food Indonesia, Diamond Food Indonesia Tbk, DiamondFoodIndonesia, PT Diamond Food Indonesia</v>
      </c>
      <c r="I270" t="str">
        <f t="shared" si="47"/>
        <v>DIAMOND FOOD INDONESIA</v>
      </c>
      <c r="J270" t="str">
        <f t="shared" si="51"/>
        <v>DMND, Diamond Food Indonesia, Diamond Food Indonesia Tbk, DiamondFoodIndonesia, PT Diamond Food Indonesia</v>
      </c>
      <c r="K270" t="str">
        <f t="shared" si="52"/>
        <v>DMND, Diamond Food Indonesia, Diamond Food Indonesia Tbk, DiamondFoodIndonesia, PT Diamond Food Indonesia</v>
      </c>
      <c r="L270" t="str">
        <f t="shared" si="48"/>
        <v>DiamondFoodIndonesia</v>
      </c>
      <c r="M270" t="str">
        <f t="shared" si="53"/>
        <v>DMND, Diamond Food Indonesia, Diamond Food Indonesia Tbk, PT Diamond Food Indonesia</v>
      </c>
      <c r="N270" t="str">
        <f t="shared" si="54"/>
        <v>DMND, Diamond Food Indonesia, Diamond Food Indonesia Tbk, PT Diamond Food Indonesia</v>
      </c>
    </row>
    <row r="271" spans="1:14" x14ac:dyDescent="0.2">
      <c r="A271" t="s">
        <v>416</v>
      </c>
      <c r="B271" t="s">
        <v>417</v>
      </c>
      <c r="C271" t="s">
        <v>8070</v>
      </c>
      <c r="D271" t="str">
        <f t="shared" si="44"/>
        <v>DNAR, BANK OKE INDONESIA, Bank Oke Indonesia, Bank Oke Indonesia Tbk, BankOkeIndonesia, PT Bank Oke Indonesia, bank oke indonesia</v>
      </c>
      <c r="E271" t="str">
        <f t="shared" si="45"/>
        <v>DNAR, BANK OKE INDONESIA, Bank Oke Indonesia, Bank Oke Indonesia Tbk, BankOkeIndonesia, PT Bank Oke Indonesia, bank oke indonesia</v>
      </c>
      <c r="F271" t="str">
        <f t="shared" si="46"/>
        <v>bank oke indonesia</v>
      </c>
      <c r="G271" t="str">
        <f t="shared" si="49"/>
        <v>DNAR, BANK OKE INDONESIA, Bank Oke Indonesia, Bank Oke Indonesia Tbk, BankOkeIndonesia, PT Bank Oke Indonesia</v>
      </c>
      <c r="H271" t="str">
        <f t="shared" si="50"/>
        <v>DNAR, BANK OKE INDONESIA, Bank Oke Indonesia, Bank Oke Indonesia Tbk, BankOkeIndonesia, PT Bank Oke Indonesia</v>
      </c>
      <c r="I271" t="str">
        <f t="shared" si="47"/>
        <v>BANK OKE INDONESIA</v>
      </c>
      <c r="J271" t="str">
        <f t="shared" si="51"/>
        <v>DNAR, Bank Oke Indonesia, Bank Oke Indonesia Tbk, BankOkeIndonesia, PT Bank Oke Indonesia</v>
      </c>
      <c r="K271" t="str">
        <f t="shared" si="52"/>
        <v>DNAR, Bank Oke Indonesia, Bank Oke Indonesia Tbk, BankOkeIndonesia, PT Bank Oke Indonesia</v>
      </c>
      <c r="L271" t="str">
        <f t="shared" si="48"/>
        <v>BankOkeIndonesia</v>
      </c>
      <c r="M271" t="str">
        <f t="shared" si="53"/>
        <v>DNAR, Bank Oke Indonesia, Bank Oke Indonesia Tbk, PT Bank Oke Indonesia</v>
      </c>
      <c r="N271" t="str">
        <f t="shared" si="54"/>
        <v>DNAR, Bank Oke Indonesia, Bank Oke Indonesia Tbk, PT Bank Oke Indonesia</v>
      </c>
    </row>
    <row r="272" spans="1:14" x14ac:dyDescent="0.2">
      <c r="A272" t="s">
        <v>419</v>
      </c>
      <c r="B272" t="s">
        <v>3554</v>
      </c>
      <c r="C272" t="s">
        <v>8071</v>
      </c>
      <c r="D272" t="str">
        <f t="shared" si="44"/>
        <v>DNET, INDORITEL MAKMUR INTERNASIONAL, Indoritel Makmur Internasional, Indoritel Makmur Internasional Tbk, IndoritelMakmurInternasional, PT Indoritel Makmur Internasional, indoritel makmur internasional</v>
      </c>
      <c r="E272" t="str">
        <f t="shared" si="45"/>
        <v>DNET, INDORITEL MAKMUR INTERNASIONAL, Indoritel Makmur Internasional, Indoritel Makmur Internasional Tbk, IndoritelMakmurInternasional, PT Indoritel Makmur Internasional, indoritel makmur internasional</v>
      </c>
      <c r="F272" t="str">
        <f t="shared" si="46"/>
        <v>indoritel makmur internasional</v>
      </c>
      <c r="G272" t="str">
        <f t="shared" si="49"/>
        <v>DNET, INDORITEL MAKMUR INTERNASIONAL, Indoritel Makmur Internasional, Indoritel Makmur Internasional Tbk, IndoritelMakmurInternasional, PT Indoritel Makmur Internasional</v>
      </c>
      <c r="H272" t="str">
        <f t="shared" si="50"/>
        <v>DNET, INDORITEL MAKMUR INTERNASIONAL, Indoritel Makmur Internasional, Indoritel Makmur Internasional Tbk, IndoritelMakmurInternasional, PT Indoritel Makmur Internasional</v>
      </c>
      <c r="I272" t="str">
        <f t="shared" si="47"/>
        <v>INDORITEL MAKMUR INTERNASIONAL</v>
      </c>
      <c r="J272" t="str">
        <f t="shared" si="51"/>
        <v>DNET, Indoritel Makmur Internasional, Indoritel Makmur Internasional Tbk, IndoritelMakmurInternasional, PT Indoritel Makmur Internasional</v>
      </c>
      <c r="K272" t="str">
        <f t="shared" si="52"/>
        <v>DNET, Indoritel Makmur Internasional, Indoritel Makmur Internasional Tbk, IndoritelMakmurInternasional, PT Indoritel Makmur Internasional</v>
      </c>
      <c r="L272" t="str">
        <f t="shared" si="48"/>
        <v>IndoritelMakmurInternasional</v>
      </c>
      <c r="M272" t="str">
        <f t="shared" si="53"/>
        <v>DNET, Indoritel Makmur Internasional, Indoritel Makmur Internasional Tbk, PT Indoritel Makmur Internasional</v>
      </c>
      <c r="N272" t="str">
        <f t="shared" si="54"/>
        <v>DNET, Indoritel Makmur Internasional, Indoritel Makmur Internasional Tbk, PT Indoritel Makmur Internasional</v>
      </c>
    </row>
    <row r="273" spans="1:14" x14ac:dyDescent="0.2">
      <c r="A273" t="s">
        <v>421</v>
      </c>
      <c r="B273" t="s">
        <v>422</v>
      </c>
      <c r="C273" t="s">
        <v>8072</v>
      </c>
      <c r="D273" t="str">
        <f t="shared" si="44"/>
        <v>DOID, BUMA INTERNASIONAL GRUP, BUMA Internasional Grup, BUMA Internasional Grup Tbk, BUMAInternasionalGrup, PT BUMA Internasional Grup, buma internasional grup</v>
      </c>
      <c r="E273" t="str">
        <f t="shared" si="45"/>
        <v>DOID, BUMA INTERNASIONAL GRUP, BUMA Internasional Grup, BUMA Internasional Grup Tbk, BUMAInternasionalGrup, PT BUMA Internasional Grup, buma internasional grup</v>
      </c>
      <c r="F273" t="str">
        <f t="shared" si="46"/>
        <v>buma internasional grup</v>
      </c>
      <c r="G273" t="str">
        <f t="shared" si="49"/>
        <v>DOID, BUMA INTERNASIONAL GRUP, BUMA Internasional Grup, BUMA Internasional Grup Tbk, BUMAInternasionalGrup, PT BUMA Internasional Grup</v>
      </c>
      <c r="H273" t="str">
        <f t="shared" si="50"/>
        <v>DOID, BUMA INTERNASIONAL GRUP, BUMA Internasional Grup, BUMA Internasional Grup Tbk, BUMAInternasionalGrup, PT BUMA Internasional Grup</v>
      </c>
      <c r="I273" t="str">
        <f t="shared" si="47"/>
        <v>BUMA INTERNASIONAL GRUP</v>
      </c>
      <c r="J273" t="str">
        <f t="shared" si="51"/>
        <v>DOID, BUMA Internasional Grup, BUMA Internasional Grup Tbk, BUMAInternasionalGrup, PT BUMA Internasional Grup</v>
      </c>
      <c r="K273" t="str">
        <f t="shared" si="52"/>
        <v>DOID, BUMA Internasional Grup, BUMA Internasional Grup Tbk, BUMAInternasionalGrup, PT BUMA Internasional Grup</v>
      </c>
      <c r="L273" t="str">
        <f t="shared" si="48"/>
        <v>BUMAInternasionalGrup</v>
      </c>
      <c r="M273" t="str">
        <f t="shared" si="53"/>
        <v>DOID, BUMA Internasional Grup, BUMA Internasional Grup Tbk, PT BUMA Internasional Grup</v>
      </c>
      <c r="N273" t="str">
        <f t="shared" si="54"/>
        <v>DOID, BUMA Internasional Grup, BUMA Internasional Grup Tbk, PT BUMA Internasional Grup</v>
      </c>
    </row>
    <row r="274" spans="1:14" x14ac:dyDescent="0.2">
      <c r="A274" t="s">
        <v>2622</v>
      </c>
      <c r="B274" t="s">
        <v>2623</v>
      </c>
      <c r="C274" t="s">
        <v>8073</v>
      </c>
      <c r="D274" t="str">
        <f t="shared" si="44"/>
        <v>DOOH, ERA MEDIA SEJAHTERA, Era Media Sejahtera, Era Media Sejahtera Tbk, EraMediaSejahtera, PT Era Media Sejahtera, era media sejahtera</v>
      </c>
      <c r="E274" t="str">
        <f t="shared" si="45"/>
        <v>DOOH, ERA MEDIA SEJAHTERA, Era Media Sejahtera, Era Media Sejahtera Tbk, EraMediaSejahtera, PT Era Media Sejahtera, era media sejahtera</v>
      </c>
      <c r="F274" t="str">
        <f t="shared" si="46"/>
        <v>era media sejahtera</v>
      </c>
      <c r="G274" t="str">
        <f t="shared" si="49"/>
        <v>DOOH, ERA MEDIA SEJAHTERA, Era Media Sejahtera, Era Media Sejahtera Tbk, EraMediaSejahtera, PT Era Media Sejahtera</v>
      </c>
      <c r="H274" t="str">
        <f t="shared" si="50"/>
        <v>DOOH, ERA MEDIA SEJAHTERA, Era Media Sejahtera, Era Media Sejahtera Tbk, EraMediaSejahtera, PT Era Media Sejahtera</v>
      </c>
      <c r="I274" t="str">
        <f t="shared" si="47"/>
        <v>ERA MEDIA SEJAHTERA</v>
      </c>
      <c r="J274" t="str">
        <f t="shared" si="51"/>
        <v>DOOH, Era Media Sejahtera, Era Media Sejahtera Tbk, EraMediaSejahtera, PT Era Media Sejahtera</v>
      </c>
      <c r="K274" t="str">
        <f t="shared" si="52"/>
        <v>DOOH, Era Media Sejahtera, Era Media Sejahtera Tbk, EraMediaSejahtera, PT Era Media Sejahtera</v>
      </c>
      <c r="L274" t="str">
        <f t="shared" si="48"/>
        <v>EraMediaSejahtera</v>
      </c>
      <c r="M274" t="str">
        <f t="shared" si="53"/>
        <v>DOOH, Era Media Sejahtera, Era Media Sejahtera Tbk, PT Era Media Sejahtera</v>
      </c>
      <c r="N274" t="str">
        <f t="shared" si="54"/>
        <v>DOOH, Era Media Sejahtera, Era Media Sejahtera Tbk, PT Era Media Sejahtera</v>
      </c>
    </row>
    <row r="275" spans="1:14" x14ac:dyDescent="0.2">
      <c r="A275" t="s">
        <v>2485</v>
      </c>
      <c r="B275" t="s">
        <v>2486</v>
      </c>
      <c r="C275" t="s">
        <v>8074</v>
      </c>
      <c r="D275" t="str">
        <f t="shared" si="44"/>
        <v>DOSS, GLOBAL SUKSES DIGITAL, Global Sukses Digital, Global Sukses Digital Tbk, GlobalSuksesDigital, PT Global Sukses Digital, global sukses digital</v>
      </c>
      <c r="E275" t="str">
        <f t="shared" si="45"/>
        <v>DOSS, GLOBAL SUKSES DIGITAL, Global Sukses Digital, Global Sukses Digital Tbk, GlobalSuksesDigital, PT Global Sukses Digital, global sukses digital</v>
      </c>
      <c r="F275" t="str">
        <f t="shared" si="46"/>
        <v>global sukses digital</v>
      </c>
      <c r="G275" t="str">
        <f t="shared" si="49"/>
        <v>DOSS, GLOBAL SUKSES DIGITAL, Global Sukses Digital, Global Sukses Digital Tbk, GlobalSuksesDigital, PT Global Sukses Digital</v>
      </c>
      <c r="H275" t="str">
        <f t="shared" si="50"/>
        <v>DOSS, GLOBAL SUKSES DIGITAL, Global Sukses Digital, Global Sukses Digital Tbk, GlobalSuksesDigital, PT Global Sukses Digital</v>
      </c>
      <c r="I275" t="str">
        <f t="shared" si="47"/>
        <v>GLOBAL SUKSES DIGITAL</v>
      </c>
      <c r="J275" t="str">
        <f t="shared" si="51"/>
        <v>DOSS, Global Sukses Digital, Global Sukses Digital Tbk, GlobalSuksesDigital, PT Global Sukses Digital</v>
      </c>
      <c r="K275" t="str">
        <f t="shared" si="52"/>
        <v>DOSS, Global Sukses Digital, Global Sukses Digital Tbk, GlobalSuksesDigital, PT Global Sukses Digital</v>
      </c>
      <c r="L275" t="str">
        <f t="shared" si="48"/>
        <v>GlobalSuksesDigital</v>
      </c>
      <c r="M275" t="str">
        <f t="shared" si="53"/>
        <v>DOSS, Global Sukses Digital, Global Sukses Digital Tbk, PT Global Sukses Digital</v>
      </c>
      <c r="N275" t="str">
        <f t="shared" si="54"/>
        <v>DOSS, Global Sukses Digital, Global Sukses Digital Tbk, PT Global Sukses Digital</v>
      </c>
    </row>
    <row r="276" spans="1:14" x14ac:dyDescent="0.2">
      <c r="A276" t="s">
        <v>424</v>
      </c>
      <c r="B276" t="s">
        <v>425</v>
      </c>
      <c r="C276" t="s">
        <v>8075</v>
      </c>
      <c r="D276" t="str">
        <f t="shared" si="44"/>
        <v>DPNS, DUTA PERTIWI NUSANTARA, Duta Pertiwi Nusantara, Duta Pertiwi Nusantara Tbk, DutaPertiwiNusantara, PT Duta Pertiwi Nusantara, duta pertiwi nusantara</v>
      </c>
      <c r="E276" t="str">
        <f t="shared" si="45"/>
        <v>DPNS, DUTA PERTIWI NUSANTARA, Duta Pertiwi Nusantara, Duta Pertiwi Nusantara Tbk, DutaPertiwiNusantara, PT Duta Pertiwi Nusantara, duta pertiwi nusantara</v>
      </c>
      <c r="F276" t="str">
        <f t="shared" si="46"/>
        <v>duta pertiwi nusantara</v>
      </c>
      <c r="G276" t="str">
        <f t="shared" si="49"/>
        <v>DPNS, DUTA PERTIWI NUSANTARA, Duta Pertiwi Nusantara, Duta Pertiwi Nusantara Tbk, DutaPertiwiNusantara, PT Duta Pertiwi Nusantara</v>
      </c>
      <c r="H276" t="str">
        <f t="shared" si="50"/>
        <v>DPNS, DUTA PERTIWI NUSANTARA, Duta Pertiwi Nusantara, Duta Pertiwi Nusantara Tbk, DutaPertiwiNusantara, PT Duta Pertiwi Nusantara</v>
      </c>
      <c r="I276" t="str">
        <f t="shared" si="47"/>
        <v>DUTA PERTIWI NUSANTARA</v>
      </c>
      <c r="J276" t="str">
        <f t="shared" si="51"/>
        <v>DPNS, Duta Pertiwi Nusantara, Duta Pertiwi Nusantara Tbk, DutaPertiwiNusantara, PT Duta Pertiwi Nusantara</v>
      </c>
      <c r="K276" t="str">
        <f t="shared" si="52"/>
        <v>DPNS, Duta Pertiwi Nusantara, Duta Pertiwi Nusantara Tbk, DutaPertiwiNusantara, PT Duta Pertiwi Nusantara</v>
      </c>
      <c r="L276" t="str">
        <f t="shared" si="48"/>
        <v>DutaPertiwiNusantara</v>
      </c>
      <c r="M276" t="str">
        <f t="shared" si="53"/>
        <v>DPNS, Duta Pertiwi Nusantara, Duta Pertiwi Nusantara Tbk, PT Duta Pertiwi Nusantara</v>
      </c>
      <c r="N276" t="str">
        <f t="shared" si="54"/>
        <v>DPNS, Duta Pertiwi Nusantara, Duta Pertiwi Nusantara Tbk, PT Duta Pertiwi Nusantara</v>
      </c>
    </row>
    <row r="277" spans="1:14" x14ac:dyDescent="0.2">
      <c r="A277" t="s">
        <v>1350</v>
      </c>
      <c r="B277" t="s">
        <v>1351</v>
      </c>
      <c r="C277" t="s">
        <v>8076</v>
      </c>
      <c r="D277" t="str">
        <f t="shared" si="44"/>
        <v>DPUM, DUA PUTRA UTAMA MAKMUR, Dua Putra Utama Makmur, Dua Putra Utama Makmur Tbk, DuaPutraUtamaMakmur, PT Dua Putra Utama Makmur, dua putra utama makmur</v>
      </c>
      <c r="E277" t="str">
        <f t="shared" si="45"/>
        <v>DPUM, DUA PUTRA UTAMA MAKMUR, Dua Putra Utama Makmur, Dua Putra Utama Makmur Tbk, DuaPutraUtamaMakmur, PT Dua Putra Utama Makmur, dua putra utama makmur</v>
      </c>
      <c r="F277" t="str">
        <f t="shared" si="46"/>
        <v>dua putra utama makmur</v>
      </c>
      <c r="G277" t="str">
        <f t="shared" si="49"/>
        <v>DPUM, DUA PUTRA UTAMA MAKMUR, Dua Putra Utama Makmur, Dua Putra Utama Makmur Tbk, DuaPutraUtamaMakmur, PT Dua Putra Utama Makmur</v>
      </c>
      <c r="H277" t="str">
        <f t="shared" si="50"/>
        <v>DPUM, DUA PUTRA UTAMA MAKMUR, Dua Putra Utama Makmur, Dua Putra Utama Makmur Tbk, DuaPutraUtamaMakmur, PT Dua Putra Utama Makmur</v>
      </c>
      <c r="I277" t="str">
        <f t="shared" si="47"/>
        <v>DUA PUTRA UTAMA MAKMUR</v>
      </c>
      <c r="J277" t="str">
        <f t="shared" si="51"/>
        <v>DPUM, Dua Putra Utama Makmur, Dua Putra Utama Makmur Tbk, DuaPutraUtamaMakmur, PT Dua Putra Utama Makmur</v>
      </c>
      <c r="K277" t="str">
        <f t="shared" si="52"/>
        <v>DPUM, Dua Putra Utama Makmur, Dua Putra Utama Makmur Tbk, DuaPutraUtamaMakmur, PT Dua Putra Utama Makmur</v>
      </c>
      <c r="L277" t="str">
        <f t="shared" si="48"/>
        <v>DuaPutraUtamaMakmur</v>
      </c>
      <c r="M277" t="str">
        <f t="shared" si="53"/>
        <v>DPUM, Dua Putra Utama Makmur, Dua Putra Utama Makmur Tbk, PT Dua Putra Utama Makmur</v>
      </c>
      <c r="N277" t="str">
        <f t="shared" si="54"/>
        <v>DPUM, Dua Putra Utama Makmur, Dua Putra Utama Makmur Tbk, PT Dua Putra Utama Makmur</v>
      </c>
    </row>
    <row r="278" spans="1:14" x14ac:dyDescent="0.2">
      <c r="A278" t="s">
        <v>2057</v>
      </c>
      <c r="B278" t="s">
        <v>2058</v>
      </c>
      <c r="C278" t="s">
        <v>8077</v>
      </c>
      <c r="D278" t="str">
        <f t="shared" si="44"/>
        <v>DRMA, DHARMA POLIMETAL, Dharma Polimetal, Dharma Polimetal Tbk, DharmaPolimetal, PT Dharma Polimetal, dharma polimetal</v>
      </c>
      <c r="E278" t="str">
        <f t="shared" si="45"/>
        <v>DRMA, DHARMA POLIMETAL, Dharma Polimetal, Dharma Polimetal Tbk, DharmaPolimetal, PT Dharma Polimetal, dharma polimetal</v>
      </c>
      <c r="F278" t="str">
        <f t="shared" si="46"/>
        <v>dharma polimetal</v>
      </c>
      <c r="G278" t="str">
        <f t="shared" si="49"/>
        <v>DRMA, DHARMA POLIMETAL, Dharma Polimetal, Dharma Polimetal Tbk, DharmaPolimetal, PT Dharma Polimetal</v>
      </c>
      <c r="H278" t="str">
        <f t="shared" si="50"/>
        <v>DRMA, DHARMA POLIMETAL, Dharma Polimetal, Dharma Polimetal Tbk, DharmaPolimetal, PT Dharma Polimetal</v>
      </c>
      <c r="I278" t="str">
        <f t="shared" si="47"/>
        <v>DHARMA POLIMETAL</v>
      </c>
      <c r="J278" t="str">
        <f t="shared" si="51"/>
        <v>DRMA, Dharma Polimetal, Dharma Polimetal Tbk, DharmaPolimetal, PT Dharma Polimetal</v>
      </c>
      <c r="K278" t="str">
        <f t="shared" si="52"/>
        <v>DRMA, Dharma Polimetal, Dharma Polimetal Tbk, DharmaPolimetal, PT Dharma Polimetal</v>
      </c>
      <c r="L278" t="str">
        <f t="shared" si="48"/>
        <v>DharmaPolimetal</v>
      </c>
      <c r="M278" t="str">
        <f t="shared" si="53"/>
        <v>DRMA, Dharma Polimetal, Dharma Polimetal Tbk, PT Dharma Polimetal</v>
      </c>
      <c r="N278" t="str">
        <f t="shared" si="54"/>
        <v>DRMA, Dharma Polimetal, Dharma Polimetal Tbk, PT Dharma Polimetal</v>
      </c>
    </row>
    <row r="279" spans="1:14" x14ac:dyDescent="0.2">
      <c r="A279" t="s">
        <v>427</v>
      </c>
      <c r="B279" t="s">
        <v>3889</v>
      </c>
      <c r="C279" t="s">
        <v>8078</v>
      </c>
      <c r="D279" t="str">
        <f t="shared" si="44"/>
        <v>DSFI, DHARMA SAMUDERA FISHING INDUSTRIES, Dharma Samudera Fishing Industries, Dharma Samudera Fishing Industries Tbk, DharmaSamuderaFishingIndustries, PT Dharma Samudera Fishing Industries, dharma samudera fishing industries</v>
      </c>
      <c r="E279" t="str">
        <f t="shared" si="45"/>
        <v>DSFI, DHARMA SAMUDERA FISHING INDUSTRIES, Dharma Samudera Fishing Industries, Dharma Samudera Fishing Industries Tbk, DharmaSamuderaFishingIndustries, PT Dharma Samudera Fishing Industries, dharma samudera fishing industries</v>
      </c>
      <c r="F279" t="str">
        <f t="shared" si="46"/>
        <v>dharma samudera fishing industries</v>
      </c>
      <c r="G279" t="str">
        <f t="shared" si="49"/>
        <v>DSFI, DHARMA SAMUDERA FISHING INDUSTRIES, Dharma Samudera Fishing Industries, Dharma Samudera Fishing Industries Tbk, DharmaSamuderaFishingIndustries, PT Dharma Samudera Fishing Industries</v>
      </c>
      <c r="H279" t="str">
        <f t="shared" si="50"/>
        <v>DSFI, DHARMA SAMUDERA FISHING INDUSTRIES, Dharma Samudera Fishing Industries, Dharma Samudera Fishing Industries Tbk, DharmaSamuderaFishingIndustries, PT Dharma Samudera Fishing Industries</v>
      </c>
      <c r="I279" t="str">
        <f t="shared" si="47"/>
        <v>DHARMA SAMUDERA FISHING INDUSTRIES</v>
      </c>
      <c r="J279" t="str">
        <f t="shared" si="51"/>
        <v>DSFI, Dharma Samudera Fishing Industries, Dharma Samudera Fishing Industries Tbk, DharmaSamuderaFishingIndustries, PT Dharma Samudera Fishing Industries</v>
      </c>
      <c r="K279" t="str">
        <f t="shared" si="52"/>
        <v>DSFI, Dharma Samudera Fishing Industries, Dharma Samudera Fishing Industries Tbk, DharmaSamuderaFishingIndustries, PT Dharma Samudera Fishing Industries</v>
      </c>
      <c r="L279" t="str">
        <f t="shared" si="48"/>
        <v>DharmaSamuderaFishingIndustries</v>
      </c>
      <c r="M279" t="str">
        <f t="shared" si="53"/>
        <v>DSFI, Dharma Samudera Fishing Industries, Dharma Samudera Fishing Industries Tbk, PT Dharma Samudera Fishing Industries</v>
      </c>
      <c r="N279" t="str">
        <f t="shared" si="54"/>
        <v>DSFI, Dharma Samudera Fishing Industries, Dharma Samudera Fishing Industries Tbk, PT Dharma Samudera Fishing Industries</v>
      </c>
    </row>
    <row r="280" spans="1:14" x14ac:dyDescent="0.2">
      <c r="A280" t="s">
        <v>429</v>
      </c>
      <c r="B280" t="s">
        <v>430</v>
      </c>
      <c r="C280" t="s">
        <v>8079</v>
      </c>
      <c r="D280" t="str">
        <f t="shared" si="44"/>
        <v>DSNG, DHARMA SATYA NUSANTARA, Dharma Satya Nusantara, Dharma Satya Nusantara Tbk, DharmaSatyaNusantara, PT Dharma Satya Nusantara, dharma satya nusantara</v>
      </c>
      <c r="E280" t="str">
        <f t="shared" si="45"/>
        <v>DSNG, DHARMA SATYA NUSANTARA, Dharma Satya Nusantara, Dharma Satya Nusantara Tbk, DharmaSatyaNusantara, PT Dharma Satya Nusantara, dharma satya nusantara</v>
      </c>
      <c r="F280" t="str">
        <f t="shared" si="46"/>
        <v>dharma satya nusantara</v>
      </c>
      <c r="G280" t="str">
        <f t="shared" si="49"/>
        <v>DSNG, DHARMA SATYA NUSANTARA, Dharma Satya Nusantara, Dharma Satya Nusantara Tbk, DharmaSatyaNusantara, PT Dharma Satya Nusantara</v>
      </c>
      <c r="H280" t="str">
        <f t="shared" si="50"/>
        <v>DSNG, DHARMA SATYA NUSANTARA, Dharma Satya Nusantara, Dharma Satya Nusantara Tbk, DharmaSatyaNusantara, PT Dharma Satya Nusantara</v>
      </c>
      <c r="I280" t="str">
        <f t="shared" si="47"/>
        <v>DHARMA SATYA NUSANTARA</v>
      </c>
      <c r="J280" t="str">
        <f t="shared" si="51"/>
        <v>DSNG, Dharma Satya Nusantara, Dharma Satya Nusantara Tbk, DharmaSatyaNusantara, PT Dharma Satya Nusantara</v>
      </c>
      <c r="K280" t="str">
        <f t="shared" si="52"/>
        <v>DSNG, Dharma Satya Nusantara, Dharma Satya Nusantara Tbk, DharmaSatyaNusantara, PT Dharma Satya Nusantara</v>
      </c>
      <c r="L280" t="str">
        <f t="shared" si="48"/>
        <v>DharmaSatyaNusantara</v>
      </c>
      <c r="M280" t="str">
        <f t="shared" si="53"/>
        <v>DSNG, Dharma Satya Nusantara, Dharma Satya Nusantara Tbk, PT Dharma Satya Nusantara</v>
      </c>
      <c r="N280" t="str">
        <f t="shared" si="54"/>
        <v>DSNG, Dharma Satya Nusantara, Dharma Satya Nusantara Tbk, PT Dharma Satya Nusantara</v>
      </c>
    </row>
    <row r="281" spans="1:14" x14ac:dyDescent="0.2">
      <c r="A281" t="s">
        <v>432</v>
      </c>
      <c r="B281" t="s">
        <v>3555</v>
      </c>
      <c r="C281" t="s">
        <v>8080</v>
      </c>
      <c r="D281" t="str">
        <f t="shared" si="44"/>
        <v>DSSA, DIAN SWASTATIKA SENTOSA, Dian Swastatika Sentosa, Dian Swastatika Sentosa Tbk, DianSwastatikaSentosa, PT Dian Swastatika Sentosa, dian swastatika sentosa</v>
      </c>
      <c r="E281" t="str">
        <f t="shared" si="45"/>
        <v>DSSA, DIAN SWASTATIKA SENTOSA, Dian Swastatika Sentosa, Dian Swastatika Sentosa Tbk, DianSwastatikaSentosa, PT Dian Swastatika Sentosa, dian swastatika sentosa</v>
      </c>
      <c r="F281" t="str">
        <f t="shared" si="46"/>
        <v>dian swastatika sentosa</v>
      </c>
      <c r="G281" t="str">
        <f t="shared" si="49"/>
        <v>DSSA, DIAN SWASTATIKA SENTOSA, Dian Swastatika Sentosa, Dian Swastatika Sentosa Tbk, DianSwastatikaSentosa, PT Dian Swastatika Sentosa</v>
      </c>
      <c r="H281" t="str">
        <f t="shared" si="50"/>
        <v>DSSA, DIAN SWASTATIKA SENTOSA, Dian Swastatika Sentosa, Dian Swastatika Sentosa Tbk, DianSwastatikaSentosa, PT Dian Swastatika Sentosa</v>
      </c>
      <c r="I281" t="str">
        <f t="shared" si="47"/>
        <v>DIAN SWASTATIKA SENTOSA</v>
      </c>
      <c r="J281" t="str">
        <f t="shared" si="51"/>
        <v>DSSA, Dian Swastatika Sentosa, Dian Swastatika Sentosa Tbk, DianSwastatikaSentosa, PT Dian Swastatika Sentosa</v>
      </c>
      <c r="K281" t="str">
        <f t="shared" si="52"/>
        <v>DSSA, Dian Swastatika Sentosa, Dian Swastatika Sentosa Tbk, DianSwastatikaSentosa, PT Dian Swastatika Sentosa</v>
      </c>
      <c r="L281" t="str">
        <f t="shared" si="48"/>
        <v>DianSwastatikaSentosa</v>
      </c>
      <c r="M281" t="str">
        <f t="shared" si="53"/>
        <v>DSSA, Dian Swastatika Sentosa, Dian Swastatika Sentosa Tbk, PT Dian Swastatika Sentosa</v>
      </c>
      <c r="N281" t="str">
        <f t="shared" si="54"/>
        <v>DSSA, Dian Swastatika Sentosa, Dian Swastatika Sentosa Tbk, PT Dian Swastatika Sentosa</v>
      </c>
    </row>
    <row r="282" spans="1:14" x14ac:dyDescent="0.2">
      <c r="A282" t="s">
        <v>1601</v>
      </c>
      <c r="B282" t="s">
        <v>1602</v>
      </c>
      <c r="C282" t="s">
        <v>8081</v>
      </c>
      <c r="D282" t="str">
        <f t="shared" si="44"/>
        <v>DUCK, JAYA BERSAMA INDO, Jaya Bersama Indo, Jaya Bersama Indo Tbk, JayaBersamaIndo, PT Jaya Bersama Indo, jaya bersama indo</v>
      </c>
      <c r="E282" t="str">
        <f t="shared" si="45"/>
        <v>DUCK, JAYA BERSAMA INDO, Jaya Bersama Indo, Jaya Bersama Indo Tbk, JayaBersamaIndo, PT Jaya Bersama Indo, jaya bersama indo</v>
      </c>
      <c r="F282" t="str">
        <f t="shared" si="46"/>
        <v>jaya bersama indo</v>
      </c>
      <c r="G282" t="str">
        <f t="shared" si="49"/>
        <v>DUCK, JAYA BERSAMA INDO, Jaya Bersama Indo, Jaya Bersama Indo Tbk, JayaBersamaIndo, PT Jaya Bersama Indo</v>
      </c>
      <c r="H282" t="str">
        <f t="shared" si="50"/>
        <v>DUCK, JAYA BERSAMA INDO, Jaya Bersama Indo, Jaya Bersama Indo Tbk, JayaBersamaIndo, PT Jaya Bersama Indo</v>
      </c>
      <c r="I282" t="str">
        <f t="shared" si="47"/>
        <v>JAYA BERSAMA INDO</v>
      </c>
      <c r="J282" t="str">
        <f t="shared" si="51"/>
        <v>DUCK, Jaya Bersama Indo, Jaya Bersama Indo Tbk, JayaBersamaIndo, PT Jaya Bersama Indo</v>
      </c>
      <c r="K282" t="str">
        <f t="shared" si="52"/>
        <v>DUCK, Jaya Bersama Indo, Jaya Bersama Indo Tbk, JayaBersamaIndo, PT Jaya Bersama Indo</v>
      </c>
      <c r="L282" t="str">
        <f t="shared" si="48"/>
        <v>JayaBersamaIndo</v>
      </c>
      <c r="M282" t="str">
        <f t="shared" si="53"/>
        <v>DUCK, Jaya Bersama Indo, Jaya Bersama Indo Tbk, PT Jaya Bersama Indo</v>
      </c>
      <c r="N282" t="str">
        <f t="shared" si="54"/>
        <v>DUCK, Jaya Bersama Indo, Jaya Bersama Indo Tbk, PT Jaya Bersama Indo</v>
      </c>
    </row>
    <row r="283" spans="1:14" x14ac:dyDescent="0.2">
      <c r="A283" t="s">
        <v>435</v>
      </c>
      <c r="B283" t="s">
        <v>3556</v>
      </c>
      <c r="C283" t="s">
        <v>8082</v>
      </c>
      <c r="D283" t="str">
        <f t="shared" si="44"/>
        <v>DUTI, DUTA PERTIWI, Duta Pertiwi, Duta Pertiwi Tbk, DutaPertiwi, PT Duta Pertiwi, duta pertiwi</v>
      </c>
      <c r="E283" t="str">
        <f t="shared" si="45"/>
        <v>DUTI, DUTA PERTIWI, Duta Pertiwi, Duta Pertiwi Tbk, DutaPertiwi, PT Duta Pertiwi, duta pertiwi</v>
      </c>
      <c r="F283" t="str">
        <f t="shared" si="46"/>
        <v>duta pertiwi</v>
      </c>
      <c r="G283" t="str">
        <f t="shared" si="49"/>
        <v>DUTI, DUTA PERTIWI, Duta Pertiwi, Duta Pertiwi Tbk, DutaPertiwi, PT Duta Pertiwi</v>
      </c>
      <c r="H283" t="str">
        <f t="shared" si="50"/>
        <v>DUTI, DUTA PERTIWI, Duta Pertiwi, Duta Pertiwi Tbk, DutaPertiwi, PT Duta Pertiwi</v>
      </c>
      <c r="I283" t="str">
        <f t="shared" si="47"/>
        <v>DUTA PERTIWI</v>
      </c>
      <c r="J283" t="str">
        <f t="shared" si="51"/>
        <v>DUTI, Duta Pertiwi, Duta Pertiwi Tbk, DutaPertiwi, PT Duta Pertiwi</v>
      </c>
      <c r="K283" t="str">
        <f t="shared" si="52"/>
        <v>DUTI, Duta Pertiwi, Duta Pertiwi Tbk, DutaPertiwi, PT Duta Pertiwi</v>
      </c>
      <c r="L283" t="str">
        <f t="shared" si="48"/>
        <v>DutaPertiwi</v>
      </c>
      <c r="M283" t="str">
        <f t="shared" si="53"/>
        <v>DUTI, Duta Pertiwi, Duta Pertiwi Tbk, PT Duta Pertiwi</v>
      </c>
      <c r="N283" t="str">
        <f t="shared" si="54"/>
        <v>DUTI, Duta Pertiwi, Duta Pertiwi Tbk, PT Duta Pertiwi</v>
      </c>
    </row>
    <row r="284" spans="1:14" x14ac:dyDescent="0.2">
      <c r="A284" t="s">
        <v>438</v>
      </c>
      <c r="B284" t="s">
        <v>439</v>
      </c>
      <c r="C284" t="s">
        <v>8083</v>
      </c>
      <c r="D284" t="str">
        <f t="shared" si="44"/>
        <v>DVLA, DARYA-VARIA LABORATORIA, Darya-Varia Laboratoria, Darya-Varia Laboratoria Tbk, Darya-VariaLaboratoria, PT Darya-Varia Laboratoria, darya-varia laboratoria</v>
      </c>
      <c r="E284" t="str">
        <f t="shared" si="45"/>
        <v>DVLA, DARYA-VARIA LABORATORIA, Darya-Varia Laboratoria, Darya-Varia Laboratoria Tbk, Darya-VariaLaboratoria, PT Darya-Varia Laboratoria, darya-varia laboratoria</v>
      </c>
      <c r="F284" t="str">
        <f t="shared" si="46"/>
        <v>darya-varia laboratoria</v>
      </c>
      <c r="G284" t="str">
        <f t="shared" si="49"/>
        <v>DVLA, DARYA-VARIA LABORATORIA, Darya-Varia Laboratoria, Darya-Varia Laboratoria Tbk, Darya-VariaLaboratoria, PT Darya-Varia Laboratoria</v>
      </c>
      <c r="H284" t="str">
        <f t="shared" si="50"/>
        <v>DVLA, DARYA-VARIA LABORATORIA, Darya-Varia Laboratoria, Darya-Varia Laboratoria Tbk, Darya-VariaLaboratoria, PT Darya-Varia Laboratoria</v>
      </c>
      <c r="I284" t="str">
        <f t="shared" si="47"/>
        <v>DARYA-VARIA LABORATORIA</v>
      </c>
      <c r="J284" t="str">
        <f t="shared" si="51"/>
        <v>DVLA, Darya-Varia Laboratoria, Darya-Varia Laboratoria Tbk, Darya-VariaLaboratoria, PT Darya-Varia Laboratoria</v>
      </c>
      <c r="K284" t="str">
        <f t="shared" si="52"/>
        <v>DVLA, Darya-Varia Laboratoria, Darya-Varia Laboratoria Tbk, Darya-VariaLaboratoria, PT Darya-Varia Laboratoria</v>
      </c>
      <c r="L284" t="str">
        <f t="shared" si="48"/>
        <v>Darya-VariaLaboratoria</v>
      </c>
      <c r="M284" t="str">
        <f t="shared" si="53"/>
        <v>DVLA, Darya-Varia Laboratoria, Darya-Varia Laboratoria Tbk, PT Darya-Varia Laboratoria</v>
      </c>
      <c r="N284" t="str">
        <f t="shared" si="54"/>
        <v>DVLA, Darya-Varia Laboratoria, Darya-Varia Laboratoria Tbk, PT Darya-Varia Laboratoria</v>
      </c>
    </row>
    <row r="285" spans="1:14" x14ac:dyDescent="0.2">
      <c r="A285" t="s">
        <v>1476</v>
      </c>
      <c r="B285" t="s">
        <v>1477</v>
      </c>
      <c r="C285" t="s">
        <v>8084</v>
      </c>
      <c r="D285" t="str">
        <f t="shared" si="44"/>
        <v>DWGL, DWI GUNA LAKSANA, Dwi Guna Laksana, Dwi Guna Laksana Tbk, DwiGunaLaksana, PT Dwi Guna Laksana, dwi guna laksana</v>
      </c>
      <c r="E285" t="str">
        <f t="shared" si="45"/>
        <v>DWGL, DWI GUNA LAKSANA, Dwi Guna Laksana, Dwi Guna Laksana Tbk, DwiGunaLaksana, PT Dwi Guna Laksana, dwi guna laksana</v>
      </c>
      <c r="F285" t="str">
        <f t="shared" si="46"/>
        <v>dwi guna laksana</v>
      </c>
      <c r="G285" t="str">
        <f t="shared" si="49"/>
        <v>DWGL, DWI GUNA LAKSANA, Dwi Guna Laksana, Dwi Guna Laksana Tbk, DwiGunaLaksana, PT Dwi Guna Laksana</v>
      </c>
      <c r="H285" t="str">
        <f t="shared" si="50"/>
        <v>DWGL, DWI GUNA LAKSANA, Dwi Guna Laksana, Dwi Guna Laksana Tbk, DwiGunaLaksana, PT Dwi Guna Laksana</v>
      </c>
      <c r="I285" t="str">
        <f t="shared" si="47"/>
        <v>DWI GUNA LAKSANA</v>
      </c>
      <c r="J285" t="str">
        <f t="shared" si="51"/>
        <v>DWGL, Dwi Guna Laksana, Dwi Guna Laksana Tbk, DwiGunaLaksana, PT Dwi Guna Laksana</v>
      </c>
      <c r="K285" t="str">
        <f t="shared" si="52"/>
        <v>DWGL, Dwi Guna Laksana, Dwi Guna Laksana Tbk, DwiGunaLaksana, PT Dwi Guna Laksana</v>
      </c>
      <c r="L285" t="str">
        <f t="shared" si="48"/>
        <v>DwiGunaLaksana</v>
      </c>
      <c r="M285" t="str">
        <f t="shared" si="53"/>
        <v>DWGL, Dwi Guna Laksana, Dwi Guna Laksana Tbk, PT Dwi Guna Laksana</v>
      </c>
      <c r="N285" t="str">
        <f t="shared" si="54"/>
        <v>DWGL, Dwi Guna Laksana, Dwi Guna Laksana Tbk, PT Dwi Guna Laksana</v>
      </c>
    </row>
    <row r="286" spans="1:14" x14ac:dyDescent="0.2">
      <c r="A286" t="s">
        <v>441</v>
      </c>
      <c r="B286" t="s">
        <v>3557</v>
      </c>
      <c r="C286" t="s">
        <v>8085</v>
      </c>
      <c r="D286" t="str">
        <f t="shared" si="44"/>
        <v>DYAN, DYANDRA MEDIA INTERNATIONAL, Dyandra Media International, Dyandra Media International Tbk, DyandraMediaInternational, PT Dyandra Media International, dyandra media international</v>
      </c>
      <c r="E286" t="str">
        <f t="shared" si="45"/>
        <v>DYAN, DYANDRA MEDIA INTERNATIONAL, Dyandra Media International, Dyandra Media International Tbk, DyandraMediaInternational, PT Dyandra Media International, dyandra media international</v>
      </c>
      <c r="F286" t="str">
        <f t="shared" si="46"/>
        <v>dyandra media international</v>
      </c>
      <c r="G286" t="str">
        <f t="shared" si="49"/>
        <v>DYAN, DYANDRA MEDIA INTERNATIONAL, Dyandra Media International, Dyandra Media International Tbk, DyandraMediaInternational, PT Dyandra Media International</v>
      </c>
      <c r="H286" t="str">
        <f t="shared" si="50"/>
        <v>DYAN, DYANDRA MEDIA INTERNATIONAL, Dyandra Media International, Dyandra Media International Tbk, DyandraMediaInternational, PT Dyandra Media International</v>
      </c>
      <c r="I286" t="str">
        <f t="shared" si="47"/>
        <v>DYANDRA MEDIA INTERNATIONAL</v>
      </c>
      <c r="J286" t="str">
        <f t="shared" si="51"/>
        <v>DYAN, Dyandra Media International, Dyandra Media International Tbk, DyandraMediaInternational, PT Dyandra Media International</v>
      </c>
      <c r="K286" t="str">
        <f t="shared" si="52"/>
        <v>DYAN, Dyandra Media International, Dyandra Media International Tbk, DyandraMediaInternational, PT Dyandra Media International</v>
      </c>
      <c r="L286" t="str">
        <f t="shared" si="48"/>
        <v>DyandraMediaInternational</v>
      </c>
      <c r="M286" t="str">
        <f t="shared" si="53"/>
        <v>DYAN, Dyandra Media International, Dyandra Media International Tbk, PT Dyandra Media International</v>
      </c>
      <c r="N286" t="str">
        <f t="shared" si="54"/>
        <v>DYAN, Dyandra Media International, Dyandra Media International Tbk, PT Dyandra Media International</v>
      </c>
    </row>
    <row r="287" spans="1:14" x14ac:dyDescent="0.2">
      <c r="A287" t="s">
        <v>1707</v>
      </c>
      <c r="B287" t="s">
        <v>1708</v>
      </c>
      <c r="C287" t="s">
        <v>8086</v>
      </c>
      <c r="D287" t="str">
        <f t="shared" si="44"/>
        <v>EAST, EASTPARC HOTEL, Eastparc Hotel, Eastparc Hotel Tbk, EastparcHotel, PT Eastparc Hotel, eastparc hotel</v>
      </c>
      <c r="E287" t="str">
        <f t="shared" si="45"/>
        <v>EAST, EASTPARC HOTEL, Eastparc Hotel, Eastparc Hotel Tbk, EastparcHotel, PT Eastparc Hotel, eastparc hotel</v>
      </c>
      <c r="F287" t="str">
        <f t="shared" si="46"/>
        <v>eastparc hotel</v>
      </c>
      <c r="G287" t="str">
        <f t="shared" si="49"/>
        <v>EAST, EASTPARC HOTEL, Eastparc Hotel, Eastparc Hotel Tbk, EastparcHotel, PT Eastparc Hotel</v>
      </c>
      <c r="H287" t="str">
        <f t="shared" si="50"/>
        <v>EAST, EASTPARC HOTEL, Eastparc Hotel, Eastparc Hotel Tbk, EastparcHotel, PT Eastparc Hotel</v>
      </c>
      <c r="I287" t="str">
        <f t="shared" si="47"/>
        <v>EASTPARC HOTEL</v>
      </c>
      <c r="J287" t="str">
        <f t="shared" si="51"/>
        <v>EAST, Eastparc Hotel, Eastparc Hotel Tbk, EastparcHotel, PT Eastparc Hotel</v>
      </c>
      <c r="K287" t="str">
        <f t="shared" si="52"/>
        <v>EAST, Eastparc Hotel, Eastparc Hotel Tbk, EastparcHotel, PT Eastparc Hotel</v>
      </c>
      <c r="L287" t="str">
        <f t="shared" si="48"/>
        <v>EastparcHotel</v>
      </c>
      <c r="M287" t="str">
        <f t="shared" si="53"/>
        <v>EAST, Eastparc Hotel, Eastparc Hotel Tbk, PT Eastparc Hotel</v>
      </c>
      <c r="N287" t="str">
        <f t="shared" si="54"/>
        <v>EAST, Eastparc Hotel, Eastparc Hotel Tbk, PT Eastparc Hotel</v>
      </c>
    </row>
    <row r="288" spans="1:14" x14ac:dyDescent="0.2">
      <c r="A288" t="s">
        <v>443</v>
      </c>
      <c r="B288" t="s">
        <v>444</v>
      </c>
      <c r="C288" t="s">
        <v>8087</v>
      </c>
      <c r="D288" t="str">
        <f t="shared" si="44"/>
        <v>ECII, ELECTRONIC CITY INDONESIA, Electronic City Indonesia, Electronic City Indonesia Tbk, ElectronicCityIndonesia, PT Electronic City Indonesia, electronic city indonesia</v>
      </c>
      <c r="E288" t="str">
        <f t="shared" si="45"/>
        <v>ECII, ELECTRONIC CITY INDONESIA, Electronic City Indonesia, Electronic City Indonesia Tbk, ElectronicCityIndonesia, PT Electronic City Indonesia, electronic city indonesia</v>
      </c>
      <c r="F288" t="str">
        <f t="shared" si="46"/>
        <v>electronic city indonesia</v>
      </c>
      <c r="G288" t="str">
        <f t="shared" si="49"/>
        <v>ECII, ELECTRONIC CITY INDONESIA, Electronic City Indonesia, Electronic City Indonesia Tbk, ElectronicCityIndonesia, PT Electronic City Indonesia</v>
      </c>
      <c r="H288" t="str">
        <f t="shared" si="50"/>
        <v>ECII, ELECTRONIC CITY INDONESIA, Electronic City Indonesia, Electronic City Indonesia Tbk, ElectronicCityIndonesia, PT Electronic City Indonesia</v>
      </c>
      <c r="I288" t="str">
        <f t="shared" si="47"/>
        <v>ELECTRONIC CITY INDONESIA</v>
      </c>
      <c r="J288" t="str">
        <f t="shared" si="51"/>
        <v>ECII, Electronic City Indonesia, Electronic City Indonesia Tbk, ElectronicCityIndonesia, PT Electronic City Indonesia</v>
      </c>
      <c r="K288" t="str">
        <f t="shared" si="52"/>
        <v>ECII, Electronic City Indonesia, Electronic City Indonesia Tbk, ElectronicCityIndonesia, PT Electronic City Indonesia</v>
      </c>
      <c r="L288" t="str">
        <f t="shared" si="48"/>
        <v>ElectronicCityIndonesia</v>
      </c>
      <c r="M288" t="str">
        <f t="shared" si="53"/>
        <v>ECII, Electronic City Indonesia, Electronic City Indonesia Tbk, PT Electronic City Indonesia</v>
      </c>
      <c r="N288" t="str">
        <f t="shared" si="54"/>
        <v>ECII, Electronic City Indonesia, Electronic City Indonesia Tbk, PT Electronic City Indonesia</v>
      </c>
    </row>
    <row r="289" spans="1:14" x14ac:dyDescent="0.2">
      <c r="A289" t="s">
        <v>1915</v>
      </c>
      <c r="B289" t="s">
        <v>1916</v>
      </c>
      <c r="C289" t="s">
        <v>8088</v>
      </c>
      <c r="D289" t="str">
        <f t="shared" si="44"/>
        <v>EDGE, INDOINTERNET, Indointernet, Indointernet Tbk, PT Indointernet, indointernet</v>
      </c>
      <c r="E289" t="str">
        <f t="shared" si="45"/>
        <v>EDGE, INDOINTERNET, Indointernet, Indointernet Tbk, PT Indointernet, indointernet</v>
      </c>
      <c r="F289" t="str">
        <f t="shared" si="46"/>
        <v>indointernet</v>
      </c>
      <c r="G289" t="str">
        <f t="shared" si="49"/>
        <v>EDGE, INDOINTERNET, Indointernet, Indointernet Tbk, PT Indointernet</v>
      </c>
      <c r="H289" t="str">
        <f t="shared" si="50"/>
        <v>EDGE, INDOINTERNET, Indointernet, Indointernet Tbk, PT Indointernet</v>
      </c>
      <c r="I289" t="str">
        <f t="shared" si="47"/>
        <v>INDOINTERNET</v>
      </c>
      <c r="J289" t="str">
        <f t="shared" si="51"/>
        <v>EDGE, Indointernet, Indointernet Tbk, PT Indointernet</v>
      </c>
      <c r="K289" t="str">
        <f t="shared" si="52"/>
        <v>EDGE, Indointernet, Indointernet Tbk, PT Indointernet</v>
      </c>
      <c r="L289" t="str">
        <f t="shared" si="48"/>
        <v>Indointernet</v>
      </c>
      <c r="M289" t="str">
        <f t="shared" si="53"/>
        <v>EDGE Tbk, PT Indointernet</v>
      </c>
      <c r="N289" t="str">
        <f t="shared" si="54"/>
        <v>EDGE Tbk, PT Indointernet</v>
      </c>
    </row>
    <row r="290" spans="1:14" x14ac:dyDescent="0.2">
      <c r="A290" t="s">
        <v>446</v>
      </c>
      <c r="B290" t="s">
        <v>447</v>
      </c>
      <c r="C290" t="s">
        <v>8089</v>
      </c>
      <c r="D290" t="str">
        <f t="shared" si="44"/>
        <v>EKAD, EKADHARMA INTERNATIONAL, Ekadharma International, Ekadharma International Tbk, EkadharmaInternational, PT Ekadharma International, ekadharma international</v>
      </c>
      <c r="E290" t="str">
        <f t="shared" si="45"/>
        <v>EKAD, EKADHARMA INTERNATIONAL, Ekadharma International, Ekadharma International Tbk, EkadharmaInternational, PT Ekadharma International, ekadharma international</v>
      </c>
      <c r="F290" t="str">
        <f t="shared" si="46"/>
        <v>ekadharma international</v>
      </c>
      <c r="G290" t="str">
        <f t="shared" si="49"/>
        <v>EKAD, EKADHARMA INTERNATIONAL, Ekadharma International, Ekadharma International Tbk, EkadharmaInternational, PT Ekadharma International</v>
      </c>
      <c r="H290" t="str">
        <f t="shared" si="50"/>
        <v>EKAD, EKADHARMA INTERNATIONAL, Ekadharma International, Ekadharma International Tbk, EkadharmaInternational, PT Ekadharma International</v>
      </c>
      <c r="I290" t="str">
        <f t="shared" si="47"/>
        <v>EKADHARMA INTERNATIONAL</v>
      </c>
      <c r="J290" t="str">
        <f t="shared" si="51"/>
        <v>EKAD, Ekadharma International, Ekadharma International Tbk, EkadharmaInternational, PT Ekadharma International</v>
      </c>
      <c r="K290" t="str">
        <f t="shared" si="52"/>
        <v>EKAD, Ekadharma International, Ekadharma International Tbk, EkadharmaInternational, PT Ekadharma International</v>
      </c>
      <c r="L290" t="str">
        <f t="shared" si="48"/>
        <v>EkadharmaInternational</v>
      </c>
      <c r="M290" t="str">
        <f t="shared" si="53"/>
        <v>EKAD, Ekadharma International, Ekadharma International Tbk, PT Ekadharma International</v>
      </c>
      <c r="N290" t="str">
        <f t="shared" si="54"/>
        <v>EKAD, Ekadharma International, Ekadharma International Tbk, PT Ekadharma International</v>
      </c>
    </row>
    <row r="291" spans="1:14" x14ac:dyDescent="0.2">
      <c r="A291" t="s">
        <v>2219</v>
      </c>
      <c r="B291" t="s">
        <v>2220</v>
      </c>
      <c r="C291" t="s">
        <v>8090</v>
      </c>
      <c r="D291" t="str">
        <f t="shared" si="44"/>
        <v>ELIT, DATA SINERGITAMA JAYA, Data Sinergitama Jaya, Data Sinergitama Jaya Tbk, DataSinergitamaJaya, PT Data Sinergitama Jaya, data sinergitama jaya</v>
      </c>
      <c r="E291" t="str">
        <f t="shared" si="45"/>
        <v>ELIT, DATA SINERGITAMA JAYA, Data Sinergitama Jaya, Data Sinergitama Jaya Tbk, DataSinergitamaJaya, PT Data Sinergitama Jaya, data sinergitama jaya</v>
      </c>
      <c r="F291" t="str">
        <f t="shared" si="46"/>
        <v>data sinergitama jaya</v>
      </c>
      <c r="G291" t="str">
        <f t="shared" si="49"/>
        <v>ELIT, DATA SINERGITAMA JAYA, Data Sinergitama Jaya, Data Sinergitama Jaya Tbk, DataSinergitamaJaya, PT Data Sinergitama Jaya</v>
      </c>
      <c r="H291" t="str">
        <f t="shared" si="50"/>
        <v>ELIT, DATA SINERGITAMA JAYA, Data Sinergitama Jaya, Data Sinergitama Jaya Tbk, DataSinergitamaJaya, PT Data Sinergitama Jaya</v>
      </c>
      <c r="I291" t="str">
        <f t="shared" si="47"/>
        <v>DATA SINERGITAMA JAYA</v>
      </c>
      <c r="J291" t="str">
        <f t="shared" si="51"/>
        <v>ELIT, Data Sinergitama Jaya, Data Sinergitama Jaya Tbk, DataSinergitamaJaya, PT Data Sinergitama Jaya</v>
      </c>
      <c r="K291" t="str">
        <f t="shared" si="52"/>
        <v>ELIT, Data Sinergitama Jaya, Data Sinergitama Jaya Tbk, DataSinergitamaJaya, PT Data Sinergitama Jaya</v>
      </c>
      <c r="L291" t="str">
        <f t="shared" si="48"/>
        <v>DataSinergitamaJaya</v>
      </c>
      <c r="M291" t="str">
        <f t="shared" si="53"/>
        <v>ELIT, Data Sinergitama Jaya, Data Sinergitama Jaya Tbk, PT Data Sinergitama Jaya</v>
      </c>
      <c r="N291" t="str">
        <f t="shared" si="54"/>
        <v>ELIT, Data Sinergitama Jaya, Data Sinergitama Jaya Tbk, PT Data Sinergitama Jaya</v>
      </c>
    </row>
    <row r="292" spans="1:14" x14ac:dyDescent="0.2">
      <c r="A292" t="s">
        <v>2154</v>
      </c>
      <c r="B292" t="s">
        <v>3558</v>
      </c>
      <c r="C292" t="s">
        <v>8091</v>
      </c>
      <c r="D292" t="str">
        <f t="shared" si="44"/>
        <v>ELPI, PELAYARAN NASIONAL EKALYA PURNAMASARI, PT Pelayaran Nasional Ekalya Purnamasari, Pelayaran Nasional Ekalya Purnamasari, Pelayaran Nasional Ekalya Purnamasari Tbk, PelayaranNasionalEkalyaPurnamasari, pelayaran nasional ekalya purnamasari</v>
      </c>
      <c r="E292" t="str">
        <f t="shared" si="45"/>
        <v>ELPI, PELAYARAN NASIONAL EKALYA PURNAMASARI, PT Pelayaran Nasional Ekalya Purnamasari, Pelayaran Nasional Ekalya Purnamasari, Pelayaran Nasional Ekalya Purnamasari Tbk, PelayaranNasionalEkalyaPurnamasari, pelayaran nasional ekalya purnamasari</v>
      </c>
      <c r="F292" t="str">
        <f t="shared" si="46"/>
        <v>pelayaran nasional ekalya purnamasari</v>
      </c>
      <c r="G292" t="str">
        <f t="shared" si="49"/>
        <v>ELPI, PELAYARAN NASIONAL EKALYA PURNAMASARI, PT Pelayaran Nasional Ekalya Purnamasari, Pelayaran Nasional Ekalya Purnamasari, Pelayaran Nasional Ekalya Purnamasari Tbk, PelayaranNasionalEkalyaPurnamasari</v>
      </c>
      <c r="H292" t="str">
        <f t="shared" si="50"/>
        <v>ELPI, PELAYARAN NASIONAL EKALYA PURNAMASARI, PT Pelayaran Nasional Ekalya Purnamasari, Pelayaran Nasional Ekalya Purnamasari, Pelayaran Nasional Ekalya Purnamasari Tbk, PelayaranNasionalEkalyaPurnamasari</v>
      </c>
      <c r="I292" t="str">
        <f t="shared" si="47"/>
        <v>PELAYARAN NASIONAL EKALYA PURNAMASARI</v>
      </c>
      <c r="J292" t="str">
        <f t="shared" si="51"/>
        <v>ELPI, PT Pelayaran Nasional Ekalya Purnamasari, Pelayaran Nasional Ekalya Purnamasari, Pelayaran Nasional Ekalya Purnamasari Tbk, PelayaranNasionalEkalyaPurnamasari</v>
      </c>
      <c r="K292" t="str">
        <f t="shared" si="52"/>
        <v>ELPI, PT Pelayaran Nasional Ekalya Purnamasari, Pelayaran Nasional Ekalya Purnamasari, Pelayaran Nasional Ekalya Purnamasari Tbk, PelayaranNasionalEkalyaPurnamasari</v>
      </c>
      <c r="L292" t="str">
        <f t="shared" si="48"/>
        <v>PelayaranNasionalEkalyaPurnamasari</v>
      </c>
      <c r="M292" t="str">
        <f t="shared" si="53"/>
        <v>ELPI, PT Pelayaran Nasional Ekalya Purnamasari, Pelayaran Nasional Ekalya Purnamasari, Pelayaran Nasional Ekalya Purnamasari Tbk</v>
      </c>
      <c r="N292" t="str">
        <f t="shared" si="54"/>
        <v>ELPI, PT Pelayaran Nasional Ekalya Purnamasari, Pelayaran Nasional Ekalya Purnamasari, Pelayaran Nasional Ekalya Purnamasari Tbk</v>
      </c>
    </row>
    <row r="293" spans="1:14" x14ac:dyDescent="0.2">
      <c r="A293" t="s">
        <v>449</v>
      </c>
      <c r="B293" t="s">
        <v>450</v>
      </c>
      <c r="C293" t="s">
        <v>8092</v>
      </c>
      <c r="D293" t="str">
        <f t="shared" si="44"/>
        <v>ELSA, ELNUSA, Elnusa, Elnusa Tbk, PT Elnusa, elnusa</v>
      </c>
      <c r="E293" t="str">
        <f t="shared" si="45"/>
        <v>ELSA, ELNUSA, Elnusa, Elnusa Tbk, PT Elnusa, elnusa</v>
      </c>
      <c r="F293" t="str">
        <f t="shared" si="46"/>
        <v>elnusa</v>
      </c>
      <c r="G293" t="str">
        <f t="shared" si="49"/>
        <v>ELSA, ELNUSA, Elnusa, Elnusa Tbk, PT Elnusa</v>
      </c>
      <c r="H293" t="str">
        <f t="shared" si="50"/>
        <v>ELSA, ELNUSA, Elnusa, Elnusa Tbk, PT Elnusa</v>
      </c>
      <c r="I293" t="str">
        <f t="shared" si="47"/>
        <v>ELNUSA</v>
      </c>
      <c r="J293" t="str">
        <f t="shared" si="51"/>
        <v>ELSA, Elnusa, Elnusa Tbk, PT Elnusa</v>
      </c>
      <c r="K293" t="str">
        <f t="shared" si="52"/>
        <v>ELSA, Elnusa, Elnusa Tbk, PT Elnusa</v>
      </c>
      <c r="L293" t="str">
        <f t="shared" si="48"/>
        <v>Elnusa</v>
      </c>
      <c r="M293" t="str">
        <f t="shared" si="53"/>
        <v>ELSA Tbk, PT Elnusa</v>
      </c>
      <c r="N293" t="str">
        <f t="shared" si="54"/>
        <v>ELSA Tbk, PT Elnusa</v>
      </c>
    </row>
    <row r="294" spans="1:14" x14ac:dyDescent="0.2">
      <c r="A294" t="s">
        <v>452</v>
      </c>
      <c r="B294" t="s">
        <v>453</v>
      </c>
      <c r="C294" t="s">
        <v>8093</v>
      </c>
      <c r="D294" t="str">
        <f t="shared" si="44"/>
        <v>ELTY, BAKRIELAND DEVELOPMENT, Bakrieland Development, Bakrieland Development Tbk, BakrielandDevelopment, PT Bakrieland Development, bakrieland development</v>
      </c>
      <c r="E294" t="str">
        <f t="shared" si="45"/>
        <v>ELTY, BAKRIELAND DEVELOPMENT, Bakrieland Development, Bakrieland Development Tbk, BakrielandDevelopment, PT Bakrieland Development, bakrieland development</v>
      </c>
      <c r="F294" t="str">
        <f t="shared" si="46"/>
        <v>bakrieland development</v>
      </c>
      <c r="G294" t="str">
        <f t="shared" si="49"/>
        <v>ELTY, BAKRIELAND DEVELOPMENT, Bakrieland Development, Bakrieland Development Tbk, BakrielandDevelopment, PT Bakrieland Development</v>
      </c>
      <c r="H294" t="str">
        <f t="shared" si="50"/>
        <v>ELTY, BAKRIELAND DEVELOPMENT, Bakrieland Development, Bakrieland Development Tbk, BakrielandDevelopment, PT Bakrieland Development</v>
      </c>
      <c r="I294" t="str">
        <f t="shared" si="47"/>
        <v>BAKRIELAND DEVELOPMENT</v>
      </c>
      <c r="J294" t="str">
        <f t="shared" si="51"/>
        <v>ELTY, Bakrieland Development, Bakrieland Development Tbk, BakrielandDevelopment, PT Bakrieland Development</v>
      </c>
      <c r="K294" t="str">
        <f t="shared" si="52"/>
        <v>ELTY, Bakrieland Development, Bakrieland Development Tbk, BakrielandDevelopment, PT Bakrieland Development</v>
      </c>
      <c r="L294" t="str">
        <f t="shared" si="48"/>
        <v>BakrielandDevelopment</v>
      </c>
      <c r="M294" t="str">
        <f t="shared" si="53"/>
        <v>ELTY, Bakrieland Development, Bakrieland Development Tbk, PT Bakrieland Development</v>
      </c>
      <c r="N294" t="str">
        <f t="shared" si="54"/>
        <v>ELTY, Bakrieland Development, Bakrieland Development Tbk, PT Bakrieland Development</v>
      </c>
    </row>
    <row r="295" spans="1:14" x14ac:dyDescent="0.2">
      <c r="A295" t="s">
        <v>2558</v>
      </c>
      <c r="B295" t="s">
        <v>2559</v>
      </c>
      <c r="C295" t="s">
        <v>8094</v>
      </c>
      <c r="D295" t="str">
        <f t="shared" si="44"/>
        <v>EMAS, MERDEKA GOLD RESOURCES, Merdeka Gold Resources, Merdeka Gold Resources Tbk, MerdekaGoldResources, PT Merdeka Gold Resources, merdeka gold resources</v>
      </c>
      <c r="E295" t="str">
        <f t="shared" si="45"/>
        <v>EMAS, MERDEKA GOLD RESOURCES, Merdeka Gold Resources, Merdeka Gold Resources Tbk, MerdekaGoldResources, PT Merdeka Gold Resources, merdeka gold resources</v>
      </c>
      <c r="F295" t="str">
        <f t="shared" si="46"/>
        <v>merdeka gold resources</v>
      </c>
      <c r="G295" t="str">
        <f t="shared" si="49"/>
        <v>EMAS, MERDEKA GOLD RESOURCES, Merdeka Gold Resources, Merdeka Gold Resources Tbk, MerdekaGoldResources, PT Merdeka Gold Resources</v>
      </c>
      <c r="H295" t="str">
        <f t="shared" si="50"/>
        <v>EMAS, MERDEKA GOLD RESOURCES, Merdeka Gold Resources, Merdeka Gold Resources Tbk, MerdekaGoldResources, PT Merdeka Gold Resources</v>
      </c>
      <c r="I295" t="str">
        <f t="shared" si="47"/>
        <v>MERDEKA GOLD RESOURCES</v>
      </c>
      <c r="J295" t="str">
        <f t="shared" si="51"/>
        <v>EMAS, Merdeka Gold Resources, Merdeka Gold Resources Tbk, MerdekaGoldResources, PT Merdeka Gold Resources</v>
      </c>
      <c r="K295" t="str">
        <f t="shared" si="52"/>
        <v>EMAS, Merdeka Gold Resources, Merdeka Gold Resources Tbk, MerdekaGoldResources, PT Merdeka Gold Resources</v>
      </c>
      <c r="L295" t="str">
        <f t="shared" si="48"/>
        <v>MerdekaGoldResources</v>
      </c>
      <c r="M295" t="str">
        <f t="shared" si="53"/>
        <v>EMAS, Merdeka Gold Resources, Merdeka Gold Resources Tbk, PT Merdeka Gold Resources</v>
      </c>
      <c r="N295" t="str">
        <f t="shared" si="54"/>
        <v>EMAS, Merdeka Gold Resources, Merdeka Gold Resources Tbk, PT Merdeka Gold Resources</v>
      </c>
    </row>
    <row r="296" spans="1:14" x14ac:dyDescent="0.2">
      <c r="A296" t="s">
        <v>455</v>
      </c>
      <c r="B296" t="s">
        <v>456</v>
      </c>
      <c r="C296" t="s">
        <v>8095</v>
      </c>
      <c r="D296" t="str">
        <f t="shared" si="44"/>
        <v>EMDE, MEGAPOLITAN DEVELOPMENTS, Megapolitan Developments, Megapolitan Developments Tbk, MegapolitanDevelopments, PT Megapolitan Developments, megapolitan developments</v>
      </c>
      <c r="E296" t="str">
        <f t="shared" si="45"/>
        <v>EMDE, MEGAPOLITAN DEVELOPMENTS, Megapolitan Developments, Megapolitan Developments Tbk, MegapolitanDevelopments, PT Megapolitan Developments, megapolitan developments</v>
      </c>
      <c r="F296" t="str">
        <f t="shared" si="46"/>
        <v>megapolitan developments</v>
      </c>
      <c r="G296" t="str">
        <f t="shared" si="49"/>
        <v>EMDE, MEGAPOLITAN DEVELOPMENTS, Megapolitan Developments, Megapolitan Developments Tbk, MegapolitanDevelopments, PT Megapolitan Developments</v>
      </c>
      <c r="H296" t="str">
        <f t="shared" si="50"/>
        <v>EMDE, MEGAPOLITAN DEVELOPMENTS, Megapolitan Developments, Megapolitan Developments Tbk, MegapolitanDevelopments, PT Megapolitan Developments</v>
      </c>
      <c r="I296" t="str">
        <f t="shared" si="47"/>
        <v>MEGAPOLITAN DEVELOPMENTS</v>
      </c>
      <c r="J296" t="str">
        <f t="shared" si="51"/>
        <v>EMDE, Megapolitan Developments, Megapolitan Developments Tbk, MegapolitanDevelopments, PT Megapolitan Developments</v>
      </c>
      <c r="K296" t="str">
        <f t="shared" si="52"/>
        <v>EMDE, Megapolitan Developments, Megapolitan Developments Tbk, MegapolitanDevelopments, PT Megapolitan Developments</v>
      </c>
      <c r="L296" t="str">
        <f t="shared" si="48"/>
        <v>MegapolitanDevelopments</v>
      </c>
      <c r="M296" t="str">
        <f t="shared" si="53"/>
        <v>EMDE, Megapolitan Developments, Megapolitan Developments Tbk, PT Megapolitan Developments</v>
      </c>
      <c r="N296" t="str">
        <f t="shared" si="54"/>
        <v>EMDE, Megapolitan Developments, Megapolitan Developments Tbk, PT Megapolitan Developments</v>
      </c>
    </row>
    <row r="297" spans="1:14" x14ac:dyDescent="0.2">
      <c r="A297" t="s">
        <v>458</v>
      </c>
      <c r="B297" t="s">
        <v>459</v>
      </c>
      <c r="C297" t="s">
        <v>8096</v>
      </c>
      <c r="D297" t="str">
        <f t="shared" si="44"/>
        <v>EMTK, ELANG MAHKOTA TEKNOLOGI, Elang Mahkota Teknologi, Elang Mahkota Teknologi Tbk, ElangMahkotaTeknologi, PT Elang Mahkota Teknologi, elang mahkota teknologi</v>
      </c>
      <c r="E297" t="str">
        <f t="shared" si="45"/>
        <v>EMTK, ELANG MAHKOTA TEKNOLOGI, Elang Mahkota Teknologi, Elang Mahkota Teknologi Tbk, ElangMahkotaTeknologi, PT Elang Mahkota Teknologi, elang mahkota teknologi</v>
      </c>
      <c r="F297" t="str">
        <f t="shared" si="46"/>
        <v>elang mahkota teknologi</v>
      </c>
      <c r="G297" t="str">
        <f t="shared" si="49"/>
        <v>EMTK, ELANG MAHKOTA TEKNOLOGI, Elang Mahkota Teknologi, Elang Mahkota Teknologi Tbk, ElangMahkotaTeknologi, PT Elang Mahkota Teknologi</v>
      </c>
      <c r="H297" t="str">
        <f t="shared" si="50"/>
        <v>EMTK, ELANG MAHKOTA TEKNOLOGI, Elang Mahkota Teknologi, Elang Mahkota Teknologi Tbk, ElangMahkotaTeknologi, PT Elang Mahkota Teknologi</v>
      </c>
      <c r="I297" t="str">
        <f t="shared" si="47"/>
        <v>ELANG MAHKOTA TEKNOLOGI</v>
      </c>
      <c r="J297" t="str">
        <f t="shared" si="51"/>
        <v>EMTK, Elang Mahkota Teknologi, Elang Mahkota Teknologi Tbk, ElangMahkotaTeknologi, PT Elang Mahkota Teknologi</v>
      </c>
      <c r="K297" t="str">
        <f t="shared" si="52"/>
        <v>EMTK, Elang Mahkota Teknologi, Elang Mahkota Teknologi Tbk, ElangMahkotaTeknologi, PT Elang Mahkota Teknologi</v>
      </c>
      <c r="L297" t="str">
        <f t="shared" si="48"/>
        <v>ElangMahkotaTeknologi</v>
      </c>
      <c r="M297" t="str">
        <f t="shared" si="53"/>
        <v>EMTK, Elang Mahkota Teknologi, Elang Mahkota Teknologi Tbk, PT Elang Mahkota Teknologi</v>
      </c>
      <c r="N297" t="str">
        <f t="shared" si="54"/>
        <v>EMTK, Elang Mahkota Teknologi, Elang Mahkota Teknologi Tbk, PT Elang Mahkota Teknologi</v>
      </c>
    </row>
    <row r="298" spans="1:14" x14ac:dyDescent="0.2">
      <c r="A298" t="s">
        <v>2074</v>
      </c>
      <c r="B298" t="s">
        <v>2075</v>
      </c>
      <c r="C298" t="s">
        <v>8097</v>
      </c>
      <c r="D298" t="str">
        <f t="shared" si="44"/>
        <v>ENAK, CHAMP RESTO INDONESIA, Champ Resto Indonesia, Champ Resto Indonesia Tbk, ChampRestoIndonesia, PT Champ Resto Indonesia, champ resto indonesia</v>
      </c>
      <c r="E298" t="str">
        <f t="shared" si="45"/>
        <v>ENAK, CHAMP RESTO INDONESIA, Champ Resto Indonesia, Champ Resto Indonesia Tbk, ChampRestoIndonesia, PT Champ Resto Indonesia, champ resto indonesia</v>
      </c>
      <c r="F298" t="str">
        <f t="shared" si="46"/>
        <v>champ resto indonesia</v>
      </c>
      <c r="G298" t="str">
        <f t="shared" si="49"/>
        <v>ENAK, CHAMP RESTO INDONESIA, Champ Resto Indonesia, Champ Resto Indonesia Tbk, ChampRestoIndonesia, PT Champ Resto Indonesia</v>
      </c>
      <c r="H298" t="str">
        <f t="shared" si="50"/>
        <v>ENAK, CHAMP RESTO INDONESIA, Champ Resto Indonesia, Champ Resto Indonesia Tbk, ChampRestoIndonesia, PT Champ Resto Indonesia</v>
      </c>
      <c r="I298" t="str">
        <f t="shared" si="47"/>
        <v>CHAMP RESTO INDONESIA</v>
      </c>
      <c r="J298" t="str">
        <f t="shared" si="51"/>
        <v>ENAK, Champ Resto Indonesia, Champ Resto Indonesia Tbk, ChampRestoIndonesia, PT Champ Resto Indonesia</v>
      </c>
      <c r="K298" t="str">
        <f t="shared" si="52"/>
        <v>ENAK, Champ Resto Indonesia, Champ Resto Indonesia Tbk, ChampRestoIndonesia, PT Champ Resto Indonesia</v>
      </c>
      <c r="L298" t="str">
        <f t="shared" si="48"/>
        <v>ChampRestoIndonesia</v>
      </c>
      <c r="M298" t="str">
        <f t="shared" si="53"/>
        <v>ENAK, Champ Resto Indonesia, Champ Resto Indonesia Tbk, PT Champ Resto Indonesia</v>
      </c>
      <c r="N298" t="str">
        <f t="shared" si="54"/>
        <v>ENAK, Champ Resto Indonesia, Champ Resto Indonesia Tbk, PT Champ Resto Indonesia</v>
      </c>
    </row>
    <row r="299" spans="1:14" x14ac:dyDescent="0.2">
      <c r="A299" t="s">
        <v>461</v>
      </c>
      <c r="B299" t="s">
        <v>462</v>
      </c>
      <c r="C299" t="s">
        <v>8098</v>
      </c>
      <c r="D299" t="str">
        <f t="shared" si="44"/>
        <v>ENRG, EMP, ENERGI MEGA PERSADA, Energi Mega Persada, Energi Mega Persada Tbk, EnergiMegaPersada, PT Energi Mega Persada, energi mega persada</v>
      </c>
      <c r="E299" t="str">
        <f t="shared" si="45"/>
        <v>ENRG, EMP, ENERGI MEGA PERSADA, Energi Mega Persada, Energi Mega Persada Tbk, EnergiMegaPersada, PT Energi Mega Persada, energi mega persada</v>
      </c>
      <c r="F299" t="str">
        <f t="shared" si="46"/>
        <v>energi mega persada</v>
      </c>
      <c r="G299" t="str">
        <f t="shared" si="49"/>
        <v>ENRG, EMP, ENERGI MEGA PERSADA, Energi Mega Persada, Energi Mega Persada Tbk, EnergiMegaPersada, PT Energi Mega Persada</v>
      </c>
      <c r="H299" t="str">
        <f t="shared" si="50"/>
        <v>ENRG, EMP, ENERGI MEGA PERSADA, Energi Mega Persada, Energi Mega Persada Tbk, EnergiMegaPersada, PT Energi Mega Persada</v>
      </c>
      <c r="I299" t="str">
        <f t="shared" si="47"/>
        <v>ENERGI MEGA PERSADA</v>
      </c>
      <c r="J299" t="str">
        <f t="shared" si="51"/>
        <v>ENRG, EMP, Energi Mega Persada, Energi Mega Persada Tbk, EnergiMegaPersada, PT Energi Mega Persada</v>
      </c>
      <c r="K299" t="str">
        <f t="shared" si="52"/>
        <v>ENRG, EMP, Energi Mega Persada, Energi Mega Persada Tbk, EnergiMegaPersada, PT Energi Mega Persada</v>
      </c>
      <c r="L299" t="str">
        <f t="shared" si="48"/>
        <v>EnergiMegaPersada</v>
      </c>
      <c r="M299" t="str">
        <f t="shared" si="53"/>
        <v>ENRG, EMP, Energi Mega Persada, Energi Mega Persada Tbk, PT Energi Mega Persada</v>
      </c>
      <c r="N299" t="str">
        <f t="shared" si="54"/>
        <v>ENRG, EMP, Energi Mega Persada, Energi Mega Persada Tbk, PT Energi Mega Persada</v>
      </c>
    </row>
    <row r="300" spans="1:14" x14ac:dyDescent="0.2">
      <c r="A300" t="s">
        <v>1706</v>
      </c>
      <c r="B300" t="s">
        <v>3559</v>
      </c>
      <c r="C300" t="s">
        <v>8099</v>
      </c>
      <c r="D300" t="str">
        <f t="shared" si="44"/>
        <v>ENVY, ENVY TECHNOLOGIES INDONESIA, Envy Technologies Indonesia, Envy Technologies Indonesia Tbk, EnvyTechnologiesIndonesia, PT Envy Technologies Indonesia, envy technologies indonesia</v>
      </c>
      <c r="E300" t="str">
        <f t="shared" si="45"/>
        <v>ENVY, ENVY TECHNOLOGIES INDONESIA, Envy Technologies Indonesia, Envy Technologies Indonesia Tbk, EnvyTechnologiesIndonesia, PT Envy Technologies Indonesia, envy technologies indonesia</v>
      </c>
      <c r="F300" t="str">
        <f t="shared" si="46"/>
        <v>envy technologies indonesia</v>
      </c>
      <c r="G300" t="str">
        <f t="shared" si="49"/>
        <v>ENVY, ENVY TECHNOLOGIES INDONESIA, Envy Technologies Indonesia, Envy Technologies Indonesia Tbk, EnvyTechnologiesIndonesia, PT Envy Technologies Indonesia</v>
      </c>
      <c r="H300" t="str">
        <f t="shared" si="50"/>
        <v>ENVY, ENVY TECHNOLOGIES INDONESIA, Envy Technologies Indonesia, Envy Technologies Indonesia Tbk, EnvyTechnologiesIndonesia, PT Envy Technologies Indonesia</v>
      </c>
      <c r="I300" t="str">
        <f t="shared" si="47"/>
        <v>ENVY TECHNOLOGIES INDONESIA</v>
      </c>
      <c r="J300" t="str">
        <f t="shared" si="51"/>
        <v>ENVY, Envy Technologies Indonesia, Envy Technologies Indonesia Tbk, EnvyTechnologiesIndonesia, PT Envy Technologies Indonesia</v>
      </c>
      <c r="K300" t="str">
        <f t="shared" si="52"/>
        <v>ENVY, Envy Technologies Indonesia, Envy Technologies Indonesia Tbk, EnvyTechnologiesIndonesia, PT Envy Technologies Indonesia</v>
      </c>
      <c r="L300" t="str">
        <f t="shared" si="48"/>
        <v>EnvyTechnologiesIndonesia</v>
      </c>
      <c r="M300" t="str">
        <f t="shared" si="53"/>
        <v>ENVY, Envy Technologies Indonesia, Envy Technologies Indonesia Tbk, PT Envy Technologies Indonesia</v>
      </c>
      <c r="N300" t="str">
        <f t="shared" si="54"/>
        <v>ENVY, Envy Technologies Indonesia, Envy Technologies Indonesia Tbk, PT Envy Technologies Indonesia</v>
      </c>
    </row>
    <row r="301" spans="1:14" x14ac:dyDescent="0.2">
      <c r="A301" t="s">
        <v>1893</v>
      </c>
      <c r="B301" t="s">
        <v>1894</v>
      </c>
      <c r="C301" t="s">
        <v>8100</v>
      </c>
      <c r="D301" t="str">
        <f t="shared" si="44"/>
        <v>ENZO, MORENZO ABADI PERKASA, Morenzo Abadi Perkasa, Morenzo Abadi Perkasa Tbk, MorenzoAbadiPerkasa, PT Morenzo Abadi Perkasa, morenzo abadi perkasa</v>
      </c>
      <c r="E301" t="str">
        <f t="shared" si="45"/>
        <v>ENZO, MORENZO ABADI PERKASA, Morenzo Abadi Perkasa, Morenzo Abadi Perkasa Tbk, MorenzoAbadiPerkasa, PT Morenzo Abadi Perkasa, morenzo abadi perkasa</v>
      </c>
      <c r="F301" t="str">
        <f t="shared" si="46"/>
        <v>morenzo abadi perkasa</v>
      </c>
      <c r="G301" t="str">
        <f t="shared" si="49"/>
        <v>ENZO, MORENZO ABADI PERKASA, Morenzo Abadi Perkasa, Morenzo Abadi Perkasa Tbk, MorenzoAbadiPerkasa, PT Morenzo Abadi Perkasa</v>
      </c>
      <c r="H301" t="str">
        <f t="shared" si="50"/>
        <v>ENZO, MORENZO ABADI PERKASA, Morenzo Abadi Perkasa, Morenzo Abadi Perkasa Tbk, MorenzoAbadiPerkasa, PT Morenzo Abadi Perkasa</v>
      </c>
      <c r="I301" t="str">
        <f t="shared" si="47"/>
        <v>MORENZO ABADI PERKASA</v>
      </c>
      <c r="J301" t="str">
        <f t="shared" si="51"/>
        <v>ENZO, Morenzo Abadi Perkasa, Morenzo Abadi Perkasa Tbk, MorenzoAbadiPerkasa, PT Morenzo Abadi Perkasa</v>
      </c>
      <c r="K301" t="str">
        <f t="shared" si="52"/>
        <v>ENZO, Morenzo Abadi Perkasa, Morenzo Abadi Perkasa Tbk, MorenzoAbadiPerkasa, PT Morenzo Abadi Perkasa</v>
      </c>
      <c r="L301" t="str">
        <f t="shared" si="48"/>
        <v>MorenzoAbadiPerkasa</v>
      </c>
      <c r="M301" t="str">
        <f t="shared" si="53"/>
        <v>ENZO, Morenzo Abadi Perkasa, Morenzo Abadi Perkasa Tbk, PT Morenzo Abadi Perkasa</v>
      </c>
      <c r="N301" t="str">
        <f t="shared" si="54"/>
        <v>ENZO, Morenzo Abadi Perkasa, Morenzo Abadi Perkasa Tbk, PT Morenzo Abadi Perkasa</v>
      </c>
    </row>
    <row r="302" spans="1:14" x14ac:dyDescent="0.2">
      <c r="A302" t="s">
        <v>1851</v>
      </c>
      <c r="B302" t="s">
        <v>3560</v>
      </c>
      <c r="C302" t="s">
        <v>8101</v>
      </c>
      <c r="D302" t="str">
        <f t="shared" si="44"/>
        <v>EPAC, MEGALESTARI EPACK SENTOSARAYA, Megalestari Epack Sentosaraya, Megalestari Epack Sentosaraya Tbk, MegalestariEpackSentosaraya, PT Megalestari Epack Sentosaraya, megalestari epack sentosaraya</v>
      </c>
      <c r="E302" t="str">
        <f t="shared" si="45"/>
        <v>EPAC, MEGALESTARI EPACK SENTOSARAYA, Megalestari Epack Sentosaraya, Megalestari Epack Sentosaraya Tbk, MegalestariEpackSentosaraya, PT Megalestari Epack Sentosaraya, megalestari epack sentosaraya</v>
      </c>
      <c r="F302" t="str">
        <f t="shared" si="46"/>
        <v>megalestari epack sentosaraya</v>
      </c>
      <c r="G302" t="str">
        <f t="shared" si="49"/>
        <v>EPAC, MEGALESTARI EPACK SENTOSARAYA, Megalestari Epack Sentosaraya, Megalestari Epack Sentosaraya Tbk, MegalestariEpackSentosaraya, PT Megalestari Epack Sentosaraya</v>
      </c>
      <c r="H302" t="str">
        <f t="shared" si="50"/>
        <v>EPAC, MEGALESTARI EPACK SENTOSARAYA, Megalestari Epack Sentosaraya, Megalestari Epack Sentosaraya Tbk, MegalestariEpackSentosaraya, PT Megalestari Epack Sentosaraya</v>
      </c>
      <c r="I302" t="str">
        <f t="shared" si="47"/>
        <v>MEGALESTARI EPACK SENTOSARAYA</v>
      </c>
      <c r="J302" t="str">
        <f t="shared" si="51"/>
        <v>EPAC, Megalestari Epack Sentosaraya, Megalestari Epack Sentosaraya Tbk, MegalestariEpackSentosaraya, PT Megalestari Epack Sentosaraya</v>
      </c>
      <c r="K302" t="str">
        <f t="shared" si="52"/>
        <v>EPAC, Megalestari Epack Sentosaraya, Megalestari Epack Sentosaraya Tbk, MegalestariEpackSentosaraya, PT Megalestari Epack Sentosaraya</v>
      </c>
      <c r="L302" t="str">
        <f t="shared" si="48"/>
        <v>MegalestariEpackSentosaraya</v>
      </c>
      <c r="M302" t="str">
        <f t="shared" si="53"/>
        <v>EPAC, Megalestari Epack Sentosaraya, Megalestari Epack Sentosaraya Tbk, PT Megalestari Epack Sentosaraya</v>
      </c>
      <c r="N302" t="str">
        <f t="shared" si="54"/>
        <v>EPAC, Megalestari Epack Sentosaraya, Megalestari Epack Sentosaraya Tbk, PT Megalestari Epack Sentosaraya</v>
      </c>
    </row>
    <row r="303" spans="1:14" x14ac:dyDescent="0.2">
      <c r="A303" t="s">
        <v>464</v>
      </c>
      <c r="B303" t="s">
        <v>3561</v>
      </c>
      <c r="C303" t="s">
        <v>8102</v>
      </c>
      <c r="D303" t="str">
        <f t="shared" si="44"/>
        <v>EPMT, ENSEVAL PUTERA MEGATRADING, Enseval Putera Megatrading, Enseval Putera Megatrading Tbk, EnsevalPuteraMegatrading, PT Enseval Putera Megatrading, enseval putera megatrading</v>
      </c>
      <c r="E303" t="str">
        <f t="shared" si="45"/>
        <v>EPMT, ENSEVAL PUTERA MEGATRADING, Enseval Putera Megatrading, Enseval Putera Megatrading Tbk, EnsevalPuteraMegatrading, PT Enseval Putera Megatrading, enseval putera megatrading</v>
      </c>
      <c r="F303" t="str">
        <f t="shared" si="46"/>
        <v>enseval putera megatrading</v>
      </c>
      <c r="G303" t="str">
        <f t="shared" si="49"/>
        <v>EPMT, ENSEVAL PUTERA MEGATRADING, Enseval Putera Megatrading, Enseval Putera Megatrading Tbk, EnsevalPuteraMegatrading, PT Enseval Putera Megatrading</v>
      </c>
      <c r="H303" t="str">
        <f t="shared" si="50"/>
        <v>EPMT, ENSEVAL PUTERA MEGATRADING, Enseval Putera Megatrading, Enseval Putera Megatrading Tbk, EnsevalPuteraMegatrading, PT Enseval Putera Megatrading</v>
      </c>
      <c r="I303" t="str">
        <f t="shared" si="47"/>
        <v>ENSEVAL PUTERA MEGATRADING</v>
      </c>
      <c r="J303" t="str">
        <f t="shared" si="51"/>
        <v>EPMT, Enseval Putera Megatrading, Enseval Putera Megatrading Tbk, EnsevalPuteraMegatrading, PT Enseval Putera Megatrading</v>
      </c>
      <c r="K303" t="str">
        <f t="shared" si="52"/>
        <v>EPMT, Enseval Putera Megatrading, Enseval Putera Megatrading Tbk, EnsevalPuteraMegatrading, PT Enseval Putera Megatrading</v>
      </c>
      <c r="L303" t="str">
        <f t="shared" si="48"/>
        <v>EnsevalPuteraMegatrading</v>
      </c>
      <c r="M303" t="str">
        <f t="shared" si="53"/>
        <v>EPMT, Enseval Putera Megatrading, Enseval Putera Megatrading Tbk, PT Enseval Putera Megatrading</v>
      </c>
      <c r="N303" t="str">
        <f t="shared" si="54"/>
        <v>EPMT, Enseval Putera Megatrading, Enseval Putera Megatrading Tbk, PT Enseval Putera Megatrading</v>
      </c>
    </row>
    <row r="304" spans="1:14" x14ac:dyDescent="0.2">
      <c r="A304" t="s">
        <v>467</v>
      </c>
      <c r="B304" t="s">
        <v>468</v>
      </c>
      <c r="C304" t="s">
        <v>8103</v>
      </c>
      <c r="D304" t="str">
        <f t="shared" si="44"/>
        <v>ERAA, ERAJAYA SWASEMBADA, Erajaya Swasembada, Erajaya Swasembada Tbk, ErajayaSwasembada, PT Erajaya Swasembada, erajaya swasembada</v>
      </c>
      <c r="E304" t="str">
        <f t="shared" si="45"/>
        <v>ERAA, ERAJAYA SWASEMBADA, Erajaya Swasembada, Erajaya Swasembada Tbk, ErajayaSwasembada, PT Erajaya Swasembada, erajaya swasembada</v>
      </c>
      <c r="F304" t="str">
        <f t="shared" si="46"/>
        <v>erajaya swasembada</v>
      </c>
      <c r="G304" t="str">
        <f t="shared" si="49"/>
        <v>ERAA, ERAJAYA SWASEMBADA, Erajaya Swasembada, Erajaya Swasembada Tbk, ErajayaSwasembada, PT Erajaya Swasembada</v>
      </c>
      <c r="H304" t="str">
        <f t="shared" si="50"/>
        <v>ERAA, ERAJAYA SWASEMBADA, Erajaya Swasembada, Erajaya Swasembada Tbk, ErajayaSwasembada, PT Erajaya Swasembada</v>
      </c>
      <c r="I304" t="str">
        <f t="shared" si="47"/>
        <v>ERAJAYA SWASEMBADA</v>
      </c>
      <c r="J304" t="str">
        <f t="shared" si="51"/>
        <v>ERAA, Erajaya Swasembada, Erajaya Swasembada Tbk, ErajayaSwasembada, PT Erajaya Swasembada</v>
      </c>
      <c r="K304" t="str">
        <f t="shared" si="52"/>
        <v>ERAA, Erajaya Swasembada, Erajaya Swasembada Tbk, ErajayaSwasembada, PT Erajaya Swasembada</v>
      </c>
      <c r="L304" t="str">
        <f t="shared" si="48"/>
        <v>ErajayaSwasembada</v>
      </c>
      <c r="M304" t="str">
        <f t="shared" si="53"/>
        <v>ERAA, Erajaya Swasembada, Erajaya Swasembada Tbk, PT Erajaya Swasembada</v>
      </c>
      <c r="N304" t="str">
        <f t="shared" si="54"/>
        <v>ERAA, Erajaya Swasembada, Erajaya Swasembada Tbk, PT Erajaya Swasembada</v>
      </c>
    </row>
    <row r="305" spans="1:14" x14ac:dyDescent="0.2">
      <c r="A305" t="s">
        <v>2354</v>
      </c>
      <c r="B305" t="s">
        <v>2355</v>
      </c>
      <c r="C305" t="s">
        <v>8104</v>
      </c>
      <c r="D305" t="str">
        <f t="shared" si="44"/>
        <v>ERAL, PT Sinar Eka Selaras, SES, SINAR EKA SELARAS, Sinar Eka Selaras, Sinar Eka Selaras Tbk, SinarEkaSelaras, sinar eka selaras</v>
      </c>
      <c r="E305" t="str">
        <f t="shared" si="45"/>
        <v>ERAL, PT Sinar Eka Selaras, SES, SINAR EKA SELARAS, Sinar Eka Selaras, Sinar Eka Selaras Tbk, SinarEkaSelaras, sinar eka selaras</v>
      </c>
      <c r="F305" t="str">
        <f t="shared" si="46"/>
        <v>sinar eka selaras</v>
      </c>
      <c r="G305" t="str">
        <f t="shared" si="49"/>
        <v>ERAL, PT Sinar Eka Selaras, SES, SINAR EKA SELARAS, Sinar Eka Selaras, Sinar Eka Selaras Tbk, SinarEkaSelaras</v>
      </c>
      <c r="H305" t="str">
        <f t="shared" si="50"/>
        <v>ERAL, PT Sinar Eka Selaras, SES, SINAR EKA SELARAS, Sinar Eka Selaras, Sinar Eka Selaras Tbk, SinarEkaSelaras</v>
      </c>
      <c r="I305" t="str">
        <f t="shared" si="47"/>
        <v>SINAR EKA SELARAS</v>
      </c>
      <c r="J305" t="str">
        <f t="shared" si="51"/>
        <v>ERAL, PT Sinar Eka Selaras, SES, Sinar Eka Selaras, Sinar Eka Selaras Tbk, SinarEkaSelaras</v>
      </c>
      <c r="K305" t="str">
        <f t="shared" si="52"/>
        <v>ERAL, PT Sinar Eka Selaras, SES, Sinar Eka Selaras, Sinar Eka Selaras Tbk, SinarEkaSelaras</v>
      </c>
      <c r="L305" t="str">
        <f t="shared" si="48"/>
        <v>SinarEkaSelaras</v>
      </c>
      <c r="M305" t="str">
        <f t="shared" si="53"/>
        <v>ERAL, PT Sinar Eka Selaras, SES, Sinar Eka Selaras, Sinar Eka Selaras Tbk</v>
      </c>
      <c r="N305" t="str">
        <f t="shared" si="54"/>
        <v>ERAL, PT Sinar Eka Selaras, SES, Sinar Eka Selaras, Sinar Eka Selaras Tbk</v>
      </c>
    </row>
    <row r="306" spans="1:14" x14ac:dyDescent="0.2">
      <c r="A306" t="s">
        <v>470</v>
      </c>
      <c r="B306" t="s">
        <v>471</v>
      </c>
      <c r="C306" t="s">
        <v>8105</v>
      </c>
      <c r="D306" t="str">
        <f t="shared" si="44"/>
        <v>ERTX, ERATEX DJAJA, Eratex Djaja, Eratex Djaja Tbk, EratexDjaja, PT Eratex Djaja, eratex djaja</v>
      </c>
      <c r="E306" t="str">
        <f t="shared" si="45"/>
        <v>ERTX, ERATEX DJAJA, Eratex Djaja, Eratex Djaja Tbk, EratexDjaja, PT Eratex Djaja, eratex djaja</v>
      </c>
      <c r="F306" t="str">
        <f t="shared" si="46"/>
        <v>eratex djaja</v>
      </c>
      <c r="G306" t="str">
        <f t="shared" si="49"/>
        <v>ERTX, ERATEX DJAJA, Eratex Djaja, Eratex Djaja Tbk, EratexDjaja, PT Eratex Djaja</v>
      </c>
      <c r="H306" t="str">
        <f t="shared" si="50"/>
        <v>ERTX, ERATEX DJAJA, Eratex Djaja, Eratex Djaja Tbk, EratexDjaja, PT Eratex Djaja</v>
      </c>
      <c r="I306" t="str">
        <f t="shared" si="47"/>
        <v>ERATEX DJAJA</v>
      </c>
      <c r="J306" t="str">
        <f t="shared" si="51"/>
        <v>ERTX, Eratex Djaja, Eratex Djaja Tbk, EratexDjaja, PT Eratex Djaja</v>
      </c>
      <c r="K306" t="str">
        <f t="shared" si="52"/>
        <v>ERTX, Eratex Djaja, Eratex Djaja Tbk, EratexDjaja, PT Eratex Djaja</v>
      </c>
      <c r="L306" t="str">
        <f t="shared" si="48"/>
        <v>EratexDjaja</v>
      </c>
      <c r="M306" t="str">
        <f t="shared" si="53"/>
        <v>ERTX, Eratex Djaja, Eratex Djaja Tbk, PT Eratex Djaja</v>
      </c>
      <c r="N306" t="str">
        <f t="shared" si="54"/>
        <v>ERTX, Eratex Djaja, Eratex Djaja Tbk, PT Eratex Djaja</v>
      </c>
    </row>
    <row r="307" spans="1:14" x14ac:dyDescent="0.2">
      <c r="A307" t="s">
        <v>1762</v>
      </c>
      <c r="B307" t="s">
        <v>1763</v>
      </c>
      <c r="C307" t="s">
        <v>8106</v>
      </c>
      <c r="D307" t="str">
        <f t="shared" si="44"/>
        <v>ESIP, PT Sinergi Inti Plastindo, SINERGI INTI PLASTINDO, Sinergi Inti Plastindo, Sinergi Inti Plastindo Tbk, SinergiIntiPlastindo, sinergi inti plastindo</v>
      </c>
      <c r="E307" t="str">
        <f t="shared" si="45"/>
        <v>ESIP, PT Sinergi Inti Plastindo, SINERGI INTI PLASTINDO, Sinergi Inti Plastindo, Sinergi Inti Plastindo Tbk, SinergiIntiPlastindo, sinergi inti plastindo</v>
      </c>
      <c r="F307" t="str">
        <f t="shared" si="46"/>
        <v>sinergi inti plastindo</v>
      </c>
      <c r="G307" t="str">
        <f t="shared" si="49"/>
        <v>ESIP, PT Sinergi Inti Plastindo, SINERGI INTI PLASTINDO, Sinergi Inti Plastindo, Sinergi Inti Plastindo Tbk, SinergiIntiPlastindo</v>
      </c>
      <c r="H307" t="str">
        <f t="shared" si="50"/>
        <v>ESIP, PT Sinergi Inti Plastindo, SINERGI INTI PLASTINDO, Sinergi Inti Plastindo, Sinergi Inti Plastindo Tbk, SinergiIntiPlastindo</v>
      </c>
      <c r="I307" t="str">
        <f t="shared" si="47"/>
        <v>SINERGI INTI PLASTINDO</v>
      </c>
      <c r="J307" t="str">
        <f t="shared" si="51"/>
        <v>ESIP, PT Sinergi Inti Plastindo, Sinergi Inti Plastindo, Sinergi Inti Plastindo Tbk, SinergiIntiPlastindo</v>
      </c>
      <c r="K307" t="str">
        <f t="shared" si="52"/>
        <v>ESIP, PT Sinergi Inti Plastindo, Sinergi Inti Plastindo, Sinergi Inti Plastindo Tbk, SinergiIntiPlastindo</v>
      </c>
      <c r="L307" t="str">
        <f t="shared" si="48"/>
        <v>SinergiIntiPlastindo</v>
      </c>
      <c r="M307" t="str">
        <f t="shared" si="53"/>
        <v>ESIP, PT Sinergi Inti Plastindo, Sinergi Inti Plastindo, Sinergi Inti Plastindo Tbk</v>
      </c>
      <c r="N307" t="str">
        <f t="shared" si="54"/>
        <v>ESIP, PT Sinergi Inti Plastindo, Sinergi Inti Plastindo, Sinergi Inti Plastindo Tbk</v>
      </c>
    </row>
    <row r="308" spans="1:14" x14ac:dyDescent="0.2">
      <c r="A308" t="s">
        <v>473</v>
      </c>
      <c r="B308" t="s">
        <v>474</v>
      </c>
      <c r="C308" t="s">
        <v>8107</v>
      </c>
      <c r="D308" t="str">
        <f t="shared" si="44"/>
        <v>ESSA, ESSA INDUSTRIES INDONESIA, ESSA Industries Indonesia, ESSA Industries Indonesia Tbk, ESSAIndustriesIndonesia, PT ESSA Industries Indonesia, essa industries indonesia</v>
      </c>
      <c r="E308" t="str">
        <f t="shared" si="45"/>
        <v>ESSA, ESSA INDUSTRIES INDONESIA, ESSA Industries Indonesia, ESSA Industries Indonesia Tbk, ESSAIndustriesIndonesia, PT ESSA Industries Indonesia, essa industries indonesia</v>
      </c>
      <c r="F308" t="str">
        <f t="shared" si="46"/>
        <v>essa industries indonesia</v>
      </c>
      <c r="G308" t="str">
        <f t="shared" si="49"/>
        <v>ESSA, ESSA INDUSTRIES INDONESIA, ESSA Industries Indonesia, ESSA Industries Indonesia Tbk, ESSAIndustriesIndonesia, PT ESSA Industries Indonesia</v>
      </c>
      <c r="H308" t="str">
        <f t="shared" si="50"/>
        <v>ESSA, ESSA INDUSTRIES INDONESIA, ESSA Industries Indonesia, ESSA Industries Indonesia Tbk, ESSAIndustriesIndonesia, PT ESSA Industries Indonesia</v>
      </c>
      <c r="I308" t="str">
        <f t="shared" si="47"/>
        <v>ESSA INDUSTRIES INDONESIA</v>
      </c>
      <c r="J308" t="str">
        <f t="shared" si="51"/>
        <v>ESSA, ESSA Industries Indonesia, ESSA Industries Indonesia Tbk, ESSAIndustriesIndonesia, PT ESSA Industries Indonesia</v>
      </c>
      <c r="K308" t="str">
        <f t="shared" si="52"/>
        <v>ESSA, ESSA Industries Indonesia, ESSA Industries Indonesia Tbk, ESSAIndustriesIndonesia, PT ESSA Industries Indonesia</v>
      </c>
      <c r="L308" t="str">
        <f t="shared" si="48"/>
        <v>ESSAIndustriesIndonesia</v>
      </c>
      <c r="M308" t="str">
        <f t="shared" si="53"/>
        <v>ESSA, ESSA Industries Indonesia, ESSA Industries Indonesia Tbk, PT ESSA Industries Indonesia</v>
      </c>
      <c r="N308" t="str">
        <f t="shared" si="54"/>
        <v>ESSA, ESSA Industries Indonesia, ESSA Industries Indonesia Tbk, PT ESSA Industries Indonesia</v>
      </c>
    </row>
    <row r="309" spans="1:14" x14ac:dyDescent="0.2">
      <c r="A309" t="s">
        <v>2593</v>
      </c>
      <c r="B309" t="s">
        <v>2594</v>
      </c>
      <c r="C309" t="s">
        <v>8108</v>
      </c>
      <c r="D309" t="str">
        <f t="shared" si="44"/>
        <v>ESTA, ESTA MULTI USAHA, Esta Multi Usaha, Esta Multi Usaha Tbk, EstaMultiUsaha, PT Esta Multi Usaha, esta multi usaha</v>
      </c>
      <c r="E309" t="str">
        <f t="shared" si="45"/>
        <v>ESTA, ESTA MULTI USAHA, Esta Multi Usaha, Esta Multi Usaha Tbk, EstaMultiUsaha, PT Esta Multi Usaha, esta multi usaha</v>
      </c>
      <c r="F309" t="str">
        <f t="shared" si="46"/>
        <v>esta multi usaha</v>
      </c>
      <c r="G309" t="str">
        <f t="shared" si="49"/>
        <v>ESTA, ESTA MULTI USAHA, Esta Multi Usaha, Esta Multi Usaha Tbk, EstaMultiUsaha, PT Esta Multi Usaha</v>
      </c>
      <c r="H309" t="str">
        <f t="shared" si="50"/>
        <v>ESTA, ESTA MULTI USAHA, Esta Multi Usaha, Esta Multi Usaha Tbk, EstaMultiUsaha, PT Esta Multi Usaha</v>
      </c>
      <c r="I309" t="str">
        <f t="shared" si="47"/>
        <v>ESTA MULTI USAHA</v>
      </c>
      <c r="J309" t="str">
        <f t="shared" si="51"/>
        <v>ESTA, Esta Multi Usaha, Esta Multi Usaha Tbk, EstaMultiUsaha, PT Esta Multi Usaha</v>
      </c>
      <c r="K309" t="str">
        <f t="shared" si="52"/>
        <v>ESTA, Esta Multi Usaha, Esta Multi Usaha Tbk, EstaMultiUsaha, PT Esta Multi Usaha</v>
      </c>
      <c r="L309" t="str">
        <f t="shared" si="48"/>
        <v>EstaMultiUsaha</v>
      </c>
      <c r="M309" t="str">
        <f t="shared" si="53"/>
        <v>ESTA, Esta Multi Usaha, Esta Multi Usaha Tbk, PT Esta Multi Usaha</v>
      </c>
      <c r="N309" t="str">
        <f t="shared" si="54"/>
        <v>ESTA, Esta Multi Usaha, Esta Multi Usaha Tbk, PT Esta Multi Usaha</v>
      </c>
    </row>
    <row r="310" spans="1:14" x14ac:dyDescent="0.2">
      <c r="A310" t="s">
        <v>476</v>
      </c>
      <c r="B310" t="s">
        <v>477</v>
      </c>
      <c r="C310" t="s">
        <v>8109</v>
      </c>
      <c r="D310" t="str">
        <f t="shared" si="44"/>
        <v>ESTI, EVER SHINE TEX, Ever Shine Tex, Ever Shine Tex Tbk, EverShineTex, PT Ever Shine Tex, ever shine tex</v>
      </c>
      <c r="E310" t="str">
        <f t="shared" si="45"/>
        <v>ESTI, EVER SHINE TEX, Ever Shine Tex, Ever Shine Tex Tbk, EverShineTex, PT Ever Shine Tex, ever shine tex</v>
      </c>
      <c r="F310" t="str">
        <f t="shared" si="46"/>
        <v>ever shine tex</v>
      </c>
      <c r="G310" t="str">
        <f t="shared" si="49"/>
        <v>ESTI, EVER SHINE TEX, Ever Shine Tex, Ever Shine Tex Tbk, EverShineTex, PT Ever Shine Tex</v>
      </c>
      <c r="H310" t="str">
        <f t="shared" si="50"/>
        <v>ESTI, EVER SHINE TEX, Ever Shine Tex, Ever Shine Tex Tbk, EverShineTex, PT Ever Shine Tex</v>
      </c>
      <c r="I310" t="str">
        <f t="shared" si="47"/>
        <v>EVER SHINE TEX</v>
      </c>
      <c r="J310" t="str">
        <f t="shared" si="51"/>
        <v>ESTI, Ever Shine Tex, Ever Shine Tex Tbk, EverShineTex, PT Ever Shine Tex</v>
      </c>
      <c r="K310" t="str">
        <f t="shared" si="52"/>
        <v>ESTI, Ever Shine Tex, Ever Shine Tex Tbk, EverShineTex, PT Ever Shine Tex</v>
      </c>
      <c r="L310" t="str">
        <f t="shared" si="48"/>
        <v>EverShineTex</v>
      </c>
      <c r="M310" t="str">
        <f t="shared" si="53"/>
        <v>ESTI, Ever Shine Tex, Ever Shine Tex Tbk, PT Ever Shine Tex</v>
      </c>
      <c r="N310" t="str">
        <f t="shared" si="54"/>
        <v>ESTI, Ever Shine Tex, Ever Shine Tex Tbk, PT Ever Shine Tex</v>
      </c>
    </row>
    <row r="311" spans="1:14" x14ac:dyDescent="0.2">
      <c r="A311" t="s">
        <v>479</v>
      </c>
      <c r="B311" t="s">
        <v>3562</v>
      </c>
      <c r="C311" t="s">
        <v>8110</v>
      </c>
      <c r="D311" t="str">
        <f t="shared" si="44"/>
        <v>ETWA, ETERINDO WAHANATAMA, Eterindo Wahanatama, Eterindo Wahanatama Tbk, EterindoWahanatama, PT Eterindo Wahanatama, eterindo wahanatama</v>
      </c>
      <c r="E311" t="str">
        <f t="shared" si="45"/>
        <v>ETWA, ETERINDO WAHANATAMA, Eterindo Wahanatama, Eterindo Wahanatama Tbk, EterindoWahanatama, PT Eterindo Wahanatama, eterindo wahanatama</v>
      </c>
      <c r="F311" t="str">
        <f t="shared" si="46"/>
        <v>eterindo wahanatama</v>
      </c>
      <c r="G311" t="str">
        <f t="shared" si="49"/>
        <v>ETWA, ETERINDO WAHANATAMA, Eterindo Wahanatama, Eterindo Wahanatama Tbk, EterindoWahanatama, PT Eterindo Wahanatama</v>
      </c>
      <c r="H311" t="str">
        <f t="shared" si="50"/>
        <v>ETWA, ETERINDO WAHANATAMA, Eterindo Wahanatama, Eterindo Wahanatama Tbk, EterindoWahanatama, PT Eterindo Wahanatama</v>
      </c>
      <c r="I311" t="str">
        <f t="shared" si="47"/>
        <v>ETERINDO WAHANATAMA</v>
      </c>
      <c r="J311" t="str">
        <f t="shared" si="51"/>
        <v>ETWA, Eterindo Wahanatama, Eterindo Wahanatama Tbk, EterindoWahanatama, PT Eterindo Wahanatama</v>
      </c>
      <c r="K311" t="str">
        <f t="shared" si="52"/>
        <v>ETWA, Eterindo Wahanatama, Eterindo Wahanatama Tbk, EterindoWahanatama, PT Eterindo Wahanatama</v>
      </c>
      <c r="L311" t="str">
        <f t="shared" si="48"/>
        <v>EterindoWahanatama</v>
      </c>
      <c r="M311" t="str">
        <f t="shared" si="53"/>
        <v>ETWA, Eterindo Wahanatama, Eterindo Wahanatama Tbk, PT Eterindo Wahanatama</v>
      </c>
      <c r="N311" t="str">
        <f t="shared" si="54"/>
        <v>ETWA, Eterindo Wahanatama, Eterindo Wahanatama Tbk, PT Eterindo Wahanatama</v>
      </c>
    </row>
    <row r="312" spans="1:14" x14ac:dyDescent="0.2">
      <c r="A312" t="s">
        <v>2156</v>
      </c>
      <c r="B312" t="s">
        <v>2157</v>
      </c>
      <c r="C312" t="s">
        <v>8111</v>
      </c>
      <c r="D312" t="str">
        <f t="shared" si="44"/>
        <v>EURO, ESTEE GOLD FEET, Estee Gold Feet, Estee Gold Feet Tbk, EsteeGoldFeet, PT Estee Gold Feet, estee gold feet</v>
      </c>
      <c r="E312" t="str">
        <f t="shared" si="45"/>
        <v>EURO, ESTEE GOLD FEET, Estee Gold Feet, Estee Gold Feet Tbk, EsteeGoldFeet, PT Estee Gold Feet, estee gold feet</v>
      </c>
      <c r="F312" t="str">
        <f t="shared" si="46"/>
        <v>estee gold feet</v>
      </c>
      <c r="G312" t="str">
        <f t="shared" si="49"/>
        <v>EURO, ESTEE GOLD FEET, Estee Gold Feet, Estee Gold Feet Tbk, EsteeGoldFeet, PT Estee Gold Feet</v>
      </c>
      <c r="H312" t="str">
        <f t="shared" si="50"/>
        <v>EURO, ESTEE GOLD FEET, Estee Gold Feet, Estee Gold Feet Tbk, EsteeGoldFeet, PT Estee Gold Feet</v>
      </c>
      <c r="I312" t="str">
        <f t="shared" si="47"/>
        <v>ESTEE GOLD FEET</v>
      </c>
      <c r="J312" t="str">
        <f t="shared" si="51"/>
        <v>EURO, Estee Gold Feet, Estee Gold Feet Tbk, EsteeGoldFeet, PT Estee Gold Feet</v>
      </c>
      <c r="K312" t="str">
        <f t="shared" si="52"/>
        <v>EURO, Estee Gold Feet, Estee Gold Feet Tbk, EsteeGoldFeet, PT Estee Gold Feet</v>
      </c>
      <c r="L312" t="str">
        <f t="shared" si="48"/>
        <v>EsteeGoldFeet</v>
      </c>
      <c r="M312" t="str">
        <f t="shared" si="53"/>
        <v>EURO, Estee Gold Feet, Estee Gold Feet Tbk, PT Estee Gold Feet</v>
      </c>
      <c r="N312" t="str">
        <f t="shared" si="54"/>
        <v>EURO, Estee Gold Feet, Estee Gold Feet Tbk, PT Estee Gold Feet</v>
      </c>
    </row>
    <row r="313" spans="1:14" x14ac:dyDescent="0.2">
      <c r="A313" t="s">
        <v>482</v>
      </c>
      <c r="B313" t="s">
        <v>483</v>
      </c>
      <c r="C313" t="s">
        <v>8112</v>
      </c>
      <c r="D313" t="str">
        <f t="shared" si="44"/>
        <v>EXCL, PT XLSMART Telecom Sejahtera, XLSMART TELECOM SEJAHTERA, XLSMART Telecom Sejahtera, XLSMART Telecom Sejahtera Tbk, XLSMARTTelecomSejahtera, XTS, xlsmart telecom sejahtera</v>
      </c>
      <c r="E313" t="str">
        <f t="shared" si="45"/>
        <v>EXCL, PT XLSMART Telecom Sejahtera, XLSMART TELECOM SEJAHTERA, XLSMART Telecom Sejahtera, XLSMART Telecom Sejahtera Tbk, XLSMARTTelecomSejahtera, XTS, xlsmart telecom sejahtera</v>
      </c>
      <c r="F313" t="str">
        <f t="shared" si="46"/>
        <v>xlsmart telecom sejahtera</v>
      </c>
      <c r="G313" t="str">
        <f t="shared" si="49"/>
        <v>EXCL, PT XLSMART Telecom Sejahtera, XLSMART TELECOM SEJAHTERA, XLSMART Telecom Sejahtera, XLSMART Telecom Sejahtera Tbk, XLSMARTTelecomSejahtera, XTS</v>
      </c>
      <c r="H313" t="str">
        <f t="shared" si="50"/>
        <v>EXCL, PT XLSMART Telecom Sejahtera, XLSMART TELECOM SEJAHTERA, XLSMART Telecom Sejahtera, XLSMART Telecom Sejahtera Tbk, XLSMARTTelecomSejahtera, XTS</v>
      </c>
      <c r="I313" t="str">
        <f t="shared" si="47"/>
        <v>XLSMART TELECOM SEJAHTERA</v>
      </c>
      <c r="J313" t="str">
        <f t="shared" si="51"/>
        <v>EXCL, PT XLSMART Telecom Sejahtera, XLSMART Telecom Sejahtera, XLSMART Telecom Sejahtera Tbk, XLSMARTTelecomSejahtera, XTS</v>
      </c>
      <c r="K313" t="str">
        <f t="shared" si="52"/>
        <v>EXCL, PT XLSMART Telecom Sejahtera, XLSMART Telecom Sejahtera, XLSMART Telecom Sejahtera Tbk, XLSMARTTelecomSejahtera, XTS</v>
      </c>
      <c r="L313" t="str">
        <f t="shared" si="48"/>
        <v>XLSMARTTelecomSejahtera</v>
      </c>
      <c r="M313" t="str">
        <f t="shared" si="53"/>
        <v>EXCL, PT XLSMART Telecom Sejahtera, XLSMART Telecom Sejahtera, XLSMART Telecom Sejahtera Tbk, XTS</v>
      </c>
      <c r="N313" t="str">
        <f t="shared" si="54"/>
        <v>EXCL, PT XLSMART Telecom Sejahtera, XLSMART Telecom Sejahtera, XLSMART Telecom Sejahtera Tbk, XTS</v>
      </c>
    </row>
    <row r="314" spans="1:14" x14ac:dyDescent="0.2">
      <c r="A314" t="s">
        <v>2646</v>
      </c>
      <c r="B314" t="s">
        <v>2647</v>
      </c>
      <c r="C314" t="s">
        <v>8113</v>
      </c>
      <c r="D314" t="str">
        <f t="shared" si="44"/>
        <v>FAPA, FAP AGRI, FAP Agri, FAP Agri Tbk, FAPAgri, PT FAP Agri, fap agri</v>
      </c>
      <c r="E314" t="str">
        <f t="shared" si="45"/>
        <v>FAPA, FAP AGRI, FAP Agri, FAP Agri Tbk, FAPAgri, PT FAP Agri, fap agri</v>
      </c>
      <c r="F314" t="str">
        <f t="shared" si="46"/>
        <v>fap agri</v>
      </c>
      <c r="G314" t="str">
        <f t="shared" si="49"/>
        <v>FAPA, FAP AGRI, FAP Agri, FAP Agri Tbk, FAPAgri, PT FAP Agri</v>
      </c>
      <c r="H314" t="str">
        <f t="shared" si="50"/>
        <v>FAPA, FAP AGRI, FAP Agri, FAP Agri Tbk, FAPAgri, PT FAP Agri</v>
      </c>
      <c r="I314" t="str">
        <f t="shared" si="47"/>
        <v>FAP AGRI</v>
      </c>
      <c r="J314" t="str">
        <f t="shared" si="51"/>
        <v>FAPA, FAP Agri, FAP Agri Tbk, FAPAgri, PT FAP Agri</v>
      </c>
      <c r="K314" t="str">
        <f t="shared" si="52"/>
        <v>FAPA, FAP Agri, FAP Agri Tbk, FAPAgri, PT FAP Agri</v>
      </c>
      <c r="L314" t="str">
        <f t="shared" si="48"/>
        <v>FAPAgri</v>
      </c>
      <c r="M314" t="str">
        <f t="shared" si="53"/>
        <v>FAPA, FAP Agri, FAP Agri Tbk, PT FAP Agri</v>
      </c>
      <c r="N314" t="str">
        <f t="shared" si="54"/>
        <v>FAPA, FAP Agri, FAP Agri Tbk, PT FAP Agri</v>
      </c>
    </row>
    <row r="315" spans="1:14" x14ac:dyDescent="0.2">
      <c r="A315" t="s">
        <v>485</v>
      </c>
      <c r="B315" t="s">
        <v>486</v>
      </c>
      <c r="C315" t="s">
        <v>8114</v>
      </c>
      <c r="D315" t="str">
        <f t="shared" si="44"/>
        <v>FAST, FAST FOOD INDONESIA, Fast Food Indonesia, Fast Food Indonesia Tbk, FastFoodIndonesia, PT Fast Food Indonesia, fast food indonesia</v>
      </c>
      <c r="E315" t="str">
        <f t="shared" si="45"/>
        <v>FAST, FAST FOOD INDONESIA, Fast Food Indonesia, Fast Food Indonesia Tbk, FastFoodIndonesia, PT Fast Food Indonesia, fast food indonesia</v>
      </c>
      <c r="F315" t="str">
        <f t="shared" si="46"/>
        <v>fast food indonesia</v>
      </c>
      <c r="G315" t="str">
        <f t="shared" si="49"/>
        <v>FAST, FAST FOOD INDONESIA, Fast Food Indonesia, Fast Food Indonesia Tbk, FastFoodIndonesia, PT Fast Food Indonesia</v>
      </c>
      <c r="H315" t="str">
        <f t="shared" si="50"/>
        <v>FAST, FAST FOOD INDONESIA, Fast Food Indonesia, Fast Food Indonesia Tbk, FastFoodIndonesia, PT Fast Food Indonesia</v>
      </c>
      <c r="I315" t="str">
        <f t="shared" si="47"/>
        <v>FAST FOOD INDONESIA</v>
      </c>
      <c r="J315" t="str">
        <f t="shared" si="51"/>
        <v>FAST, Fast Food Indonesia, Fast Food Indonesia Tbk, FastFoodIndonesia, PT Fast Food Indonesia</v>
      </c>
      <c r="K315" t="str">
        <f t="shared" si="52"/>
        <v>FAST, Fast Food Indonesia, Fast Food Indonesia Tbk, FastFoodIndonesia, PT Fast Food Indonesia</v>
      </c>
      <c r="L315" t="str">
        <f t="shared" si="48"/>
        <v>FastFoodIndonesia</v>
      </c>
      <c r="M315" t="str">
        <f t="shared" si="53"/>
        <v>FAST, Fast Food Indonesia, Fast Food Indonesia Tbk, PT Fast Food Indonesia</v>
      </c>
      <c r="N315" t="str">
        <f t="shared" si="54"/>
        <v>FAST, Fast Food Indonesia, Fast Food Indonesia Tbk, PT Fast Food Indonesia</v>
      </c>
    </row>
    <row r="316" spans="1:14" x14ac:dyDescent="0.2">
      <c r="A316" t="s">
        <v>488</v>
      </c>
      <c r="B316" t="s">
        <v>489</v>
      </c>
      <c r="C316" t="s">
        <v>8115</v>
      </c>
      <c r="D316" t="str">
        <f t="shared" si="44"/>
        <v>FASW, FAJAR SURYA WISESA, Fajar Surya Wisesa, Fajar Surya Wisesa Tbk, FajarSuryaWisesa, PT Fajar Surya Wisesa, fajar surya wisesa</v>
      </c>
      <c r="E316" t="str">
        <f t="shared" si="45"/>
        <v>FASW, FAJAR SURYA WISESA, Fajar Surya Wisesa, Fajar Surya Wisesa Tbk, FajarSuryaWisesa, PT Fajar Surya Wisesa, fajar surya wisesa</v>
      </c>
      <c r="F316" t="str">
        <f t="shared" si="46"/>
        <v>fajar surya wisesa</v>
      </c>
      <c r="G316" t="str">
        <f t="shared" si="49"/>
        <v>FASW, FAJAR SURYA WISESA, Fajar Surya Wisesa, Fajar Surya Wisesa Tbk, FajarSuryaWisesa, PT Fajar Surya Wisesa</v>
      </c>
      <c r="H316" t="str">
        <f t="shared" si="50"/>
        <v>FASW, FAJAR SURYA WISESA, Fajar Surya Wisesa, Fajar Surya Wisesa Tbk, FajarSuryaWisesa, PT Fajar Surya Wisesa</v>
      </c>
      <c r="I316" t="str">
        <f t="shared" si="47"/>
        <v>FAJAR SURYA WISESA</v>
      </c>
      <c r="J316" t="str">
        <f t="shared" si="51"/>
        <v>FASW, Fajar Surya Wisesa, Fajar Surya Wisesa Tbk, FajarSuryaWisesa, PT Fajar Surya Wisesa</v>
      </c>
      <c r="K316" t="str">
        <f t="shared" si="52"/>
        <v>FASW, Fajar Surya Wisesa, Fajar Surya Wisesa Tbk, FajarSuryaWisesa, PT Fajar Surya Wisesa</v>
      </c>
      <c r="L316" t="str">
        <f t="shared" si="48"/>
        <v>FajarSuryaWisesa</v>
      </c>
      <c r="M316" t="str">
        <f t="shared" si="53"/>
        <v>FASW, Fajar Surya Wisesa, Fajar Surya Wisesa Tbk, PT Fajar Surya Wisesa</v>
      </c>
      <c r="N316" t="str">
        <f t="shared" si="54"/>
        <v>FASW, Fajar Surya Wisesa, Fajar Surya Wisesa Tbk, PT Fajar Surya Wisesa</v>
      </c>
    </row>
    <row r="317" spans="1:14" x14ac:dyDescent="0.2">
      <c r="A317" t="s">
        <v>1568</v>
      </c>
      <c r="B317" t="s">
        <v>1569</v>
      </c>
      <c r="C317" t="s">
        <v>8116</v>
      </c>
      <c r="D317" t="str">
        <f t="shared" si="44"/>
        <v>FILM, MD ENTERTAINMENT, MD Entertainment, MD Entertainment Tbk, MDEntertainment, PT MD Entertainment, md entertainment</v>
      </c>
      <c r="E317" t="str">
        <f t="shared" si="45"/>
        <v>FILM, MD ENTERTAINMENT, MD Entertainment, MD Entertainment Tbk, MDEntertainment, PT MD Entertainment, md entertainment</v>
      </c>
      <c r="F317" t="str">
        <f t="shared" si="46"/>
        <v>md entertainment</v>
      </c>
      <c r="G317" t="str">
        <f t="shared" si="49"/>
        <v>FILM, MD ENTERTAINMENT, MD Entertainment, MD Entertainment Tbk, MDEntertainment, PT MD Entertainment</v>
      </c>
      <c r="H317" t="str">
        <f t="shared" si="50"/>
        <v>FILM, MD ENTERTAINMENT, MD Entertainment, MD Entertainment Tbk, MDEntertainment, PT MD Entertainment</v>
      </c>
      <c r="I317" t="str">
        <f t="shared" si="47"/>
        <v>MD ENTERTAINMENT</v>
      </c>
      <c r="J317" t="str">
        <f t="shared" si="51"/>
        <v>FILM, MD Entertainment, MD Entertainment Tbk, MDEntertainment, PT MD Entertainment</v>
      </c>
      <c r="K317" t="str">
        <f t="shared" si="52"/>
        <v>FILM, MD Entertainment, MD Entertainment Tbk, MDEntertainment, PT MD Entertainment</v>
      </c>
      <c r="L317" t="str">
        <f t="shared" si="48"/>
        <v>MDEntertainment</v>
      </c>
      <c r="M317" t="str">
        <f t="shared" si="53"/>
        <v>FILM, MD Entertainment, MD Entertainment Tbk, PT MD Entertainment</v>
      </c>
      <c r="N317" t="str">
        <f t="shared" si="54"/>
        <v>FILM, MD Entertainment, MD Entertainment Tbk, PT MD Entertainment</v>
      </c>
    </row>
    <row r="318" spans="1:14" x14ac:dyDescent="0.2">
      <c r="A318" t="s">
        <v>1933</v>
      </c>
      <c r="B318" t="s">
        <v>1934</v>
      </c>
      <c r="C318" t="s">
        <v>8117</v>
      </c>
      <c r="D318" t="str">
        <f t="shared" si="44"/>
        <v>FIMP, FIMPERKASA UTAMA, Fimperkasa Utama, Fimperkasa Utama Tbk, FimperkasaUtama, PT Fimperkasa Utama, fimperkasa utama</v>
      </c>
      <c r="E318" t="str">
        <f t="shared" si="45"/>
        <v>FIMP, FIMPERKASA UTAMA, Fimperkasa Utama, Fimperkasa Utama Tbk, FimperkasaUtama, PT Fimperkasa Utama, fimperkasa utama</v>
      </c>
      <c r="F318" t="str">
        <f t="shared" si="46"/>
        <v>fimperkasa utama</v>
      </c>
      <c r="G318" t="str">
        <f t="shared" si="49"/>
        <v>FIMP, FIMPERKASA UTAMA, Fimperkasa Utama, Fimperkasa Utama Tbk, FimperkasaUtama, PT Fimperkasa Utama</v>
      </c>
      <c r="H318" t="str">
        <f t="shared" si="50"/>
        <v>FIMP, FIMPERKASA UTAMA, Fimperkasa Utama, Fimperkasa Utama Tbk, FimperkasaUtama, PT Fimperkasa Utama</v>
      </c>
      <c r="I318" t="str">
        <f t="shared" si="47"/>
        <v>FIMPERKASA UTAMA</v>
      </c>
      <c r="J318" t="str">
        <f t="shared" si="51"/>
        <v>FIMP, Fimperkasa Utama, Fimperkasa Utama Tbk, FimperkasaUtama, PT Fimperkasa Utama</v>
      </c>
      <c r="K318" t="str">
        <f t="shared" si="52"/>
        <v>FIMP, Fimperkasa Utama, Fimperkasa Utama Tbk, FimperkasaUtama, PT Fimperkasa Utama</v>
      </c>
      <c r="L318" t="str">
        <f t="shared" si="48"/>
        <v>FimperkasaUtama</v>
      </c>
      <c r="M318" t="str">
        <f t="shared" si="53"/>
        <v>FIMP, Fimperkasa Utama, Fimperkasa Utama Tbk, PT Fimperkasa Utama</v>
      </c>
      <c r="N318" t="str">
        <f t="shared" si="54"/>
        <v>FIMP, Fimperkasa Utama, Fimperkasa Utama Tbk, PT Fimperkasa Utama</v>
      </c>
    </row>
    <row r="319" spans="1:14" x14ac:dyDescent="0.2">
      <c r="A319" t="s">
        <v>1410</v>
      </c>
      <c r="B319" t="s">
        <v>1411</v>
      </c>
      <c r="C319" t="s">
        <v>8118</v>
      </c>
      <c r="D319" t="str">
        <f t="shared" si="44"/>
        <v>FIRE, ALFA ENERGI INVESTAMA, Alfa Energi Investama, Alfa Energi Investama Tbk, AlfaEnergiInvestama, PT Alfa Energi Investama, alfa energi investama</v>
      </c>
      <c r="E319" t="str">
        <f t="shared" si="45"/>
        <v>FIRE, ALFA ENERGI INVESTAMA, Alfa Energi Investama, Alfa Energi Investama Tbk, AlfaEnergiInvestama, PT Alfa Energi Investama, alfa energi investama</v>
      </c>
      <c r="F319" t="str">
        <f t="shared" si="46"/>
        <v>alfa energi investama</v>
      </c>
      <c r="G319" t="str">
        <f t="shared" si="49"/>
        <v>FIRE, ALFA ENERGI INVESTAMA, Alfa Energi Investama, Alfa Energi Investama Tbk, AlfaEnergiInvestama, PT Alfa Energi Investama</v>
      </c>
      <c r="H319" t="str">
        <f t="shared" si="50"/>
        <v>FIRE, ALFA ENERGI INVESTAMA, Alfa Energi Investama, Alfa Energi Investama Tbk, AlfaEnergiInvestama, PT Alfa Energi Investama</v>
      </c>
      <c r="I319" t="str">
        <f t="shared" si="47"/>
        <v>ALFA ENERGI INVESTAMA</v>
      </c>
      <c r="J319" t="str">
        <f t="shared" si="51"/>
        <v>FIRE, Alfa Energi Investama, Alfa Energi Investama Tbk, AlfaEnergiInvestama, PT Alfa Energi Investama</v>
      </c>
      <c r="K319" t="str">
        <f t="shared" si="52"/>
        <v>FIRE, Alfa Energi Investama, Alfa Energi Investama Tbk, AlfaEnergiInvestama, PT Alfa Energi Investama</v>
      </c>
      <c r="L319" t="str">
        <f t="shared" si="48"/>
        <v>AlfaEnergiInvestama</v>
      </c>
      <c r="M319" t="str">
        <f t="shared" si="53"/>
        <v>FIRE, Alfa Energi Investama, Alfa Energi Investama Tbk, PT Alfa Energi Investama</v>
      </c>
      <c r="N319" t="str">
        <f t="shared" si="54"/>
        <v>FIRE, Alfa Energi Investama, Alfa Energi Investama Tbk, PT Alfa Energi Investama</v>
      </c>
    </row>
    <row r="320" spans="1:14" x14ac:dyDescent="0.2">
      <c r="A320" t="s">
        <v>491</v>
      </c>
      <c r="B320" t="s">
        <v>492</v>
      </c>
      <c r="C320" t="s">
        <v>8119</v>
      </c>
      <c r="D320" t="str">
        <f t="shared" si="44"/>
        <v>FISH, FKS MULTI AGRO, FKS Multi Agro, FKS Multi Agro Tbk, FKSMultiAgro, PT FKS Multi Agro, fks multi agro</v>
      </c>
      <c r="E320" t="str">
        <f t="shared" si="45"/>
        <v>FISH, FKS MULTI AGRO, FKS Multi Agro, FKS Multi Agro Tbk, FKSMultiAgro, PT FKS Multi Agro, fks multi agro</v>
      </c>
      <c r="F320" t="str">
        <f t="shared" si="46"/>
        <v>fks multi agro</v>
      </c>
      <c r="G320" t="str">
        <f t="shared" si="49"/>
        <v>FISH, FKS MULTI AGRO, FKS Multi Agro, FKS Multi Agro Tbk, FKSMultiAgro, PT FKS Multi Agro</v>
      </c>
      <c r="H320" t="str">
        <f t="shared" si="50"/>
        <v>FISH, FKS MULTI AGRO, FKS Multi Agro, FKS Multi Agro Tbk, FKSMultiAgro, PT FKS Multi Agro</v>
      </c>
      <c r="I320" t="str">
        <f t="shared" si="47"/>
        <v>FKS MULTI AGRO</v>
      </c>
      <c r="J320" t="str">
        <f t="shared" si="51"/>
        <v>FISH, FKS Multi Agro, FKS Multi Agro Tbk, FKSMultiAgro, PT FKS Multi Agro</v>
      </c>
      <c r="K320" t="str">
        <f t="shared" si="52"/>
        <v>FISH, FKS Multi Agro, FKS Multi Agro Tbk, FKSMultiAgro, PT FKS Multi Agro</v>
      </c>
      <c r="L320" t="str">
        <f t="shared" si="48"/>
        <v>FKSMultiAgro</v>
      </c>
      <c r="M320" t="str">
        <f t="shared" si="53"/>
        <v>FISH, FKS Multi Agro, FKS Multi Agro Tbk, PT FKS Multi Agro</v>
      </c>
      <c r="N320" t="str">
        <f t="shared" si="54"/>
        <v>FISH, FKS Multi Agro, FKS Multi Agro Tbk, PT FKS Multi Agro</v>
      </c>
    </row>
    <row r="321" spans="1:14" x14ac:dyDescent="0.2">
      <c r="A321" t="s">
        <v>1675</v>
      </c>
      <c r="B321" t="s">
        <v>1676</v>
      </c>
      <c r="C321" t="s">
        <v>8120</v>
      </c>
      <c r="D321" t="str">
        <f t="shared" si="44"/>
        <v>FITT, HOTEL FITRA INTERNATIONAL, Hotel Fitra International, Hotel Fitra International Tbk, HotelFitraInternational, PT Hotel Fitra International, hotel fitra international</v>
      </c>
      <c r="E321" t="str">
        <f t="shared" si="45"/>
        <v>FITT, HOTEL FITRA INTERNATIONAL, Hotel Fitra International, Hotel Fitra International Tbk, HotelFitraInternational, PT Hotel Fitra International, hotel fitra international</v>
      </c>
      <c r="F321" t="str">
        <f t="shared" si="46"/>
        <v>hotel fitra international</v>
      </c>
      <c r="G321" t="str">
        <f t="shared" si="49"/>
        <v>FITT, HOTEL FITRA INTERNATIONAL, Hotel Fitra International, Hotel Fitra International Tbk, HotelFitraInternational, PT Hotel Fitra International</v>
      </c>
      <c r="H321" t="str">
        <f t="shared" si="50"/>
        <v>FITT, HOTEL FITRA INTERNATIONAL, Hotel Fitra International, Hotel Fitra International Tbk, HotelFitraInternational, PT Hotel Fitra International</v>
      </c>
      <c r="I321" t="str">
        <f t="shared" si="47"/>
        <v>HOTEL FITRA INTERNATIONAL</v>
      </c>
      <c r="J321" t="str">
        <f t="shared" si="51"/>
        <v>FITT, Hotel Fitra International, Hotel Fitra International Tbk, HotelFitraInternational, PT Hotel Fitra International</v>
      </c>
      <c r="K321" t="str">
        <f t="shared" si="52"/>
        <v>FITT, Hotel Fitra International, Hotel Fitra International Tbk, HotelFitraInternational, PT Hotel Fitra International</v>
      </c>
      <c r="L321" t="str">
        <f t="shared" si="48"/>
        <v>HotelFitraInternational</v>
      </c>
      <c r="M321" t="str">
        <f t="shared" si="53"/>
        <v>FITT, Hotel Fitra International, Hotel Fitra International Tbk, PT Hotel Fitra International</v>
      </c>
      <c r="N321" t="str">
        <f t="shared" si="54"/>
        <v>FITT, Hotel Fitra International, Hotel Fitra International Tbk, PT Hotel Fitra International</v>
      </c>
    </row>
    <row r="322" spans="1:14" x14ac:dyDescent="0.2">
      <c r="A322" t="s">
        <v>1972</v>
      </c>
      <c r="B322" t="s">
        <v>1973</v>
      </c>
      <c r="C322" t="s">
        <v>8121</v>
      </c>
      <c r="D322" t="str">
        <f t="shared" ref="D322:D385" si="55">SUBSTITUTE(C322, _xlfn.CONCAT(", ", B322), "")</f>
        <v>FLMC, FALMACO NONWOVEN INDUSTRI, Falmaco Nonwoven Industri, Falmaco Nonwoven Industri Tbk, FalmacoNonwovenIndustri, PT Falmaco Nonwoven Industri, falmaco nonwoven industri</v>
      </c>
      <c r="E322" t="str">
        <f t="shared" ref="E322:E385" si="56">SUBSTITUTE(D322, _xlfn.CONCAT(B322, ", "), "")</f>
        <v>FLMC, FALMACO NONWOVEN INDUSTRI, Falmaco Nonwoven Industri, Falmaco Nonwoven Industri Tbk, FalmacoNonwovenIndustri, PT Falmaco Nonwoven Industri, falmaco nonwoven industri</v>
      </c>
      <c r="F322" t="str">
        <f t="shared" ref="F322:F385" si="57">LOWER(MID(B322, 1, FIND(" Tbk.", B322)-1))</f>
        <v>falmaco nonwoven industri</v>
      </c>
      <c r="G322" t="str">
        <f t="shared" si="49"/>
        <v>FLMC, FALMACO NONWOVEN INDUSTRI, Falmaco Nonwoven Industri, Falmaco Nonwoven Industri Tbk, FalmacoNonwovenIndustri, PT Falmaco Nonwoven Industri</v>
      </c>
      <c r="H322" t="str">
        <f t="shared" si="50"/>
        <v>FLMC, FALMACO NONWOVEN INDUSTRI, Falmaco Nonwoven Industri, Falmaco Nonwoven Industri Tbk, FalmacoNonwovenIndustri, PT Falmaco Nonwoven Industri</v>
      </c>
      <c r="I322" t="str">
        <f t="shared" ref="I322:I385" si="58">UPPER(MID(B322, 1, FIND(" Tbk.", B322)-1))</f>
        <v>FALMACO NONWOVEN INDUSTRI</v>
      </c>
      <c r="J322" t="str">
        <f t="shared" si="51"/>
        <v>FLMC, Falmaco Nonwoven Industri, Falmaco Nonwoven Industri Tbk, FalmacoNonwovenIndustri, PT Falmaco Nonwoven Industri</v>
      </c>
      <c r="K322" t="str">
        <f t="shared" si="52"/>
        <v>FLMC, Falmaco Nonwoven Industri, Falmaco Nonwoven Industri Tbk, FalmacoNonwovenIndustri, PT Falmaco Nonwoven Industri</v>
      </c>
      <c r="L322" t="str">
        <f t="shared" ref="L322:L385" si="59">SUBSTITUTE(MID(B322, 1, FIND(" Tbk.", B322)-1), " ", "")</f>
        <v>FalmacoNonwovenIndustri</v>
      </c>
      <c r="M322" t="str">
        <f t="shared" si="53"/>
        <v>FLMC, Falmaco Nonwoven Industri, Falmaco Nonwoven Industri Tbk, PT Falmaco Nonwoven Industri</v>
      </c>
      <c r="N322" t="str">
        <f t="shared" si="54"/>
        <v>FLMC, Falmaco Nonwoven Industri, Falmaco Nonwoven Industri Tbk, PT Falmaco Nonwoven Industri</v>
      </c>
    </row>
    <row r="323" spans="1:14" x14ac:dyDescent="0.2">
      <c r="A323" t="s">
        <v>494</v>
      </c>
      <c r="B323" t="s">
        <v>3563</v>
      </c>
      <c r="C323" t="s">
        <v>8122</v>
      </c>
      <c r="D323" t="str">
        <f t="shared" si="55"/>
        <v>FMII, FORTUNE MATE INDONESIA, Fortune Mate Indonesia, Fortune Mate Indonesia Tbk, FortuneMateIndonesia, PT Fortune Mate Indonesia, fortune mate indonesia</v>
      </c>
      <c r="E323" t="str">
        <f t="shared" si="56"/>
        <v>FMII, FORTUNE MATE INDONESIA, Fortune Mate Indonesia, Fortune Mate Indonesia Tbk, FortuneMateIndonesia, PT Fortune Mate Indonesia, fortune mate indonesia</v>
      </c>
      <c r="F323" t="str">
        <f t="shared" si="57"/>
        <v>fortune mate indonesia</v>
      </c>
      <c r="G323" t="str">
        <f t="shared" ref="G323:G386" si="60">SUBSTITUTE(E323, _xlfn.CONCAT(", ", F323), "")</f>
        <v>FMII, FORTUNE MATE INDONESIA, Fortune Mate Indonesia, Fortune Mate Indonesia Tbk, FortuneMateIndonesia, PT Fortune Mate Indonesia</v>
      </c>
      <c r="H323" t="str">
        <f t="shared" ref="H323:H386" si="61">SUBSTITUTE(G323, _xlfn.CONCAT(F323, ", "), "")</f>
        <v>FMII, FORTUNE MATE INDONESIA, Fortune Mate Indonesia, Fortune Mate Indonesia Tbk, FortuneMateIndonesia, PT Fortune Mate Indonesia</v>
      </c>
      <c r="I323" t="str">
        <f t="shared" si="58"/>
        <v>FORTUNE MATE INDONESIA</v>
      </c>
      <c r="J323" t="str">
        <f t="shared" ref="J323:J386" si="62">SUBSTITUTE(H323, _xlfn.CONCAT(", ", I323), "")</f>
        <v>FMII, Fortune Mate Indonesia, Fortune Mate Indonesia Tbk, FortuneMateIndonesia, PT Fortune Mate Indonesia</v>
      </c>
      <c r="K323" t="str">
        <f t="shared" ref="K323:K386" si="63">SUBSTITUTE(J323, _xlfn.CONCAT(I323, ", "), "")</f>
        <v>FMII, Fortune Mate Indonesia, Fortune Mate Indonesia Tbk, FortuneMateIndonesia, PT Fortune Mate Indonesia</v>
      </c>
      <c r="L323" t="str">
        <f t="shared" si="59"/>
        <v>FortuneMateIndonesia</v>
      </c>
      <c r="M323" t="str">
        <f t="shared" ref="M323:M386" si="64">SUBSTITUTE(K323, _xlfn.CONCAT(", ", L323), "")</f>
        <v>FMII, Fortune Mate Indonesia, Fortune Mate Indonesia Tbk, PT Fortune Mate Indonesia</v>
      </c>
      <c r="N323" t="str">
        <f t="shared" ref="N323:N386" si="65">SUBSTITUTE(M323, _xlfn.CONCAT(L323, ", "), "")</f>
        <v>FMII, Fortune Mate Indonesia, Fortune Mate Indonesia Tbk, PT Fortune Mate Indonesia</v>
      </c>
    </row>
    <row r="324" spans="1:14" x14ac:dyDescent="0.2">
      <c r="A324" t="s">
        <v>2342</v>
      </c>
      <c r="B324" t="s">
        <v>2343</v>
      </c>
      <c r="C324" t="s">
        <v>8123</v>
      </c>
      <c r="D324" t="str">
        <f t="shared" si="55"/>
        <v>FOLK, MULTI GARAM UTAMA, Multi Garam Utama, Multi Garam Utama Tbk, MultiGaramUtama, PT Multi Garam Utama, multi garam utama</v>
      </c>
      <c r="E324" t="str">
        <f t="shared" si="56"/>
        <v>FOLK, MULTI GARAM UTAMA, Multi Garam Utama, Multi Garam Utama Tbk, MultiGaramUtama, PT Multi Garam Utama, multi garam utama</v>
      </c>
      <c r="F324" t="str">
        <f t="shared" si="57"/>
        <v>multi garam utama</v>
      </c>
      <c r="G324" t="str">
        <f t="shared" si="60"/>
        <v>FOLK, MULTI GARAM UTAMA, Multi Garam Utama, Multi Garam Utama Tbk, MultiGaramUtama, PT Multi Garam Utama</v>
      </c>
      <c r="H324" t="str">
        <f t="shared" si="61"/>
        <v>FOLK, MULTI GARAM UTAMA, Multi Garam Utama, Multi Garam Utama Tbk, MultiGaramUtama, PT Multi Garam Utama</v>
      </c>
      <c r="I324" t="str">
        <f t="shared" si="58"/>
        <v>MULTI GARAM UTAMA</v>
      </c>
      <c r="J324" t="str">
        <f t="shared" si="62"/>
        <v>FOLK, Multi Garam Utama, Multi Garam Utama Tbk, MultiGaramUtama, PT Multi Garam Utama</v>
      </c>
      <c r="K324" t="str">
        <f t="shared" si="63"/>
        <v>FOLK, Multi Garam Utama, Multi Garam Utama Tbk, MultiGaramUtama, PT Multi Garam Utama</v>
      </c>
      <c r="L324" t="str">
        <f t="shared" si="59"/>
        <v>MultiGaramUtama</v>
      </c>
      <c r="M324" t="str">
        <f t="shared" si="64"/>
        <v>FOLK, Multi Garam Utama, Multi Garam Utama Tbk, PT Multi Garam Utama</v>
      </c>
      <c r="N324" t="str">
        <f t="shared" si="65"/>
        <v>FOLK, Multi Garam Utama, Multi Garam Utama Tbk, PT Multi Garam Utama</v>
      </c>
    </row>
    <row r="325" spans="1:14" x14ac:dyDescent="0.2">
      <c r="A325" t="s">
        <v>1641</v>
      </c>
      <c r="B325" t="s">
        <v>1642</v>
      </c>
      <c r="C325" t="s">
        <v>8124</v>
      </c>
      <c r="D325" t="str">
        <f t="shared" si="55"/>
        <v>FOOD, PT Sentra Food Indonesia, SENTRA FOOD INDONESIA, Sentra Food Indonesia, Sentra Food Indonesia Tbk, SentraFoodIndonesia, sentra food indonesia</v>
      </c>
      <c r="E325" t="str">
        <f t="shared" si="56"/>
        <v>FOOD, PT Sentra Food Indonesia, SENTRA FOOD INDONESIA, Sentra Food Indonesia, Sentra Food Indonesia Tbk, SentraFoodIndonesia, sentra food indonesia</v>
      </c>
      <c r="F325" t="str">
        <f t="shared" si="57"/>
        <v>sentra food indonesia</v>
      </c>
      <c r="G325" t="str">
        <f t="shared" si="60"/>
        <v>FOOD, PT Sentra Food Indonesia, SENTRA FOOD INDONESIA, Sentra Food Indonesia, Sentra Food Indonesia Tbk, SentraFoodIndonesia</v>
      </c>
      <c r="H325" t="str">
        <f t="shared" si="61"/>
        <v>FOOD, PT Sentra Food Indonesia, SENTRA FOOD INDONESIA, Sentra Food Indonesia, Sentra Food Indonesia Tbk, SentraFoodIndonesia</v>
      </c>
      <c r="I325" t="str">
        <f t="shared" si="58"/>
        <v>SENTRA FOOD INDONESIA</v>
      </c>
      <c r="J325" t="str">
        <f t="shared" si="62"/>
        <v>FOOD, PT Sentra Food Indonesia, Sentra Food Indonesia, Sentra Food Indonesia Tbk, SentraFoodIndonesia</v>
      </c>
      <c r="K325" t="str">
        <f t="shared" si="63"/>
        <v>FOOD, PT Sentra Food Indonesia, Sentra Food Indonesia, Sentra Food Indonesia Tbk, SentraFoodIndonesia</v>
      </c>
      <c r="L325" t="str">
        <f t="shared" si="59"/>
        <v>SentraFoodIndonesia</v>
      </c>
      <c r="M325" t="str">
        <f t="shared" si="64"/>
        <v>FOOD, PT Sentra Food Indonesia, Sentra Food Indonesia, Sentra Food Indonesia Tbk</v>
      </c>
      <c r="N325" t="str">
        <f t="shared" si="65"/>
        <v>FOOD, PT Sentra Food Indonesia, Sentra Food Indonesia, Sentra Food Indonesia Tbk</v>
      </c>
    </row>
    <row r="326" spans="1:14" x14ac:dyDescent="0.2">
      <c r="A326" t="s">
        <v>2575</v>
      </c>
      <c r="B326" t="s">
        <v>2576</v>
      </c>
      <c r="C326" t="s">
        <v>8125</v>
      </c>
      <c r="D326" t="str">
        <f t="shared" si="55"/>
        <v>FORE, FORE KOPI INDONESIA, Fore Kopi Indonesia, Fore Kopi Indonesia Tbk, ForeKopiIndonesia, PT Fore Kopi Indonesia, fore kopi indonesia</v>
      </c>
      <c r="E326" t="str">
        <f t="shared" si="56"/>
        <v>FORE, FORE KOPI INDONESIA, Fore Kopi Indonesia, Fore Kopi Indonesia Tbk, ForeKopiIndonesia, PT Fore Kopi Indonesia, fore kopi indonesia</v>
      </c>
      <c r="F326" t="str">
        <f t="shared" si="57"/>
        <v>fore kopi indonesia</v>
      </c>
      <c r="G326" t="str">
        <f t="shared" si="60"/>
        <v>FORE, FORE KOPI INDONESIA, Fore Kopi Indonesia, Fore Kopi Indonesia Tbk, ForeKopiIndonesia, PT Fore Kopi Indonesia</v>
      </c>
      <c r="H326" t="str">
        <f t="shared" si="61"/>
        <v>FORE, FORE KOPI INDONESIA, Fore Kopi Indonesia, Fore Kopi Indonesia Tbk, ForeKopiIndonesia, PT Fore Kopi Indonesia</v>
      </c>
      <c r="I326" t="str">
        <f t="shared" si="58"/>
        <v>FORE KOPI INDONESIA</v>
      </c>
      <c r="J326" t="str">
        <f t="shared" si="62"/>
        <v>FORE, Fore Kopi Indonesia, Fore Kopi Indonesia Tbk, ForeKopiIndonesia, PT Fore Kopi Indonesia</v>
      </c>
      <c r="K326" t="str">
        <f t="shared" si="63"/>
        <v>FORE, Fore Kopi Indonesia, Fore Kopi Indonesia Tbk, ForeKopiIndonesia, PT Fore Kopi Indonesia</v>
      </c>
      <c r="L326" t="str">
        <f t="shared" si="59"/>
        <v>ForeKopiIndonesia</v>
      </c>
      <c r="M326" t="str">
        <f t="shared" si="64"/>
        <v>FORE, Fore Kopi Indonesia, Fore Kopi Indonesia Tbk, PT Fore Kopi Indonesia</v>
      </c>
      <c r="N326" t="str">
        <f t="shared" si="65"/>
        <v>FORE, Fore Kopi Indonesia, Fore Kopi Indonesia Tbk, PT Fore Kopi Indonesia</v>
      </c>
    </row>
    <row r="327" spans="1:14" x14ac:dyDescent="0.2">
      <c r="A327" t="s">
        <v>497</v>
      </c>
      <c r="B327" t="s">
        <v>3564</v>
      </c>
      <c r="C327" t="s">
        <v>8126</v>
      </c>
      <c r="D327" t="str">
        <f t="shared" si="55"/>
        <v>FORU, FORTUNE INDONESIA, Fortune Indonesia, Fortune Indonesia Tbk, FortuneIndonesia, PT Fortune Indonesia, fortune indonesia</v>
      </c>
      <c r="E327" t="str">
        <f t="shared" si="56"/>
        <v>FORU, FORTUNE INDONESIA, Fortune Indonesia, Fortune Indonesia Tbk, FortuneIndonesia, PT Fortune Indonesia, fortune indonesia</v>
      </c>
      <c r="F327" t="str">
        <f t="shared" si="57"/>
        <v>fortune indonesia</v>
      </c>
      <c r="G327" t="str">
        <f t="shared" si="60"/>
        <v>FORU, FORTUNE INDONESIA, Fortune Indonesia, Fortune Indonesia Tbk, FortuneIndonesia, PT Fortune Indonesia</v>
      </c>
      <c r="H327" t="str">
        <f t="shared" si="61"/>
        <v>FORU, FORTUNE INDONESIA, Fortune Indonesia, Fortune Indonesia Tbk, FortuneIndonesia, PT Fortune Indonesia</v>
      </c>
      <c r="I327" t="str">
        <f t="shared" si="58"/>
        <v>FORTUNE INDONESIA</v>
      </c>
      <c r="J327" t="str">
        <f t="shared" si="62"/>
        <v>FORU, Fortune Indonesia, Fortune Indonesia Tbk, FortuneIndonesia, PT Fortune Indonesia</v>
      </c>
      <c r="K327" t="str">
        <f t="shared" si="63"/>
        <v>FORU, Fortune Indonesia, Fortune Indonesia Tbk, FortuneIndonesia, PT Fortune Indonesia</v>
      </c>
      <c r="L327" t="str">
        <f t="shared" si="59"/>
        <v>FortuneIndonesia</v>
      </c>
      <c r="M327" t="str">
        <f t="shared" si="64"/>
        <v>FORU, Fortune Indonesia, Fortune Indonesia Tbk, PT Fortune Indonesia</v>
      </c>
      <c r="N327" t="str">
        <f t="shared" si="65"/>
        <v>FORU, Fortune Indonesia, Fortune Indonesia Tbk, PT Fortune Indonesia</v>
      </c>
    </row>
    <row r="328" spans="1:14" x14ac:dyDescent="0.2">
      <c r="A328" t="s">
        <v>500</v>
      </c>
      <c r="B328" t="s">
        <v>501</v>
      </c>
      <c r="C328" t="s">
        <v>8127</v>
      </c>
      <c r="D328" t="str">
        <f t="shared" si="55"/>
        <v>FPNI, LOTTE CHEMICAL TITAN, Lotte Chemical Titan, Lotte Chemical Titan Tbk, LotteChemicalTitan, PT Lotte Chemical Titan, lotte chemical titan</v>
      </c>
      <c r="E328" t="str">
        <f t="shared" si="56"/>
        <v>FPNI, LOTTE CHEMICAL TITAN, Lotte Chemical Titan, Lotte Chemical Titan Tbk, LotteChemicalTitan, PT Lotte Chemical Titan, lotte chemical titan</v>
      </c>
      <c r="F328" t="str">
        <f t="shared" si="57"/>
        <v>lotte chemical titan</v>
      </c>
      <c r="G328" t="str">
        <f t="shared" si="60"/>
        <v>FPNI, LOTTE CHEMICAL TITAN, Lotte Chemical Titan, Lotte Chemical Titan Tbk, LotteChemicalTitan, PT Lotte Chemical Titan</v>
      </c>
      <c r="H328" t="str">
        <f t="shared" si="61"/>
        <v>FPNI, LOTTE CHEMICAL TITAN, Lotte Chemical Titan, Lotte Chemical Titan Tbk, LotteChemicalTitan, PT Lotte Chemical Titan</v>
      </c>
      <c r="I328" t="str">
        <f t="shared" si="58"/>
        <v>LOTTE CHEMICAL TITAN</v>
      </c>
      <c r="J328" t="str">
        <f t="shared" si="62"/>
        <v>FPNI, Lotte Chemical Titan, Lotte Chemical Titan Tbk, LotteChemicalTitan, PT Lotte Chemical Titan</v>
      </c>
      <c r="K328" t="str">
        <f t="shared" si="63"/>
        <v>FPNI, Lotte Chemical Titan, Lotte Chemical Titan Tbk, LotteChemicalTitan, PT Lotte Chemical Titan</v>
      </c>
      <c r="L328" t="str">
        <f t="shared" si="59"/>
        <v>LotteChemicalTitan</v>
      </c>
      <c r="M328" t="str">
        <f t="shared" si="64"/>
        <v>FPNI, Lotte Chemical Titan, Lotte Chemical Titan Tbk, PT Lotte Chemical Titan</v>
      </c>
      <c r="N328" t="str">
        <f t="shared" si="65"/>
        <v>FPNI, Lotte Chemical Titan, Lotte Chemical Titan Tbk, PT Lotte Chemical Titan</v>
      </c>
    </row>
    <row r="329" spans="1:14" x14ac:dyDescent="0.2">
      <c r="A329" t="s">
        <v>3452</v>
      </c>
      <c r="B329" t="s">
        <v>3565</v>
      </c>
      <c r="C329" t="s">
        <v>8128</v>
      </c>
      <c r="D329" t="str">
        <f t="shared" si="55"/>
        <v>FREN, PT Smartfren Telecom, SMARTFREN TELECOM, Smartfren Telecom, Smartfren Telecom Tbk, SmartfrenTelecom, smartfren telecom</v>
      </c>
      <c r="E329" t="str">
        <f t="shared" si="56"/>
        <v>FREN, PT Smartfren Telecom, SMARTFREN TELECOM, Smartfren Telecom, Smartfren Telecom Tbk, SmartfrenTelecom, smartfren telecom</v>
      </c>
      <c r="F329" t="str">
        <f t="shared" si="57"/>
        <v>smartfren telecom</v>
      </c>
      <c r="G329" t="str">
        <f t="shared" si="60"/>
        <v>FREN, PT Smartfren Telecom, SMARTFREN TELECOM, Smartfren Telecom, Smartfren Telecom Tbk, SmartfrenTelecom</v>
      </c>
      <c r="H329" t="str">
        <f t="shared" si="61"/>
        <v>FREN, PT Smartfren Telecom, SMARTFREN TELECOM, Smartfren Telecom, Smartfren Telecom Tbk, SmartfrenTelecom</v>
      </c>
      <c r="I329" t="str">
        <f t="shared" si="58"/>
        <v>SMARTFREN TELECOM</v>
      </c>
      <c r="J329" t="str">
        <f t="shared" si="62"/>
        <v>FREN, PT Smartfren Telecom, Smartfren Telecom, Smartfren Telecom Tbk, SmartfrenTelecom</v>
      </c>
      <c r="K329" t="str">
        <f t="shared" si="63"/>
        <v>FREN, PT Smartfren Telecom, Smartfren Telecom, Smartfren Telecom Tbk, SmartfrenTelecom</v>
      </c>
      <c r="L329" t="str">
        <f t="shared" si="59"/>
        <v>SmartfrenTelecom</v>
      </c>
      <c r="M329" t="str">
        <f t="shared" si="64"/>
        <v>FREN, PT Smartfren Telecom, Smartfren Telecom, Smartfren Telecom Tbk</v>
      </c>
      <c r="N329" t="str">
        <f t="shared" si="65"/>
        <v>FREN, PT Smartfren Telecom, Smartfren Telecom, Smartfren Telecom Tbk</v>
      </c>
    </row>
    <row r="330" spans="1:14" x14ac:dyDescent="0.2">
      <c r="A330" t="s">
        <v>1712</v>
      </c>
      <c r="B330" t="s">
        <v>1713</v>
      </c>
      <c r="C330" t="s">
        <v>8129</v>
      </c>
      <c r="D330" t="str">
        <f t="shared" si="55"/>
        <v>FUJI, FUJI FINANCE INDONESIA, Fuji Finance Indonesia, Fuji Finance Indonesia Tbk, FujiFinanceIndonesia, PT Fuji Finance Indonesia, fuji finance indonesia</v>
      </c>
      <c r="E330" t="str">
        <f t="shared" si="56"/>
        <v>FUJI, FUJI FINANCE INDONESIA, Fuji Finance Indonesia, Fuji Finance Indonesia Tbk, FujiFinanceIndonesia, PT Fuji Finance Indonesia, fuji finance indonesia</v>
      </c>
      <c r="F330" t="str">
        <f t="shared" si="57"/>
        <v>fuji finance indonesia</v>
      </c>
      <c r="G330" t="str">
        <f t="shared" si="60"/>
        <v>FUJI, FUJI FINANCE INDONESIA, Fuji Finance Indonesia, Fuji Finance Indonesia Tbk, FujiFinanceIndonesia, PT Fuji Finance Indonesia</v>
      </c>
      <c r="H330" t="str">
        <f t="shared" si="61"/>
        <v>FUJI, FUJI FINANCE INDONESIA, Fuji Finance Indonesia, Fuji Finance Indonesia Tbk, FujiFinanceIndonesia, PT Fuji Finance Indonesia</v>
      </c>
      <c r="I330" t="str">
        <f t="shared" si="58"/>
        <v>FUJI FINANCE INDONESIA</v>
      </c>
      <c r="J330" t="str">
        <f t="shared" si="62"/>
        <v>FUJI, Fuji Finance Indonesia, Fuji Finance Indonesia Tbk, FujiFinanceIndonesia, PT Fuji Finance Indonesia</v>
      </c>
      <c r="K330" t="str">
        <f t="shared" si="63"/>
        <v>FUJI, Fuji Finance Indonesia, Fuji Finance Indonesia Tbk, FujiFinanceIndonesia, PT Fuji Finance Indonesia</v>
      </c>
      <c r="L330" t="str">
        <f t="shared" si="59"/>
        <v>FujiFinanceIndonesia</v>
      </c>
      <c r="M330" t="str">
        <f t="shared" si="64"/>
        <v>FUJI, Fuji Finance Indonesia, Fuji Finance Indonesia Tbk, PT Fuji Finance Indonesia</v>
      </c>
      <c r="N330" t="str">
        <f t="shared" si="65"/>
        <v>FUJI, Fuji Finance Indonesia, Fuji Finance Indonesia Tbk, PT Fuji Finance Indonesia</v>
      </c>
    </row>
    <row r="331" spans="1:14" x14ac:dyDescent="0.2">
      <c r="A331" t="s">
        <v>2269</v>
      </c>
      <c r="B331" t="s">
        <v>2270</v>
      </c>
      <c r="C331" t="s">
        <v>8130</v>
      </c>
      <c r="D331" t="str">
        <f t="shared" si="55"/>
        <v>FUTR, FUTURA ENERGI GLOBAL, Futura Energi Global, Futura Energi Global Tbk, FuturaEnergiGlobal, PT Futura Energi Global, futura energi global</v>
      </c>
      <c r="E331" t="str">
        <f t="shared" si="56"/>
        <v>FUTR, FUTURA ENERGI GLOBAL, Futura Energi Global, Futura Energi Global Tbk, FuturaEnergiGlobal, PT Futura Energi Global, futura energi global</v>
      </c>
      <c r="F331" t="str">
        <f t="shared" si="57"/>
        <v>futura energi global</v>
      </c>
      <c r="G331" t="str">
        <f t="shared" si="60"/>
        <v>FUTR, FUTURA ENERGI GLOBAL, Futura Energi Global, Futura Energi Global Tbk, FuturaEnergiGlobal, PT Futura Energi Global</v>
      </c>
      <c r="H331" t="str">
        <f t="shared" si="61"/>
        <v>FUTR, FUTURA ENERGI GLOBAL, Futura Energi Global, Futura Energi Global Tbk, FuturaEnergiGlobal, PT Futura Energi Global</v>
      </c>
      <c r="I331" t="str">
        <f t="shared" si="58"/>
        <v>FUTURA ENERGI GLOBAL</v>
      </c>
      <c r="J331" t="str">
        <f t="shared" si="62"/>
        <v>FUTR, Futura Energi Global, Futura Energi Global Tbk, FuturaEnergiGlobal, PT Futura Energi Global</v>
      </c>
      <c r="K331" t="str">
        <f t="shared" si="63"/>
        <v>FUTR, Futura Energi Global, Futura Energi Global Tbk, FuturaEnergiGlobal, PT Futura Energi Global</v>
      </c>
      <c r="L331" t="str">
        <f t="shared" si="59"/>
        <v>FuturaEnergiGlobal</v>
      </c>
      <c r="M331" t="str">
        <f t="shared" si="64"/>
        <v>FUTR, Futura Energi Global, Futura Energi Global Tbk, PT Futura Energi Global</v>
      </c>
      <c r="N331" t="str">
        <f t="shared" si="65"/>
        <v>FUTR, Futura Energi Global, Futura Energi Global Tbk, PT Futura Energi Global</v>
      </c>
    </row>
    <row r="332" spans="1:14" x14ac:dyDescent="0.2">
      <c r="A332" t="s">
        <v>2244</v>
      </c>
      <c r="B332" t="s">
        <v>2245</v>
      </c>
      <c r="C332" t="s">
        <v>8131</v>
      </c>
      <c r="D332" t="str">
        <f t="shared" si="55"/>
        <v>FWCT, PT Wijaya Cahaya Timber, WCT, WIJAYA CAHAYA TIMBER, Wijaya Cahaya Timber, Wijaya Cahaya Timber Tbk, WijayaCahayaTimber, wijaya cahaya timber</v>
      </c>
      <c r="E332" t="str">
        <f t="shared" si="56"/>
        <v>FWCT, PT Wijaya Cahaya Timber, WCT, WIJAYA CAHAYA TIMBER, Wijaya Cahaya Timber, Wijaya Cahaya Timber Tbk, WijayaCahayaTimber, wijaya cahaya timber</v>
      </c>
      <c r="F332" t="str">
        <f t="shared" si="57"/>
        <v>wijaya cahaya timber</v>
      </c>
      <c r="G332" t="str">
        <f t="shared" si="60"/>
        <v>FWCT, PT Wijaya Cahaya Timber, WCT, WIJAYA CAHAYA TIMBER, Wijaya Cahaya Timber, Wijaya Cahaya Timber Tbk, WijayaCahayaTimber</v>
      </c>
      <c r="H332" t="str">
        <f t="shared" si="61"/>
        <v>FWCT, PT Wijaya Cahaya Timber, WCT, WIJAYA CAHAYA TIMBER, Wijaya Cahaya Timber, Wijaya Cahaya Timber Tbk, WijayaCahayaTimber</v>
      </c>
      <c r="I332" t="str">
        <f t="shared" si="58"/>
        <v>WIJAYA CAHAYA TIMBER</v>
      </c>
      <c r="J332" t="str">
        <f t="shared" si="62"/>
        <v>FWCT, PT Wijaya Cahaya Timber, WCT, Wijaya Cahaya Timber, Wijaya Cahaya Timber Tbk, WijayaCahayaTimber</v>
      </c>
      <c r="K332" t="str">
        <f t="shared" si="63"/>
        <v>FWCT, PT Wijaya Cahaya Timber, WCT, Wijaya Cahaya Timber, Wijaya Cahaya Timber Tbk, WijayaCahayaTimber</v>
      </c>
      <c r="L332" t="str">
        <f t="shared" si="59"/>
        <v>WijayaCahayaTimber</v>
      </c>
      <c r="M332" t="str">
        <f t="shared" si="64"/>
        <v>FWCT, PT Wijaya Cahaya Timber, WCT, Wijaya Cahaya Timber, Wijaya Cahaya Timber Tbk</v>
      </c>
      <c r="N332" t="str">
        <f t="shared" si="65"/>
        <v>FWCT, PT Wijaya Cahaya Timber, WCT, Wijaya Cahaya Timber, Wijaya Cahaya Timber Tbk</v>
      </c>
    </row>
    <row r="333" spans="1:14" x14ac:dyDescent="0.2">
      <c r="A333" t="s">
        <v>503</v>
      </c>
      <c r="B333" t="s">
        <v>504</v>
      </c>
      <c r="C333" t="s">
        <v>8132</v>
      </c>
      <c r="D333" t="str">
        <f t="shared" si="55"/>
        <v>GAMA, AKSARA GLOBAL DEVELOPMENT, Aksara Global Development, Aksara Global Development Tbk, AksaraGlobalDevelopment, PT Aksara Global Development, aksara global development</v>
      </c>
      <c r="E333" t="str">
        <f t="shared" si="56"/>
        <v>GAMA, AKSARA GLOBAL DEVELOPMENT, Aksara Global Development, Aksara Global Development Tbk, AksaraGlobalDevelopment, PT Aksara Global Development, aksara global development</v>
      </c>
      <c r="F333" t="str">
        <f t="shared" si="57"/>
        <v>aksara global development</v>
      </c>
      <c r="G333" t="str">
        <f t="shared" si="60"/>
        <v>GAMA, AKSARA GLOBAL DEVELOPMENT, Aksara Global Development, Aksara Global Development Tbk, AksaraGlobalDevelopment, PT Aksara Global Development</v>
      </c>
      <c r="H333" t="str">
        <f t="shared" si="61"/>
        <v>GAMA, AKSARA GLOBAL DEVELOPMENT, Aksara Global Development, Aksara Global Development Tbk, AksaraGlobalDevelopment, PT Aksara Global Development</v>
      </c>
      <c r="I333" t="str">
        <f t="shared" si="58"/>
        <v>AKSARA GLOBAL DEVELOPMENT</v>
      </c>
      <c r="J333" t="str">
        <f t="shared" si="62"/>
        <v>GAMA, Aksara Global Development, Aksara Global Development Tbk, AksaraGlobalDevelopment, PT Aksara Global Development</v>
      </c>
      <c r="K333" t="str">
        <f t="shared" si="63"/>
        <v>GAMA, Aksara Global Development, Aksara Global Development Tbk, AksaraGlobalDevelopment, PT Aksara Global Development</v>
      </c>
      <c r="L333" t="str">
        <f t="shared" si="59"/>
        <v>AksaraGlobalDevelopment</v>
      </c>
      <c r="M333" t="str">
        <f t="shared" si="64"/>
        <v>GAMA, Aksara Global Development, Aksara Global Development Tbk, PT Aksara Global Development</v>
      </c>
      <c r="N333" t="str">
        <f t="shared" si="65"/>
        <v>GAMA, Aksara Global Development, Aksara Global Development Tbk, PT Aksara Global Development</v>
      </c>
    </row>
    <row r="334" spans="1:14" x14ac:dyDescent="0.2">
      <c r="A334" t="s">
        <v>506</v>
      </c>
      <c r="B334" t="s">
        <v>507</v>
      </c>
      <c r="C334" t="s">
        <v>8133</v>
      </c>
      <c r="D334" t="str">
        <f t="shared" si="55"/>
        <v>GDST, GUNAWAN DIANJAYA STEEL, Gunawan Dianjaya Steel, Gunawan Dianjaya Steel Tbk, GunawanDianjayaSteel, PT Gunawan Dianjaya Steel, gunawan dianjaya steel</v>
      </c>
      <c r="E334" t="str">
        <f t="shared" si="56"/>
        <v>GDST, GUNAWAN DIANJAYA STEEL, Gunawan Dianjaya Steel, Gunawan Dianjaya Steel Tbk, GunawanDianjayaSteel, PT Gunawan Dianjaya Steel, gunawan dianjaya steel</v>
      </c>
      <c r="F334" t="str">
        <f t="shared" si="57"/>
        <v>gunawan dianjaya steel</v>
      </c>
      <c r="G334" t="str">
        <f t="shared" si="60"/>
        <v>GDST, GUNAWAN DIANJAYA STEEL, Gunawan Dianjaya Steel, Gunawan Dianjaya Steel Tbk, GunawanDianjayaSteel, PT Gunawan Dianjaya Steel</v>
      </c>
      <c r="H334" t="str">
        <f t="shared" si="61"/>
        <v>GDST, GUNAWAN DIANJAYA STEEL, Gunawan Dianjaya Steel, Gunawan Dianjaya Steel Tbk, GunawanDianjayaSteel, PT Gunawan Dianjaya Steel</v>
      </c>
      <c r="I334" t="str">
        <f t="shared" si="58"/>
        <v>GUNAWAN DIANJAYA STEEL</v>
      </c>
      <c r="J334" t="str">
        <f t="shared" si="62"/>
        <v>GDST, Gunawan Dianjaya Steel, Gunawan Dianjaya Steel Tbk, GunawanDianjayaSteel, PT Gunawan Dianjaya Steel</v>
      </c>
      <c r="K334" t="str">
        <f t="shared" si="63"/>
        <v>GDST, Gunawan Dianjaya Steel, Gunawan Dianjaya Steel Tbk, GunawanDianjayaSteel, PT Gunawan Dianjaya Steel</v>
      </c>
      <c r="L334" t="str">
        <f t="shared" si="59"/>
        <v>GunawanDianjayaSteel</v>
      </c>
      <c r="M334" t="str">
        <f t="shared" si="64"/>
        <v>GDST, Gunawan Dianjaya Steel, Gunawan Dianjaya Steel Tbk, PT Gunawan Dianjaya Steel</v>
      </c>
      <c r="N334" t="str">
        <f t="shared" si="65"/>
        <v>GDST, Gunawan Dianjaya Steel, Gunawan Dianjaya Steel Tbk, PT Gunawan Dianjaya Steel</v>
      </c>
    </row>
    <row r="335" spans="1:14" x14ac:dyDescent="0.2">
      <c r="A335" t="s">
        <v>509</v>
      </c>
      <c r="B335" t="s">
        <v>510</v>
      </c>
      <c r="C335" t="s">
        <v>8134</v>
      </c>
      <c r="D335" t="str">
        <f t="shared" si="55"/>
        <v>GDYR, GI, GOODYEAR INDONESIA, Goodyear Indonesia, Goodyear Indonesia Tbk, GoodyearIndonesia, PT Goodyear Indonesia, goodyear indonesia</v>
      </c>
      <c r="E335" t="str">
        <f t="shared" si="56"/>
        <v>GDYR, GI, GOODYEAR INDONESIA, Goodyear Indonesia, Goodyear Indonesia Tbk, GoodyearIndonesia, PT Goodyear Indonesia, goodyear indonesia</v>
      </c>
      <c r="F335" t="str">
        <f t="shared" si="57"/>
        <v>goodyear indonesia</v>
      </c>
      <c r="G335" t="str">
        <f t="shared" si="60"/>
        <v>GDYR, GI, GOODYEAR INDONESIA, Goodyear Indonesia, Goodyear Indonesia Tbk, GoodyearIndonesia, PT Goodyear Indonesia</v>
      </c>
      <c r="H335" t="str">
        <f t="shared" si="61"/>
        <v>GDYR, GI, GOODYEAR INDONESIA, Goodyear Indonesia, Goodyear Indonesia Tbk, GoodyearIndonesia, PT Goodyear Indonesia</v>
      </c>
      <c r="I335" t="str">
        <f t="shared" si="58"/>
        <v>GOODYEAR INDONESIA</v>
      </c>
      <c r="J335" t="str">
        <f t="shared" si="62"/>
        <v>GDYR, GI, Goodyear Indonesia, Goodyear Indonesia Tbk, GoodyearIndonesia, PT Goodyear Indonesia</v>
      </c>
      <c r="K335" t="str">
        <f t="shared" si="63"/>
        <v>GDYR, GI, Goodyear Indonesia, Goodyear Indonesia Tbk, GoodyearIndonesia, PT Goodyear Indonesia</v>
      </c>
      <c r="L335" t="str">
        <f t="shared" si="59"/>
        <v>GoodyearIndonesia</v>
      </c>
      <c r="M335" t="str">
        <f t="shared" si="64"/>
        <v>GDYR, GI, Goodyear Indonesia, Goodyear Indonesia Tbk, PT Goodyear Indonesia</v>
      </c>
      <c r="N335" t="str">
        <f t="shared" si="65"/>
        <v>GDYR, GI, Goodyear Indonesia, Goodyear Indonesia Tbk, PT Goodyear Indonesia</v>
      </c>
    </row>
    <row r="336" spans="1:14" x14ac:dyDescent="0.2">
      <c r="A336" t="s">
        <v>512</v>
      </c>
      <c r="B336" t="s">
        <v>513</v>
      </c>
      <c r="C336" t="s">
        <v>8135</v>
      </c>
      <c r="D336" t="str">
        <f t="shared" si="55"/>
        <v>GEMA, GEMA GRAHASARANA, Gema Grahasarana, Gema Grahasarana Tbk, GemaGrahasarana, PT Gema Grahasarana, gema grahasarana</v>
      </c>
      <c r="E336" t="str">
        <f t="shared" si="56"/>
        <v>GEMA, GEMA GRAHASARANA, Gema Grahasarana, Gema Grahasarana Tbk, GemaGrahasarana, PT Gema Grahasarana, gema grahasarana</v>
      </c>
      <c r="F336" t="str">
        <f t="shared" si="57"/>
        <v>gema grahasarana</v>
      </c>
      <c r="G336" t="str">
        <f t="shared" si="60"/>
        <v>GEMA, GEMA GRAHASARANA, Gema Grahasarana, Gema Grahasarana Tbk, GemaGrahasarana, PT Gema Grahasarana</v>
      </c>
      <c r="H336" t="str">
        <f t="shared" si="61"/>
        <v>GEMA, GEMA GRAHASARANA, Gema Grahasarana, Gema Grahasarana Tbk, GemaGrahasarana, PT Gema Grahasarana</v>
      </c>
      <c r="I336" t="str">
        <f t="shared" si="58"/>
        <v>GEMA GRAHASARANA</v>
      </c>
      <c r="J336" t="str">
        <f t="shared" si="62"/>
        <v>GEMA, Gema Grahasarana, Gema Grahasarana Tbk, GemaGrahasarana, PT Gema Grahasarana</v>
      </c>
      <c r="K336" t="str">
        <f t="shared" si="63"/>
        <v>GEMA, Gema Grahasarana, Gema Grahasarana Tbk, GemaGrahasarana, PT Gema Grahasarana</v>
      </c>
      <c r="L336" t="str">
        <f t="shared" si="59"/>
        <v>GemaGrahasarana</v>
      </c>
      <c r="M336" t="str">
        <f t="shared" si="64"/>
        <v>GEMA, Gema Grahasarana, Gema Grahasarana Tbk, PT Gema Grahasarana</v>
      </c>
      <c r="N336" t="str">
        <f t="shared" si="65"/>
        <v>GEMA, Gema Grahasarana, Gema Grahasarana Tbk, PT Gema Grahasarana</v>
      </c>
    </row>
    <row r="337" spans="1:14" x14ac:dyDescent="0.2">
      <c r="A337" t="s">
        <v>515</v>
      </c>
      <c r="B337" t="s">
        <v>516</v>
      </c>
      <c r="C337" t="s">
        <v>8136</v>
      </c>
      <c r="D337" t="str">
        <f t="shared" si="55"/>
        <v>GEMS, GOLDEN ENERGY MINES, Golden Energy Mines, Golden Energy Mines Tbk, GoldenEnergyMines, PT Golden Energy Mines, golden energy mines</v>
      </c>
      <c r="E337" t="str">
        <f t="shared" si="56"/>
        <v>GEMS, GOLDEN ENERGY MINES, Golden Energy Mines, Golden Energy Mines Tbk, GoldenEnergyMines, PT Golden Energy Mines, golden energy mines</v>
      </c>
      <c r="F337" t="str">
        <f t="shared" si="57"/>
        <v>golden energy mines</v>
      </c>
      <c r="G337" t="str">
        <f t="shared" si="60"/>
        <v>GEMS, GOLDEN ENERGY MINES, Golden Energy Mines, Golden Energy Mines Tbk, GoldenEnergyMines, PT Golden Energy Mines</v>
      </c>
      <c r="H337" t="str">
        <f t="shared" si="61"/>
        <v>GEMS, GOLDEN ENERGY MINES, Golden Energy Mines, Golden Energy Mines Tbk, GoldenEnergyMines, PT Golden Energy Mines</v>
      </c>
      <c r="I337" t="str">
        <f t="shared" si="58"/>
        <v>GOLDEN ENERGY MINES</v>
      </c>
      <c r="J337" t="str">
        <f t="shared" si="62"/>
        <v>GEMS, Golden Energy Mines, Golden Energy Mines Tbk, GoldenEnergyMines, PT Golden Energy Mines</v>
      </c>
      <c r="K337" t="str">
        <f t="shared" si="63"/>
        <v>GEMS, Golden Energy Mines, Golden Energy Mines Tbk, GoldenEnergyMines, PT Golden Energy Mines</v>
      </c>
      <c r="L337" t="str">
        <f t="shared" si="59"/>
        <v>GoldenEnergyMines</v>
      </c>
      <c r="M337" t="str">
        <f t="shared" si="64"/>
        <v>GEMS, Golden Energy Mines, Golden Energy Mines Tbk, PT Golden Energy Mines</v>
      </c>
      <c r="N337" t="str">
        <f t="shared" si="65"/>
        <v>GEMS, Golden Energy Mines, Golden Energy Mines Tbk, PT Golden Energy Mines</v>
      </c>
    </row>
    <row r="338" spans="1:14" x14ac:dyDescent="0.2">
      <c r="A338" t="s">
        <v>518</v>
      </c>
      <c r="B338" t="s">
        <v>519</v>
      </c>
      <c r="C338" t="s">
        <v>8137</v>
      </c>
      <c r="D338" t="str">
        <f t="shared" si="55"/>
        <v>GGRM, GUDANG GARAM, Gudang Garam, Gudang Garam Tbk, GudangGaram, PT Gudang Garam, gudang garam</v>
      </c>
      <c r="E338" t="str">
        <f t="shared" si="56"/>
        <v>GGRM, GUDANG GARAM, Gudang Garam, Gudang Garam Tbk, GudangGaram, PT Gudang Garam, gudang garam</v>
      </c>
      <c r="F338" t="str">
        <f t="shared" si="57"/>
        <v>gudang garam</v>
      </c>
      <c r="G338" t="str">
        <f t="shared" si="60"/>
        <v>GGRM, GUDANG GARAM, Gudang Garam, Gudang Garam Tbk, GudangGaram, PT Gudang Garam</v>
      </c>
      <c r="H338" t="str">
        <f t="shared" si="61"/>
        <v>GGRM, GUDANG GARAM, Gudang Garam, Gudang Garam Tbk, GudangGaram, PT Gudang Garam</v>
      </c>
      <c r="I338" t="str">
        <f t="shared" si="58"/>
        <v>GUDANG GARAM</v>
      </c>
      <c r="J338" t="str">
        <f t="shared" si="62"/>
        <v>GGRM, Gudang Garam, Gudang Garam Tbk, GudangGaram, PT Gudang Garam</v>
      </c>
      <c r="K338" t="str">
        <f t="shared" si="63"/>
        <v>GGRM, Gudang Garam, Gudang Garam Tbk, GudangGaram, PT Gudang Garam</v>
      </c>
      <c r="L338" t="str">
        <f t="shared" si="59"/>
        <v>GudangGaram</v>
      </c>
      <c r="M338" t="str">
        <f t="shared" si="64"/>
        <v>GGRM, Gudang Garam, Gudang Garam Tbk, PT Gudang Garam</v>
      </c>
      <c r="N338" t="str">
        <f t="shared" si="65"/>
        <v>GGRM, Gudang Garam, Gudang Garam Tbk, PT Gudang Garam</v>
      </c>
    </row>
    <row r="339" spans="1:14" x14ac:dyDescent="0.2">
      <c r="A339" t="s">
        <v>1738</v>
      </c>
      <c r="B339" t="s">
        <v>1739</v>
      </c>
      <c r="C339" t="s">
        <v>8138</v>
      </c>
      <c r="D339" t="str">
        <f t="shared" si="55"/>
        <v>GGRP, GUNUNG RAJA PAKSI, Gunung Raja Paksi, Gunung Raja Paksi Tbk, GunungRajaPaksi, PT Gunung Raja Paksi, gunung raja paksi</v>
      </c>
      <c r="E339" t="str">
        <f t="shared" si="56"/>
        <v>GGRP, GUNUNG RAJA PAKSI, Gunung Raja Paksi, Gunung Raja Paksi Tbk, GunungRajaPaksi, PT Gunung Raja Paksi, gunung raja paksi</v>
      </c>
      <c r="F339" t="str">
        <f t="shared" si="57"/>
        <v>gunung raja paksi</v>
      </c>
      <c r="G339" t="str">
        <f t="shared" si="60"/>
        <v>GGRP, GUNUNG RAJA PAKSI, Gunung Raja Paksi, Gunung Raja Paksi Tbk, GunungRajaPaksi, PT Gunung Raja Paksi</v>
      </c>
      <c r="H339" t="str">
        <f t="shared" si="61"/>
        <v>GGRP, GUNUNG RAJA PAKSI, Gunung Raja Paksi, Gunung Raja Paksi Tbk, GunungRajaPaksi, PT Gunung Raja Paksi</v>
      </c>
      <c r="I339" t="str">
        <f t="shared" si="58"/>
        <v>GUNUNG RAJA PAKSI</v>
      </c>
      <c r="J339" t="str">
        <f t="shared" si="62"/>
        <v>GGRP, Gunung Raja Paksi, Gunung Raja Paksi Tbk, GunungRajaPaksi, PT Gunung Raja Paksi</v>
      </c>
      <c r="K339" t="str">
        <f t="shared" si="63"/>
        <v>GGRP, Gunung Raja Paksi, Gunung Raja Paksi Tbk, GunungRajaPaksi, PT Gunung Raja Paksi</v>
      </c>
      <c r="L339" t="str">
        <f t="shared" si="59"/>
        <v>GunungRajaPaksi</v>
      </c>
      <c r="M339" t="str">
        <f t="shared" si="64"/>
        <v>GGRP, Gunung Raja Paksi, Gunung Raja Paksi Tbk, PT Gunung Raja Paksi</v>
      </c>
      <c r="N339" t="str">
        <f t="shared" si="65"/>
        <v>GGRP, Gunung Raja Paksi, Gunung Raja Paksi Tbk, PT Gunung Raja Paksi</v>
      </c>
    </row>
    <row r="340" spans="1:14" x14ac:dyDescent="0.2">
      <c r="A340" t="s">
        <v>1505</v>
      </c>
      <c r="B340" t="s">
        <v>3566</v>
      </c>
      <c r="C340" t="s">
        <v>8139</v>
      </c>
      <c r="D340" t="str">
        <f t="shared" si="55"/>
        <v>GHON, GIHON TELEKOMUNIKASI INDONESIA, GTI, Gihon Telekomunikasi Indonesia, Gihon Telekomunikasi Indonesia Tbk, GihonTelekomunikasiIndonesia, PT Gihon Telekomunikasi Indonesia, gihon telekomunikasi indonesia</v>
      </c>
      <c r="E340" t="str">
        <f t="shared" si="56"/>
        <v>GHON, GIHON TELEKOMUNIKASI INDONESIA, GTI, Gihon Telekomunikasi Indonesia, Gihon Telekomunikasi Indonesia Tbk, GihonTelekomunikasiIndonesia, PT Gihon Telekomunikasi Indonesia, gihon telekomunikasi indonesia</v>
      </c>
      <c r="F340" t="str">
        <f t="shared" si="57"/>
        <v>gihon telekomunikasi indonesia</v>
      </c>
      <c r="G340" t="str">
        <f t="shared" si="60"/>
        <v>GHON, GIHON TELEKOMUNIKASI INDONESIA, GTI, Gihon Telekomunikasi Indonesia, Gihon Telekomunikasi Indonesia Tbk, GihonTelekomunikasiIndonesia, PT Gihon Telekomunikasi Indonesia</v>
      </c>
      <c r="H340" t="str">
        <f t="shared" si="61"/>
        <v>GHON, GIHON TELEKOMUNIKASI INDONESIA, GTI, Gihon Telekomunikasi Indonesia, Gihon Telekomunikasi Indonesia Tbk, GihonTelekomunikasiIndonesia, PT Gihon Telekomunikasi Indonesia</v>
      </c>
      <c r="I340" t="str">
        <f t="shared" si="58"/>
        <v>GIHON TELEKOMUNIKASI INDONESIA</v>
      </c>
      <c r="J340" t="str">
        <f t="shared" si="62"/>
        <v>GHON, GTI, Gihon Telekomunikasi Indonesia, Gihon Telekomunikasi Indonesia Tbk, GihonTelekomunikasiIndonesia, PT Gihon Telekomunikasi Indonesia</v>
      </c>
      <c r="K340" t="str">
        <f t="shared" si="63"/>
        <v>GHON, GTI, Gihon Telekomunikasi Indonesia, Gihon Telekomunikasi Indonesia Tbk, GihonTelekomunikasiIndonesia, PT Gihon Telekomunikasi Indonesia</v>
      </c>
      <c r="L340" t="str">
        <f t="shared" si="59"/>
        <v>GihonTelekomunikasiIndonesia</v>
      </c>
      <c r="M340" t="str">
        <f t="shared" si="64"/>
        <v>GHON, GTI, Gihon Telekomunikasi Indonesia, Gihon Telekomunikasi Indonesia Tbk, PT Gihon Telekomunikasi Indonesia</v>
      </c>
      <c r="N340" t="str">
        <f t="shared" si="65"/>
        <v>GHON, GTI, Gihon Telekomunikasi Indonesia, Gihon Telekomunikasi Indonesia Tbk, PT Gihon Telekomunikasi Indonesia</v>
      </c>
    </row>
    <row r="341" spans="1:14" x14ac:dyDescent="0.2">
      <c r="A341" t="s">
        <v>521</v>
      </c>
      <c r="B341" t="s">
        <v>3567</v>
      </c>
      <c r="C341" t="s">
        <v>8140</v>
      </c>
      <c r="D341" t="str">
        <f t="shared" si="55"/>
        <v>GIAA, GARUDA INDONESIA (PERSERO), Garuda Indonesia (Persero), Garuda Indonesia (Persero) Tbk, GarudaIndonesia(Persero), PT Garuda Indonesia (Persero), garuda indonesia (persero)</v>
      </c>
      <c r="E341" t="str">
        <f t="shared" si="56"/>
        <v>GIAA, GARUDA INDONESIA (PERSERO), Garuda Indonesia (Persero), Garuda Indonesia (Persero) Tbk, GarudaIndonesia(Persero), PT Garuda Indonesia (Persero), garuda indonesia (persero)</v>
      </c>
      <c r="F341" t="str">
        <f t="shared" si="57"/>
        <v>garuda indonesia (persero)</v>
      </c>
      <c r="G341" t="str">
        <f t="shared" si="60"/>
        <v>GIAA, GARUDA INDONESIA (PERSERO), Garuda Indonesia (Persero), Garuda Indonesia (Persero) Tbk, GarudaIndonesia(Persero), PT Garuda Indonesia (Persero)</v>
      </c>
      <c r="H341" t="str">
        <f t="shared" si="61"/>
        <v>GIAA, GARUDA INDONESIA (PERSERO), Garuda Indonesia (Persero), Garuda Indonesia (Persero) Tbk, GarudaIndonesia(Persero), PT Garuda Indonesia (Persero)</v>
      </c>
      <c r="I341" t="str">
        <f t="shared" si="58"/>
        <v>GARUDA INDONESIA (PERSERO)</v>
      </c>
      <c r="J341" t="str">
        <f t="shared" si="62"/>
        <v>GIAA, Garuda Indonesia (Persero), Garuda Indonesia (Persero) Tbk, GarudaIndonesia(Persero), PT Garuda Indonesia (Persero)</v>
      </c>
      <c r="K341" t="str">
        <f t="shared" si="63"/>
        <v>GIAA, Garuda Indonesia (Persero), Garuda Indonesia (Persero) Tbk, GarudaIndonesia(Persero), PT Garuda Indonesia (Persero)</v>
      </c>
      <c r="L341" t="str">
        <f t="shared" si="59"/>
        <v>GarudaIndonesia(Persero)</v>
      </c>
      <c r="M341" t="str">
        <f t="shared" si="64"/>
        <v>GIAA, Garuda Indonesia (Persero), Garuda Indonesia (Persero) Tbk, PT Garuda Indonesia (Persero)</v>
      </c>
      <c r="N341" t="str">
        <f t="shared" si="65"/>
        <v>GIAA, Garuda Indonesia (Persero), Garuda Indonesia (Persero) Tbk, PT Garuda Indonesia (Persero)</v>
      </c>
    </row>
    <row r="342" spans="1:14" x14ac:dyDescent="0.2">
      <c r="A342" t="s">
        <v>524</v>
      </c>
      <c r="B342" t="s">
        <v>525</v>
      </c>
      <c r="C342" t="s">
        <v>8141</v>
      </c>
      <c r="D342" t="str">
        <f t="shared" si="55"/>
        <v>GJTL, GAJAH TUNGGAL, Gajah Tunggal, Gajah Tunggal Tbk, GajahTunggal, PT Gajah Tunggal, gajah tunggal</v>
      </c>
      <c r="E342" t="str">
        <f t="shared" si="56"/>
        <v>GJTL, GAJAH TUNGGAL, Gajah Tunggal, Gajah Tunggal Tbk, GajahTunggal, PT Gajah Tunggal, gajah tunggal</v>
      </c>
      <c r="F342" t="str">
        <f t="shared" si="57"/>
        <v>gajah tunggal</v>
      </c>
      <c r="G342" t="str">
        <f t="shared" si="60"/>
        <v>GJTL, GAJAH TUNGGAL, Gajah Tunggal, Gajah Tunggal Tbk, GajahTunggal, PT Gajah Tunggal</v>
      </c>
      <c r="H342" t="str">
        <f t="shared" si="61"/>
        <v>GJTL, GAJAH TUNGGAL, Gajah Tunggal, Gajah Tunggal Tbk, GajahTunggal, PT Gajah Tunggal</v>
      </c>
      <c r="I342" t="str">
        <f t="shared" si="58"/>
        <v>GAJAH TUNGGAL</v>
      </c>
      <c r="J342" t="str">
        <f t="shared" si="62"/>
        <v>GJTL, Gajah Tunggal, Gajah Tunggal Tbk, GajahTunggal, PT Gajah Tunggal</v>
      </c>
      <c r="K342" t="str">
        <f t="shared" si="63"/>
        <v>GJTL, Gajah Tunggal, Gajah Tunggal Tbk, GajahTunggal, PT Gajah Tunggal</v>
      </c>
      <c r="L342" t="str">
        <f t="shared" si="59"/>
        <v>GajahTunggal</v>
      </c>
      <c r="M342" t="str">
        <f t="shared" si="64"/>
        <v>GJTL, Gajah Tunggal, Gajah Tunggal Tbk, PT Gajah Tunggal</v>
      </c>
      <c r="N342" t="str">
        <f t="shared" si="65"/>
        <v>GJTL, Gajah Tunggal, Gajah Tunggal Tbk, PT Gajah Tunggal</v>
      </c>
    </row>
    <row r="343" spans="1:14" x14ac:dyDescent="0.2">
      <c r="A343" t="s">
        <v>527</v>
      </c>
      <c r="B343" t="s">
        <v>528</v>
      </c>
      <c r="C343" t="s">
        <v>8142</v>
      </c>
      <c r="D343" t="str">
        <f t="shared" si="55"/>
        <v>GLOB, GLOBE KITA TERANG, Globe Kita Terang, Globe Kita Terang Tbk, GlobeKitaTerang, PT Globe Kita Terang, globe kita terang</v>
      </c>
      <c r="E343" t="str">
        <f t="shared" si="56"/>
        <v>GLOB, GLOBE KITA TERANG, Globe Kita Terang, Globe Kita Terang Tbk, GlobeKitaTerang, PT Globe Kita Terang, globe kita terang</v>
      </c>
      <c r="F343" t="str">
        <f t="shared" si="57"/>
        <v>globe kita terang</v>
      </c>
      <c r="G343" t="str">
        <f t="shared" si="60"/>
        <v>GLOB, GLOBE KITA TERANG, Globe Kita Terang, Globe Kita Terang Tbk, GlobeKitaTerang, PT Globe Kita Terang</v>
      </c>
      <c r="H343" t="str">
        <f t="shared" si="61"/>
        <v>GLOB, GLOBE KITA TERANG, Globe Kita Terang, Globe Kita Terang Tbk, GlobeKitaTerang, PT Globe Kita Terang</v>
      </c>
      <c r="I343" t="str">
        <f t="shared" si="58"/>
        <v>GLOBE KITA TERANG</v>
      </c>
      <c r="J343" t="str">
        <f t="shared" si="62"/>
        <v>GLOB, Globe Kita Terang, Globe Kita Terang Tbk, GlobeKitaTerang, PT Globe Kita Terang</v>
      </c>
      <c r="K343" t="str">
        <f t="shared" si="63"/>
        <v>GLOB, Globe Kita Terang, Globe Kita Terang Tbk, GlobeKitaTerang, PT Globe Kita Terang</v>
      </c>
      <c r="L343" t="str">
        <f t="shared" si="59"/>
        <v>GlobeKitaTerang</v>
      </c>
      <c r="M343" t="str">
        <f t="shared" si="64"/>
        <v>GLOB, Globe Kita Terang, Globe Kita Terang Tbk, PT Globe Kita Terang</v>
      </c>
      <c r="N343" t="str">
        <f t="shared" si="65"/>
        <v>GLOB, Globe Kita Terang, Globe Kita Terang Tbk, PT Globe Kita Terang</v>
      </c>
    </row>
    <row r="344" spans="1:14" x14ac:dyDescent="0.2">
      <c r="A344" t="s">
        <v>1790</v>
      </c>
      <c r="B344" t="s">
        <v>1791</v>
      </c>
      <c r="C344" t="s">
        <v>8143</v>
      </c>
      <c r="D344" t="str">
        <f t="shared" si="55"/>
        <v>GLVA, GALVA TECHNOLOGIES, Galva Technologies, Galva Technologies Tbk, GalvaTechnologies, PT Galva Technologies, galva technologies</v>
      </c>
      <c r="E344" t="str">
        <f t="shared" si="56"/>
        <v>GLVA, GALVA TECHNOLOGIES, Galva Technologies, Galva Technologies Tbk, GalvaTechnologies, PT Galva Technologies, galva technologies</v>
      </c>
      <c r="F344" t="str">
        <f t="shared" si="57"/>
        <v>galva technologies</v>
      </c>
      <c r="G344" t="str">
        <f t="shared" si="60"/>
        <v>GLVA, GALVA TECHNOLOGIES, Galva Technologies, Galva Technologies Tbk, GalvaTechnologies, PT Galva Technologies</v>
      </c>
      <c r="H344" t="str">
        <f t="shared" si="61"/>
        <v>GLVA, GALVA TECHNOLOGIES, Galva Technologies, Galva Technologies Tbk, GalvaTechnologies, PT Galva Technologies</v>
      </c>
      <c r="I344" t="str">
        <f t="shared" si="58"/>
        <v>GALVA TECHNOLOGIES</v>
      </c>
      <c r="J344" t="str">
        <f t="shared" si="62"/>
        <v>GLVA, Galva Technologies, Galva Technologies Tbk, GalvaTechnologies, PT Galva Technologies</v>
      </c>
      <c r="K344" t="str">
        <f t="shared" si="63"/>
        <v>GLVA, Galva Technologies, Galva Technologies Tbk, GalvaTechnologies, PT Galva Technologies</v>
      </c>
      <c r="L344" t="str">
        <f t="shared" si="59"/>
        <v>GalvaTechnologies</v>
      </c>
      <c r="M344" t="str">
        <f t="shared" si="64"/>
        <v>GLVA, Galva Technologies, Galva Technologies Tbk, PT Galva Technologies</v>
      </c>
      <c r="N344" t="str">
        <f t="shared" si="65"/>
        <v>GLVA, Galva Technologies, Galva Technologies Tbk, PT Galva Technologies</v>
      </c>
    </row>
    <row r="345" spans="1:14" x14ac:dyDescent="0.2">
      <c r="A345" t="s">
        <v>1455</v>
      </c>
      <c r="B345" t="s">
        <v>3568</v>
      </c>
      <c r="C345" t="s">
        <v>8144</v>
      </c>
      <c r="D345" t="str">
        <f t="shared" si="55"/>
        <v>GMFI, GARUDA MAINTENANCE FACILITY AERO ASIA, Garuda Maintenance Facility Aero Asia, Garuda Maintenance Facility Aero Asia Tbk, GarudaMaintenanceFacilityAeroAsia, PT Garuda Maintenance Facility Aero Asia, garuda maintenance facility aero asia</v>
      </c>
      <c r="E345" t="str">
        <f t="shared" si="56"/>
        <v>GMFI, GARUDA MAINTENANCE FACILITY AERO ASIA, Garuda Maintenance Facility Aero Asia, Garuda Maintenance Facility Aero Asia Tbk, GarudaMaintenanceFacilityAeroAsia, PT Garuda Maintenance Facility Aero Asia, garuda maintenance facility aero asia</v>
      </c>
      <c r="F345" t="str">
        <f t="shared" si="57"/>
        <v>garuda maintenance facility aero asia</v>
      </c>
      <c r="G345" t="str">
        <f t="shared" si="60"/>
        <v>GMFI, GARUDA MAINTENANCE FACILITY AERO ASIA, Garuda Maintenance Facility Aero Asia, Garuda Maintenance Facility Aero Asia Tbk, GarudaMaintenanceFacilityAeroAsia, PT Garuda Maintenance Facility Aero Asia</v>
      </c>
      <c r="H345" t="str">
        <f t="shared" si="61"/>
        <v>GMFI, GARUDA MAINTENANCE FACILITY AERO ASIA, Garuda Maintenance Facility Aero Asia, Garuda Maintenance Facility Aero Asia Tbk, GarudaMaintenanceFacilityAeroAsia, PT Garuda Maintenance Facility Aero Asia</v>
      </c>
      <c r="I345" t="str">
        <f t="shared" si="58"/>
        <v>GARUDA MAINTENANCE FACILITY AERO ASIA</v>
      </c>
      <c r="J345" t="str">
        <f t="shared" si="62"/>
        <v>GMFI, Garuda Maintenance Facility Aero Asia, Garuda Maintenance Facility Aero Asia Tbk, GarudaMaintenanceFacilityAeroAsia, PT Garuda Maintenance Facility Aero Asia</v>
      </c>
      <c r="K345" t="str">
        <f t="shared" si="63"/>
        <v>GMFI, Garuda Maintenance Facility Aero Asia, Garuda Maintenance Facility Aero Asia Tbk, GarudaMaintenanceFacilityAeroAsia, PT Garuda Maintenance Facility Aero Asia</v>
      </c>
      <c r="L345" t="str">
        <f t="shared" si="59"/>
        <v>GarudaMaintenanceFacilityAeroAsia</v>
      </c>
      <c r="M345" t="str">
        <f t="shared" si="64"/>
        <v>GMFI, Garuda Maintenance Facility Aero Asia, Garuda Maintenance Facility Aero Asia Tbk, PT Garuda Maintenance Facility Aero Asia</v>
      </c>
      <c r="N345" t="str">
        <f t="shared" si="65"/>
        <v>GMFI, Garuda Maintenance Facility Aero Asia, Garuda Maintenance Facility Aero Asia Tbk, PT Garuda Maintenance Facility Aero Asia</v>
      </c>
    </row>
    <row r="346" spans="1:14" x14ac:dyDescent="0.2">
      <c r="A346" t="s">
        <v>530</v>
      </c>
      <c r="B346" t="s">
        <v>3569</v>
      </c>
      <c r="C346" t="s">
        <v>8145</v>
      </c>
      <c r="D346" t="str">
        <f t="shared" si="55"/>
        <v>GMTD, GOWA MAKASSAR TOURISM DEVELOPMENT, Gowa Makassar Tourism Development, Gowa Makassar Tourism Development Tbk, GowaMakassarTourismDevelopment, PT Gowa Makassar Tourism Development, gowa makassar tourism development</v>
      </c>
      <c r="E346" t="str">
        <f t="shared" si="56"/>
        <v>GMTD, GOWA MAKASSAR TOURISM DEVELOPMENT, Gowa Makassar Tourism Development, Gowa Makassar Tourism Development Tbk, GowaMakassarTourismDevelopment, PT Gowa Makassar Tourism Development, gowa makassar tourism development</v>
      </c>
      <c r="F346" t="str">
        <f t="shared" si="57"/>
        <v>gowa makassar tourism development</v>
      </c>
      <c r="G346" t="str">
        <f t="shared" si="60"/>
        <v>GMTD, GOWA MAKASSAR TOURISM DEVELOPMENT, Gowa Makassar Tourism Development, Gowa Makassar Tourism Development Tbk, GowaMakassarTourismDevelopment, PT Gowa Makassar Tourism Development</v>
      </c>
      <c r="H346" t="str">
        <f t="shared" si="61"/>
        <v>GMTD, GOWA MAKASSAR TOURISM DEVELOPMENT, Gowa Makassar Tourism Development, Gowa Makassar Tourism Development Tbk, GowaMakassarTourismDevelopment, PT Gowa Makassar Tourism Development</v>
      </c>
      <c r="I346" t="str">
        <f t="shared" si="58"/>
        <v>GOWA MAKASSAR TOURISM DEVELOPMENT</v>
      </c>
      <c r="J346" t="str">
        <f t="shared" si="62"/>
        <v>GMTD, Gowa Makassar Tourism Development, Gowa Makassar Tourism Development Tbk, GowaMakassarTourismDevelopment, PT Gowa Makassar Tourism Development</v>
      </c>
      <c r="K346" t="str">
        <f t="shared" si="63"/>
        <v>GMTD, Gowa Makassar Tourism Development, Gowa Makassar Tourism Development Tbk, GowaMakassarTourismDevelopment, PT Gowa Makassar Tourism Development</v>
      </c>
      <c r="L346" t="str">
        <f t="shared" si="59"/>
        <v>GowaMakassarTourismDevelopment</v>
      </c>
      <c r="M346" t="str">
        <f t="shared" si="64"/>
        <v>GMTD, Gowa Makassar Tourism Development, Gowa Makassar Tourism Development Tbk, PT Gowa Makassar Tourism Development</v>
      </c>
      <c r="N346" t="str">
        <f t="shared" si="65"/>
        <v>GMTD, Gowa Makassar Tourism Development, Gowa Makassar Tourism Development Tbk, PT Gowa Makassar Tourism Development</v>
      </c>
    </row>
    <row r="347" spans="1:14" x14ac:dyDescent="0.2">
      <c r="A347" t="s">
        <v>532</v>
      </c>
      <c r="B347" t="s">
        <v>3570</v>
      </c>
      <c r="C347" t="s">
        <v>8146</v>
      </c>
      <c r="D347" t="str">
        <f t="shared" si="55"/>
        <v>GOLD, PT Visi Telekomunikasi Infrastruktur, VISI TELEKOMUNIKASI INFRASTRUKTUR, Visi Telekomunikasi Infrastruktur, Visi Telekomunikasi Infrastruktur Tbk, VisiTelekomunikasiInfrastruktur, visi telekomunikasi infrastruktur</v>
      </c>
      <c r="E347" t="str">
        <f t="shared" si="56"/>
        <v>GOLD, PT Visi Telekomunikasi Infrastruktur, VISI TELEKOMUNIKASI INFRASTRUKTUR, Visi Telekomunikasi Infrastruktur, Visi Telekomunikasi Infrastruktur Tbk, VisiTelekomunikasiInfrastruktur, visi telekomunikasi infrastruktur</v>
      </c>
      <c r="F347" t="str">
        <f t="shared" si="57"/>
        <v>visi telekomunikasi infrastruktur</v>
      </c>
      <c r="G347" t="str">
        <f t="shared" si="60"/>
        <v>GOLD, PT Visi Telekomunikasi Infrastruktur, VISI TELEKOMUNIKASI INFRASTRUKTUR, Visi Telekomunikasi Infrastruktur, Visi Telekomunikasi Infrastruktur Tbk, VisiTelekomunikasiInfrastruktur</v>
      </c>
      <c r="H347" t="str">
        <f t="shared" si="61"/>
        <v>GOLD, PT Visi Telekomunikasi Infrastruktur, VISI TELEKOMUNIKASI INFRASTRUKTUR, Visi Telekomunikasi Infrastruktur, Visi Telekomunikasi Infrastruktur Tbk, VisiTelekomunikasiInfrastruktur</v>
      </c>
      <c r="I347" t="str">
        <f t="shared" si="58"/>
        <v>VISI TELEKOMUNIKASI INFRASTRUKTUR</v>
      </c>
      <c r="J347" t="str">
        <f t="shared" si="62"/>
        <v>GOLD, PT Visi Telekomunikasi Infrastruktur, Visi Telekomunikasi Infrastruktur, Visi Telekomunikasi Infrastruktur Tbk, VisiTelekomunikasiInfrastruktur</v>
      </c>
      <c r="K347" t="str">
        <f t="shared" si="63"/>
        <v>GOLD, PT Visi Telekomunikasi Infrastruktur, Visi Telekomunikasi Infrastruktur, Visi Telekomunikasi Infrastruktur Tbk, VisiTelekomunikasiInfrastruktur</v>
      </c>
      <c r="L347" t="str">
        <f t="shared" si="59"/>
        <v>VisiTelekomunikasiInfrastruktur</v>
      </c>
      <c r="M347" t="str">
        <f t="shared" si="64"/>
        <v>GOLD, PT Visi Telekomunikasi Infrastruktur, Visi Telekomunikasi Infrastruktur, Visi Telekomunikasi Infrastruktur Tbk</v>
      </c>
      <c r="N347" t="str">
        <f t="shared" si="65"/>
        <v>GOLD, PT Visi Telekomunikasi Infrastruktur, Visi Telekomunikasi Infrastruktur, Visi Telekomunikasi Infrastruktur Tbk</v>
      </c>
    </row>
    <row r="348" spans="1:14" x14ac:dyDescent="0.2">
      <c r="A348" t="s">
        <v>2471</v>
      </c>
      <c r="B348" t="s">
        <v>2472</v>
      </c>
      <c r="C348" t="s">
        <v>8147</v>
      </c>
      <c r="D348" t="str">
        <f t="shared" si="55"/>
        <v>GOLF, INTRA GOLFLINK RESORTS, Intra Golflink Resorts, Intra Golflink Resorts Tbk, IntraGolflinkResorts, PT Intra Golflink Resorts, intra golflink resorts</v>
      </c>
      <c r="E348" t="str">
        <f t="shared" si="56"/>
        <v>GOLF, INTRA GOLFLINK RESORTS, Intra Golflink Resorts, Intra Golflink Resorts Tbk, IntraGolflinkResorts, PT Intra Golflink Resorts, intra golflink resorts</v>
      </c>
      <c r="F348" t="str">
        <f t="shared" si="57"/>
        <v>intra golflink resorts</v>
      </c>
      <c r="G348" t="str">
        <f t="shared" si="60"/>
        <v>GOLF, INTRA GOLFLINK RESORTS, Intra Golflink Resorts, Intra Golflink Resorts Tbk, IntraGolflinkResorts, PT Intra Golflink Resorts</v>
      </c>
      <c r="H348" t="str">
        <f t="shared" si="61"/>
        <v>GOLF, INTRA GOLFLINK RESORTS, Intra Golflink Resorts, Intra Golflink Resorts Tbk, IntraGolflinkResorts, PT Intra Golflink Resorts</v>
      </c>
      <c r="I348" t="str">
        <f t="shared" si="58"/>
        <v>INTRA GOLFLINK RESORTS</v>
      </c>
      <c r="J348" t="str">
        <f t="shared" si="62"/>
        <v>GOLF, Intra Golflink Resorts, Intra Golflink Resorts Tbk, IntraGolflinkResorts, PT Intra Golflink Resorts</v>
      </c>
      <c r="K348" t="str">
        <f t="shared" si="63"/>
        <v>GOLF, Intra Golflink Resorts, Intra Golflink Resorts Tbk, IntraGolflinkResorts, PT Intra Golflink Resorts</v>
      </c>
      <c r="L348" t="str">
        <f t="shared" si="59"/>
        <v>IntraGolflinkResorts</v>
      </c>
      <c r="M348" t="str">
        <f t="shared" si="64"/>
        <v>GOLF, Intra Golflink Resorts, Intra Golflink Resorts Tbk, PT Intra Golflink Resorts</v>
      </c>
      <c r="N348" t="str">
        <f t="shared" si="65"/>
        <v>GOLF, Intra Golflink Resorts, Intra Golflink Resorts Tbk, PT Intra Golflink Resorts</v>
      </c>
    </row>
    <row r="349" spans="1:14" x14ac:dyDescent="0.2">
      <c r="A349" t="s">
        <v>534</v>
      </c>
      <c r="B349" t="s">
        <v>535</v>
      </c>
      <c r="C349" t="s">
        <v>8148</v>
      </c>
      <c r="D349" t="str">
        <f t="shared" si="55"/>
        <v>GOLL, GOLDEN PLANTATION, Golden Plantation, Golden Plantation Tbk, GoldenPlantation, PT Golden Plantation, golden plantation</v>
      </c>
      <c r="E349" t="str">
        <f t="shared" si="56"/>
        <v>GOLL, GOLDEN PLANTATION, Golden Plantation, Golden Plantation Tbk, GoldenPlantation, PT Golden Plantation, golden plantation</v>
      </c>
      <c r="F349" t="str">
        <f t="shared" si="57"/>
        <v>golden plantation</v>
      </c>
      <c r="G349" t="str">
        <f t="shared" si="60"/>
        <v>GOLL, GOLDEN PLANTATION, Golden Plantation, Golden Plantation Tbk, GoldenPlantation, PT Golden Plantation</v>
      </c>
      <c r="H349" t="str">
        <f t="shared" si="61"/>
        <v>GOLL, GOLDEN PLANTATION, Golden Plantation, Golden Plantation Tbk, GoldenPlantation, PT Golden Plantation</v>
      </c>
      <c r="I349" t="str">
        <f t="shared" si="58"/>
        <v>GOLDEN PLANTATION</v>
      </c>
      <c r="J349" t="str">
        <f t="shared" si="62"/>
        <v>GOLL, Golden Plantation, Golden Plantation Tbk, GoldenPlantation, PT Golden Plantation</v>
      </c>
      <c r="K349" t="str">
        <f t="shared" si="63"/>
        <v>GOLL, Golden Plantation, Golden Plantation Tbk, GoldenPlantation, PT Golden Plantation</v>
      </c>
      <c r="L349" t="str">
        <f t="shared" si="59"/>
        <v>GoldenPlantation</v>
      </c>
      <c r="M349" t="str">
        <f t="shared" si="64"/>
        <v>GOLL, Golden Plantation, Golden Plantation Tbk, PT Golden Plantation</v>
      </c>
      <c r="N349" t="str">
        <f t="shared" si="65"/>
        <v>GOLL, Golden Plantation, Golden Plantation Tbk, PT Golden Plantation</v>
      </c>
    </row>
    <row r="350" spans="1:14" x14ac:dyDescent="0.2">
      <c r="A350" t="s">
        <v>1604</v>
      </c>
      <c r="B350" t="s">
        <v>3571</v>
      </c>
      <c r="C350" t="s">
        <v>8149</v>
      </c>
      <c r="D350" t="str">
        <f t="shared" si="55"/>
        <v>GOOD, GARUDAFOOD PUTRA PUTRI JAYA, Garudafood Putra Putri Jaya, Garudafood Putra Putri Jaya Tbk, GarudafoodPutraPutriJaya, PT Garudafood Putra Putri Jaya, garudafood putra putri jaya</v>
      </c>
      <c r="E350" t="str">
        <f t="shared" si="56"/>
        <v>GOOD, GARUDAFOOD PUTRA PUTRI JAYA, Garudafood Putra Putri Jaya, Garudafood Putra Putri Jaya Tbk, GarudafoodPutraPutriJaya, PT Garudafood Putra Putri Jaya, garudafood putra putri jaya</v>
      </c>
      <c r="F350" t="str">
        <f t="shared" si="57"/>
        <v>garudafood putra putri jaya</v>
      </c>
      <c r="G350" t="str">
        <f t="shared" si="60"/>
        <v>GOOD, GARUDAFOOD PUTRA PUTRI JAYA, Garudafood Putra Putri Jaya, Garudafood Putra Putri Jaya Tbk, GarudafoodPutraPutriJaya, PT Garudafood Putra Putri Jaya</v>
      </c>
      <c r="H350" t="str">
        <f t="shared" si="61"/>
        <v>GOOD, GARUDAFOOD PUTRA PUTRI JAYA, Garudafood Putra Putri Jaya, Garudafood Putra Putri Jaya Tbk, GarudafoodPutraPutriJaya, PT Garudafood Putra Putri Jaya</v>
      </c>
      <c r="I350" t="str">
        <f t="shared" si="58"/>
        <v>GARUDAFOOD PUTRA PUTRI JAYA</v>
      </c>
      <c r="J350" t="str">
        <f t="shared" si="62"/>
        <v>GOOD, Garudafood Putra Putri Jaya, Garudafood Putra Putri Jaya Tbk, GarudafoodPutraPutriJaya, PT Garudafood Putra Putri Jaya</v>
      </c>
      <c r="K350" t="str">
        <f t="shared" si="63"/>
        <v>GOOD, Garudafood Putra Putri Jaya, Garudafood Putra Putri Jaya Tbk, GarudafoodPutraPutriJaya, PT Garudafood Putra Putri Jaya</v>
      </c>
      <c r="L350" t="str">
        <f t="shared" si="59"/>
        <v>GarudafoodPutraPutriJaya</v>
      </c>
      <c r="M350" t="str">
        <f t="shared" si="64"/>
        <v>GOOD, Garudafood Putra Putri Jaya, Garudafood Putra Putri Jaya Tbk, PT Garudafood Putra Putri Jaya</v>
      </c>
      <c r="N350" t="str">
        <f t="shared" si="65"/>
        <v>GOOD, Garudafood Putra Putri Jaya, Garudafood Putra Putri Jaya Tbk, PT Garudafood Putra Putri Jaya</v>
      </c>
    </row>
    <row r="351" spans="1:14" x14ac:dyDescent="0.2">
      <c r="A351" t="s">
        <v>2097</v>
      </c>
      <c r="B351" t="s">
        <v>2098</v>
      </c>
      <c r="C351" t="s">
        <v>8150</v>
      </c>
      <c r="D351" t="str">
        <f t="shared" si="55"/>
        <v>GOTO, GOTO GOJEK TOKOPEDIA, GoTo Gojek Tokopedia, GoTo Gojek Tokopedia Tbk, GoToGojekTokopedia, PT GoTo Gojek Tokopedia, goto gojek tokopedia</v>
      </c>
      <c r="E351" t="str">
        <f t="shared" si="56"/>
        <v>GOTO, GOTO GOJEK TOKOPEDIA, GoTo Gojek Tokopedia, GoTo Gojek Tokopedia Tbk, GoToGojekTokopedia, PT GoTo Gojek Tokopedia, goto gojek tokopedia</v>
      </c>
      <c r="F351" t="str">
        <f t="shared" si="57"/>
        <v>goto gojek tokopedia</v>
      </c>
      <c r="G351" t="str">
        <f t="shared" si="60"/>
        <v>GOTO, GOTO GOJEK TOKOPEDIA, GoTo Gojek Tokopedia, GoTo Gojek Tokopedia Tbk, GoToGojekTokopedia, PT GoTo Gojek Tokopedia</v>
      </c>
      <c r="H351" t="str">
        <f t="shared" si="61"/>
        <v>GOTO, GOTO GOJEK TOKOPEDIA, GoTo Gojek Tokopedia, GoTo Gojek Tokopedia Tbk, GoToGojekTokopedia, PT GoTo Gojek Tokopedia</v>
      </c>
      <c r="I351" t="str">
        <f t="shared" si="58"/>
        <v>GOTO GOJEK TOKOPEDIA</v>
      </c>
      <c r="J351" t="str">
        <f t="shared" si="62"/>
        <v>GOTO, GoTo Gojek Tokopedia, GoTo Gojek Tokopedia Tbk, GoToGojekTokopedia, PT GoTo Gojek Tokopedia</v>
      </c>
      <c r="K351" t="str">
        <f t="shared" si="63"/>
        <v>GOTO, GoTo Gojek Tokopedia, GoTo Gojek Tokopedia Tbk, GoToGojekTokopedia, PT GoTo Gojek Tokopedia</v>
      </c>
      <c r="L351" t="str">
        <f t="shared" si="59"/>
        <v>GoToGojekTokopedia</v>
      </c>
      <c r="M351" t="str">
        <f t="shared" si="64"/>
        <v>GOTO, GoTo Gojek Tokopedia, GoTo Gojek Tokopedia Tbk, PT GoTo Gojek Tokopedia</v>
      </c>
      <c r="N351" t="str">
        <f t="shared" si="65"/>
        <v>GOTO, GoTo Gojek Tokopedia, GoTo Gojek Tokopedia Tbk, PT GoTo Gojek Tokopedia</v>
      </c>
    </row>
    <row r="352" spans="1:14" x14ac:dyDescent="0.2">
      <c r="A352" t="s">
        <v>537</v>
      </c>
      <c r="B352" t="s">
        <v>538</v>
      </c>
      <c r="C352" t="s">
        <v>8151</v>
      </c>
      <c r="D352" t="str">
        <f t="shared" si="55"/>
        <v>GPRA, PERDANA GAPURAPRIMA, PT Perdana Gapuraprima, Perdana Gapuraprima, Perdana Gapuraprima Tbk, PerdanaGapuraprima, perdana gapuraprima</v>
      </c>
      <c r="E352" t="str">
        <f t="shared" si="56"/>
        <v>GPRA, PERDANA GAPURAPRIMA, PT Perdana Gapuraprima, Perdana Gapuraprima, Perdana Gapuraprima Tbk, PerdanaGapuraprima, perdana gapuraprima</v>
      </c>
      <c r="F352" t="str">
        <f t="shared" si="57"/>
        <v>perdana gapuraprima</v>
      </c>
      <c r="G352" t="str">
        <f t="shared" si="60"/>
        <v>GPRA, PERDANA GAPURAPRIMA, PT Perdana Gapuraprima, Perdana Gapuraprima, Perdana Gapuraprima Tbk, PerdanaGapuraprima</v>
      </c>
      <c r="H352" t="str">
        <f t="shared" si="61"/>
        <v>GPRA, PERDANA GAPURAPRIMA, PT Perdana Gapuraprima, Perdana Gapuraprima, Perdana Gapuraprima Tbk, PerdanaGapuraprima</v>
      </c>
      <c r="I352" t="str">
        <f t="shared" si="58"/>
        <v>PERDANA GAPURAPRIMA</v>
      </c>
      <c r="J352" t="str">
        <f t="shared" si="62"/>
        <v>GPRA, PT Perdana Gapuraprima, Perdana Gapuraprima, Perdana Gapuraprima Tbk, PerdanaGapuraprima</v>
      </c>
      <c r="K352" t="str">
        <f t="shared" si="63"/>
        <v>GPRA, PT Perdana Gapuraprima, Perdana Gapuraprima, Perdana Gapuraprima Tbk, PerdanaGapuraprima</v>
      </c>
      <c r="L352" t="str">
        <f t="shared" si="59"/>
        <v>PerdanaGapuraprima</v>
      </c>
      <c r="M352" t="str">
        <f t="shared" si="64"/>
        <v>GPRA, PT Perdana Gapuraprima, Perdana Gapuraprima, Perdana Gapuraprima Tbk</v>
      </c>
      <c r="N352" t="str">
        <f t="shared" si="65"/>
        <v>GPRA, PT Perdana Gapuraprima, Perdana Gapuraprima, Perdana Gapuraprima Tbk</v>
      </c>
    </row>
    <row r="353" spans="1:14" x14ac:dyDescent="0.2">
      <c r="A353" t="s">
        <v>1989</v>
      </c>
      <c r="B353" t="s">
        <v>1990</v>
      </c>
      <c r="C353" t="s">
        <v>8152</v>
      </c>
      <c r="D353" t="str">
        <f t="shared" si="55"/>
        <v>GPSO, GEOPRIMA SOLUSI, Geoprima Solusi, Geoprima Solusi Tbk, GeoprimaSolusi, PT Geoprima Solusi, geoprima solusi</v>
      </c>
      <c r="E353" t="str">
        <f t="shared" si="56"/>
        <v>GPSO, GEOPRIMA SOLUSI, Geoprima Solusi, Geoprima Solusi Tbk, GeoprimaSolusi, PT Geoprima Solusi, geoprima solusi</v>
      </c>
      <c r="F353" t="str">
        <f t="shared" si="57"/>
        <v>geoprima solusi</v>
      </c>
      <c r="G353" t="str">
        <f t="shared" si="60"/>
        <v>GPSO, GEOPRIMA SOLUSI, Geoprima Solusi, Geoprima Solusi Tbk, GeoprimaSolusi, PT Geoprima Solusi</v>
      </c>
      <c r="H353" t="str">
        <f t="shared" si="61"/>
        <v>GPSO, GEOPRIMA SOLUSI, Geoprima Solusi, Geoprima Solusi Tbk, GeoprimaSolusi, PT Geoprima Solusi</v>
      </c>
      <c r="I353" t="str">
        <f t="shared" si="58"/>
        <v>GEOPRIMA SOLUSI</v>
      </c>
      <c r="J353" t="str">
        <f t="shared" si="62"/>
        <v>GPSO, Geoprima Solusi, Geoprima Solusi Tbk, GeoprimaSolusi, PT Geoprima Solusi</v>
      </c>
      <c r="K353" t="str">
        <f t="shared" si="63"/>
        <v>GPSO, Geoprima Solusi, Geoprima Solusi Tbk, GeoprimaSolusi, PT Geoprima Solusi</v>
      </c>
      <c r="L353" t="str">
        <f t="shared" si="59"/>
        <v>GeoprimaSolusi</v>
      </c>
      <c r="M353" t="str">
        <f t="shared" si="64"/>
        <v>GPSO, Geoprima Solusi, Geoprima Solusi Tbk, PT Geoprima Solusi</v>
      </c>
      <c r="N353" t="str">
        <f t="shared" si="65"/>
        <v>GPSO, Geoprima Solusi, Geoprima Solusi Tbk, PT Geoprima Solusi</v>
      </c>
    </row>
    <row r="354" spans="1:14" x14ac:dyDescent="0.2">
      <c r="A354" t="s">
        <v>2348</v>
      </c>
      <c r="B354" t="s">
        <v>3572</v>
      </c>
      <c r="C354" t="s">
        <v>8153</v>
      </c>
      <c r="D354" t="str">
        <f t="shared" si="55"/>
        <v>GRIA, INGRIA PRATAMA CAPITALINDO, Ingria Pratama Capitalindo, Ingria Pratama Capitalindo Tbk, IngriaPratamaCapitalindo, PT Ingria Pratama Capitalindo, ingria pratama capitalindo</v>
      </c>
      <c r="E354" t="str">
        <f t="shared" si="56"/>
        <v>GRIA, INGRIA PRATAMA CAPITALINDO, Ingria Pratama Capitalindo, Ingria Pratama Capitalindo Tbk, IngriaPratamaCapitalindo, PT Ingria Pratama Capitalindo, ingria pratama capitalindo</v>
      </c>
      <c r="F354" t="str">
        <f t="shared" si="57"/>
        <v>ingria pratama capitalindo</v>
      </c>
      <c r="G354" t="str">
        <f t="shared" si="60"/>
        <v>GRIA, INGRIA PRATAMA CAPITALINDO, Ingria Pratama Capitalindo, Ingria Pratama Capitalindo Tbk, IngriaPratamaCapitalindo, PT Ingria Pratama Capitalindo</v>
      </c>
      <c r="H354" t="str">
        <f t="shared" si="61"/>
        <v>GRIA, INGRIA PRATAMA CAPITALINDO, Ingria Pratama Capitalindo, Ingria Pratama Capitalindo Tbk, IngriaPratamaCapitalindo, PT Ingria Pratama Capitalindo</v>
      </c>
      <c r="I354" t="str">
        <f t="shared" si="58"/>
        <v>INGRIA PRATAMA CAPITALINDO</v>
      </c>
      <c r="J354" t="str">
        <f t="shared" si="62"/>
        <v>GRIA, Ingria Pratama Capitalindo, Ingria Pratama Capitalindo Tbk, IngriaPratamaCapitalindo, PT Ingria Pratama Capitalindo</v>
      </c>
      <c r="K354" t="str">
        <f t="shared" si="63"/>
        <v>GRIA, Ingria Pratama Capitalindo, Ingria Pratama Capitalindo Tbk, IngriaPratamaCapitalindo, PT Ingria Pratama Capitalindo</v>
      </c>
      <c r="L354" t="str">
        <f t="shared" si="59"/>
        <v>IngriaPratamaCapitalindo</v>
      </c>
      <c r="M354" t="str">
        <f t="shared" si="64"/>
        <v>GRIA, Ingria Pratama Capitalindo, Ingria Pratama Capitalindo Tbk, PT Ingria Pratama Capitalindo</v>
      </c>
      <c r="N354" t="str">
        <f t="shared" si="65"/>
        <v>GRIA, Ingria Pratama Capitalindo, Ingria Pratama Capitalindo Tbk, PT Ingria Pratama Capitalindo</v>
      </c>
    </row>
    <row r="355" spans="1:14" x14ac:dyDescent="0.2">
      <c r="A355" t="s">
        <v>2417</v>
      </c>
      <c r="B355" t="s">
        <v>2418</v>
      </c>
      <c r="C355" t="s">
        <v>8154</v>
      </c>
      <c r="D355" t="str">
        <f t="shared" si="55"/>
        <v>GRPH, GRIHA PUTRA PERSADA, Griha Putra Persada, Griha Putra Persada Tbk, GrihaPutraPersada, PT Griha Putra Persada, griha putra persada</v>
      </c>
      <c r="E355" t="str">
        <f t="shared" si="56"/>
        <v>GRPH, GRIHA PUTRA PERSADA, Griha Putra Persada, Griha Putra Persada Tbk, GrihaPutraPersada, PT Griha Putra Persada, griha putra persada</v>
      </c>
      <c r="F355" t="str">
        <f t="shared" si="57"/>
        <v>griptha putra persada</v>
      </c>
      <c r="G355" t="str">
        <f t="shared" si="60"/>
        <v>GRPH, GRIHA PUTRA PERSADA, Griha Putra Persada, Griha Putra Persada Tbk, GrihaPutraPersada, PT Griha Putra Persada, griha putra persada</v>
      </c>
      <c r="H355" t="str">
        <f t="shared" si="61"/>
        <v>GRPH, GRIHA PUTRA PERSADA, Griha Putra Persada, Griha Putra Persada Tbk, GrihaPutraPersada, PT Griha Putra Persada, griha putra persada</v>
      </c>
      <c r="I355" t="str">
        <f t="shared" si="58"/>
        <v>GRIPTHA PUTRA PERSADA</v>
      </c>
      <c r="J355" t="str">
        <f t="shared" si="62"/>
        <v>GRPH, GRIHA PUTRA PERSADA, Griha Putra Persada, Griha Putra Persada Tbk, GrihaPutraPersada, PT Griha Putra Persada, griha putra persada</v>
      </c>
      <c r="K355" t="str">
        <f t="shared" si="63"/>
        <v>GRPH, GRIHA PUTRA PERSADA, Griha Putra Persada, Griha Putra Persada Tbk, GrihaPutraPersada, PT Griha Putra Persada, griha putra persada</v>
      </c>
      <c r="L355" t="str">
        <f t="shared" si="59"/>
        <v>GripthaPutraPersada</v>
      </c>
      <c r="M355" t="str">
        <f t="shared" si="64"/>
        <v>GRPH, GRIHA PUTRA PERSADA, Griha Putra Persada, Griha Putra Persada Tbk, GrihaPutraPersada, PT Griha Putra Persada, griha putra persada</v>
      </c>
      <c r="N355" t="str">
        <f t="shared" si="65"/>
        <v>GRPH, GRIHA PUTRA PERSADA, Griha Putra Persada, Griha Putra Persada Tbk, GrihaPutraPersada, PT Griha Putra Persada, griha putra persada</v>
      </c>
    </row>
    <row r="356" spans="1:14" x14ac:dyDescent="0.2">
      <c r="A356" t="s">
        <v>2324</v>
      </c>
      <c r="B356" t="s">
        <v>2325</v>
      </c>
      <c r="C356" t="s">
        <v>8155</v>
      </c>
      <c r="D356" t="str">
        <f t="shared" si="55"/>
        <v>GRPM, GRAHA PRIMA MENTARI, Graha Prima Mentari, Graha Prima Mentari Tbk, GrahaPrimaMentari, PT Graha Prima Mentari, graha prima mentari</v>
      </c>
      <c r="E356" t="str">
        <f t="shared" si="56"/>
        <v>GRPM, GRAHA PRIMA MENTARI, Graha Prima Mentari, Graha Prima Mentari Tbk, GrahaPrimaMentari, PT Graha Prima Mentari, graha prima mentari</v>
      </c>
      <c r="F356" t="str">
        <f t="shared" si="57"/>
        <v>graha prima mentari</v>
      </c>
      <c r="G356" t="str">
        <f t="shared" si="60"/>
        <v>GRPM, GRAHA PRIMA MENTARI, Graha Prima Mentari, Graha Prima Mentari Tbk, GrahaPrimaMentari, PT Graha Prima Mentari</v>
      </c>
      <c r="H356" t="str">
        <f t="shared" si="61"/>
        <v>GRPM, GRAHA PRIMA MENTARI, Graha Prima Mentari, Graha Prima Mentari Tbk, GrahaPrimaMentari, PT Graha Prima Mentari</v>
      </c>
      <c r="I356" t="str">
        <f t="shared" si="58"/>
        <v>GRAHA PRIMA MENTARI</v>
      </c>
      <c r="J356" t="str">
        <f t="shared" si="62"/>
        <v>GRPM, Graha Prima Mentari, Graha Prima Mentari Tbk, GrahaPrimaMentari, PT Graha Prima Mentari</v>
      </c>
      <c r="K356" t="str">
        <f t="shared" si="63"/>
        <v>GRPM, Graha Prima Mentari, Graha Prima Mentari Tbk, GrahaPrimaMentari, PT Graha Prima Mentari</v>
      </c>
      <c r="L356" t="str">
        <f t="shared" si="59"/>
        <v>GrahaPrimaMentari</v>
      </c>
      <c r="M356" t="str">
        <f t="shared" si="64"/>
        <v>GRPM, Graha Prima Mentari, Graha Prima Mentari Tbk, PT Graha Prima Mentari</v>
      </c>
      <c r="N356" t="str">
        <f t="shared" si="65"/>
        <v>GRPM, Graha Prima Mentari, Graha Prima Mentari Tbk, PT Graha Prima Mentari</v>
      </c>
    </row>
    <row r="357" spans="1:14" x14ac:dyDescent="0.2">
      <c r="A357" t="s">
        <v>540</v>
      </c>
      <c r="B357" t="s">
        <v>3573</v>
      </c>
      <c r="C357" t="s">
        <v>8156</v>
      </c>
      <c r="D357" t="str">
        <f t="shared" si="55"/>
        <v>GSMF, EQUITY DEVELOPMENT INVESTMENT, Equity Development Investment, Equity Development Investment Tbk, EquityDevelopmentInvestment, PT Equity Development Investment, equity development investment</v>
      </c>
      <c r="E357" t="str">
        <f t="shared" si="56"/>
        <v>GSMF, EQUITY DEVELOPMENT INVESTMENT, Equity Development Investment, Equity Development Investment Tbk, EquityDevelopmentInvestment, PT Equity Development Investment, equity development investment</v>
      </c>
      <c r="F357" t="str">
        <f t="shared" si="57"/>
        <v>equity development investment</v>
      </c>
      <c r="G357" t="str">
        <f t="shared" si="60"/>
        <v>GSMF, EQUITY DEVELOPMENT INVESTMENT, Equity Development Investment, Equity Development Investment Tbk, EquityDevelopmentInvestment, PT Equity Development Investment</v>
      </c>
      <c r="H357" t="str">
        <f t="shared" si="61"/>
        <v>GSMF, EQUITY DEVELOPMENT INVESTMENT, Equity Development Investment, Equity Development Investment Tbk, EquityDevelopmentInvestment, PT Equity Development Investment</v>
      </c>
      <c r="I357" t="str">
        <f t="shared" si="58"/>
        <v>EQUITY DEVELOPMENT INVESTMENT</v>
      </c>
      <c r="J357" t="str">
        <f t="shared" si="62"/>
        <v>GSMF, Equity Development Investment, Equity Development Investment Tbk, EquityDevelopmentInvestment, PT Equity Development Investment</v>
      </c>
      <c r="K357" t="str">
        <f t="shared" si="63"/>
        <v>GSMF, Equity Development Investment, Equity Development Investment Tbk, EquityDevelopmentInvestment, PT Equity Development Investment</v>
      </c>
      <c r="L357" t="str">
        <f t="shared" si="59"/>
        <v>EquityDevelopmentInvestment</v>
      </c>
      <c r="M357" t="str">
        <f t="shared" si="64"/>
        <v>GSMF, Equity Development Investment, Equity Development Investment Tbk, PT Equity Development Investment</v>
      </c>
      <c r="N357" t="str">
        <f t="shared" si="65"/>
        <v>GSMF, Equity Development Investment, Equity Development Investment Tbk, PT Equity Development Investment</v>
      </c>
    </row>
    <row r="358" spans="1:14" x14ac:dyDescent="0.2">
      <c r="A358" t="s">
        <v>542</v>
      </c>
      <c r="B358" t="s">
        <v>3574</v>
      </c>
      <c r="C358" t="s">
        <v>8157</v>
      </c>
      <c r="D358" t="str">
        <f t="shared" si="55"/>
        <v>GTBO, GARDA TUJUH BUANA, Garda Tujuh Buana, Garda Tujuh Buana Tbk, GardaTujuhBuana, PT Garda Tujuh Buana, garda tujuh buana</v>
      </c>
      <c r="E358" t="str">
        <f t="shared" si="56"/>
        <v>GTBO, GARDA TUJUH BUANA, Garda Tujuh Buana, Garda Tujuh Buana Tbk, GardaTujuhBuana, PT Garda Tujuh Buana, garda tujuh buana</v>
      </c>
      <c r="F358" t="str">
        <f t="shared" si="57"/>
        <v>garda tujuh buana</v>
      </c>
      <c r="G358" t="str">
        <f t="shared" si="60"/>
        <v>GTBO, GARDA TUJUH BUANA, Garda Tujuh Buana, Garda Tujuh Buana Tbk, GardaTujuhBuana, PT Garda Tujuh Buana</v>
      </c>
      <c r="H358" t="str">
        <f t="shared" si="61"/>
        <v>GTBO, GARDA TUJUH BUANA, Garda Tujuh Buana, Garda Tujuh Buana Tbk, GardaTujuhBuana, PT Garda Tujuh Buana</v>
      </c>
      <c r="I358" t="str">
        <f t="shared" si="58"/>
        <v>GARDA TUJUH BUANA</v>
      </c>
      <c r="J358" t="str">
        <f t="shared" si="62"/>
        <v>GTBO, Garda Tujuh Buana, Garda Tujuh Buana Tbk, GardaTujuhBuana, PT Garda Tujuh Buana</v>
      </c>
      <c r="K358" t="str">
        <f t="shared" si="63"/>
        <v>GTBO, Garda Tujuh Buana, Garda Tujuh Buana Tbk, GardaTujuhBuana, PT Garda Tujuh Buana</v>
      </c>
      <c r="L358" t="str">
        <f t="shared" si="59"/>
        <v>GardaTujuhBuana</v>
      </c>
      <c r="M358" t="str">
        <f t="shared" si="64"/>
        <v>GTBO, Garda Tujuh Buana, Garda Tujuh Buana Tbk, PT Garda Tujuh Buana</v>
      </c>
      <c r="N358" t="str">
        <f t="shared" si="65"/>
        <v>GTBO, Garda Tujuh Buana, Garda Tujuh Buana Tbk, PT Garda Tujuh Buana</v>
      </c>
    </row>
    <row r="359" spans="1:14" x14ac:dyDescent="0.2">
      <c r="A359" t="s">
        <v>2292</v>
      </c>
      <c r="B359" t="s">
        <v>2293</v>
      </c>
      <c r="C359" t="s">
        <v>8158</v>
      </c>
      <c r="D359" t="str">
        <f t="shared" si="55"/>
        <v>GTRA, GRAHAPRIMA SUKSESMANDIRI, Grahaprima Suksesmandiri, Grahaprima Suksesmandiri Tbk, GrahaprimaSuksesmandiri, PT Grahaprima Suksesmandiri, grahaprima suksesmandiri</v>
      </c>
      <c r="E359" t="str">
        <f t="shared" si="56"/>
        <v>GTRA, GRAHAPRIMA SUKSESMANDIRI, Grahaprima Suksesmandiri, Grahaprima Suksesmandiri Tbk, GrahaprimaSuksesmandiri, PT Grahaprima Suksesmandiri, grahaprima suksesmandiri</v>
      </c>
      <c r="F359" t="str">
        <f t="shared" si="57"/>
        <v>grahaprima suksesmandiri</v>
      </c>
      <c r="G359" t="str">
        <f t="shared" si="60"/>
        <v>GTRA, GRAHAPRIMA SUKSESMANDIRI, Grahaprima Suksesmandiri, Grahaprima Suksesmandiri Tbk, GrahaprimaSuksesmandiri, PT Grahaprima Suksesmandiri</v>
      </c>
      <c r="H359" t="str">
        <f t="shared" si="61"/>
        <v>GTRA, GRAHAPRIMA SUKSESMANDIRI, Grahaprima Suksesmandiri, Grahaprima Suksesmandiri Tbk, GrahaprimaSuksesmandiri, PT Grahaprima Suksesmandiri</v>
      </c>
      <c r="I359" t="str">
        <f t="shared" si="58"/>
        <v>GRAHAPRIMA SUKSESMANDIRI</v>
      </c>
      <c r="J359" t="str">
        <f t="shared" si="62"/>
        <v>GTRA, Grahaprima Suksesmandiri, Grahaprima Suksesmandiri Tbk, GrahaprimaSuksesmandiri, PT Grahaprima Suksesmandiri</v>
      </c>
      <c r="K359" t="str">
        <f t="shared" si="63"/>
        <v>GTRA, Grahaprima Suksesmandiri, Grahaprima Suksesmandiri Tbk, GrahaprimaSuksesmandiri, PT Grahaprima Suksesmandiri</v>
      </c>
      <c r="L359" t="str">
        <f t="shared" si="59"/>
        <v>GrahaprimaSuksesmandiri</v>
      </c>
      <c r="M359" t="str">
        <f t="shared" si="64"/>
        <v>GTRA, Grahaprima Suksesmandiri, Grahaprima Suksesmandiri Tbk, PT Grahaprima Suksesmandiri</v>
      </c>
      <c r="N359" t="str">
        <f t="shared" si="65"/>
        <v>GTRA, Grahaprima Suksesmandiri, Grahaprima Suksesmandiri Tbk, PT Grahaprima Suksesmandiri</v>
      </c>
    </row>
    <row r="360" spans="1:14" x14ac:dyDescent="0.2">
      <c r="A360" t="s">
        <v>2007</v>
      </c>
      <c r="B360" t="s">
        <v>2008</v>
      </c>
      <c r="C360" t="s">
        <v>8159</v>
      </c>
      <c r="D360" t="str">
        <f t="shared" si="55"/>
        <v>GTSI, GTS INTERNASIONAL, GTS Internasional, GTS Internasional Tbk, GTSInternasional, PT GTS Internasional, gts internasional</v>
      </c>
      <c r="E360" t="str">
        <f t="shared" si="56"/>
        <v>GTSI, GTS INTERNASIONAL, GTS Internasional, GTS Internasional Tbk, GTSInternasional, PT GTS Internasional, gts internasional</v>
      </c>
      <c r="F360" t="str">
        <f t="shared" si="57"/>
        <v>gts internasional</v>
      </c>
      <c r="G360" t="str">
        <f t="shared" si="60"/>
        <v>GTSI, GTS INTERNASIONAL, GTS Internasional, GTS Internasional Tbk, GTSInternasional, PT GTS Internasional</v>
      </c>
      <c r="H360" t="str">
        <f t="shared" si="61"/>
        <v>GTSI, GTS INTERNASIONAL, GTS Internasional, GTS Internasional Tbk, GTSInternasional, PT GTS Internasional</v>
      </c>
      <c r="I360" t="str">
        <f t="shared" si="58"/>
        <v>GTS INTERNASIONAL</v>
      </c>
      <c r="J360" t="str">
        <f t="shared" si="62"/>
        <v>GTSI, GTS Internasional, GTS Internasional Tbk, GTSInternasional, PT GTS Internasional</v>
      </c>
      <c r="K360" t="str">
        <f t="shared" si="63"/>
        <v>GTSI, GTS Internasional, GTS Internasional Tbk, GTSInternasional, PT GTS Internasional</v>
      </c>
      <c r="L360" t="str">
        <f t="shared" si="59"/>
        <v>GTSInternasional</v>
      </c>
      <c r="M360" t="str">
        <f t="shared" si="64"/>
        <v>GTSI, GTS Internasional, GTS Internasional Tbk, PT GTS Internasional</v>
      </c>
      <c r="N360" t="str">
        <f t="shared" si="65"/>
        <v>GTSI, GTS Internasional, GTS Internasional Tbk, PT GTS Internasional</v>
      </c>
    </row>
    <row r="361" spans="1:14" x14ac:dyDescent="0.2">
      <c r="A361" t="s">
        <v>2140</v>
      </c>
      <c r="B361" t="s">
        <v>2141</v>
      </c>
      <c r="C361" t="s">
        <v>8160</v>
      </c>
      <c r="D361" t="str">
        <f t="shared" si="55"/>
        <v>GULA, AMAN AGRINDO, Aman Agrindo, Aman Agrindo Tbk, AmanAgrindo, PT Aman Agrindo, aman agrindo</v>
      </c>
      <c r="E361" t="str">
        <f t="shared" si="56"/>
        <v>GULA, AMAN AGRINDO, Aman Agrindo, Aman Agrindo Tbk, AmanAgrindo, PT Aman Agrindo, aman agrindo</v>
      </c>
      <c r="F361" t="str">
        <f t="shared" si="57"/>
        <v>aman agrindo</v>
      </c>
      <c r="G361" t="str">
        <f t="shared" si="60"/>
        <v>GULA, AMAN AGRINDO, Aman Agrindo, Aman Agrindo Tbk, AmanAgrindo, PT Aman Agrindo</v>
      </c>
      <c r="H361" t="str">
        <f t="shared" si="61"/>
        <v>GULA, AMAN AGRINDO, Aman Agrindo, Aman Agrindo Tbk, AmanAgrindo, PT Aman Agrindo</v>
      </c>
      <c r="I361" t="str">
        <f t="shared" si="58"/>
        <v>AMAN AGRINDO</v>
      </c>
      <c r="J361" t="str">
        <f t="shared" si="62"/>
        <v>GULA, Aman Agrindo, Aman Agrindo Tbk, AmanAgrindo, PT Aman Agrindo</v>
      </c>
      <c r="K361" t="str">
        <f t="shared" si="63"/>
        <v>GULA, Aman Agrindo, Aman Agrindo Tbk, AmanAgrindo, PT Aman Agrindo</v>
      </c>
      <c r="L361" t="str">
        <f t="shared" si="59"/>
        <v>AmanAgrindo</v>
      </c>
      <c r="M361" t="str">
        <f t="shared" si="64"/>
        <v>GULA, Aman Agrindo, Aman Agrindo Tbk, PT Aman Agrindo</v>
      </c>
      <c r="N361" t="str">
        <f t="shared" si="65"/>
        <v>GULA, Aman Agrindo, Aman Agrindo Tbk, PT Aman Agrindo</v>
      </c>
    </row>
    <row r="362" spans="1:14" x14ac:dyDescent="0.2">
      <c r="A362" t="s">
        <v>2480</v>
      </c>
      <c r="B362" t="s">
        <v>2481</v>
      </c>
      <c r="C362" t="s">
        <v>8161</v>
      </c>
      <c r="D362" t="str">
        <f t="shared" si="55"/>
        <v>GUNA, GUNANUSA ERAMANDIRI, Gunanusa Eramandiri, Gunanusa Eramandiri Tbk, GunanusaEramandiri, PT Gunanusa Eramandiri, gunanusa eramandiri</v>
      </c>
      <c r="E362" t="str">
        <f t="shared" si="56"/>
        <v>GUNA, GUNANUSA ERAMANDIRI, Gunanusa Eramandiri, Gunanusa Eramandiri Tbk, GunanusaEramandiri, PT Gunanusa Eramandiri, gunanusa eramandiri</v>
      </c>
      <c r="F362" t="str">
        <f t="shared" si="57"/>
        <v>gunanusa eramandiri</v>
      </c>
      <c r="G362" t="str">
        <f t="shared" si="60"/>
        <v>GUNA, GUNANUSA ERAMANDIRI, Gunanusa Eramandiri, Gunanusa Eramandiri Tbk, GunanusaEramandiri, PT Gunanusa Eramandiri</v>
      </c>
      <c r="H362" t="str">
        <f t="shared" si="61"/>
        <v>GUNA, GUNANUSA ERAMANDIRI, Gunanusa Eramandiri, Gunanusa Eramandiri Tbk, GunanusaEramandiri, PT Gunanusa Eramandiri</v>
      </c>
      <c r="I362" t="str">
        <f t="shared" si="58"/>
        <v>GUNANUSA ERAMANDIRI</v>
      </c>
      <c r="J362" t="str">
        <f t="shared" si="62"/>
        <v>GUNA, Gunanusa Eramandiri, Gunanusa Eramandiri Tbk, GunanusaEramandiri, PT Gunanusa Eramandiri</v>
      </c>
      <c r="K362" t="str">
        <f t="shared" si="63"/>
        <v>GUNA, Gunanusa Eramandiri, Gunanusa Eramandiri Tbk, GunanusaEramandiri, PT Gunanusa Eramandiri</v>
      </c>
      <c r="L362" t="str">
        <f t="shared" si="59"/>
        <v>GunanusaEramandiri</v>
      </c>
      <c r="M362" t="str">
        <f t="shared" si="64"/>
        <v>GUNA, Gunanusa Eramandiri, Gunanusa Eramandiri Tbk, PT Gunanusa Eramandiri</v>
      </c>
      <c r="N362" t="str">
        <f t="shared" si="65"/>
        <v>GUNA, Gunanusa Eramandiri, Gunanusa Eramandiri Tbk, PT Gunanusa Eramandiri</v>
      </c>
    </row>
    <row r="363" spans="1:14" x14ac:dyDescent="0.2">
      <c r="A363" t="s">
        <v>545</v>
      </c>
      <c r="B363" t="s">
        <v>546</v>
      </c>
      <c r="C363" t="s">
        <v>8162</v>
      </c>
      <c r="D363" t="str">
        <f t="shared" si="55"/>
        <v>GWSA, GREENWOOD SEJAHTERA, Greenwood Sejahtera, Greenwood Sejahtera Tbk, GreenwoodSejahtera, PT Greenwood Sejahtera, greenwood sejahtera</v>
      </c>
      <c r="E363" t="str">
        <f t="shared" si="56"/>
        <v>GWSA, GREENWOOD SEJAHTERA, Greenwood Sejahtera, Greenwood Sejahtera Tbk, GreenwoodSejahtera, PT Greenwood Sejahtera, greenwood sejahtera</v>
      </c>
      <c r="F363" t="str">
        <f t="shared" si="57"/>
        <v>greenwood sejahtera</v>
      </c>
      <c r="G363" t="str">
        <f t="shared" si="60"/>
        <v>GWSA, GREENWOOD SEJAHTERA, Greenwood Sejahtera, Greenwood Sejahtera Tbk, GreenwoodSejahtera, PT Greenwood Sejahtera</v>
      </c>
      <c r="H363" t="str">
        <f t="shared" si="61"/>
        <v>GWSA, GREENWOOD SEJAHTERA, Greenwood Sejahtera, Greenwood Sejahtera Tbk, GreenwoodSejahtera, PT Greenwood Sejahtera</v>
      </c>
      <c r="I363" t="str">
        <f t="shared" si="58"/>
        <v>GREENWOOD SEJAHTERA</v>
      </c>
      <c r="J363" t="str">
        <f t="shared" si="62"/>
        <v>GWSA, Greenwood Sejahtera, Greenwood Sejahtera Tbk, GreenwoodSejahtera, PT Greenwood Sejahtera</v>
      </c>
      <c r="K363" t="str">
        <f t="shared" si="63"/>
        <v>GWSA, Greenwood Sejahtera, Greenwood Sejahtera Tbk, GreenwoodSejahtera, PT Greenwood Sejahtera</v>
      </c>
      <c r="L363" t="str">
        <f t="shared" si="59"/>
        <v>GreenwoodSejahtera</v>
      </c>
      <c r="M363" t="str">
        <f t="shared" si="64"/>
        <v>GWSA, Greenwood Sejahtera, Greenwood Sejahtera Tbk, PT Greenwood Sejahtera</v>
      </c>
      <c r="N363" t="str">
        <f t="shared" si="65"/>
        <v>GWSA, Greenwood Sejahtera, Greenwood Sejahtera Tbk, PT Greenwood Sejahtera</v>
      </c>
    </row>
    <row r="364" spans="1:14" x14ac:dyDescent="0.2">
      <c r="A364" t="s">
        <v>548</v>
      </c>
      <c r="B364" t="s">
        <v>549</v>
      </c>
      <c r="C364" t="s">
        <v>8163</v>
      </c>
      <c r="D364" t="str">
        <f t="shared" si="55"/>
        <v>GZCO, GOZCO PLANTATIONS, Gozco Plantations, Gozco Plantations Tbk, GozcoPlantations, PT Gozco Plantations, gozco plantations</v>
      </c>
      <c r="E364" t="str">
        <f t="shared" si="56"/>
        <v>GZCO, GOZCO PLANTATIONS, Gozco Plantations, Gozco Plantations Tbk, GozcoPlantations, PT Gozco Plantations, gozco plantations</v>
      </c>
      <c r="F364" t="str">
        <f t="shared" si="57"/>
        <v>gozco plantations</v>
      </c>
      <c r="G364" t="str">
        <f t="shared" si="60"/>
        <v>GZCO, GOZCO PLANTATIONS, Gozco Plantations, Gozco Plantations Tbk, GozcoPlantations, PT Gozco Plantations</v>
      </c>
      <c r="H364" t="str">
        <f t="shared" si="61"/>
        <v>GZCO, GOZCO PLANTATIONS, Gozco Plantations, Gozco Plantations Tbk, GozcoPlantations, PT Gozco Plantations</v>
      </c>
      <c r="I364" t="str">
        <f t="shared" si="58"/>
        <v>GOZCO PLANTATIONS</v>
      </c>
      <c r="J364" t="str">
        <f t="shared" si="62"/>
        <v>GZCO, Gozco Plantations, Gozco Plantations Tbk, GozcoPlantations, PT Gozco Plantations</v>
      </c>
      <c r="K364" t="str">
        <f t="shared" si="63"/>
        <v>GZCO, Gozco Plantations, Gozco Plantations Tbk, GozcoPlantations, PT Gozco Plantations</v>
      </c>
      <c r="L364" t="str">
        <f t="shared" si="59"/>
        <v>GozcoPlantations</v>
      </c>
      <c r="M364" t="str">
        <f t="shared" si="64"/>
        <v>GZCO, Gozco Plantations, Gozco Plantations Tbk, PT Gozco Plantations</v>
      </c>
      <c r="N364" t="str">
        <f t="shared" si="65"/>
        <v>GZCO, Gozco Plantations, Gozco Plantations Tbk, PT Gozco Plantations</v>
      </c>
    </row>
    <row r="365" spans="1:14" x14ac:dyDescent="0.2">
      <c r="A365" t="s">
        <v>551</v>
      </c>
      <c r="B365" t="s">
        <v>552</v>
      </c>
      <c r="C365" t="s">
        <v>8164</v>
      </c>
      <c r="D365" t="str">
        <f t="shared" si="55"/>
        <v>HADE, HIMALAYA ENERGI PERKASA, Himalaya Energi Perkasa, Himalaya Energi Perkasa Tbk, HimalayaEnergiPerkasa, PT Himalaya Energi Perkasa, himalaya energi perkasa</v>
      </c>
      <c r="E365" t="str">
        <f t="shared" si="56"/>
        <v>HADE, HIMALAYA ENERGI PERKASA, Himalaya Energi Perkasa, Himalaya Energi Perkasa Tbk, HimalayaEnergiPerkasa, PT Himalaya Energi Perkasa, himalaya energi perkasa</v>
      </c>
      <c r="F365" t="str">
        <f t="shared" si="57"/>
        <v>himalaya energi perkasa</v>
      </c>
      <c r="G365" t="str">
        <f t="shared" si="60"/>
        <v>HADE, HIMALAYA ENERGI PERKASA, Himalaya Energi Perkasa, Himalaya Energi Perkasa Tbk, HimalayaEnergiPerkasa, PT Himalaya Energi Perkasa</v>
      </c>
      <c r="H365" t="str">
        <f t="shared" si="61"/>
        <v>HADE, HIMALAYA ENERGI PERKASA, Himalaya Energi Perkasa, Himalaya Energi Perkasa Tbk, HimalayaEnergiPerkasa, PT Himalaya Energi Perkasa</v>
      </c>
      <c r="I365" t="str">
        <f t="shared" si="58"/>
        <v>HIMALAYA ENERGI PERKASA</v>
      </c>
      <c r="J365" t="str">
        <f t="shared" si="62"/>
        <v>HADE, Himalaya Energi Perkasa, Himalaya Energi Perkasa Tbk, HimalayaEnergiPerkasa, PT Himalaya Energi Perkasa</v>
      </c>
      <c r="K365" t="str">
        <f t="shared" si="63"/>
        <v>HADE, Himalaya Energi Perkasa, Himalaya Energi Perkasa Tbk, HimalayaEnergiPerkasa, PT Himalaya Energi Perkasa</v>
      </c>
      <c r="L365" t="str">
        <f t="shared" si="59"/>
        <v>HimalayaEnergiPerkasa</v>
      </c>
      <c r="M365" t="str">
        <f t="shared" si="64"/>
        <v>HADE, Himalaya Energi Perkasa, Himalaya Energi Perkasa Tbk, PT Himalaya Energi Perkasa</v>
      </c>
      <c r="N365" t="str">
        <f t="shared" si="65"/>
        <v>HADE, Himalaya Energi Perkasa, Himalaya Energi Perkasa Tbk, PT Himalaya Energi Perkasa</v>
      </c>
    </row>
    <row r="366" spans="1:14" x14ac:dyDescent="0.2">
      <c r="A366" t="s">
        <v>1984</v>
      </c>
      <c r="B366" t="s">
        <v>3575</v>
      </c>
      <c r="C366" t="s">
        <v>8165</v>
      </c>
      <c r="D366" t="str">
        <f t="shared" si="55"/>
        <v>HAIS, HASNUR INTERNASIONAL SHIPPING, Hasnur Internasional Shipping, Hasnur Internasional Shipping Tbk, HasnurInternasionalShipping, PT Hasnur Internasional Shipping, hasnur internasional shipping</v>
      </c>
      <c r="E366" t="str">
        <f t="shared" si="56"/>
        <v>HAIS, HASNUR INTERNASIONAL SHIPPING, Hasnur Internasional Shipping, Hasnur Internasional Shipping Tbk, HasnurInternasionalShipping, PT Hasnur Internasional Shipping, hasnur internasional shipping</v>
      </c>
      <c r="F366" t="str">
        <f t="shared" si="57"/>
        <v>hasnur internasional shipping</v>
      </c>
      <c r="G366" t="str">
        <f t="shared" si="60"/>
        <v>HAIS, HASNUR INTERNASIONAL SHIPPING, Hasnur Internasional Shipping, Hasnur Internasional Shipping Tbk, HasnurInternasionalShipping, PT Hasnur Internasional Shipping</v>
      </c>
      <c r="H366" t="str">
        <f t="shared" si="61"/>
        <v>HAIS, HASNUR INTERNASIONAL SHIPPING, Hasnur Internasional Shipping, Hasnur Internasional Shipping Tbk, HasnurInternasionalShipping, PT Hasnur Internasional Shipping</v>
      </c>
      <c r="I366" t="str">
        <f t="shared" si="58"/>
        <v>HASNUR INTERNASIONAL SHIPPING</v>
      </c>
      <c r="J366" t="str">
        <f t="shared" si="62"/>
        <v>HAIS, Hasnur Internasional Shipping, Hasnur Internasional Shipping Tbk, HasnurInternasionalShipping, PT Hasnur Internasional Shipping</v>
      </c>
      <c r="K366" t="str">
        <f t="shared" si="63"/>
        <v>HAIS, Hasnur Internasional Shipping, Hasnur Internasional Shipping Tbk, HasnurInternasionalShipping, PT Hasnur Internasional Shipping</v>
      </c>
      <c r="L366" t="str">
        <f t="shared" si="59"/>
        <v>HasnurInternasionalShipping</v>
      </c>
      <c r="M366" t="str">
        <f t="shared" si="64"/>
        <v>HAIS, Hasnur Internasional Shipping, Hasnur Internasional Shipping Tbk, PT Hasnur Internasional Shipping</v>
      </c>
      <c r="N366" t="str">
        <f t="shared" si="65"/>
        <v>HAIS, Hasnur Internasional Shipping, Hasnur Internasional Shipping Tbk, PT Hasnur Internasional Shipping</v>
      </c>
    </row>
    <row r="367" spans="1:14" x14ac:dyDescent="0.2">
      <c r="A367" t="s">
        <v>2295</v>
      </c>
      <c r="B367" t="s">
        <v>2296</v>
      </c>
      <c r="C367" t="s">
        <v>8166</v>
      </c>
      <c r="D367" t="str">
        <f t="shared" si="55"/>
        <v>HAJJ, ARSY BUANA TRAVELINDO, Arsy Buana Travelindo, Arsy Buana Travelindo Tbk, ArsyBuanaTravelindo, PT Arsy Buana Travelindo, arsy buana travelindo</v>
      </c>
      <c r="E367" t="str">
        <f t="shared" si="56"/>
        <v>HAJJ, ARSY BUANA TRAVELINDO, Arsy Buana Travelindo, Arsy Buana Travelindo Tbk, ArsyBuanaTravelindo, PT Arsy Buana Travelindo, arsy buana travelindo</v>
      </c>
      <c r="F367" t="str">
        <f t="shared" si="57"/>
        <v>arsy buana travelindo</v>
      </c>
      <c r="G367" t="str">
        <f t="shared" si="60"/>
        <v>HAJJ, ARSY BUANA TRAVELINDO, Arsy Buana Travelindo, Arsy Buana Travelindo Tbk, ArsyBuanaTravelindo, PT Arsy Buana Travelindo</v>
      </c>
      <c r="H367" t="str">
        <f t="shared" si="61"/>
        <v>HAJJ, ARSY BUANA TRAVELINDO, Arsy Buana Travelindo, Arsy Buana Travelindo Tbk, ArsyBuanaTravelindo, PT Arsy Buana Travelindo</v>
      </c>
      <c r="I367" t="str">
        <f t="shared" si="58"/>
        <v>ARSY BUANA TRAVELINDO</v>
      </c>
      <c r="J367" t="str">
        <f t="shared" si="62"/>
        <v>HAJJ, Arsy Buana Travelindo, Arsy Buana Travelindo Tbk, ArsyBuanaTravelindo, PT Arsy Buana Travelindo</v>
      </c>
      <c r="K367" t="str">
        <f t="shared" si="63"/>
        <v>HAJJ, Arsy Buana Travelindo, Arsy Buana Travelindo Tbk, ArsyBuanaTravelindo, PT Arsy Buana Travelindo</v>
      </c>
      <c r="L367" t="str">
        <f t="shared" si="59"/>
        <v>ArsyBuanaTravelindo</v>
      </c>
      <c r="M367" t="str">
        <f t="shared" si="64"/>
        <v>HAJJ, Arsy Buana Travelindo, Arsy Buana Travelindo Tbk, PT Arsy Buana Travelindo</v>
      </c>
      <c r="N367" t="str">
        <f t="shared" si="65"/>
        <v>HAJJ, Arsy Buana Travelindo, Arsy Buana Travelindo Tbk, PT Arsy Buana Travelindo</v>
      </c>
    </row>
    <row r="368" spans="1:14" x14ac:dyDescent="0.2">
      <c r="A368" t="s">
        <v>2261</v>
      </c>
      <c r="B368" t="s">
        <v>2262</v>
      </c>
      <c r="C368" t="s">
        <v>8167</v>
      </c>
      <c r="D368" t="str">
        <f t="shared" si="55"/>
        <v>HALO, HALONI JANE, Haloni Jane, Haloni Jane Tbk, HaloniJane, PT Haloni Jane, haloni jane</v>
      </c>
      <c r="E368" t="str">
        <f t="shared" si="56"/>
        <v>HALO, HALONI JANE, Haloni Jane, Haloni Jane Tbk, HaloniJane, PT Haloni Jane, haloni jane</v>
      </c>
      <c r="F368" t="str">
        <f t="shared" si="57"/>
        <v>haloni jane</v>
      </c>
      <c r="G368" t="str">
        <f t="shared" si="60"/>
        <v>HALO, HALONI JANE, Haloni Jane, Haloni Jane Tbk, HaloniJane, PT Haloni Jane</v>
      </c>
      <c r="H368" t="str">
        <f t="shared" si="61"/>
        <v>HALO, HALONI JANE, Haloni Jane, Haloni Jane Tbk, HaloniJane, PT Haloni Jane</v>
      </c>
      <c r="I368" t="str">
        <f t="shared" si="58"/>
        <v>HALONI JANE</v>
      </c>
      <c r="J368" t="str">
        <f t="shared" si="62"/>
        <v>HALO, Haloni Jane, Haloni Jane Tbk, HaloniJane, PT Haloni Jane</v>
      </c>
      <c r="K368" t="str">
        <f t="shared" si="63"/>
        <v>HALO, Haloni Jane, Haloni Jane Tbk, HaloniJane, PT Haloni Jane</v>
      </c>
      <c r="L368" t="str">
        <f t="shared" si="59"/>
        <v>HaloniJane</v>
      </c>
      <c r="M368" t="str">
        <f t="shared" si="64"/>
        <v>HALO, Haloni Jane, Haloni Jane Tbk, PT Haloni Jane</v>
      </c>
      <c r="N368" t="str">
        <f t="shared" si="65"/>
        <v>HALO, Haloni Jane, Haloni Jane Tbk, PT Haloni Jane</v>
      </c>
    </row>
    <row r="369" spans="1:14" x14ac:dyDescent="0.2">
      <c r="A369" t="s">
        <v>2134</v>
      </c>
      <c r="B369" t="s">
        <v>2135</v>
      </c>
      <c r="C369" t="s">
        <v>8168</v>
      </c>
      <c r="D369" t="str">
        <f t="shared" si="55"/>
        <v>HATM, HABCO TRANS MARITIMA, Habco Trans Maritima, Habco Trans Maritima Tbk, HabcoTransMaritima, PT Habco Trans Maritima, habco trans maritima</v>
      </c>
      <c r="E369" t="str">
        <f t="shared" si="56"/>
        <v>HATM, HABCO TRANS MARITIMA, Habco Trans Maritima, Habco Trans Maritima Tbk, HabcoTransMaritima, PT Habco Trans Maritima, habco trans maritima</v>
      </c>
      <c r="F369" t="str">
        <f t="shared" si="57"/>
        <v>habco trans maritima</v>
      </c>
      <c r="G369" t="str">
        <f t="shared" si="60"/>
        <v>HATM, HABCO TRANS MARITIMA, Habco Trans Maritima, Habco Trans Maritima Tbk, HabcoTransMaritima, PT Habco Trans Maritima</v>
      </c>
      <c r="H369" t="str">
        <f t="shared" si="61"/>
        <v>HATM, HABCO TRANS MARITIMA, Habco Trans Maritima, Habco Trans Maritima Tbk, HabcoTransMaritima, PT Habco Trans Maritima</v>
      </c>
      <c r="I369" t="str">
        <f t="shared" si="58"/>
        <v>HABCO TRANS MARITIMA</v>
      </c>
      <c r="J369" t="str">
        <f t="shared" si="62"/>
        <v>HATM, Habco Trans Maritima, Habco Trans Maritima Tbk, HabcoTransMaritima, PT Habco Trans Maritima</v>
      </c>
      <c r="K369" t="str">
        <f t="shared" si="63"/>
        <v>HATM, Habco Trans Maritima, Habco Trans Maritima Tbk, HabcoTransMaritima, PT Habco Trans Maritima</v>
      </c>
      <c r="L369" t="str">
        <f t="shared" si="59"/>
        <v>HabcoTransMaritima</v>
      </c>
      <c r="M369" t="str">
        <f t="shared" si="64"/>
        <v>HATM, Habco Trans Maritima, Habco Trans Maritima Tbk, PT Habco Trans Maritima</v>
      </c>
      <c r="N369" t="str">
        <f t="shared" si="65"/>
        <v>HATM, Habco Trans Maritima, Habco Trans Maritima Tbk, PT Habco Trans Maritima</v>
      </c>
    </row>
    <row r="370" spans="1:14" x14ac:dyDescent="0.2">
      <c r="A370" t="s">
        <v>2345</v>
      </c>
      <c r="B370" t="s">
        <v>2346</v>
      </c>
      <c r="C370" t="s">
        <v>8169</v>
      </c>
      <c r="D370" t="str">
        <f t="shared" si="55"/>
        <v>HBAT, MINAHASA MEMBANGUN HEBAT, Minahasa Membangun Hebat, Minahasa Membangun Hebat Tbk, MinahasaMembangunHebat, PT Minahasa Membangun Hebat, minahasa membangun hebat</v>
      </c>
      <c r="E370" t="str">
        <f t="shared" si="56"/>
        <v>HBAT, MINAHASA MEMBANGUN HEBAT, Minahasa Membangun Hebat, Minahasa Membangun Hebat Tbk, MinahasaMembangunHebat, PT Minahasa Membangun Hebat, minahasa membangun hebat</v>
      </c>
      <c r="F370" t="str">
        <f t="shared" si="57"/>
        <v>minahasa membangun hebat</v>
      </c>
      <c r="G370" t="str">
        <f t="shared" si="60"/>
        <v>HBAT, MINAHASA MEMBANGUN HEBAT, Minahasa Membangun Hebat, Minahasa Membangun Hebat Tbk, MinahasaMembangunHebat, PT Minahasa Membangun Hebat</v>
      </c>
      <c r="H370" t="str">
        <f t="shared" si="61"/>
        <v>HBAT, MINAHASA MEMBANGUN HEBAT, Minahasa Membangun Hebat, Minahasa Membangun Hebat Tbk, MinahasaMembangunHebat, PT Minahasa Membangun Hebat</v>
      </c>
      <c r="I370" t="str">
        <f t="shared" si="58"/>
        <v>MINAHASA MEMBANGUN HEBAT</v>
      </c>
      <c r="J370" t="str">
        <f t="shared" si="62"/>
        <v>HBAT, Minahasa Membangun Hebat, Minahasa Membangun Hebat Tbk, MinahasaMembangunHebat, PT Minahasa Membangun Hebat</v>
      </c>
      <c r="K370" t="str">
        <f t="shared" si="63"/>
        <v>HBAT, Minahasa Membangun Hebat, Minahasa Membangun Hebat Tbk, MinahasaMembangunHebat, PT Minahasa Membangun Hebat</v>
      </c>
      <c r="L370" t="str">
        <f t="shared" si="59"/>
        <v>MinahasaMembangunHebat</v>
      </c>
      <c r="M370" t="str">
        <f t="shared" si="64"/>
        <v>HBAT, Minahasa Membangun Hebat, Minahasa Membangun Hebat Tbk, PT Minahasa Membangun Hebat</v>
      </c>
      <c r="N370" t="str">
        <f t="shared" si="65"/>
        <v>HBAT, Minahasa Membangun Hebat, Minahasa Membangun Hebat Tbk, PT Minahasa Membangun Hebat</v>
      </c>
    </row>
    <row r="371" spans="1:14" x14ac:dyDescent="0.2">
      <c r="A371" t="s">
        <v>554</v>
      </c>
      <c r="B371" t="s">
        <v>555</v>
      </c>
      <c r="C371" t="s">
        <v>8170</v>
      </c>
      <c r="D371" t="str">
        <f t="shared" si="55"/>
        <v>HDFA, PT Radana Bhaskara Finance, RADANA BHASKARA FINANCE, Radana Bhaskara Finance, Radana Bhaskara Finance Tbk, RadanaBhaskaraFinance, radana bhaskara finance</v>
      </c>
      <c r="E371" t="str">
        <f t="shared" si="56"/>
        <v>HDFA, PT Radana Bhaskara Finance, RADANA BHASKARA FINANCE, Radana Bhaskara Finance, Radana Bhaskara Finance Tbk, RadanaBhaskaraFinance, radana bhaskara finance</v>
      </c>
      <c r="F371" t="str">
        <f t="shared" si="57"/>
        <v>radana bhaskara finance</v>
      </c>
      <c r="G371" t="str">
        <f t="shared" si="60"/>
        <v>HDFA, PT Radana Bhaskara Finance, RADANA BHASKARA FINANCE, Radana Bhaskara Finance, Radana Bhaskara Finance Tbk, RadanaBhaskaraFinance</v>
      </c>
      <c r="H371" t="str">
        <f t="shared" si="61"/>
        <v>HDFA, PT Radana Bhaskara Finance, RADANA BHASKARA FINANCE, Radana Bhaskara Finance, Radana Bhaskara Finance Tbk, RadanaBhaskaraFinance</v>
      </c>
      <c r="I371" t="str">
        <f t="shared" si="58"/>
        <v>RADANA BHASKARA FINANCE</v>
      </c>
      <c r="J371" t="str">
        <f t="shared" si="62"/>
        <v>HDFA, PT Radana Bhaskara Finance, Radana Bhaskara Finance, Radana Bhaskara Finance Tbk, RadanaBhaskaraFinance</v>
      </c>
      <c r="K371" t="str">
        <f t="shared" si="63"/>
        <v>HDFA, PT Radana Bhaskara Finance, Radana Bhaskara Finance, Radana Bhaskara Finance Tbk, RadanaBhaskaraFinance</v>
      </c>
      <c r="L371" t="str">
        <f t="shared" si="59"/>
        <v>RadanaBhaskaraFinance</v>
      </c>
      <c r="M371" t="str">
        <f t="shared" si="64"/>
        <v>HDFA, PT Radana Bhaskara Finance, Radana Bhaskara Finance, Radana Bhaskara Finance Tbk</v>
      </c>
      <c r="N371" t="str">
        <f t="shared" si="65"/>
        <v>HDFA, PT Radana Bhaskara Finance, Radana Bhaskara Finance, Radana Bhaskara Finance Tbk</v>
      </c>
    </row>
    <row r="372" spans="1:14" x14ac:dyDescent="0.2">
      <c r="A372" t="s">
        <v>1726</v>
      </c>
      <c r="B372" t="s">
        <v>1727</v>
      </c>
      <c r="C372" t="s">
        <v>8171</v>
      </c>
      <c r="D372" t="str">
        <f t="shared" si="55"/>
        <v>HDIT, HENSEL DAVEST INDONESIA, Hensel Davest Indonesia, Hensel Davest Indonesia Tbk, HenselDavestIndonesia, PT Hensel Davest Indonesia, hensel davest indonesia</v>
      </c>
      <c r="E372" t="str">
        <f t="shared" si="56"/>
        <v>HDIT, HENSEL DAVEST INDONESIA, Hensel Davest Indonesia, Hensel Davest Indonesia Tbk, HenselDavestIndonesia, PT Hensel Davest Indonesia, hensel davest indonesia</v>
      </c>
      <c r="F372" t="str">
        <f t="shared" si="57"/>
        <v>hensel davest indonesia</v>
      </c>
      <c r="G372" t="str">
        <f t="shared" si="60"/>
        <v>HDIT, HENSEL DAVEST INDONESIA, Hensel Davest Indonesia, Hensel Davest Indonesia Tbk, HenselDavestIndonesia, PT Hensel Davest Indonesia</v>
      </c>
      <c r="H372" t="str">
        <f t="shared" si="61"/>
        <v>HDIT, HENSEL DAVEST INDONESIA, Hensel Davest Indonesia, Hensel Davest Indonesia Tbk, HenselDavestIndonesia, PT Hensel Davest Indonesia</v>
      </c>
      <c r="I372" t="str">
        <f t="shared" si="58"/>
        <v>HENSEL DAVEST INDONESIA</v>
      </c>
      <c r="J372" t="str">
        <f t="shared" si="62"/>
        <v>HDIT, Hensel Davest Indonesia, Hensel Davest Indonesia Tbk, HenselDavestIndonesia, PT Hensel Davest Indonesia</v>
      </c>
      <c r="K372" t="str">
        <f t="shared" si="63"/>
        <v>HDIT, Hensel Davest Indonesia, Hensel Davest Indonesia Tbk, HenselDavestIndonesia, PT Hensel Davest Indonesia</v>
      </c>
      <c r="L372" t="str">
        <f t="shared" si="59"/>
        <v>HenselDavestIndonesia</v>
      </c>
      <c r="M372" t="str">
        <f t="shared" si="64"/>
        <v>HDIT, Hensel Davest Indonesia, Hensel Davest Indonesia Tbk, PT Hensel Davest Indonesia</v>
      </c>
      <c r="N372" t="str">
        <f t="shared" si="65"/>
        <v>HDIT, Hensel Davest Indonesia, Hensel Davest Indonesia Tbk, PT Hensel Davest Indonesia</v>
      </c>
    </row>
    <row r="373" spans="1:14" x14ac:dyDescent="0.2">
      <c r="A373" t="s">
        <v>1524</v>
      </c>
      <c r="B373" t="s">
        <v>1525</v>
      </c>
      <c r="C373" t="s">
        <v>8172</v>
      </c>
      <c r="D373" t="str">
        <f t="shared" si="55"/>
        <v>HEAL, MEDIKALOKA HERMINA, Medikaloka Hermina, Medikaloka Hermina Tbk, MedikalokaHermina, PT Medikaloka Hermina, medikaloka hermina</v>
      </c>
      <c r="E373" t="str">
        <f t="shared" si="56"/>
        <v>HEAL, MEDIKALOKA HERMINA, Medikaloka Hermina, Medikaloka Hermina Tbk, MedikalokaHermina, PT Medikaloka Hermina, medikaloka hermina</v>
      </c>
      <c r="F373" t="str">
        <f t="shared" si="57"/>
        <v>medikaloka hermina</v>
      </c>
      <c r="G373" t="str">
        <f t="shared" si="60"/>
        <v>HEAL, MEDIKALOKA HERMINA, Medikaloka Hermina, Medikaloka Hermina Tbk, MedikalokaHermina, PT Medikaloka Hermina</v>
      </c>
      <c r="H373" t="str">
        <f t="shared" si="61"/>
        <v>HEAL, MEDIKALOKA HERMINA, Medikaloka Hermina, Medikaloka Hermina Tbk, MedikalokaHermina, PT Medikaloka Hermina</v>
      </c>
      <c r="I373" t="str">
        <f t="shared" si="58"/>
        <v>MEDIKALOKA HERMINA</v>
      </c>
      <c r="J373" t="str">
        <f t="shared" si="62"/>
        <v>HEAL, Medikaloka Hermina, Medikaloka Hermina Tbk, MedikalokaHermina, PT Medikaloka Hermina</v>
      </c>
      <c r="K373" t="str">
        <f t="shared" si="63"/>
        <v>HEAL, Medikaloka Hermina, Medikaloka Hermina Tbk, MedikalokaHermina, PT Medikaloka Hermina</v>
      </c>
      <c r="L373" t="str">
        <f t="shared" si="59"/>
        <v>MedikalokaHermina</v>
      </c>
      <c r="M373" t="str">
        <f t="shared" si="64"/>
        <v>HEAL, Medikaloka Hermina, Medikaloka Hermina Tbk, PT Medikaloka Hermina</v>
      </c>
      <c r="N373" t="str">
        <f t="shared" si="65"/>
        <v>HEAL, Medikaloka Hermina, Medikaloka Hermina Tbk, PT Medikaloka Hermina</v>
      </c>
    </row>
    <row r="374" spans="1:14" x14ac:dyDescent="0.2">
      <c r="A374" t="s">
        <v>1496</v>
      </c>
      <c r="B374" t="s">
        <v>1497</v>
      </c>
      <c r="C374" t="s">
        <v>8173</v>
      </c>
      <c r="D374" t="str">
        <f t="shared" si="55"/>
        <v>HELI, JAYA TRISHINDO, Jaya Trishindo, Jaya Trishindo Tbk, JayaTrishindo, PT Jaya Trishindo, jaya trishindo</v>
      </c>
      <c r="E374" t="str">
        <f t="shared" si="56"/>
        <v>HELI, JAYA TRISHINDO, Jaya Trishindo, Jaya Trishindo Tbk, JayaTrishindo, PT Jaya Trishindo, jaya trishindo</v>
      </c>
      <c r="F374" t="str">
        <f t="shared" si="57"/>
        <v>jaya trishindo</v>
      </c>
      <c r="G374" t="str">
        <f t="shared" si="60"/>
        <v>HELI, JAYA TRISHINDO, Jaya Trishindo, Jaya Trishindo Tbk, JayaTrishindo, PT Jaya Trishindo</v>
      </c>
      <c r="H374" t="str">
        <f t="shared" si="61"/>
        <v>HELI, JAYA TRISHINDO, Jaya Trishindo, Jaya Trishindo Tbk, JayaTrishindo, PT Jaya Trishindo</v>
      </c>
      <c r="I374" t="str">
        <f t="shared" si="58"/>
        <v>JAYA TRISHINDO</v>
      </c>
      <c r="J374" t="str">
        <f t="shared" si="62"/>
        <v>HELI, Jaya Trishindo, Jaya Trishindo Tbk, JayaTrishindo, PT Jaya Trishindo</v>
      </c>
      <c r="K374" t="str">
        <f t="shared" si="63"/>
        <v>HELI, Jaya Trishindo, Jaya Trishindo Tbk, JayaTrishindo, PT Jaya Trishindo</v>
      </c>
      <c r="L374" t="str">
        <f t="shared" si="59"/>
        <v>JayaTrishindo</v>
      </c>
      <c r="M374" t="str">
        <f t="shared" si="64"/>
        <v>HELI, Jaya Trishindo, Jaya Trishindo Tbk, PT Jaya Trishindo</v>
      </c>
      <c r="N374" t="str">
        <f t="shared" si="65"/>
        <v>HELI, Jaya Trishindo, Jaya Trishindo Tbk, PT Jaya Trishindo</v>
      </c>
    </row>
    <row r="375" spans="1:14" x14ac:dyDescent="0.2">
      <c r="A375" t="s">
        <v>557</v>
      </c>
      <c r="B375" t="s">
        <v>558</v>
      </c>
      <c r="C375" t="s">
        <v>8174</v>
      </c>
      <c r="D375" t="str">
        <f t="shared" si="55"/>
        <v>HERO, DFI RETAIL NUSANTARA, DFI Retail Nusantara, DFI Retail Nusantara Tbk, DFIRetailNusantara, PT DFI Retail Nusantara, dfi retail nusantara</v>
      </c>
      <c r="E375" t="str">
        <f t="shared" si="56"/>
        <v>HERO, DFI RETAIL NUSANTARA, DFI Retail Nusantara, DFI Retail Nusantara Tbk, DFIRetailNusantara, PT DFI Retail Nusantara, dfi retail nusantara</v>
      </c>
      <c r="F375" t="str">
        <f t="shared" si="57"/>
        <v>dfi retail nusantara</v>
      </c>
      <c r="G375" t="str">
        <f t="shared" si="60"/>
        <v>HERO, DFI RETAIL NUSANTARA, DFI Retail Nusantara, DFI Retail Nusantara Tbk, DFIRetailNusantara, PT DFI Retail Nusantara</v>
      </c>
      <c r="H375" t="str">
        <f t="shared" si="61"/>
        <v>HERO, DFI RETAIL NUSANTARA, DFI Retail Nusantara, DFI Retail Nusantara Tbk, DFIRetailNusantara, PT DFI Retail Nusantara</v>
      </c>
      <c r="I375" t="str">
        <f t="shared" si="58"/>
        <v>DFI RETAIL NUSANTARA</v>
      </c>
      <c r="J375" t="str">
        <f t="shared" si="62"/>
        <v>HERO, DFI Retail Nusantara, DFI Retail Nusantara Tbk, DFIRetailNusantara, PT DFI Retail Nusantara</v>
      </c>
      <c r="K375" t="str">
        <f t="shared" si="63"/>
        <v>HERO, DFI Retail Nusantara, DFI Retail Nusantara Tbk, DFIRetailNusantara, PT DFI Retail Nusantara</v>
      </c>
      <c r="L375" t="str">
        <f t="shared" si="59"/>
        <v>DFIRetailNusantara</v>
      </c>
      <c r="M375" t="str">
        <f t="shared" si="64"/>
        <v>HERO, DFI Retail Nusantara, DFI Retail Nusantara Tbk, PT DFI Retail Nusantara</v>
      </c>
      <c r="N375" t="str">
        <f t="shared" si="65"/>
        <v>HERO, DFI Retail Nusantara, DFI Retail Nusantara Tbk, PT DFI Retail Nusantara</v>
      </c>
    </row>
    <row r="376" spans="1:14" x14ac:dyDescent="0.2">
      <c r="A376" t="s">
        <v>560</v>
      </c>
      <c r="B376" t="s">
        <v>561</v>
      </c>
      <c r="C376" t="s">
        <v>8175</v>
      </c>
      <c r="D376" t="str">
        <f t="shared" si="55"/>
        <v>HEXA, HEXINDO ADIPERKASA, Hexindo Adiperkasa, Hexindo Adiperkasa Tbk, HexindoAdiperkasa, PT Hexindo Adiperkasa, hexindo adiperkasa</v>
      </c>
      <c r="E376" t="str">
        <f t="shared" si="56"/>
        <v>HEXA, HEXINDO ADIPERKASA, Hexindo Adiperkasa, Hexindo Adiperkasa Tbk, HexindoAdiperkasa, PT Hexindo Adiperkasa, hexindo adiperkasa</v>
      </c>
      <c r="F376" t="str">
        <f t="shared" si="57"/>
        <v>hexindo adiperkasa</v>
      </c>
      <c r="G376" t="str">
        <f t="shared" si="60"/>
        <v>HEXA, HEXINDO ADIPERKASA, Hexindo Adiperkasa, Hexindo Adiperkasa Tbk, HexindoAdiperkasa, PT Hexindo Adiperkasa</v>
      </c>
      <c r="H376" t="str">
        <f t="shared" si="61"/>
        <v>HEXA, HEXINDO ADIPERKASA, Hexindo Adiperkasa, Hexindo Adiperkasa Tbk, HexindoAdiperkasa, PT Hexindo Adiperkasa</v>
      </c>
      <c r="I376" t="str">
        <f t="shared" si="58"/>
        <v>HEXINDO ADIPERKASA</v>
      </c>
      <c r="J376" t="str">
        <f t="shared" si="62"/>
        <v>HEXA, Hexindo Adiperkasa, Hexindo Adiperkasa Tbk, HexindoAdiperkasa, PT Hexindo Adiperkasa</v>
      </c>
      <c r="K376" t="str">
        <f t="shared" si="63"/>
        <v>HEXA, Hexindo Adiperkasa, Hexindo Adiperkasa Tbk, HexindoAdiperkasa, PT Hexindo Adiperkasa</v>
      </c>
      <c r="L376" t="str">
        <f t="shared" si="59"/>
        <v>HexindoAdiperkasa</v>
      </c>
      <c r="M376" t="str">
        <f t="shared" si="64"/>
        <v>HEXA, Hexindo Adiperkasa, Hexindo Adiperkasa Tbk, PT Hexindo Adiperkasa</v>
      </c>
      <c r="N376" t="str">
        <f t="shared" si="65"/>
        <v>HEXA, Hexindo Adiperkasa, Hexindo Adiperkasa Tbk, PT Hexindo Adiperkasa</v>
      </c>
    </row>
    <row r="377" spans="1:14" x14ac:dyDescent="0.2">
      <c r="A377" t="s">
        <v>2520</v>
      </c>
      <c r="B377" t="s">
        <v>2521</v>
      </c>
      <c r="C377" t="s">
        <v>8176</v>
      </c>
      <c r="D377" t="str">
        <f t="shared" si="55"/>
        <v>HGII, HERO GLOBAL INVESTMENT, Hero Global Investment, Hero Global Investment Tbk, HeroGlobalInvestment, PT Hero Global Investment, hero global investment</v>
      </c>
      <c r="E377" t="str">
        <f t="shared" si="56"/>
        <v>HGII, HERO GLOBAL INVESTMENT, Hero Global Investment, Hero Global Investment Tbk, HeroGlobalInvestment, PT Hero Global Investment, hero global investment</v>
      </c>
      <c r="F377" t="str">
        <f t="shared" si="57"/>
        <v>hero global investment</v>
      </c>
      <c r="G377" t="str">
        <f t="shared" si="60"/>
        <v>HGII, HERO GLOBAL INVESTMENT, Hero Global Investment, Hero Global Investment Tbk, HeroGlobalInvestment, PT Hero Global Investment</v>
      </c>
      <c r="H377" t="str">
        <f t="shared" si="61"/>
        <v>HGII, HERO GLOBAL INVESTMENT, Hero Global Investment, Hero Global Investment Tbk, HeroGlobalInvestment, PT Hero Global Investment</v>
      </c>
      <c r="I377" t="str">
        <f t="shared" si="58"/>
        <v>HERO GLOBAL INVESTMENT</v>
      </c>
      <c r="J377" t="str">
        <f t="shared" si="62"/>
        <v>HGII, Hero Global Investment, Hero Global Investment Tbk, HeroGlobalInvestment, PT Hero Global Investment</v>
      </c>
      <c r="K377" t="str">
        <f t="shared" si="63"/>
        <v>HGII, Hero Global Investment, Hero Global Investment Tbk, HeroGlobalInvestment, PT Hero Global Investment</v>
      </c>
      <c r="L377" t="str">
        <f t="shared" si="59"/>
        <v>HeroGlobalInvestment</v>
      </c>
      <c r="M377" t="str">
        <f t="shared" si="64"/>
        <v>HGII, Hero Global Investment, Hero Global Investment Tbk, PT Hero Global Investment</v>
      </c>
      <c r="N377" t="str">
        <f t="shared" si="65"/>
        <v>HGII, Hero Global Investment, Hero Global Investment Tbk, PT Hero Global Investment</v>
      </c>
    </row>
    <row r="378" spans="1:14" x14ac:dyDescent="0.2">
      <c r="A378" t="s">
        <v>2272</v>
      </c>
      <c r="B378" t="s">
        <v>2273</v>
      </c>
      <c r="C378" t="s">
        <v>8177</v>
      </c>
      <c r="D378" t="str">
        <f t="shared" si="55"/>
        <v>HILL, HILLCON, Hillcon, Hillcon Tbk, PT Hillcon, hillcon</v>
      </c>
      <c r="E378" t="str">
        <f t="shared" si="56"/>
        <v>HILL, HILLCON, Hillcon, Hillcon Tbk, PT Hillcon, hillcon</v>
      </c>
      <c r="F378" t="str">
        <f t="shared" si="57"/>
        <v>hillcon</v>
      </c>
      <c r="G378" t="str">
        <f t="shared" si="60"/>
        <v>HILL, HILLCON, Hillcon, Hillcon Tbk, PT Hillcon</v>
      </c>
      <c r="H378" t="str">
        <f t="shared" si="61"/>
        <v>HILL, HILLCON, Hillcon, Hillcon Tbk, PT Hillcon</v>
      </c>
      <c r="I378" t="str">
        <f t="shared" si="58"/>
        <v>HILLCON</v>
      </c>
      <c r="J378" t="str">
        <f t="shared" si="62"/>
        <v>HILL, Hillcon, Hillcon Tbk, PT Hillcon</v>
      </c>
      <c r="K378" t="str">
        <f t="shared" si="63"/>
        <v>HILL, Hillcon, Hillcon Tbk, PT Hillcon</v>
      </c>
      <c r="L378" t="str">
        <f t="shared" si="59"/>
        <v>Hillcon</v>
      </c>
      <c r="M378" t="str">
        <f t="shared" si="64"/>
        <v>HILL Tbk, PT Hillcon</v>
      </c>
      <c r="N378" t="str">
        <f t="shared" si="65"/>
        <v>HILL Tbk, PT Hillcon</v>
      </c>
    </row>
    <row r="379" spans="1:14" x14ac:dyDescent="0.2">
      <c r="A379" t="s">
        <v>563</v>
      </c>
      <c r="B379" t="s">
        <v>3576</v>
      </c>
      <c r="C379" t="s">
        <v>8178</v>
      </c>
      <c r="D379" t="str">
        <f t="shared" si="55"/>
        <v>HITS, HUMPUSS INTERMODA TRANSPORTASI, Humpuss Intermoda Transportasi, Humpuss Intermoda Transportasi Tbk, HumpussIntermodaTransportasi, PT Humpuss Intermoda Transportasi, humpuss intermoda transportasi</v>
      </c>
      <c r="E379" t="str">
        <f t="shared" si="56"/>
        <v>HITS, HUMPUSS INTERMODA TRANSPORTASI, Humpuss Intermoda Transportasi, Humpuss Intermoda Transportasi Tbk, HumpussIntermodaTransportasi, PT Humpuss Intermoda Transportasi, humpuss intermoda transportasi</v>
      </c>
      <c r="F379" t="str">
        <f t="shared" si="57"/>
        <v>humpuss intermoda transportasi</v>
      </c>
      <c r="G379" t="str">
        <f t="shared" si="60"/>
        <v>HITS, HUMPUSS INTERMODA TRANSPORTASI, Humpuss Intermoda Transportasi, Humpuss Intermoda Transportasi Tbk, HumpussIntermodaTransportasi, PT Humpuss Intermoda Transportasi</v>
      </c>
      <c r="H379" t="str">
        <f t="shared" si="61"/>
        <v>HITS, HUMPUSS INTERMODA TRANSPORTASI, Humpuss Intermoda Transportasi, Humpuss Intermoda Transportasi Tbk, HumpussIntermodaTransportasi, PT Humpuss Intermoda Transportasi</v>
      </c>
      <c r="I379" t="str">
        <f t="shared" si="58"/>
        <v>HUMPUSS INTERMODA TRANSPORTASI</v>
      </c>
      <c r="J379" t="str">
        <f t="shared" si="62"/>
        <v>HITS, Humpuss Intermoda Transportasi, Humpuss Intermoda Transportasi Tbk, HumpussIntermodaTransportasi, PT Humpuss Intermoda Transportasi</v>
      </c>
      <c r="K379" t="str">
        <f t="shared" si="63"/>
        <v>HITS, Humpuss Intermoda Transportasi, Humpuss Intermoda Transportasi Tbk, HumpussIntermodaTransportasi, PT Humpuss Intermoda Transportasi</v>
      </c>
      <c r="L379" t="str">
        <f t="shared" si="59"/>
        <v>HumpussIntermodaTransportasi</v>
      </c>
      <c r="M379" t="str">
        <f t="shared" si="64"/>
        <v>HITS, Humpuss Intermoda Transportasi, Humpuss Intermoda Transportasi Tbk, PT Humpuss Intermoda Transportasi</v>
      </c>
      <c r="N379" t="str">
        <f t="shared" si="65"/>
        <v>HITS, Humpuss Intermoda Transportasi, Humpuss Intermoda Transportasi Tbk, PT Humpuss Intermoda Transportasi</v>
      </c>
    </row>
    <row r="380" spans="1:14" x14ac:dyDescent="0.2">
      <c r="A380" t="s">
        <v>1595</v>
      </c>
      <c r="B380" t="s">
        <v>1596</v>
      </c>
      <c r="C380" t="s">
        <v>8179</v>
      </c>
      <c r="D380" t="str">
        <f t="shared" si="55"/>
        <v>HKMU, HK METALS UTAMA, HK Metals Utama, HK Metals Utama Tbk, HKMetalsUtama, PT HK Metals Utama, hk metals utama</v>
      </c>
      <c r="E380" t="str">
        <f t="shared" si="56"/>
        <v>HKMU, HK METALS UTAMA, HK Metals Utama, HK Metals Utama Tbk, HKMetalsUtama, PT HK Metals Utama, hk metals utama</v>
      </c>
      <c r="F380" t="str">
        <f t="shared" si="57"/>
        <v>hk metals utama</v>
      </c>
      <c r="G380" t="str">
        <f t="shared" si="60"/>
        <v>HKMU, HK METALS UTAMA, HK Metals Utama, HK Metals Utama Tbk, HKMetalsUtama, PT HK Metals Utama</v>
      </c>
      <c r="H380" t="str">
        <f t="shared" si="61"/>
        <v>HKMU, HK METALS UTAMA, HK Metals Utama, HK Metals Utama Tbk, HKMetalsUtama, PT HK Metals Utama</v>
      </c>
      <c r="I380" t="str">
        <f t="shared" si="58"/>
        <v>HK METALS UTAMA</v>
      </c>
      <c r="J380" t="str">
        <f t="shared" si="62"/>
        <v>HKMU, HK Metals Utama, HK Metals Utama Tbk, HKMetalsUtama, PT HK Metals Utama</v>
      </c>
      <c r="K380" t="str">
        <f t="shared" si="63"/>
        <v>HKMU, HK Metals Utama, HK Metals Utama Tbk, HKMetalsUtama, PT HK Metals Utama</v>
      </c>
      <c r="L380" t="str">
        <f t="shared" si="59"/>
        <v>HKMetalsUtama</v>
      </c>
      <c r="M380" t="str">
        <f t="shared" si="64"/>
        <v>HKMU, HK Metals Utama, HK Metals Utama Tbk, PT HK Metals Utama</v>
      </c>
      <c r="N380" t="str">
        <f t="shared" si="65"/>
        <v>HKMU, HK Metals Utama, HK Metals Utama Tbk, PT HK Metals Utama</v>
      </c>
    </row>
    <row r="381" spans="1:14" x14ac:dyDescent="0.2">
      <c r="A381" t="s">
        <v>565</v>
      </c>
      <c r="B381" t="s">
        <v>566</v>
      </c>
      <c r="C381" t="s">
        <v>8180</v>
      </c>
      <c r="D381" t="str">
        <f t="shared" si="55"/>
        <v>HMSP, H.M. SAMPOERNA, H.M. Sampoerna, H.M. Sampoerna Tbk, H.M.Sampoerna, PT H.M. Sampoerna, h.m. sampoerna</v>
      </c>
      <c r="E381" t="str">
        <f t="shared" si="56"/>
        <v>HMSP, H.M. SAMPOERNA, H.M. Sampoerna, H.M. Sampoerna Tbk, H.M.Sampoerna, PT H.M. Sampoerna, h.m. sampoerna</v>
      </c>
      <c r="F381" t="str">
        <f t="shared" si="57"/>
        <v>h.m. sampoerna</v>
      </c>
      <c r="G381" t="str">
        <f t="shared" si="60"/>
        <v>HMSP, H.M. SAMPOERNA, H.M. Sampoerna, H.M. Sampoerna Tbk, H.M.Sampoerna, PT H.M. Sampoerna</v>
      </c>
      <c r="H381" t="str">
        <f t="shared" si="61"/>
        <v>HMSP, H.M. SAMPOERNA, H.M. Sampoerna, H.M. Sampoerna Tbk, H.M.Sampoerna, PT H.M. Sampoerna</v>
      </c>
      <c r="I381" t="str">
        <f t="shared" si="58"/>
        <v>H.M. SAMPOERNA</v>
      </c>
      <c r="J381" t="str">
        <f t="shared" si="62"/>
        <v>HMSP, H.M. Sampoerna, H.M. Sampoerna Tbk, H.M.Sampoerna, PT H.M. Sampoerna</v>
      </c>
      <c r="K381" t="str">
        <f t="shared" si="63"/>
        <v>HMSP, H.M. Sampoerna, H.M. Sampoerna Tbk, H.M.Sampoerna, PT H.M. Sampoerna</v>
      </c>
      <c r="L381" t="str">
        <f t="shared" si="59"/>
        <v>H.M.Sampoerna</v>
      </c>
      <c r="M381" t="str">
        <f t="shared" si="64"/>
        <v>HMSP, H.M. Sampoerna, H.M. Sampoerna Tbk, PT H.M. Sampoerna</v>
      </c>
      <c r="N381" t="str">
        <f t="shared" si="65"/>
        <v>HMSP, H.M. Sampoerna, H.M. Sampoerna Tbk, PT H.M. Sampoerna</v>
      </c>
    </row>
    <row r="382" spans="1:14" x14ac:dyDescent="0.2">
      <c r="A382" t="s">
        <v>1434</v>
      </c>
      <c r="B382" t="s">
        <v>1435</v>
      </c>
      <c r="C382" t="s">
        <v>8181</v>
      </c>
      <c r="D382" t="str">
        <f t="shared" si="55"/>
        <v>HOKI, BUYUNG POETRA SEMBADA, Buyung Poetra Sembada, Buyung Poetra Sembada Tbk, BuyungPoetraSembada, PT Buyung Poetra Sembada, buyung poetra sembada</v>
      </c>
      <c r="E382" t="str">
        <f t="shared" si="56"/>
        <v>HOKI, BUYUNG POETRA SEMBADA, Buyung Poetra Sembada, Buyung Poetra Sembada Tbk, BuyungPoetraSembada, PT Buyung Poetra Sembada, buyung poetra sembada</v>
      </c>
      <c r="F382" t="str">
        <f t="shared" si="57"/>
        <v>buyung poetra sembada</v>
      </c>
      <c r="G382" t="str">
        <f t="shared" si="60"/>
        <v>HOKI, BUYUNG POETRA SEMBADA, Buyung Poetra Sembada, Buyung Poetra Sembada Tbk, BuyungPoetraSembada, PT Buyung Poetra Sembada</v>
      </c>
      <c r="H382" t="str">
        <f t="shared" si="61"/>
        <v>HOKI, BUYUNG POETRA SEMBADA, Buyung Poetra Sembada, Buyung Poetra Sembada Tbk, BuyungPoetraSembada, PT Buyung Poetra Sembada</v>
      </c>
      <c r="I382" t="str">
        <f t="shared" si="58"/>
        <v>BUYUNG POETRA SEMBADA</v>
      </c>
      <c r="J382" t="str">
        <f t="shared" si="62"/>
        <v>HOKI, Buyung Poetra Sembada, Buyung Poetra Sembada Tbk, BuyungPoetraSembada, PT Buyung Poetra Sembada</v>
      </c>
      <c r="K382" t="str">
        <f t="shared" si="63"/>
        <v>HOKI, Buyung Poetra Sembada, Buyung Poetra Sembada Tbk, BuyungPoetraSembada, PT Buyung Poetra Sembada</v>
      </c>
      <c r="L382" t="str">
        <f t="shared" si="59"/>
        <v>BuyungPoetraSembada</v>
      </c>
      <c r="M382" t="str">
        <f t="shared" si="64"/>
        <v>HOKI, Buyung Poetra Sembada, Buyung Poetra Sembada Tbk, PT Buyung Poetra Sembada</v>
      </c>
      <c r="N382" t="str">
        <f t="shared" si="65"/>
        <v>HOKI, Buyung Poetra Sembada, Buyung Poetra Sembada Tbk, PT Buyung Poetra Sembada</v>
      </c>
    </row>
    <row r="383" spans="1:14" x14ac:dyDescent="0.2">
      <c r="A383" t="s">
        <v>568</v>
      </c>
      <c r="B383" t="s">
        <v>569</v>
      </c>
      <c r="C383" t="s">
        <v>8182</v>
      </c>
      <c r="D383" t="str">
        <f t="shared" si="55"/>
        <v>HOME, HOTEL MANDARINE REGENCY, Hotel Mandarine Regency, Hotel Mandarine Regency Tbk, HotelMandarineRegency, PT Hotel Mandarine Regency, hotel mandarine regency</v>
      </c>
      <c r="E383" t="str">
        <f t="shared" si="56"/>
        <v>HOME, HOTEL MANDARINE REGENCY, Hotel Mandarine Regency, Hotel Mandarine Regency Tbk, HotelMandarineRegency, PT Hotel Mandarine Regency, hotel mandarine regency</v>
      </c>
      <c r="F383" t="str">
        <f t="shared" si="57"/>
        <v>hotel mandarine regency</v>
      </c>
      <c r="G383" t="str">
        <f t="shared" si="60"/>
        <v>HOME, HOTEL MANDARINE REGENCY, Hotel Mandarine Regency, Hotel Mandarine Regency Tbk, HotelMandarineRegency, PT Hotel Mandarine Regency</v>
      </c>
      <c r="H383" t="str">
        <f t="shared" si="61"/>
        <v>HOME, HOTEL MANDARINE REGENCY, Hotel Mandarine Regency, Hotel Mandarine Regency Tbk, HotelMandarineRegency, PT Hotel Mandarine Regency</v>
      </c>
      <c r="I383" t="str">
        <f t="shared" si="58"/>
        <v>HOTEL MANDARINE REGENCY</v>
      </c>
      <c r="J383" t="str">
        <f t="shared" si="62"/>
        <v>HOME, Hotel Mandarine Regency, Hotel Mandarine Regency Tbk, HotelMandarineRegency, PT Hotel Mandarine Regency</v>
      </c>
      <c r="K383" t="str">
        <f t="shared" si="63"/>
        <v>HOME, Hotel Mandarine Regency, Hotel Mandarine Regency Tbk, HotelMandarineRegency, PT Hotel Mandarine Regency</v>
      </c>
      <c r="L383" t="str">
        <f t="shared" si="59"/>
        <v>HotelMandarineRegency</v>
      </c>
      <c r="M383" t="str">
        <f t="shared" si="64"/>
        <v>HOME, Hotel Mandarine Regency, Hotel Mandarine Regency Tbk, PT Hotel Mandarine Regency</v>
      </c>
      <c r="N383" t="str">
        <f t="shared" si="65"/>
        <v>HOME, Hotel Mandarine Regency, Hotel Mandarine Regency Tbk, PT Hotel Mandarine Regency</v>
      </c>
    </row>
    <row r="384" spans="1:14" x14ac:dyDescent="0.2">
      <c r="A384" t="s">
        <v>1888</v>
      </c>
      <c r="B384" t="s">
        <v>1889</v>
      </c>
      <c r="C384" t="s">
        <v>8183</v>
      </c>
      <c r="D384" t="str">
        <f t="shared" si="55"/>
        <v>HOMI, GRAND HOUSE MULIA, Grand House Mulia, Grand House Mulia Tbk, GrandHouseMulia, PT Grand House Mulia, grand house mulia</v>
      </c>
      <c r="E384" t="str">
        <f t="shared" si="56"/>
        <v>HOMI, GRAND HOUSE MULIA, Grand House Mulia, Grand House Mulia Tbk, GrandHouseMulia, PT Grand House Mulia, grand house mulia</v>
      </c>
      <c r="F384" t="str">
        <f t="shared" si="57"/>
        <v>grand house mulia</v>
      </c>
      <c r="G384" t="str">
        <f t="shared" si="60"/>
        <v>HOMI, GRAND HOUSE MULIA, Grand House Mulia, Grand House Mulia Tbk, GrandHouseMulia, PT Grand House Mulia</v>
      </c>
      <c r="H384" t="str">
        <f t="shared" si="61"/>
        <v>HOMI, GRAND HOUSE MULIA, Grand House Mulia, Grand House Mulia Tbk, GrandHouseMulia, PT Grand House Mulia</v>
      </c>
      <c r="I384" t="str">
        <f t="shared" si="58"/>
        <v>GRAND HOUSE MULIA</v>
      </c>
      <c r="J384" t="str">
        <f t="shared" si="62"/>
        <v>HOMI, Grand House Mulia, Grand House Mulia Tbk, GrandHouseMulia, PT Grand House Mulia</v>
      </c>
      <c r="K384" t="str">
        <f t="shared" si="63"/>
        <v>HOMI, Grand House Mulia, Grand House Mulia Tbk, GrandHouseMulia, PT Grand House Mulia</v>
      </c>
      <c r="L384" t="str">
        <f t="shared" si="59"/>
        <v>GrandHouseMulia</v>
      </c>
      <c r="M384" t="str">
        <f t="shared" si="64"/>
        <v>HOMI, Grand House Mulia, Grand House Mulia Tbk, PT Grand House Mulia</v>
      </c>
      <c r="N384" t="str">
        <f t="shared" si="65"/>
        <v>HOMI, Grand House Mulia, Grand House Mulia Tbk, PT Grand House Mulia</v>
      </c>
    </row>
    <row r="385" spans="1:14" x14ac:dyDescent="0.2">
      <c r="A385" t="s">
        <v>1948</v>
      </c>
      <c r="B385" t="s">
        <v>1949</v>
      </c>
      <c r="C385" t="s">
        <v>8184</v>
      </c>
      <c r="D385" t="str">
        <f t="shared" si="55"/>
        <v>HOPE, HARAPAN DUTA PERTIWI, Harapan Duta Pertiwi, Harapan Duta Pertiwi Tbk, HarapanDutaPertiwi, PT Harapan Duta Pertiwi, harapan duta pertiwi</v>
      </c>
      <c r="E385" t="str">
        <f t="shared" si="56"/>
        <v>HOPE, HARAPAN DUTA PERTIWI, Harapan Duta Pertiwi, Harapan Duta Pertiwi Tbk, HarapanDutaPertiwi, PT Harapan Duta Pertiwi, harapan duta pertiwi</v>
      </c>
      <c r="F385" t="str">
        <f t="shared" si="57"/>
        <v>harapan duta pertiwi</v>
      </c>
      <c r="G385" t="str">
        <f t="shared" si="60"/>
        <v>HOPE, HARAPAN DUTA PERTIWI, Harapan Duta Pertiwi, Harapan Duta Pertiwi Tbk, HarapanDutaPertiwi, PT Harapan Duta Pertiwi</v>
      </c>
      <c r="H385" t="str">
        <f t="shared" si="61"/>
        <v>HOPE, HARAPAN DUTA PERTIWI, Harapan Duta Pertiwi, Harapan Duta Pertiwi Tbk, HarapanDutaPertiwi, PT Harapan Duta Pertiwi</v>
      </c>
      <c r="I385" t="str">
        <f t="shared" si="58"/>
        <v>HARAPAN DUTA PERTIWI</v>
      </c>
      <c r="J385" t="str">
        <f t="shared" si="62"/>
        <v>HOPE, Harapan Duta Pertiwi, Harapan Duta Pertiwi Tbk, HarapanDutaPertiwi, PT Harapan Duta Pertiwi</v>
      </c>
      <c r="K385" t="str">
        <f t="shared" si="63"/>
        <v>HOPE, Harapan Duta Pertiwi, Harapan Duta Pertiwi Tbk, HarapanDutaPertiwi, PT Harapan Duta Pertiwi</v>
      </c>
      <c r="L385" t="str">
        <f t="shared" si="59"/>
        <v>HarapanDutaPertiwi</v>
      </c>
      <c r="M385" t="str">
        <f t="shared" si="64"/>
        <v>HOPE, Harapan Duta Pertiwi, Harapan Duta Pertiwi Tbk, PT Harapan Duta Pertiwi</v>
      </c>
      <c r="N385" t="str">
        <f t="shared" si="65"/>
        <v>HOPE, Harapan Duta Pertiwi, Harapan Duta Pertiwi Tbk, PT Harapan Duta Pertiwi</v>
      </c>
    </row>
    <row r="386" spans="1:14" x14ac:dyDescent="0.2">
      <c r="A386" t="s">
        <v>571</v>
      </c>
      <c r="B386" t="s">
        <v>572</v>
      </c>
      <c r="C386" t="s">
        <v>8185</v>
      </c>
      <c r="D386" t="str">
        <f t="shared" ref="D386:D449" si="66">SUBSTITUTE(C386, _xlfn.CONCAT(", ", B386), "")</f>
        <v>HOTL, PT Saraswati Griya Lestari, SARASWATI GRIYA LESTARI, Saraswati Griya Lestari, Saraswati Griya Lestari Tbk, SaraswatiGriyaLestari, saraswati griya lestari</v>
      </c>
      <c r="E386" t="str">
        <f t="shared" ref="E386:E449" si="67">SUBSTITUTE(D386, _xlfn.CONCAT(B386, ", "), "")</f>
        <v>HOTL, PT Saraswati Griya Lestari, SARASWATI GRIYA LESTARI, Saraswati Griya Lestari, Saraswati Griya Lestari Tbk, SaraswatiGriyaLestari, saraswati griya lestari</v>
      </c>
      <c r="F386" t="str">
        <f t="shared" ref="F386:F449" si="68">LOWER(MID(B386, 1, FIND(" Tbk.", B386)-1))</f>
        <v>saraswati griya lestari</v>
      </c>
      <c r="G386" t="str">
        <f t="shared" si="60"/>
        <v>HOTL, PT Saraswati Griya Lestari, SARASWATI GRIYA LESTARI, Saraswati Griya Lestari, Saraswati Griya Lestari Tbk, SaraswatiGriyaLestari</v>
      </c>
      <c r="H386" t="str">
        <f t="shared" si="61"/>
        <v>HOTL, PT Saraswati Griya Lestari, SARASWATI GRIYA LESTARI, Saraswati Griya Lestari, Saraswati Griya Lestari Tbk, SaraswatiGriyaLestari</v>
      </c>
      <c r="I386" t="str">
        <f t="shared" ref="I386:I449" si="69">UPPER(MID(B386, 1, FIND(" Tbk.", B386)-1))</f>
        <v>SARASWATI GRIYA LESTARI</v>
      </c>
      <c r="J386" t="str">
        <f t="shared" si="62"/>
        <v>HOTL, PT Saraswati Griya Lestari, Saraswati Griya Lestari, Saraswati Griya Lestari Tbk, SaraswatiGriyaLestari</v>
      </c>
      <c r="K386" t="str">
        <f t="shared" si="63"/>
        <v>HOTL, PT Saraswati Griya Lestari, Saraswati Griya Lestari, Saraswati Griya Lestari Tbk, SaraswatiGriyaLestari</v>
      </c>
      <c r="L386" t="str">
        <f t="shared" ref="L386:L449" si="70">SUBSTITUTE(MID(B386, 1, FIND(" Tbk.", B386)-1), " ", "")</f>
        <v>SaraswatiGriyaLestari</v>
      </c>
      <c r="M386" t="str">
        <f t="shared" si="64"/>
        <v>HOTL, PT Saraswati Griya Lestari, Saraswati Griya Lestari, Saraswati Griya Lestari Tbk</v>
      </c>
      <c r="N386" t="str">
        <f t="shared" si="65"/>
        <v>HOTL, PT Saraswati Griya Lestari, Saraswati Griya Lestari, Saraswati Griya Lestari Tbk</v>
      </c>
    </row>
    <row r="387" spans="1:14" x14ac:dyDescent="0.2">
      <c r="A387" t="s">
        <v>1666</v>
      </c>
      <c r="B387" t="s">
        <v>1667</v>
      </c>
      <c r="C387" t="s">
        <v>8186</v>
      </c>
      <c r="D387" t="str">
        <f t="shared" si="66"/>
        <v>HRME, MENTENG HERITAGE REALTY, MHR, Menteng Heritage Realty, Menteng Heritage Realty Tbk, MentengHeritageRealty, PT Menteng Heritage Realty, menteng heritage realty</v>
      </c>
      <c r="E387" t="str">
        <f t="shared" si="67"/>
        <v>HRME, MENTENG HERITAGE REALTY, MHR, Menteng Heritage Realty, Menteng Heritage Realty Tbk, MentengHeritageRealty, PT Menteng Heritage Realty, menteng heritage realty</v>
      </c>
      <c r="F387" t="str">
        <f t="shared" si="68"/>
        <v>menteng heritage realty</v>
      </c>
      <c r="G387" t="str">
        <f t="shared" ref="G387:G450" si="71">SUBSTITUTE(E387, _xlfn.CONCAT(", ", F387), "")</f>
        <v>HRME, MENTENG HERITAGE REALTY, MHR, Menteng Heritage Realty, Menteng Heritage Realty Tbk, MentengHeritageRealty, PT Menteng Heritage Realty</v>
      </c>
      <c r="H387" t="str">
        <f t="shared" ref="H387:H450" si="72">SUBSTITUTE(G387, _xlfn.CONCAT(F387, ", "), "")</f>
        <v>HRME, MENTENG HERITAGE REALTY, MHR, Menteng Heritage Realty, Menteng Heritage Realty Tbk, MentengHeritageRealty, PT Menteng Heritage Realty</v>
      </c>
      <c r="I387" t="str">
        <f t="shared" si="69"/>
        <v>MENTENG HERITAGE REALTY</v>
      </c>
      <c r="J387" t="str">
        <f t="shared" ref="J387:J450" si="73">SUBSTITUTE(H387, _xlfn.CONCAT(", ", I387), "")</f>
        <v>HRME, MHR, Menteng Heritage Realty, Menteng Heritage Realty Tbk, MentengHeritageRealty, PT Menteng Heritage Realty</v>
      </c>
      <c r="K387" t="str">
        <f t="shared" ref="K387:K450" si="74">SUBSTITUTE(J387, _xlfn.CONCAT(I387, ", "), "")</f>
        <v>HRME, MHR, Menteng Heritage Realty, Menteng Heritage Realty Tbk, MentengHeritageRealty, PT Menteng Heritage Realty</v>
      </c>
      <c r="L387" t="str">
        <f t="shared" si="70"/>
        <v>MentengHeritageRealty</v>
      </c>
      <c r="M387" t="str">
        <f t="shared" ref="M387:M450" si="75">SUBSTITUTE(K387, _xlfn.CONCAT(", ", L387), "")</f>
        <v>HRME, MHR, Menteng Heritage Realty, Menteng Heritage Realty Tbk, PT Menteng Heritage Realty</v>
      </c>
      <c r="N387" t="str">
        <f t="shared" ref="N387:N450" si="76">SUBSTITUTE(M387, _xlfn.CONCAT(L387, ", "), "")</f>
        <v>HRME, MHR, Menteng Heritage Realty, Menteng Heritage Realty Tbk, PT Menteng Heritage Realty</v>
      </c>
    </row>
    <row r="388" spans="1:14" x14ac:dyDescent="0.2">
      <c r="A388" t="s">
        <v>1428</v>
      </c>
      <c r="B388" t="s">
        <v>1429</v>
      </c>
      <c r="C388" t="s">
        <v>8187</v>
      </c>
      <c r="D388" t="str">
        <f t="shared" si="66"/>
        <v>HRTA, HARTADINATA ABADI, Hartadinata Abadi, Hartadinata Abadi Tbk, HartadinataAbadi, PT Hartadinata Abadi, hartadinata abadi</v>
      </c>
      <c r="E388" t="str">
        <f t="shared" si="67"/>
        <v>HRTA, HARTADINATA ABADI, Hartadinata Abadi, Hartadinata Abadi Tbk, HartadinataAbadi, PT Hartadinata Abadi, hartadinata abadi</v>
      </c>
      <c r="F388" t="str">
        <f t="shared" si="68"/>
        <v>hartadinata abadi</v>
      </c>
      <c r="G388" t="str">
        <f t="shared" si="71"/>
        <v>HRTA, HARTADINATA ABADI, Hartadinata Abadi, Hartadinata Abadi Tbk, HartadinataAbadi, PT Hartadinata Abadi</v>
      </c>
      <c r="H388" t="str">
        <f t="shared" si="72"/>
        <v>HRTA, HARTADINATA ABADI, Hartadinata Abadi, Hartadinata Abadi Tbk, HartadinataAbadi, PT Hartadinata Abadi</v>
      </c>
      <c r="I388" t="str">
        <f t="shared" si="69"/>
        <v>HARTADINATA ABADI</v>
      </c>
      <c r="J388" t="str">
        <f t="shared" si="73"/>
        <v>HRTA, Hartadinata Abadi, Hartadinata Abadi Tbk, HartadinataAbadi, PT Hartadinata Abadi</v>
      </c>
      <c r="K388" t="str">
        <f t="shared" si="74"/>
        <v>HRTA, Hartadinata Abadi, Hartadinata Abadi Tbk, HartadinataAbadi, PT Hartadinata Abadi</v>
      </c>
      <c r="L388" t="str">
        <f t="shared" si="70"/>
        <v>HartadinataAbadi</v>
      </c>
      <c r="M388" t="str">
        <f t="shared" si="75"/>
        <v>HRTA, Hartadinata Abadi, Hartadinata Abadi Tbk, PT Hartadinata Abadi</v>
      </c>
      <c r="N388" t="str">
        <f t="shared" si="76"/>
        <v>HRTA, Hartadinata Abadi, Hartadinata Abadi Tbk, PT Hartadinata Abadi</v>
      </c>
    </row>
    <row r="389" spans="1:14" x14ac:dyDescent="0.2">
      <c r="A389" t="s">
        <v>574</v>
      </c>
      <c r="B389" t="s">
        <v>575</v>
      </c>
      <c r="C389" t="s">
        <v>8188</v>
      </c>
      <c r="D389" t="str">
        <f t="shared" si="66"/>
        <v>HRUM, HARUM ENERGY, Harum Energy, Harum Energy Tbk, HarumEnergy, PT Harum Energy, harum energy</v>
      </c>
      <c r="E389" t="str">
        <f t="shared" si="67"/>
        <v>HRUM, HARUM ENERGY, Harum Energy, Harum Energy Tbk, HarumEnergy, PT Harum Energy, harum energy</v>
      </c>
      <c r="F389" t="str">
        <f t="shared" si="68"/>
        <v>harum energy</v>
      </c>
      <c r="G389" t="str">
        <f t="shared" si="71"/>
        <v>HRUM, HARUM ENERGY, Harum Energy, Harum Energy Tbk, HarumEnergy, PT Harum Energy</v>
      </c>
      <c r="H389" t="str">
        <f t="shared" si="72"/>
        <v>HRUM, HARUM ENERGY, Harum Energy, Harum Energy Tbk, HarumEnergy, PT Harum Energy</v>
      </c>
      <c r="I389" t="str">
        <f t="shared" si="69"/>
        <v>HARUM ENERGY</v>
      </c>
      <c r="J389" t="str">
        <f t="shared" si="73"/>
        <v>HRUM, Harum Energy, Harum Energy Tbk, HarumEnergy, PT Harum Energy</v>
      </c>
      <c r="K389" t="str">
        <f t="shared" si="74"/>
        <v>HRUM, Harum Energy, Harum Energy Tbk, HarumEnergy, PT Harum Energy</v>
      </c>
      <c r="L389" t="str">
        <f t="shared" si="70"/>
        <v>HarumEnergy</v>
      </c>
      <c r="M389" t="str">
        <f t="shared" si="75"/>
        <v>HRUM, Harum Energy, Harum Energy Tbk, PT Harum Energy</v>
      </c>
      <c r="N389" t="str">
        <f t="shared" si="76"/>
        <v>HRUM, Harum Energy, Harum Energy Tbk, PT Harum Energy</v>
      </c>
    </row>
    <row r="390" spans="1:14" x14ac:dyDescent="0.2">
      <c r="A390" t="s">
        <v>2365</v>
      </c>
      <c r="B390" t="s">
        <v>3577</v>
      </c>
      <c r="C390" t="s">
        <v>8189</v>
      </c>
      <c r="D390" t="str">
        <f t="shared" si="66"/>
        <v>HUMI, HUMPUSS MARITIM INTERNASIONAL, Humpuss Maritim Internasional, Humpuss Maritim Internasional Tbk, HumpussMaritimInternasional, PT Humpuss Maritim Internasional, humpuss maritim internasional</v>
      </c>
      <c r="E390" t="str">
        <f t="shared" si="67"/>
        <v>HUMI, HUMPUSS MARITIM INTERNASIONAL, Humpuss Maritim Internasional, Humpuss Maritim Internasional Tbk, HumpussMaritimInternasional, PT Humpuss Maritim Internasional, humpuss maritim internasional</v>
      </c>
      <c r="F390" t="str">
        <f t="shared" si="68"/>
        <v>humpuss maritim internasional</v>
      </c>
      <c r="G390" t="str">
        <f t="shared" si="71"/>
        <v>HUMI, HUMPUSS MARITIM INTERNASIONAL, Humpuss Maritim Internasional, Humpuss Maritim Internasional Tbk, HumpussMaritimInternasional, PT Humpuss Maritim Internasional</v>
      </c>
      <c r="H390" t="str">
        <f t="shared" si="72"/>
        <v>HUMI, HUMPUSS MARITIM INTERNASIONAL, Humpuss Maritim Internasional, Humpuss Maritim Internasional Tbk, HumpussMaritimInternasional, PT Humpuss Maritim Internasional</v>
      </c>
      <c r="I390" t="str">
        <f t="shared" si="69"/>
        <v>HUMPUSS MARITIM INTERNASIONAL</v>
      </c>
      <c r="J390" t="str">
        <f t="shared" si="73"/>
        <v>HUMI, Humpuss Maritim Internasional, Humpuss Maritim Internasional Tbk, HumpussMaritimInternasional, PT Humpuss Maritim Internasional</v>
      </c>
      <c r="K390" t="str">
        <f t="shared" si="74"/>
        <v>HUMI, Humpuss Maritim Internasional, Humpuss Maritim Internasional Tbk, HumpussMaritimInternasional, PT Humpuss Maritim Internasional</v>
      </c>
      <c r="L390" t="str">
        <f t="shared" si="70"/>
        <v>HumpussMaritimInternasional</v>
      </c>
      <c r="M390" t="str">
        <f t="shared" si="75"/>
        <v>HUMI, Humpuss Maritim Internasional, Humpuss Maritim Internasional Tbk, PT Humpuss Maritim Internasional</v>
      </c>
      <c r="N390" t="str">
        <f t="shared" si="76"/>
        <v>HUMI, Humpuss Maritim Internasional, Humpuss Maritim Internasional Tbk, PT Humpuss Maritim Internasional</v>
      </c>
    </row>
    <row r="391" spans="1:14" x14ac:dyDescent="0.2">
      <c r="A391" t="s">
        <v>2441</v>
      </c>
      <c r="B391" t="s">
        <v>2442</v>
      </c>
      <c r="C391" t="s">
        <v>8190</v>
      </c>
      <c r="D391" t="str">
        <f t="shared" si="66"/>
        <v>HYGN, ECOCARE INDO PASIFIK, Ecocare Indo Pasifik, Ecocare Indo Pasifik Tbk, EcocareIndoPasifik, PT Ecocare Indo Pasifik, ecocare indo pasifik</v>
      </c>
      <c r="E391" t="str">
        <f t="shared" si="67"/>
        <v>HYGN, ECOCARE INDO PASIFIK, Ecocare Indo Pasifik, Ecocare Indo Pasifik Tbk, EcocareIndoPasifik, PT Ecocare Indo Pasifik, ecocare indo pasifik</v>
      </c>
      <c r="F391" t="str">
        <f t="shared" si="68"/>
        <v>ecocare indo pasifik</v>
      </c>
      <c r="G391" t="str">
        <f t="shared" si="71"/>
        <v>HYGN, ECOCARE INDO PASIFIK, Ecocare Indo Pasifik, Ecocare Indo Pasifik Tbk, EcocareIndoPasifik, PT Ecocare Indo Pasifik</v>
      </c>
      <c r="H391" t="str">
        <f t="shared" si="72"/>
        <v>HYGN, ECOCARE INDO PASIFIK, Ecocare Indo Pasifik, Ecocare Indo Pasifik Tbk, EcocareIndoPasifik, PT Ecocare Indo Pasifik</v>
      </c>
      <c r="I391" t="str">
        <f t="shared" si="69"/>
        <v>ECOCARE INDO PASIFIK</v>
      </c>
      <c r="J391" t="str">
        <f t="shared" si="73"/>
        <v>HYGN, Ecocare Indo Pasifik, Ecocare Indo Pasifik Tbk, EcocareIndoPasifik, PT Ecocare Indo Pasifik</v>
      </c>
      <c r="K391" t="str">
        <f t="shared" si="74"/>
        <v>HYGN, Ecocare Indo Pasifik, Ecocare Indo Pasifik Tbk, EcocareIndoPasifik, PT Ecocare Indo Pasifik</v>
      </c>
      <c r="L391" t="str">
        <f t="shared" si="70"/>
        <v>EcocareIndoPasifik</v>
      </c>
      <c r="M391" t="str">
        <f t="shared" si="75"/>
        <v>HYGN, Ecocare Indo Pasifik, Ecocare Indo Pasifik Tbk, PT Ecocare Indo Pasifik</v>
      </c>
      <c r="N391" t="str">
        <f t="shared" si="76"/>
        <v>HYGN, Ecocare Indo Pasifik, Ecocare Indo Pasifik Tbk, PT Ecocare Indo Pasifik</v>
      </c>
    </row>
    <row r="392" spans="1:14" x14ac:dyDescent="0.2">
      <c r="A392" t="s">
        <v>577</v>
      </c>
      <c r="B392" t="s">
        <v>578</v>
      </c>
      <c r="C392" t="s">
        <v>8191</v>
      </c>
      <c r="D392" t="str">
        <f t="shared" si="66"/>
        <v>IATA, MNC ENERGY INVESTMENTS, MNC Energy Investments, MNC Energy Investments Tbk, MNCEnergyInvestments, PT MNC Energy Investments, mnc energy investments</v>
      </c>
      <c r="E392" t="str">
        <f t="shared" si="67"/>
        <v>IATA, MNC ENERGY INVESTMENTS, MNC Energy Investments, MNC Energy Investments Tbk, MNCEnergyInvestments, PT MNC Energy Investments, mnc energy investments</v>
      </c>
      <c r="F392" t="str">
        <f t="shared" si="68"/>
        <v>mnc energy investments</v>
      </c>
      <c r="G392" t="str">
        <f t="shared" si="71"/>
        <v>IATA, MNC ENERGY INVESTMENTS, MNC Energy Investments, MNC Energy Investments Tbk, MNCEnergyInvestments, PT MNC Energy Investments</v>
      </c>
      <c r="H392" t="str">
        <f t="shared" si="72"/>
        <v>IATA, MNC ENERGY INVESTMENTS, MNC Energy Investments, MNC Energy Investments Tbk, MNCEnergyInvestments, PT MNC Energy Investments</v>
      </c>
      <c r="I392" t="str">
        <f t="shared" si="69"/>
        <v>MNC ENERGY INVESTMENTS</v>
      </c>
      <c r="J392" t="str">
        <f t="shared" si="73"/>
        <v>IATA, MNC Energy Investments, MNC Energy Investments Tbk, MNCEnergyInvestments, PT MNC Energy Investments</v>
      </c>
      <c r="K392" t="str">
        <f t="shared" si="74"/>
        <v>IATA, MNC Energy Investments, MNC Energy Investments Tbk, MNCEnergyInvestments, PT MNC Energy Investments</v>
      </c>
      <c r="L392" t="str">
        <f t="shared" si="70"/>
        <v>MNCEnergyInvestments</v>
      </c>
      <c r="M392" t="str">
        <f t="shared" si="75"/>
        <v>IATA, MNC Energy Investments, MNC Energy Investments Tbk, PT MNC Energy Investments</v>
      </c>
      <c r="N392" t="str">
        <f t="shared" si="76"/>
        <v>IATA, MNC Energy Investments, MNC Energy Investments Tbk, PT MNC Energy Investments</v>
      </c>
    </row>
    <row r="393" spans="1:14" x14ac:dyDescent="0.2">
      <c r="A393" t="s">
        <v>580</v>
      </c>
      <c r="B393" t="s">
        <v>581</v>
      </c>
      <c r="C393" t="s">
        <v>8192</v>
      </c>
      <c r="D393" t="str">
        <f t="shared" si="66"/>
        <v>IBFN, INTAN BARU PRANA, Intan Baru Prana, Intan Baru Prana Tbk, IntanBaruPrana, PT Intan Baru Prana, intan baru prana</v>
      </c>
      <c r="E393" t="str">
        <f t="shared" si="67"/>
        <v>IBFN, INTAN BARU PRANA, Intan Baru Prana, Intan Baru Prana Tbk, IntanBaruPrana, PT Intan Baru Prana, intan baru prana</v>
      </c>
      <c r="F393" t="str">
        <f t="shared" si="68"/>
        <v>intan baru prana</v>
      </c>
      <c r="G393" t="str">
        <f t="shared" si="71"/>
        <v>IBFN, INTAN BARU PRANA, Intan Baru Prana, Intan Baru Prana Tbk, IntanBaruPrana, PT Intan Baru Prana</v>
      </c>
      <c r="H393" t="str">
        <f t="shared" si="72"/>
        <v>IBFN, INTAN BARU PRANA, Intan Baru Prana, Intan Baru Prana Tbk, IntanBaruPrana, PT Intan Baru Prana</v>
      </c>
      <c r="I393" t="str">
        <f t="shared" si="69"/>
        <v>INTAN BARU PRANA</v>
      </c>
      <c r="J393" t="str">
        <f t="shared" si="73"/>
        <v>IBFN, Intan Baru Prana, Intan Baru Prana Tbk, IntanBaruPrana, PT Intan Baru Prana</v>
      </c>
      <c r="K393" t="str">
        <f t="shared" si="74"/>
        <v>IBFN, Intan Baru Prana, Intan Baru Prana Tbk, IntanBaruPrana, PT Intan Baru Prana</v>
      </c>
      <c r="L393" t="str">
        <f t="shared" si="70"/>
        <v>IntanBaruPrana</v>
      </c>
      <c r="M393" t="str">
        <f t="shared" si="75"/>
        <v>IBFN, Intan Baru Prana, Intan Baru Prana Tbk, PT Intan Baru Prana</v>
      </c>
      <c r="N393" t="str">
        <f t="shared" si="76"/>
        <v>IBFN, Intan Baru Prana, Intan Baru Prana Tbk, PT Intan Baru Prana</v>
      </c>
    </row>
    <row r="394" spans="1:14" x14ac:dyDescent="0.2">
      <c r="A394" t="s">
        <v>2109</v>
      </c>
      <c r="B394" t="s">
        <v>2110</v>
      </c>
      <c r="C394" t="s">
        <v>8193</v>
      </c>
      <c r="D394" t="str">
        <f t="shared" si="66"/>
        <v>IBOS, INDO BOGA SUKSES, Indo Boga Sukses, Indo Boga Sukses Tbk, IndoBogaSukses, PT Indo Boga Sukses, indo boga sukses</v>
      </c>
      <c r="E394" t="str">
        <f t="shared" si="67"/>
        <v>IBOS, INDO BOGA SUKSES, Indo Boga Sukses, Indo Boga Sukses Tbk, IndoBogaSukses, PT Indo Boga Sukses, indo boga sukses</v>
      </c>
      <c r="F394" t="str">
        <f t="shared" si="68"/>
        <v>indo boga sukses</v>
      </c>
      <c r="G394" t="str">
        <f t="shared" si="71"/>
        <v>IBOS, INDO BOGA SUKSES, Indo Boga Sukses, Indo Boga Sukses Tbk, IndoBogaSukses, PT Indo Boga Sukses</v>
      </c>
      <c r="H394" t="str">
        <f t="shared" si="72"/>
        <v>IBOS, INDO BOGA SUKSES, Indo Boga Sukses, Indo Boga Sukses Tbk, IndoBogaSukses, PT Indo Boga Sukses</v>
      </c>
      <c r="I394" t="str">
        <f t="shared" si="69"/>
        <v>INDO BOGA SUKSES</v>
      </c>
      <c r="J394" t="str">
        <f t="shared" si="73"/>
        <v>IBOS, Indo Boga Sukses, Indo Boga Sukses Tbk, IndoBogaSukses, PT Indo Boga Sukses</v>
      </c>
      <c r="K394" t="str">
        <f t="shared" si="74"/>
        <v>IBOS, Indo Boga Sukses, Indo Boga Sukses Tbk, IndoBogaSukses, PT Indo Boga Sukses</v>
      </c>
      <c r="L394" t="str">
        <f t="shared" si="70"/>
        <v>IndoBogaSukses</v>
      </c>
      <c r="M394" t="str">
        <f t="shared" si="75"/>
        <v>IBOS, Indo Boga Sukses, Indo Boga Sukses Tbk, PT Indo Boga Sukses</v>
      </c>
      <c r="N394" t="str">
        <f t="shared" si="76"/>
        <v>IBOS, Indo Boga Sukses, Indo Boga Sukses Tbk, PT Indo Boga Sukses</v>
      </c>
    </row>
    <row r="395" spans="1:14" x14ac:dyDescent="0.2">
      <c r="A395" t="s">
        <v>583</v>
      </c>
      <c r="B395" t="s">
        <v>584</v>
      </c>
      <c r="C395" t="s">
        <v>8194</v>
      </c>
      <c r="D395" t="str">
        <f t="shared" si="66"/>
        <v>IBST, INTI BANGUN SEJAHTERA, Inti Bangun Sejahtera, Inti Bangun Sejahtera Tbk, IntiBangunSejahtera, PT Inti Bangun Sejahtera, inti bangun sejahtera</v>
      </c>
      <c r="E395" t="str">
        <f t="shared" si="67"/>
        <v>IBST, INTI BANGUN SEJAHTERA, Inti Bangun Sejahtera, Inti Bangun Sejahtera Tbk, IntiBangunSejahtera, PT Inti Bangun Sejahtera, inti bangun sejahtera</v>
      </c>
      <c r="F395" t="str">
        <f t="shared" si="68"/>
        <v>inti bangun sejahtera</v>
      </c>
      <c r="G395" t="str">
        <f t="shared" si="71"/>
        <v>IBST, INTI BANGUN SEJAHTERA, Inti Bangun Sejahtera, Inti Bangun Sejahtera Tbk, IntiBangunSejahtera, PT Inti Bangun Sejahtera</v>
      </c>
      <c r="H395" t="str">
        <f t="shared" si="72"/>
        <v>IBST, INTI BANGUN SEJAHTERA, Inti Bangun Sejahtera, Inti Bangun Sejahtera Tbk, IntiBangunSejahtera, PT Inti Bangun Sejahtera</v>
      </c>
      <c r="I395" t="str">
        <f t="shared" si="69"/>
        <v>INTI BANGUN SEJAHTERA</v>
      </c>
      <c r="J395" t="str">
        <f t="shared" si="73"/>
        <v>IBST, Inti Bangun Sejahtera, Inti Bangun Sejahtera Tbk, IntiBangunSejahtera, PT Inti Bangun Sejahtera</v>
      </c>
      <c r="K395" t="str">
        <f t="shared" si="74"/>
        <v>IBST, Inti Bangun Sejahtera, Inti Bangun Sejahtera Tbk, IntiBangunSejahtera, PT Inti Bangun Sejahtera</v>
      </c>
      <c r="L395" t="str">
        <f t="shared" si="70"/>
        <v>IntiBangunSejahtera</v>
      </c>
      <c r="M395" t="str">
        <f t="shared" si="75"/>
        <v>IBST, Inti Bangun Sejahtera, Inti Bangun Sejahtera Tbk, PT Inti Bangun Sejahtera</v>
      </c>
      <c r="N395" t="str">
        <f t="shared" si="76"/>
        <v>IBST, Inti Bangun Sejahtera, Inti Bangun Sejahtera Tbk, PT Inti Bangun Sejahtera</v>
      </c>
    </row>
    <row r="396" spans="1:14" x14ac:dyDescent="0.2">
      <c r="A396" t="s">
        <v>586</v>
      </c>
      <c r="B396" t="s">
        <v>3578</v>
      </c>
      <c r="C396" t="s">
        <v>8195</v>
      </c>
      <c r="D396" t="str">
        <f t="shared" si="66"/>
        <v>ICBP, INDOFOOD CBP SUKSES MAKMUR, Indofood CBP Sukses Makmur, Indofood CBP Sukses Makmur Tbk, IndofoodCBPSuksesMakmur, PT Indofood CBP Sukses Makmur, indofood cbp sukses makmur</v>
      </c>
      <c r="E396" t="str">
        <f t="shared" si="67"/>
        <v>ICBP, INDOFOOD CBP SUKSES MAKMUR, Indofood CBP Sukses Makmur, Indofood CBP Sukses Makmur Tbk, IndofoodCBPSuksesMakmur, PT Indofood CBP Sukses Makmur, indofood cbp sukses makmur</v>
      </c>
      <c r="F396" t="str">
        <f t="shared" si="68"/>
        <v>indofood cbp sukses makmur</v>
      </c>
      <c r="G396" t="str">
        <f t="shared" si="71"/>
        <v>ICBP, INDOFOOD CBP SUKSES MAKMUR, Indofood CBP Sukses Makmur, Indofood CBP Sukses Makmur Tbk, IndofoodCBPSuksesMakmur, PT Indofood CBP Sukses Makmur</v>
      </c>
      <c r="H396" t="str">
        <f t="shared" si="72"/>
        <v>ICBP, INDOFOOD CBP SUKSES MAKMUR, Indofood CBP Sukses Makmur, Indofood CBP Sukses Makmur Tbk, IndofoodCBPSuksesMakmur, PT Indofood CBP Sukses Makmur</v>
      </c>
      <c r="I396" t="str">
        <f t="shared" si="69"/>
        <v>INDOFOOD CBP SUKSES MAKMUR</v>
      </c>
      <c r="J396" t="str">
        <f t="shared" si="73"/>
        <v>ICBP, Indofood CBP Sukses Makmur, Indofood CBP Sukses Makmur Tbk, IndofoodCBPSuksesMakmur, PT Indofood CBP Sukses Makmur</v>
      </c>
      <c r="K396" t="str">
        <f t="shared" si="74"/>
        <v>ICBP, Indofood CBP Sukses Makmur, Indofood CBP Sukses Makmur Tbk, IndofoodCBPSuksesMakmur, PT Indofood CBP Sukses Makmur</v>
      </c>
      <c r="L396" t="str">
        <f t="shared" si="70"/>
        <v>IndofoodCBPSuksesMakmur</v>
      </c>
      <c r="M396" t="str">
        <f t="shared" si="75"/>
        <v>ICBP, Indofood CBP Sukses Makmur, Indofood CBP Sukses Makmur Tbk, PT Indofood CBP Sukses Makmur</v>
      </c>
      <c r="N396" t="str">
        <f t="shared" si="76"/>
        <v>ICBP, Indofood CBP Sukses Makmur, Indofood CBP Sukses Makmur Tbk, PT Indofood CBP Sukses Makmur</v>
      </c>
    </row>
    <row r="397" spans="1:14" x14ac:dyDescent="0.2">
      <c r="A397" t="s">
        <v>589</v>
      </c>
      <c r="B397" t="s">
        <v>590</v>
      </c>
      <c r="C397" t="s">
        <v>8196</v>
      </c>
      <c r="D397" t="str">
        <f t="shared" si="66"/>
        <v>ICON, ISLAND CONCES INDONESIA, Island Conces Indonesia, Island Conces Indonesia Tbk, IslandConcesIndonesia, PT Island Conces Indonesia, island conces indonesia</v>
      </c>
      <c r="E397" t="str">
        <f t="shared" si="67"/>
        <v>ICON, ISLAND CONCES INDONESIA, Island Conces Indonesia, Island Conces Indonesia Tbk, IslandConcesIndonesia, PT Island Conces Indonesia, island conces indonesia</v>
      </c>
      <c r="F397" t="str">
        <f t="shared" si="68"/>
        <v>island concepts indonesia</v>
      </c>
      <c r="G397" t="str">
        <f t="shared" si="71"/>
        <v>ICON, ISLAND CONCES INDONESIA, Island Conces Indonesia, Island Conces Indonesia Tbk, IslandConcesIndonesia, PT Island Conces Indonesia, island conces indonesia</v>
      </c>
      <c r="H397" t="str">
        <f t="shared" si="72"/>
        <v>ICON, ISLAND CONCES INDONESIA, Island Conces Indonesia, Island Conces Indonesia Tbk, IslandConcesIndonesia, PT Island Conces Indonesia, island conces indonesia</v>
      </c>
      <c r="I397" t="str">
        <f t="shared" si="69"/>
        <v>ISLAND CONCEPTS INDONESIA</v>
      </c>
      <c r="J397" t="str">
        <f t="shared" si="73"/>
        <v>ICON, ISLAND CONCES INDONESIA, Island Conces Indonesia, Island Conces Indonesia Tbk, IslandConcesIndonesia, PT Island Conces Indonesia, island conces indonesia</v>
      </c>
      <c r="K397" t="str">
        <f t="shared" si="74"/>
        <v>ICON, ISLAND CONCES INDONESIA, Island Conces Indonesia, Island Conces Indonesia Tbk, IslandConcesIndonesia, PT Island Conces Indonesia, island conces indonesia</v>
      </c>
      <c r="L397" t="str">
        <f t="shared" si="70"/>
        <v>IslandConceptsIndonesia</v>
      </c>
      <c r="M397" t="str">
        <f t="shared" si="75"/>
        <v>ICON, ISLAND CONCES INDONESIA, Island Conces Indonesia, Island Conces Indonesia Tbk, IslandConcesIndonesia, PT Island Conces Indonesia, island conces indonesia</v>
      </c>
      <c r="N397" t="str">
        <f t="shared" si="76"/>
        <v>ICON, ISLAND CONCES INDONESIA, Island Conces Indonesia, Island Conces Indonesia Tbk, IslandConcesIndonesia, PT Island Conces Indonesia, island conces indonesia</v>
      </c>
    </row>
    <row r="398" spans="1:14" x14ac:dyDescent="0.2">
      <c r="A398" t="s">
        <v>2010</v>
      </c>
      <c r="B398" t="s">
        <v>2011</v>
      </c>
      <c r="C398" t="s">
        <v>8197</v>
      </c>
      <c r="D398" t="str">
        <f t="shared" si="66"/>
        <v>IDEA, IDEA INDONESIA AKADEMI, Idea Indonesia Akademi, Idea Indonesia Akademi Tbk, IdeaIndonesiaAkademi, PT Idea Indonesia Akademi, idea indonesia akademi</v>
      </c>
      <c r="E398" t="str">
        <f t="shared" si="67"/>
        <v>IDEA, IDEA INDONESIA AKADEMI, Idea Indonesia Akademi, Idea Indonesia Akademi Tbk, IdeaIndonesiaAkademi, PT Idea Indonesia Akademi, idea indonesia akademi</v>
      </c>
      <c r="F398" t="str">
        <f t="shared" si="68"/>
        <v>idea indonesia akademi</v>
      </c>
      <c r="G398" t="str">
        <f t="shared" si="71"/>
        <v>IDEA, IDEA INDONESIA AKADEMI, Idea Indonesia Akademi, Idea Indonesia Akademi Tbk, IdeaIndonesiaAkademi, PT Idea Indonesia Akademi</v>
      </c>
      <c r="H398" t="str">
        <f t="shared" si="72"/>
        <v>IDEA, IDEA INDONESIA AKADEMI, Idea Indonesia Akademi, Idea Indonesia Akademi Tbk, IdeaIndonesiaAkademi, PT Idea Indonesia Akademi</v>
      </c>
      <c r="I398" t="str">
        <f t="shared" si="69"/>
        <v>IDEA INDONESIA AKADEMI</v>
      </c>
      <c r="J398" t="str">
        <f t="shared" si="73"/>
        <v>IDEA, Idea Indonesia Akademi, Idea Indonesia Akademi Tbk, IdeaIndonesiaAkademi, PT Idea Indonesia Akademi</v>
      </c>
      <c r="K398" t="str">
        <f t="shared" si="74"/>
        <v>IDEA, Idea Indonesia Akademi, Idea Indonesia Akademi Tbk, IdeaIndonesiaAkademi, PT Idea Indonesia Akademi</v>
      </c>
      <c r="L398" t="str">
        <f t="shared" si="70"/>
        <v>IdeaIndonesiaAkademi</v>
      </c>
      <c r="M398" t="str">
        <f t="shared" si="75"/>
        <v>IDEA, Idea Indonesia Akademi, Idea Indonesia Akademi Tbk, PT Idea Indonesia Akademi</v>
      </c>
      <c r="N398" t="str">
        <f t="shared" si="76"/>
        <v>IDEA, Idea Indonesia Akademi, Idea Indonesia Akademi Tbk, PT Idea Indonesia Akademi</v>
      </c>
    </row>
    <row r="399" spans="1:14" x14ac:dyDescent="0.2">
      <c r="A399" t="s">
        <v>1353</v>
      </c>
      <c r="B399" t="s">
        <v>1354</v>
      </c>
      <c r="C399" t="s">
        <v>8198</v>
      </c>
      <c r="D399" t="str">
        <f t="shared" si="66"/>
        <v>IDPR, INDONESIA PONDASI RAYA, Indonesia Pondasi Raya, Indonesia Pondasi Raya Tbk, IndonesiaPondasiRaya, PT Indonesia Pondasi Raya, indonesia pondasi raya</v>
      </c>
      <c r="E399" t="str">
        <f t="shared" si="67"/>
        <v>IDPR, INDONESIA PONDASI RAYA, Indonesia Pondasi Raya, Indonesia Pondasi Raya Tbk, IndonesiaPondasiRaya, PT Indonesia Pondasi Raya, indonesia pondasi raya</v>
      </c>
      <c r="F399" t="str">
        <f t="shared" si="68"/>
        <v>indonesia pondasi raya</v>
      </c>
      <c r="G399" t="str">
        <f t="shared" si="71"/>
        <v>IDPR, INDONESIA PONDASI RAYA, Indonesia Pondasi Raya, Indonesia Pondasi Raya Tbk, IndonesiaPondasiRaya, PT Indonesia Pondasi Raya</v>
      </c>
      <c r="H399" t="str">
        <f t="shared" si="72"/>
        <v>IDPR, INDONESIA PONDASI RAYA, Indonesia Pondasi Raya, Indonesia Pondasi Raya Tbk, IndonesiaPondasiRaya, PT Indonesia Pondasi Raya</v>
      </c>
      <c r="I399" t="str">
        <f t="shared" si="69"/>
        <v>INDONESIA PONDASI RAYA</v>
      </c>
      <c r="J399" t="str">
        <f t="shared" si="73"/>
        <v>IDPR, Indonesia Pondasi Raya, Indonesia Pondasi Raya Tbk, IndonesiaPondasiRaya, PT Indonesia Pondasi Raya</v>
      </c>
      <c r="K399" t="str">
        <f t="shared" si="74"/>
        <v>IDPR, Indonesia Pondasi Raya, Indonesia Pondasi Raya Tbk, IndonesiaPondasiRaya, PT Indonesia Pondasi Raya</v>
      </c>
      <c r="L399" t="str">
        <f t="shared" si="70"/>
        <v>IndonesiaPondasiRaya</v>
      </c>
      <c r="M399" t="str">
        <f t="shared" si="75"/>
        <v>IDPR, Indonesia Pondasi Raya, Indonesia Pondasi Raya Tbk, PT Indonesia Pondasi Raya</v>
      </c>
      <c r="N399" t="str">
        <f t="shared" si="76"/>
        <v>IDPR, Indonesia Pondasi Raya, Indonesia Pondasi Raya Tbk, PT Indonesia Pondasi Raya</v>
      </c>
    </row>
    <row r="400" spans="1:14" x14ac:dyDescent="0.2">
      <c r="A400" t="s">
        <v>1782</v>
      </c>
      <c r="B400" t="s">
        <v>3579</v>
      </c>
      <c r="C400" t="s">
        <v>8199</v>
      </c>
      <c r="D400" t="str">
        <f t="shared" si="66"/>
        <v>IFII, INDONESIA FIBREBOARD INDUSTRY, Indonesia Fibreboard Industry, Indonesia Fibreboard Industry Tbk, IndonesiaFibreboardIndustry, PT Indonesia Fibreboard Industry, indonesia fibreboard industry</v>
      </c>
      <c r="E400" t="str">
        <f t="shared" si="67"/>
        <v>IFII, INDONESIA FIBREBOARD INDUSTRY, Indonesia Fibreboard Industry, Indonesia Fibreboard Industry Tbk, IndonesiaFibreboardIndustry, PT Indonesia Fibreboard Industry, indonesia fibreboard industry</v>
      </c>
      <c r="F400" t="str">
        <f t="shared" si="68"/>
        <v>indonesia fibreboard industry</v>
      </c>
      <c r="G400" t="str">
        <f t="shared" si="71"/>
        <v>IFII, INDONESIA FIBREBOARD INDUSTRY, Indonesia Fibreboard Industry, Indonesia Fibreboard Industry Tbk, IndonesiaFibreboardIndustry, PT Indonesia Fibreboard Industry</v>
      </c>
      <c r="H400" t="str">
        <f t="shared" si="72"/>
        <v>IFII, INDONESIA FIBREBOARD INDUSTRY, Indonesia Fibreboard Industry, Indonesia Fibreboard Industry Tbk, IndonesiaFibreboardIndustry, PT Indonesia Fibreboard Industry</v>
      </c>
      <c r="I400" t="str">
        <f t="shared" si="69"/>
        <v>INDONESIA FIBREBOARD INDUSTRY</v>
      </c>
      <c r="J400" t="str">
        <f t="shared" si="73"/>
        <v>IFII, Indonesia Fibreboard Industry, Indonesia Fibreboard Industry Tbk, IndonesiaFibreboardIndustry, PT Indonesia Fibreboard Industry</v>
      </c>
      <c r="K400" t="str">
        <f t="shared" si="74"/>
        <v>IFII, Indonesia Fibreboard Industry, Indonesia Fibreboard Industry Tbk, IndonesiaFibreboardIndustry, PT Indonesia Fibreboard Industry</v>
      </c>
      <c r="L400" t="str">
        <f t="shared" si="70"/>
        <v>IndonesiaFibreboardIndustry</v>
      </c>
      <c r="M400" t="str">
        <f t="shared" si="75"/>
        <v>IFII, Indonesia Fibreboard Industry, Indonesia Fibreboard Industry Tbk, PT Indonesia Fibreboard Industry</v>
      </c>
      <c r="N400" t="str">
        <f t="shared" si="76"/>
        <v>IFII, Indonesia Fibreboard Industry, Indonesia Fibreboard Industry Tbk, PT Indonesia Fibreboard Industry</v>
      </c>
    </row>
    <row r="401" spans="1:14" x14ac:dyDescent="0.2">
      <c r="A401" t="s">
        <v>1776</v>
      </c>
      <c r="B401" t="s">
        <v>1777</v>
      </c>
      <c r="C401" t="s">
        <v>8200</v>
      </c>
      <c r="D401" t="str">
        <f t="shared" si="66"/>
        <v>IFSH, IFISHDECO, Ifishdeco, Ifishdeco Tbk, PT Ifishdeco, ifishdeco</v>
      </c>
      <c r="E401" t="str">
        <f t="shared" si="67"/>
        <v>IFSH, IFISHDECO, Ifishdeco, Ifishdeco Tbk, PT Ifishdeco, ifishdeco</v>
      </c>
      <c r="F401" t="str">
        <f t="shared" si="68"/>
        <v>ifishdeco</v>
      </c>
      <c r="G401" t="str">
        <f t="shared" si="71"/>
        <v>IFSH, IFISHDECO, Ifishdeco, Ifishdeco Tbk, PT Ifishdeco</v>
      </c>
      <c r="H401" t="str">
        <f t="shared" si="72"/>
        <v>IFSH, IFISHDECO, Ifishdeco, Ifishdeco Tbk, PT Ifishdeco</v>
      </c>
      <c r="I401" t="str">
        <f t="shared" si="69"/>
        <v>IFISHDECO</v>
      </c>
      <c r="J401" t="str">
        <f t="shared" si="73"/>
        <v>IFSH, Ifishdeco, Ifishdeco Tbk, PT Ifishdeco</v>
      </c>
      <c r="K401" t="str">
        <f t="shared" si="74"/>
        <v>IFSH, Ifishdeco, Ifishdeco Tbk, PT Ifishdeco</v>
      </c>
      <c r="L401" t="str">
        <f t="shared" si="70"/>
        <v>Ifishdeco</v>
      </c>
      <c r="M401" t="str">
        <f t="shared" si="75"/>
        <v>IFSH Tbk, PT Ifishdeco</v>
      </c>
      <c r="N401" t="str">
        <f t="shared" si="76"/>
        <v>IFSH Tbk, PT Ifishdeco</v>
      </c>
    </row>
    <row r="402" spans="1:14" x14ac:dyDescent="0.2">
      <c r="A402" t="s">
        <v>592</v>
      </c>
      <c r="B402" t="s">
        <v>3580</v>
      </c>
      <c r="C402" t="s">
        <v>8201</v>
      </c>
      <c r="D402" t="str">
        <f t="shared" si="66"/>
        <v>IGAR, CHAMPION PACIFIC INDONESIA, Champion Pacific Indonesia, Champion Pacific Indonesia Tbk, ChampionPacificIndonesia, PT Champion Pacific Indonesia, champion pacific indonesia</v>
      </c>
      <c r="E402" t="str">
        <f t="shared" si="67"/>
        <v>IGAR, CHAMPION PACIFIC INDONESIA, Champion Pacific Indonesia, Champion Pacific Indonesia Tbk, ChampionPacificIndonesia, PT Champion Pacific Indonesia, champion pacific indonesia</v>
      </c>
      <c r="F402" t="str">
        <f t="shared" si="68"/>
        <v>champion pacific indonesia</v>
      </c>
      <c r="G402" t="str">
        <f t="shared" si="71"/>
        <v>IGAR, CHAMPION PACIFIC INDONESIA, Champion Pacific Indonesia, Champion Pacific Indonesia Tbk, ChampionPacificIndonesia, PT Champion Pacific Indonesia</v>
      </c>
      <c r="H402" t="str">
        <f t="shared" si="72"/>
        <v>IGAR, CHAMPION PACIFIC INDONESIA, Champion Pacific Indonesia, Champion Pacific Indonesia Tbk, ChampionPacificIndonesia, PT Champion Pacific Indonesia</v>
      </c>
      <c r="I402" t="str">
        <f t="shared" si="69"/>
        <v>CHAMPION PACIFIC INDONESIA</v>
      </c>
      <c r="J402" t="str">
        <f t="shared" si="73"/>
        <v>IGAR, Champion Pacific Indonesia, Champion Pacific Indonesia Tbk, ChampionPacificIndonesia, PT Champion Pacific Indonesia</v>
      </c>
      <c r="K402" t="str">
        <f t="shared" si="74"/>
        <v>IGAR, Champion Pacific Indonesia, Champion Pacific Indonesia Tbk, ChampionPacificIndonesia, PT Champion Pacific Indonesia</v>
      </c>
      <c r="L402" t="str">
        <f t="shared" si="70"/>
        <v>ChampionPacificIndonesia</v>
      </c>
      <c r="M402" t="str">
        <f t="shared" si="75"/>
        <v>IGAR, Champion Pacific Indonesia, Champion Pacific Indonesia Tbk, PT Champion Pacific Indonesia</v>
      </c>
      <c r="N402" t="str">
        <f t="shared" si="76"/>
        <v>IGAR, Champion Pacific Indonesia, Champion Pacific Indonesia Tbk, PT Champion Pacific Indonesia</v>
      </c>
    </row>
    <row r="403" spans="1:14" x14ac:dyDescent="0.2">
      <c r="A403" t="s">
        <v>595</v>
      </c>
      <c r="B403" t="s">
        <v>3581</v>
      </c>
      <c r="C403" t="s">
        <v>8202</v>
      </c>
      <c r="D403" t="str">
        <f t="shared" si="66"/>
        <v>IIKP, INTI AGRI RESOURCES, Inti Agri Resources, Inti Agri Resources Tbk, IntiAgriResources, PT Inti Agri Resources, inti agri resources</v>
      </c>
      <c r="E403" t="str">
        <f t="shared" si="67"/>
        <v>IIKP, INTI AGRI RESOURCES, Inti Agri Resources, Inti Agri Resources Tbk, IntiAgriResources, PT Inti Agri Resources, inti agri resources</v>
      </c>
      <c r="F403" t="str">
        <f t="shared" si="68"/>
        <v>inti agri resources</v>
      </c>
      <c r="G403" t="str">
        <f t="shared" si="71"/>
        <v>IIKP, INTI AGRI RESOURCES, Inti Agri Resources, Inti Agri Resources Tbk, IntiAgriResources, PT Inti Agri Resources</v>
      </c>
      <c r="H403" t="str">
        <f t="shared" si="72"/>
        <v>IIKP, INTI AGRI RESOURCES, Inti Agri Resources, Inti Agri Resources Tbk, IntiAgriResources, PT Inti Agri Resources</v>
      </c>
      <c r="I403" t="str">
        <f t="shared" si="69"/>
        <v>INTI AGRI RESOURCES</v>
      </c>
      <c r="J403" t="str">
        <f t="shared" si="73"/>
        <v>IIKP, Inti Agri Resources, Inti Agri Resources Tbk, IntiAgriResources, PT Inti Agri Resources</v>
      </c>
      <c r="K403" t="str">
        <f t="shared" si="74"/>
        <v>IIKP, Inti Agri Resources, Inti Agri Resources Tbk, IntiAgriResources, PT Inti Agri Resources</v>
      </c>
      <c r="L403" t="str">
        <f t="shared" si="70"/>
        <v>IntiAgriResources</v>
      </c>
      <c r="M403" t="str">
        <f t="shared" si="75"/>
        <v>IIKP, Inti Agri Resources, Inti Agri Resources Tbk, PT Inti Agri Resources</v>
      </c>
      <c r="N403" t="str">
        <f t="shared" si="76"/>
        <v>IIKP, Inti Agri Resources, Inti Agri Resources Tbk, PT Inti Agri Resources</v>
      </c>
    </row>
    <row r="404" spans="1:14" x14ac:dyDescent="0.2">
      <c r="A404" t="s">
        <v>598</v>
      </c>
      <c r="B404" t="s">
        <v>3582</v>
      </c>
      <c r="C404" t="s">
        <v>8203</v>
      </c>
      <c r="D404" t="str">
        <f t="shared" si="66"/>
        <v>IKAI, INTIKERAMIK ALAMASRI INDUSTRI, Intikeramik Alamasri Industri, Intikeramik Alamasri Industri Tbk, IntikeramikAlamasriIndustri, PT Intikeramik Alamasri Industri, intikeramik alamasri industri</v>
      </c>
      <c r="E404" t="str">
        <f t="shared" si="67"/>
        <v>IKAI, INTIKERAMIK ALAMASRI INDUSTRI, Intikeramik Alamasri Industri, Intikeramik Alamasri Industri Tbk, IntikeramikAlamasriIndustri, PT Intikeramik Alamasri Industri, intikeramik alamasri industri</v>
      </c>
      <c r="F404" t="str">
        <f t="shared" si="68"/>
        <v>intikeramik alamasri industri</v>
      </c>
      <c r="G404" t="str">
        <f t="shared" si="71"/>
        <v>IKAI, INTIKERAMIK ALAMASRI INDUSTRI, Intikeramik Alamasri Industri, Intikeramik Alamasri Industri Tbk, IntikeramikAlamasriIndustri, PT Intikeramik Alamasri Industri</v>
      </c>
      <c r="H404" t="str">
        <f t="shared" si="72"/>
        <v>IKAI, INTIKERAMIK ALAMASRI INDUSTRI, Intikeramik Alamasri Industri, Intikeramik Alamasri Industri Tbk, IntikeramikAlamasriIndustri, PT Intikeramik Alamasri Industri</v>
      </c>
      <c r="I404" t="str">
        <f t="shared" si="69"/>
        <v>INTIKERAMIK ALAMASRI INDUSTRI</v>
      </c>
      <c r="J404" t="str">
        <f t="shared" si="73"/>
        <v>IKAI, Intikeramik Alamasri Industri, Intikeramik Alamasri Industri Tbk, IntikeramikAlamasriIndustri, PT Intikeramik Alamasri Industri</v>
      </c>
      <c r="K404" t="str">
        <f t="shared" si="74"/>
        <v>IKAI, Intikeramik Alamasri Industri, Intikeramik Alamasri Industri Tbk, IntikeramikAlamasriIndustri, PT Intikeramik Alamasri Industri</v>
      </c>
      <c r="L404" t="str">
        <f t="shared" si="70"/>
        <v>IntikeramikAlamasriIndustri</v>
      </c>
      <c r="M404" t="str">
        <f t="shared" si="75"/>
        <v>IKAI, Intikeramik Alamasri Industri, Intikeramik Alamasri Industri Tbk, PT Intikeramik Alamasri Industri</v>
      </c>
      <c r="N404" t="str">
        <f t="shared" si="76"/>
        <v>IKAI, Intikeramik Alamasri Industri, Intikeramik Alamasri Industri Tbk, PT Intikeramik Alamasri Industri</v>
      </c>
    </row>
    <row r="405" spans="1:14" x14ac:dyDescent="0.2">
      <c r="A405" t="s">
        <v>1822</v>
      </c>
      <c r="B405" t="s">
        <v>1823</v>
      </c>
      <c r="C405" t="s">
        <v>8204</v>
      </c>
      <c r="D405" t="str">
        <f t="shared" si="66"/>
        <v>IKAN, ERA MANDIRI CEMERLANG, Era Mandiri Cemerlang, Era Mandiri Cemerlang Tbk, EraMandiriCemerlang, PT Era Mandiri Cemerlang, era mandiri cemerlang</v>
      </c>
      <c r="E405" t="str">
        <f t="shared" si="67"/>
        <v>IKAN, ERA MANDIRI CEMERLANG, Era Mandiri Cemerlang, Era Mandiri Cemerlang Tbk, EraMandiriCemerlang, PT Era Mandiri Cemerlang, era mandiri cemerlang</v>
      </c>
      <c r="F405" t="str">
        <f t="shared" si="68"/>
        <v>era mandiri cemerlang</v>
      </c>
      <c r="G405" t="str">
        <f t="shared" si="71"/>
        <v>IKAN, ERA MANDIRI CEMERLANG, Era Mandiri Cemerlang, Era Mandiri Cemerlang Tbk, EraMandiriCemerlang, PT Era Mandiri Cemerlang</v>
      </c>
      <c r="H405" t="str">
        <f t="shared" si="72"/>
        <v>IKAN, ERA MANDIRI CEMERLANG, Era Mandiri Cemerlang, Era Mandiri Cemerlang Tbk, EraMandiriCemerlang, PT Era Mandiri Cemerlang</v>
      </c>
      <c r="I405" t="str">
        <f t="shared" si="69"/>
        <v>ERA MANDIRI CEMERLANG</v>
      </c>
      <c r="J405" t="str">
        <f t="shared" si="73"/>
        <v>IKAN, Era Mandiri Cemerlang, Era Mandiri Cemerlang Tbk, EraMandiriCemerlang, PT Era Mandiri Cemerlang</v>
      </c>
      <c r="K405" t="str">
        <f t="shared" si="74"/>
        <v>IKAN, Era Mandiri Cemerlang, Era Mandiri Cemerlang Tbk, EraMandiriCemerlang, PT Era Mandiri Cemerlang</v>
      </c>
      <c r="L405" t="str">
        <f t="shared" si="70"/>
        <v>EraMandiriCemerlang</v>
      </c>
      <c r="M405" t="str">
        <f t="shared" si="75"/>
        <v>IKAN, Era Mandiri Cemerlang, Era Mandiri Cemerlang Tbk, PT Era Mandiri Cemerlang</v>
      </c>
      <c r="N405" t="str">
        <f t="shared" si="76"/>
        <v>IKAN, Era Mandiri Cemerlang, Era Mandiri Cemerlang Tbk, PT Era Mandiri Cemerlang</v>
      </c>
    </row>
    <row r="406" spans="1:14" x14ac:dyDescent="0.2">
      <c r="A406" t="s">
        <v>600</v>
      </c>
      <c r="B406" t="s">
        <v>601</v>
      </c>
      <c r="C406" t="s">
        <v>8205</v>
      </c>
      <c r="D406" t="str">
        <f t="shared" si="66"/>
        <v>IKBI, PT Sumi Indo Kabel, SUMI INDO KABEL, Sumi Indo Kabel, Sumi Indo Kabel Tbk, SumiIndoKabel, sumi indo kabel</v>
      </c>
      <c r="E406" t="str">
        <f t="shared" si="67"/>
        <v>IKBI, PT Sumi Indo Kabel, SUMI INDO KABEL, Sumi Indo Kabel, Sumi Indo Kabel Tbk, SumiIndoKabel, sumi indo kabel</v>
      </c>
      <c r="F406" t="str">
        <f t="shared" si="68"/>
        <v>sumi indo kabel</v>
      </c>
      <c r="G406" t="str">
        <f t="shared" si="71"/>
        <v>IKBI, PT Sumi Indo Kabel, SUMI INDO KABEL, Sumi Indo Kabel, Sumi Indo Kabel Tbk, SumiIndoKabel</v>
      </c>
      <c r="H406" t="str">
        <f t="shared" si="72"/>
        <v>IKBI, PT Sumi Indo Kabel, SUMI INDO KABEL, Sumi Indo Kabel, Sumi Indo Kabel Tbk, SumiIndoKabel</v>
      </c>
      <c r="I406" t="str">
        <f t="shared" si="69"/>
        <v>SUMI INDO KABEL</v>
      </c>
      <c r="J406" t="str">
        <f t="shared" si="73"/>
        <v>IKBI, PT Sumi Indo Kabel, Sumi Indo Kabel, Sumi Indo Kabel Tbk, SumiIndoKabel</v>
      </c>
      <c r="K406" t="str">
        <f t="shared" si="74"/>
        <v>IKBI, PT Sumi Indo Kabel, Sumi Indo Kabel, Sumi Indo Kabel Tbk, SumiIndoKabel</v>
      </c>
      <c r="L406" t="str">
        <f t="shared" si="70"/>
        <v>SumiIndoKabel</v>
      </c>
      <c r="M406" t="str">
        <f t="shared" si="75"/>
        <v>IKBI, PT Sumi Indo Kabel, Sumi Indo Kabel, Sumi Indo Kabel Tbk</v>
      </c>
      <c r="N406" t="str">
        <f t="shared" si="76"/>
        <v>IKBI, PT Sumi Indo Kabel, Sumi Indo Kabel, Sumi Indo Kabel Tbk</v>
      </c>
    </row>
    <row r="407" spans="1:14" x14ac:dyDescent="0.2">
      <c r="A407" t="s">
        <v>2407</v>
      </c>
      <c r="B407" t="s">
        <v>2408</v>
      </c>
      <c r="C407" t="s">
        <v>8206</v>
      </c>
      <c r="D407" t="str">
        <f t="shared" si="66"/>
        <v>IKPM, IKAPHARMINDO PUTRAMAS, Ikapharmindo Putramas, Ikapharmindo Putramas Tbk, IkapharmindoPutramas, PT Ikapharmindo Putramas, ikapharmindo putramas</v>
      </c>
      <c r="E407" t="str">
        <f t="shared" si="67"/>
        <v>IKPM, IKAPHARMINDO PUTRAMAS, Ikapharmindo Putramas, Ikapharmindo Putramas Tbk, IkapharmindoPutramas, PT Ikapharmindo Putramas, ikapharmindo putramas</v>
      </c>
      <c r="F407" t="str">
        <f t="shared" si="68"/>
        <v>ikapharmindo putramas</v>
      </c>
      <c r="G407" t="str">
        <f t="shared" si="71"/>
        <v>IKPM, IKAPHARMINDO PUTRAMAS, Ikapharmindo Putramas, Ikapharmindo Putramas Tbk, IkapharmindoPutramas, PT Ikapharmindo Putramas</v>
      </c>
      <c r="H407" t="str">
        <f t="shared" si="72"/>
        <v>IKPM, IKAPHARMINDO PUTRAMAS, Ikapharmindo Putramas, Ikapharmindo Putramas Tbk, IkapharmindoPutramas, PT Ikapharmindo Putramas</v>
      </c>
      <c r="I407" t="str">
        <f t="shared" si="69"/>
        <v>IKAPHARMINDO PUTRAMAS</v>
      </c>
      <c r="J407" t="str">
        <f t="shared" si="73"/>
        <v>IKPM, Ikapharmindo Putramas, Ikapharmindo Putramas Tbk, IkapharmindoPutramas, PT Ikapharmindo Putramas</v>
      </c>
      <c r="K407" t="str">
        <f t="shared" si="74"/>
        <v>IKPM, Ikapharmindo Putramas, Ikapharmindo Putramas Tbk, IkapharmindoPutramas, PT Ikapharmindo Putramas</v>
      </c>
      <c r="L407" t="str">
        <f t="shared" si="70"/>
        <v>IkapharmindoPutramas</v>
      </c>
      <c r="M407" t="str">
        <f t="shared" si="75"/>
        <v>IKPM, Ikapharmindo Putramas, Ikapharmindo Putramas Tbk, PT Ikapharmindo Putramas</v>
      </c>
      <c r="N407" t="str">
        <f t="shared" si="76"/>
        <v>IKPM, Ikapharmindo Putramas, Ikapharmindo Putramas Tbk, PT Ikapharmindo Putramas</v>
      </c>
    </row>
    <row r="408" spans="1:14" x14ac:dyDescent="0.2">
      <c r="A408" t="s">
        <v>603</v>
      </c>
      <c r="B408" t="s">
        <v>3583</v>
      </c>
      <c r="C408" t="s">
        <v>8207</v>
      </c>
      <c r="D408" t="str">
        <f t="shared" si="66"/>
        <v>IMAS, INDOMOBIL SUKSES INTERNASIONAL, Indomobil Sukses Internasional, Indomobil Sukses Internasional Tbk, IndomobilSuksesInternasional, PT Indomobil Sukses Internasional, indomobil sukses internasional</v>
      </c>
      <c r="E408" t="str">
        <f t="shared" si="67"/>
        <v>IMAS, INDOMOBIL SUKSES INTERNASIONAL, Indomobil Sukses Internasional, Indomobil Sukses Internasional Tbk, IndomobilSuksesInternasional, PT Indomobil Sukses Internasional, indomobil sukses internasional</v>
      </c>
      <c r="F408" t="str">
        <f t="shared" si="68"/>
        <v>indomobil sukses internasional</v>
      </c>
      <c r="G408" t="str">
        <f t="shared" si="71"/>
        <v>IMAS, INDOMOBIL SUKSES INTERNASIONAL, Indomobil Sukses Internasional, Indomobil Sukses Internasional Tbk, IndomobilSuksesInternasional, PT Indomobil Sukses Internasional</v>
      </c>
      <c r="H408" t="str">
        <f t="shared" si="72"/>
        <v>IMAS, INDOMOBIL SUKSES INTERNASIONAL, Indomobil Sukses Internasional, Indomobil Sukses Internasional Tbk, IndomobilSuksesInternasional, PT Indomobil Sukses Internasional</v>
      </c>
      <c r="I408" t="str">
        <f t="shared" si="69"/>
        <v>INDOMOBIL SUKSES INTERNASIONAL</v>
      </c>
      <c r="J408" t="str">
        <f t="shared" si="73"/>
        <v>IMAS, Indomobil Sukses Internasional, Indomobil Sukses Internasional Tbk, IndomobilSuksesInternasional, PT Indomobil Sukses Internasional</v>
      </c>
      <c r="K408" t="str">
        <f t="shared" si="74"/>
        <v>IMAS, Indomobil Sukses Internasional, Indomobil Sukses Internasional Tbk, IndomobilSuksesInternasional, PT Indomobil Sukses Internasional</v>
      </c>
      <c r="L408" t="str">
        <f t="shared" si="70"/>
        <v>IndomobilSuksesInternasional</v>
      </c>
      <c r="M408" t="str">
        <f t="shared" si="75"/>
        <v>IMAS, Indomobil Sukses Internasional, Indomobil Sukses Internasional Tbk, PT Indomobil Sukses Internasional</v>
      </c>
      <c r="N408" t="str">
        <f t="shared" si="76"/>
        <v>IMAS, Indomobil Sukses Internasional, Indomobil Sukses Internasional Tbk, PT Indomobil Sukses Internasional</v>
      </c>
    </row>
    <row r="409" spans="1:14" x14ac:dyDescent="0.2">
      <c r="A409" t="s">
        <v>605</v>
      </c>
      <c r="B409" t="s">
        <v>606</v>
      </c>
      <c r="C409" t="s">
        <v>8208</v>
      </c>
      <c r="D409" t="str">
        <f t="shared" si="66"/>
        <v>IMJS, INDOMOBIL MULTI JASA, Indomobil Multi Jasa, Indomobil Multi Jasa Tbk, IndomobilMultiJasa, PT Indomobil Multi Jasa, indomobil multi jasa</v>
      </c>
      <c r="E409" t="str">
        <f t="shared" si="67"/>
        <v>IMJS, INDOMOBIL MULTI JASA, Indomobil Multi Jasa, Indomobil Multi Jasa Tbk, IndomobilMultiJasa, PT Indomobil Multi Jasa, indomobil multi jasa</v>
      </c>
      <c r="F409" t="str">
        <f t="shared" si="68"/>
        <v>indomobil multi jasa</v>
      </c>
      <c r="G409" t="str">
        <f t="shared" si="71"/>
        <v>IMJS, INDOMOBIL MULTI JASA, Indomobil Multi Jasa, Indomobil Multi Jasa Tbk, IndomobilMultiJasa, PT Indomobil Multi Jasa</v>
      </c>
      <c r="H409" t="str">
        <f t="shared" si="72"/>
        <v>IMJS, INDOMOBIL MULTI JASA, Indomobil Multi Jasa, Indomobil Multi Jasa Tbk, IndomobilMultiJasa, PT Indomobil Multi Jasa</v>
      </c>
      <c r="I409" t="str">
        <f t="shared" si="69"/>
        <v>INDOMOBIL MULTI JASA</v>
      </c>
      <c r="J409" t="str">
        <f t="shared" si="73"/>
        <v>IMJS, Indomobil Multi Jasa, Indomobil Multi Jasa Tbk, IndomobilMultiJasa, PT Indomobil Multi Jasa</v>
      </c>
      <c r="K409" t="str">
        <f t="shared" si="74"/>
        <v>IMJS, Indomobil Multi Jasa, Indomobil Multi Jasa Tbk, IndomobilMultiJasa, PT Indomobil Multi Jasa</v>
      </c>
      <c r="L409" t="str">
        <f t="shared" si="70"/>
        <v>IndomobilMultiJasa</v>
      </c>
      <c r="M409" t="str">
        <f t="shared" si="75"/>
        <v>IMJS, Indomobil Multi Jasa, Indomobil Multi Jasa Tbk, PT Indomobil Multi Jasa</v>
      </c>
      <c r="N409" t="str">
        <f t="shared" si="76"/>
        <v>IMJS, Indomobil Multi Jasa, Indomobil Multi Jasa Tbk, PT Indomobil Multi Jasa</v>
      </c>
    </row>
    <row r="410" spans="1:14" x14ac:dyDescent="0.2">
      <c r="A410" t="s">
        <v>608</v>
      </c>
      <c r="B410" t="s">
        <v>609</v>
      </c>
      <c r="C410" t="s">
        <v>8209</v>
      </c>
      <c r="D410" t="str">
        <f t="shared" si="66"/>
        <v>IMPC, IMPACK PRATAMA INDUSTRI, Impack Pratama Industri, Impack Pratama Industri Tbk, ImpackPratamaIndustri, PT Impack Pratama Industri, impack pratama industri</v>
      </c>
      <c r="E410" t="str">
        <f t="shared" si="67"/>
        <v>IMPC, IMPACK PRATAMA INDUSTRI, Impack Pratama Industri, Impack Pratama Industri Tbk, ImpackPratamaIndustri, PT Impack Pratama Industri, impack pratama industri</v>
      </c>
      <c r="F410" t="str">
        <f t="shared" si="68"/>
        <v>impack pratama industri</v>
      </c>
      <c r="G410" t="str">
        <f t="shared" si="71"/>
        <v>IMPC, IMPACK PRATAMA INDUSTRI, Impack Pratama Industri, Impack Pratama Industri Tbk, ImpackPratamaIndustri, PT Impack Pratama Industri</v>
      </c>
      <c r="H410" t="str">
        <f t="shared" si="72"/>
        <v>IMPC, IMPACK PRATAMA INDUSTRI, Impack Pratama Industri, Impack Pratama Industri Tbk, ImpackPratamaIndustri, PT Impack Pratama Industri</v>
      </c>
      <c r="I410" t="str">
        <f t="shared" si="69"/>
        <v>IMPACK PRATAMA INDUSTRI</v>
      </c>
      <c r="J410" t="str">
        <f t="shared" si="73"/>
        <v>IMPC, Impack Pratama Industri, Impack Pratama Industri Tbk, ImpackPratamaIndustri, PT Impack Pratama Industri</v>
      </c>
      <c r="K410" t="str">
        <f t="shared" si="74"/>
        <v>IMPC, Impack Pratama Industri, Impack Pratama Industri Tbk, ImpackPratamaIndustri, PT Impack Pratama Industri</v>
      </c>
      <c r="L410" t="str">
        <f t="shared" si="70"/>
        <v>ImpackPratamaIndustri</v>
      </c>
      <c r="M410" t="str">
        <f t="shared" si="75"/>
        <v>IMPC, Impack Pratama Industri, Impack Pratama Industri Tbk, PT Impack Pratama Industri</v>
      </c>
      <c r="N410" t="str">
        <f t="shared" si="76"/>
        <v>IMPC, Impack Pratama Industri, Impack Pratama Industri Tbk, PT Impack Pratama Industri</v>
      </c>
    </row>
    <row r="411" spans="1:14" x14ac:dyDescent="0.2">
      <c r="A411" t="s">
        <v>611</v>
      </c>
      <c r="B411" t="s">
        <v>612</v>
      </c>
      <c r="C411" t="s">
        <v>8210</v>
      </c>
      <c r="D411" t="str">
        <f t="shared" si="66"/>
        <v>INAF, INDOFARMA, Indofarma, Indofarma Tbk, PT Indofarma, indofarma</v>
      </c>
      <c r="E411" t="str">
        <f t="shared" si="67"/>
        <v>INAF, INDOFARMA, Indofarma, Indofarma Tbk, PT Indofarma, indofarma</v>
      </c>
      <c r="F411" t="str">
        <f t="shared" si="68"/>
        <v>indofarma</v>
      </c>
      <c r="G411" t="str">
        <f t="shared" si="71"/>
        <v>INAF, INDOFARMA, Indofarma, Indofarma Tbk, PT Indofarma</v>
      </c>
      <c r="H411" t="str">
        <f t="shared" si="72"/>
        <v>INAF, INDOFARMA, Indofarma, Indofarma Tbk, PT Indofarma</v>
      </c>
      <c r="I411" t="str">
        <f t="shared" si="69"/>
        <v>INDOFARMA</v>
      </c>
      <c r="J411" t="str">
        <f t="shared" si="73"/>
        <v>INAF, Indofarma, Indofarma Tbk, PT Indofarma</v>
      </c>
      <c r="K411" t="str">
        <f t="shared" si="74"/>
        <v>INAF, Indofarma, Indofarma Tbk, PT Indofarma</v>
      </c>
      <c r="L411" t="str">
        <f t="shared" si="70"/>
        <v>Indofarma</v>
      </c>
      <c r="M411" t="str">
        <f t="shared" si="75"/>
        <v>INAF Tbk, PT Indofarma</v>
      </c>
      <c r="N411" t="str">
        <f t="shared" si="76"/>
        <v>INAF Tbk, PT Indofarma</v>
      </c>
    </row>
    <row r="412" spans="1:14" x14ac:dyDescent="0.2">
      <c r="A412" t="s">
        <v>614</v>
      </c>
      <c r="B412" t="s">
        <v>615</v>
      </c>
      <c r="C412" t="s">
        <v>8211</v>
      </c>
      <c r="D412" t="str">
        <f t="shared" si="66"/>
        <v>INAI, INDAL ALUMINIUM INDUSTRY, Indal Aluminium Industry, Indal Aluminium Industry Tbk, IndalAluminiumIndustry, PT Indal Aluminium Industry, indal aluminium industry</v>
      </c>
      <c r="E412" t="str">
        <f t="shared" si="67"/>
        <v>INAI, INDAL ALUMINIUM INDUSTRY, Indal Aluminium Industry, Indal Aluminium Industry Tbk, IndalAluminiumIndustry, PT Indal Aluminium Industry, indal aluminium industry</v>
      </c>
      <c r="F412" t="str">
        <f t="shared" si="68"/>
        <v>indal aluminium industry</v>
      </c>
      <c r="G412" t="str">
        <f t="shared" si="71"/>
        <v>INAI, INDAL ALUMINIUM INDUSTRY, Indal Aluminium Industry, Indal Aluminium Industry Tbk, IndalAluminiumIndustry, PT Indal Aluminium Industry</v>
      </c>
      <c r="H412" t="str">
        <f t="shared" si="72"/>
        <v>INAI, INDAL ALUMINIUM INDUSTRY, Indal Aluminium Industry, Indal Aluminium Industry Tbk, IndalAluminiumIndustry, PT Indal Aluminium Industry</v>
      </c>
      <c r="I412" t="str">
        <f t="shared" si="69"/>
        <v>INDAL ALUMINIUM INDUSTRY</v>
      </c>
      <c r="J412" t="str">
        <f t="shared" si="73"/>
        <v>INAI, Indal Aluminium Industry, Indal Aluminium Industry Tbk, IndalAluminiumIndustry, PT Indal Aluminium Industry</v>
      </c>
      <c r="K412" t="str">
        <f t="shared" si="74"/>
        <v>INAI, Indal Aluminium Industry, Indal Aluminium Industry Tbk, IndalAluminiumIndustry, PT Indal Aluminium Industry</v>
      </c>
      <c r="L412" t="str">
        <f t="shared" si="70"/>
        <v>IndalAluminiumIndustry</v>
      </c>
      <c r="M412" t="str">
        <f t="shared" si="75"/>
        <v>INAI, Indal Aluminium Industry, Indal Aluminium Industry Tbk, PT Indal Aluminium Industry</v>
      </c>
      <c r="N412" t="str">
        <f t="shared" si="76"/>
        <v>INAI, Indal Aluminium Industry, Indal Aluminium Industry Tbk, PT Indal Aluminium Industry</v>
      </c>
    </row>
    <row r="413" spans="1:14" x14ac:dyDescent="0.2">
      <c r="A413" t="s">
        <v>1375</v>
      </c>
      <c r="B413" t="s">
        <v>1376</v>
      </c>
      <c r="C413" t="s">
        <v>8212</v>
      </c>
      <c r="D413" t="str">
        <f t="shared" si="66"/>
        <v>INCF, INDO KOMODITI KORPORA, Indo Komoditi Korpora, Indo Komoditi Korpora Tbk, IndoKomoditiKorpora, PT Indo Komoditi Korpora, indo komoditi korpora</v>
      </c>
      <c r="E413" t="str">
        <f t="shared" si="67"/>
        <v>INCF, INDO KOMODITI KORPORA, Indo Komoditi Korpora, Indo Komoditi Korpora Tbk, IndoKomoditiKorpora, PT Indo Komoditi Korpora, indo komoditi korpora</v>
      </c>
      <c r="F413" t="str">
        <f t="shared" si="68"/>
        <v>indo komoditi korpora</v>
      </c>
      <c r="G413" t="str">
        <f t="shared" si="71"/>
        <v>INCF, INDO KOMODITI KORPORA, Indo Komoditi Korpora, Indo Komoditi Korpora Tbk, IndoKomoditiKorpora, PT Indo Komoditi Korpora</v>
      </c>
      <c r="H413" t="str">
        <f t="shared" si="72"/>
        <v>INCF, INDO KOMODITI KORPORA, Indo Komoditi Korpora, Indo Komoditi Korpora Tbk, IndoKomoditiKorpora, PT Indo Komoditi Korpora</v>
      </c>
      <c r="I413" t="str">
        <f t="shared" si="69"/>
        <v>INDO KOMODITI KORPORA</v>
      </c>
      <c r="J413" t="str">
        <f t="shared" si="73"/>
        <v>INCF, Indo Komoditi Korpora, Indo Komoditi Korpora Tbk, IndoKomoditiKorpora, PT Indo Komoditi Korpora</v>
      </c>
      <c r="K413" t="str">
        <f t="shared" si="74"/>
        <v>INCF, Indo Komoditi Korpora, Indo Komoditi Korpora Tbk, IndoKomoditiKorpora, PT Indo Komoditi Korpora</v>
      </c>
      <c r="L413" t="str">
        <f t="shared" si="70"/>
        <v>IndoKomoditiKorpora</v>
      </c>
      <c r="M413" t="str">
        <f t="shared" si="75"/>
        <v>INCF, Indo Komoditi Korpora, Indo Komoditi Korpora Tbk, PT Indo Komoditi Korpora</v>
      </c>
      <c r="N413" t="str">
        <f t="shared" si="76"/>
        <v>INCF, Indo Komoditi Korpora, Indo Komoditi Korpora Tbk, PT Indo Komoditi Korpora</v>
      </c>
    </row>
    <row r="414" spans="1:14" x14ac:dyDescent="0.2">
      <c r="A414" t="s">
        <v>617</v>
      </c>
      <c r="B414" t="s">
        <v>3584</v>
      </c>
      <c r="C414" t="s">
        <v>8213</v>
      </c>
      <c r="D414" t="str">
        <f t="shared" si="66"/>
        <v>INCI, INTANWIJAYA INTERNASIONAL, Intanwijaya Internasional, Intanwijaya Internasional Tbk, IntanwijayaInternasional, PT Intanwijaya Internasional, intanwijaya internasional</v>
      </c>
      <c r="E414" t="str">
        <f t="shared" si="67"/>
        <v>INCI, INTANWIJAYA INTERNASIONAL, Intanwijaya Internasional, Intanwijaya Internasional Tbk, IntanwijayaInternasional, PT Intanwijaya Internasional, intanwijaya internasional</v>
      </c>
      <c r="F414" t="str">
        <f t="shared" si="68"/>
        <v>intanwijaya internasional</v>
      </c>
      <c r="G414" t="str">
        <f t="shared" si="71"/>
        <v>INCI, INTANWIJAYA INTERNASIONAL, Intanwijaya Internasional, Intanwijaya Internasional Tbk, IntanwijayaInternasional, PT Intanwijaya Internasional</v>
      </c>
      <c r="H414" t="str">
        <f t="shared" si="72"/>
        <v>INCI, INTANWIJAYA INTERNASIONAL, Intanwijaya Internasional, Intanwijaya Internasional Tbk, IntanwijayaInternasional, PT Intanwijaya Internasional</v>
      </c>
      <c r="I414" t="str">
        <f t="shared" si="69"/>
        <v>INTANWIJAYA INTERNASIONAL</v>
      </c>
      <c r="J414" t="str">
        <f t="shared" si="73"/>
        <v>INCI, Intanwijaya Internasional, Intanwijaya Internasional Tbk, IntanwijayaInternasional, PT Intanwijaya Internasional</v>
      </c>
      <c r="K414" t="str">
        <f t="shared" si="74"/>
        <v>INCI, Intanwijaya Internasional, Intanwijaya Internasional Tbk, IntanwijayaInternasional, PT Intanwijaya Internasional</v>
      </c>
      <c r="L414" t="str">
        <f t="shared" si="70"/>
        <v>IntanwijayaInternasional</v>
      </c>
      <c r="M414" t="str">
        <f t="shared" si="75"/>
        <v>INCI, Intanwijaya Internasional, Intanwijaya Internasional Tbk, PT Intanwijaya Internasional</v>
      </c>
      <c r="N414" t="str">
        <f t="shared" si="76"/>
        <v>INCI, Intanwijaya Internasional, Intanwijaya Internasional Tbk, PT Intanwijaya Internasional</v>
      </c>
    </row>
    <row r="415" spans="1:14" x14ac:dyDescent="0.2">
      <c r="A415" t="s">
        <v>620</v>
      </c>
      <c r="B415" t="s">
        <v>621</v>
      </c>
      <c r="C415" t="s">
        <v>8214</v>
      </c>
      <c r="D415" t="str">
        <f t="shared" si="66"/>
        <v>INCO, PT Vale Indonesia, VALE INDONESIA, Vale Indonesia, Vale Indonesia Tbk, ValeIndonesia, vale indonesia</v>
      </c>
      <c r="E415" t="str">
        <f t="shared" si="67"/>
        <v>INCO, PT Vale Indonesia, VALE INDONESIA, Vale Indonesia, Vale Indonesia Tbk, ValeIndonesia, vale indonesia</v>
      </c>
      <c r="F415" t="str">
        <f t="shared" si="68"/>
        <v>vale indonesia</v>
      </c>
      <c r="G415" t="str">
        <f t="shared" si="71"/>
        <v>INCO, PT Vale Indonesia, VALE INDONESIA, Vale Indonesia, Vale Indonesia Tbk, ValeIndonesia</v>
      </c>
      <c r="H415" t="str">
        <f t="shared" si="72"/>
        <v>INCO, PT Vale Indonesia, VALE INDONESIA, Vale Indonesia, Vale Indonesia Tbk, ValeIndonesia</v>
      </c>
      <c r="I415" t="str">
        <f t="shared" si="69"/>
        <v>VALE INDONESIA</v>
      </c>
      <c r="J415" t="str">
        <f t="shared" si="73"/>
        <v>INCO, PT Vale Indonesia, Vale Indonesia, Vale Indonesia Tbk, ValeIndonesia</v>
      </c>
      <c r="K415" t="str">
        <f t="shared" si="74"/>
        <v>INCO, PT Vale Indonesia, Vale Indonesia, Vale Indonesia Tbk, ValeIndonesia</v>
      </c>
      <c r="L415" t="str">
        <f t="shared" si="70"/>
        <v>ValeIndonesia</v>
      </c>
      <c r="M415" t="str">
        <f t="shared" si="75"/>
        <v>INCO, PT Vale Indonesia, Vale Indonesia, Vale Indonesia Tbk</v>
      </c>
      <c r="N415" t="str">
        <f t="shared" si="76"/>
        <v>INCO, PT Vale Indonesia, Vale Indonesia, Vale Indonesia Tbk</v>
      </c>
    </row>
    <row r="416" spans="1:14" x14ac:dyDescent="0.2">
      <c r="A416" t="s">
        <v>623</v>
      </c>
      <c r="B416" t="s">
        <v>624</v>
      </c>
      <c r="C416" t="s">
        <v>8215</v>
      </c>
      <c r="D416" t="str">
        <f t="shared" si="66"/>
        <v>INDF, INDOFOOD SUKSES MAKMUR, Indofood Sukses Makmur, Indofood Sukses Makmur Tbk, IndofoodSuksesMakmur, PT Indofood Sukses Makmur, indofood sukses makmur</v>
      </c>
      <c r="E416" t="str">
        <f t="shared" si="67"/>
        <v>INDF, INDOFOOD SUKSES MAKMUR, Indofood Sukses Makmur, Indofood Sukses Makmur Tbk, IndofoodSuksesMakmur, PT Indofood Sukses Makmur, indofood sukses makmur</v>
      </c>
      <c r="F416" t="str">
        <f t="shared" si="68"/>
        <v>indofood sukses makmur</v>
      </c>
      <c r="G416" t="str">
        <f t="shared" si="71"/>
        <v>INDF, INDOFOOD SUKSES MAKMUR, Indofood Sukses Makmur, Indofood Sukses Makmur Tbk, IndofoodSuksesMakmur, PT Indofood Sukses Makmur</v>
      </c>
      <c r="H416" t="str">
        <f t="shared" si="72"/>
        <v>INDF, INDOFOOD SUKSES MAKMUR, Indofood Sukses Makmur, Indofood Sukses Makmur Tbk, IndofoodSuksesMakmur, PT Indofood Sukses Makmur</v>
      </c>
      <c r="I416" t="str">
        <f t="shared" si="69"/>
        <v>INDOFOOD SUKSES MAKMUR</v>
      </c>
      <c r="J416" t="str">
        <f t="shared" si="73"/>
        <v>INDF, Indofood Sukses Makmur, Indofood Sukses Makmur Tbk, IndofoodSuksesMakmur, PT Indofood Sukses Makmur</v>
      </c>
      <c r="K416" t="str">
        <f t="shared" si="74"/>
        <v>INDF, Indofood Sukses Makmur, Indofood Sukses Makmur Tbk, IndofoodSuksesMakmur, PT Indofood Sukses Makmur</v>
      </c>
      <c r="L416" t="str">
        <f t="shared" si="70"/>
        <v>IndofoodSuksesMakmur</v>
      </c>
      <c r="M416" t="str">
        <f t="shared" si="75"/>
        <v>INDF, Indofood Sukses Makmur, Indofood Sukses Makmur Tbk, PT Indofood Sukses Makmur</v>
      </c>
      <c r="N416" t="str">
        <f t="shared" si="76"/>
        <v>INDF, Indofood Sukses Makmur, Indofood Sukses Makmur Tbk, PT Indofood Sukses Makmur</v>
      </c>
    </row>
    <row r="417" spans="1:14" x14ac:dyDescent="0.2">
      <c r="A417" t="s">
        <v>1802</v>
      </c>
      <c r="B417" t="s">
        <v>1803</v>
      </c>
      <c r="C417" t="s">
        <v>8216</v>
      </c>
      <c r="D417" t="str">
        <f t="shared" si="66"/>
        <v>INDO, PT Royalindo Investa Wijaya, ROYALINDO INVESTA WIJAYA, Royalindo Investa Wijaya, Royalindo Investa Wijaya Tbk, RoyalindoInvestaWijaya, royalindo investa wijaya</v>
      </c>
      <c r="E417" t="str">
        <f t="shared" si="67"/>
        <v>INDO, PT Royalindo Investa Wijaya, ROYALINDO INVESTA WIJAYA, Royalindo Investa Wijaya, Royalindo Investa Wijaya Tbk, RoyalindoInvestaWijaya, royalindo investa wijaya</v>
      </c>
      <c r="F417" t="str">
        <f t="shared" si="68"/>
        <v>royalindo investa wijaya</v>
      </c>
      <c r="G417" t="str">
        <f t="shared" si="71"/>
        <v>INDO, PT Royalindo Investa Wijaya, ROYALINDO INVESTA WIJAYA, Royalindo Investa Wijaya, Royalindo Investa Wijaya Tbk, RoyalindoInvestaWijaya</v>
      </c>
      <c r="H417" t="str">
        <f t="shared" si="72"/>
        <v>INDO, PT Royalindo Investa Wijaya, ROYALINDO INVESTA WIJAYA, Royalindo Investa Wijaya, Royalindo Investa Wijaya Tbk, RoyalindoInvestaWijaya</v>
      </c>
      <c r="I417" t="str">
        <f t="shared" si="69"/>
        <v>ROYALINDO INVESTA WIJAYA</v>
      </c>
      <c r="J417" t="str">
        <f t="shared" si="73"/>
        <v>INDO, PT Royalindo Investa Wijaya, Royalindo Investa Wijaya, Royalindo Investa Wijaya Tbk, RoyalindoInvestaWijaya</v>
      </c>
      <c r="K417" t="str">
        <f t="shared" si="74"/>
        <v>INDO, PT Royalindo Investa Wijaya, Royalindo Investa Wijaya, Royalindo Investa Wijaya Tbk, RoyalindoInvestaWijaya</v>
      </c>
      <c r="L417" t="str">
        <f t="shared" si="70"/>
        <v>RoyalindoInvestaWijaya</v>
      </c>
      <c r="M417" t="str">
        <f t="shared" si="75"/>
        <v>INDO, PT Royalindo Investa Wijaya, Royalindo Investa Wijaya, Royalindo Investa Wijaya Tbk</v>
      </c>
      <c r="N417" t="str">
        <f t="shared" si="76"/>
        <v>INDO, PT Royalindo Investa Wijaya, Royalindo Investa Wijaya, Royalindo Investa Wijaya Tbk</v>
      </c>
    </row>
    <row r="418" spans="1:14" x14ac:dyDescent="0.2">
      <c r="A418" t="s">
        <v>626</v>
      </c>
      <c r="B418" t="s">
        <v>3890</v>
      </c>
      <c r="C418" t="s">
        <v>8217</v>
      </c>
      <c r="D418" t="str">
        <f t="shared" si="66"/>
        <v>INDR, INDORAMA SYNTHETICS, Indorama Synthetics, Indorama Synthetics Tbk, IndoramaSynthetics, PT Indorama Synthetics, indorama synthetics</v>
      </c>
      <c r="E418" t="str">
        <f t="shared" si="67"/>
        <v>INDR, INDORAMA SYNTHETICS, Indorama Synthetics, Indorama Synthetics Tbk, IndoramaSynthetics, PT Indorama Synthetics, indorama synthetics</v>
      </c>
      <c r="F418" t="str">
        <f t="shared" si="68"/>
        <v>indorama synthetics</v>
      </c>
      <c r="G418" t="str">
        <f t="shared" si="71"/>
        <v>INDR, INDORAMA SYNTHETICS, Indorama Synthetics, Indorama Synthetics Tbk, IndoramaSynthetics, PT Indorama Synthetics</v>
      </c>
      <c r="H418" t="str">
        <f t="shared" si="72"/>
        <v>INDR, INDORAMA SYNTHETICS, Indorama Synthetics, Indorama Synthetics Tbk, IndoramaSynthetics, PT Indorama Synthetics</v>
      </c>
      <c r="I418" t="str">
        <f t="shared" si="69"/>
        <v>INDORAMA SYNTHETICS</v>
      </c>
      <c r="J418" t="str">
        <f t="shared" si="73"/>
        <v>INDR, Indorama Synthetics, Indorama Synthetics Tbk, IndoramaSynthetics, PT Indorama Synthetics</v>
      </c>
      <c r="K418" t="str">
        <f t="shared" si="74"/>
        <v>INDR, Indorama Synthetics, Indorama Synthetics Tbk, IndoramaSynthetics, PT Indorama Synthetics</v>
      </c>
      <c r="L418" t="str">
        <f t="shared" si="70"/>
        <v>IndoramaSynthetics</v>
      </c>
      <c r="M418" t="str">
        <f t="shared" si="75"/>
        <v>INDR, Indorama Synthetics, Indorama Synthetics Tbk, PT Indorama Synthetics</v>
      </c>
      <c r="N418" t="str">
        <f t="shared" si="76"/>
        <v>INDR, Indorama Synthetics, Indorama Synthetics Tbk, PT Indorama Synthetics</v>
      </c>
    </row>
    <row r="419" spans="1:14" x14ac:dyDescent="0.2">
      <c r="A419" t="s">
        <v>628</v>
      </c>
      <c r="B419" t="s">
        <v>629</v>
      </c>
      <c r="C419" t="s">
        <v>8218</v>
      </c>
      <c r="D419" t="str">
        <f t="shared" si="66"/>
        <v>INDS, INDOSPRING, Indospring, Indospring Tbk, PT Indospring, indospring</v>
      </c>
      <c r="E419" t="str">
        <f t="shared" si="67"/>
        <v>INDS, INDOSPRING, Indospring, Indospring Tbk, PT Indospring, indospring</v>
      </c>
      <c r="F419" t="str">
        <f t="shared" si="68"/>
        <v>indospring</v>
      </c>
      <c r="G419" t="str">
        <f t="shared" si="71"/>
        <v>INDS, INDOSPRING, Indospring, Indospring Tbk, PT Indospring</v>
      </c>
      <c r="H419" t="str">
        <f t="shared" si="72"/>
        <v>INDS, INDOSPRING, Indospring, Indospring Tbk, PT Indospring</v>
      </c>
      <c r="I419" t="str">
        <f t="shared" si="69"/>
        <v>INDOSPRING</v>
      </c>
      <c r="J419" t="str">
        <f t="shared" si="73"/>
        <v>INDS, Indospring, Indospring Tbk, PT Indospring</v>
      </c>
      <c r="K419" t="str">
        <f t="shared" si="74"/>
        <v>INDS, Indospring, Indospring Tbk, PT Indospring</v>
      </c>
      <c r="L419" t="str">
        <f t="shared" si="70"/>
        <v>Indospring</v>
      </c>
      <c r="M419" t="str">
        <f t="shared" si="75"/>
        <v>INDS Tbk, PT Indospring</v>
      </c>
      <c r="N419" t="str">
        <f t="shared" si="76"/>
        <v>INDS Tbk, PT Indospring</v>
      </c>
    </row>
    <row r="420" spans="1:14" x14ac:dyDescent="0.2">
      <c r="A420" t="s">
        <v>631</v>
      </c>
      <c r="B420" t="s">
        <v>3585</v>
      </c>
      <c r="C420" t="s">
        <v>8219</v>
      </c>
      <c r="D420" t="str">
        <f t="shared" si="66"/>
        <v>INDX, PT Tanah Laut, TANAH LAUT, Tanah Laut, Tanah Laut Tbk, TanahLaut, tanah laut</v>
      </c>
      <c r="E420" t="str">
        <f t="shared" si="67"/>
        <v>INDX, PT Tanah Laut, TANAH LAUT, Tanah Laut, Tanah Laut Tbk, TanahLaut, tanah laut</v>
      </c>
      <c r="F420" t="str">
        <f t="shared" si="68"/>
        <v>tanah laut</v>
      </c>
      <c r="G420" t="str">
        <f t="shared" si="71"/>
        <v>INDX, PT Tanah Laut, TANAH LAUT, Tanah Laut, Tanah Laut Tbk, TanahLaut</v>
      </c>
      <c r="H420" t="str">
        <f t="shared" si="72"/>
        <v>INDX, PT Tanah Laut, TANAH LAUT, Tanah Laut, Tanah Laut Tbk, TanahLaut</v>
      </c>
      <c r="I420" t="str">
        <f t="shared" si="69"/>
        <v>TANAH LAUT</v>
      </c>
      <c r="J420" t="str">
        <f t="shared" si="73"/>
        <v>INDX, PT Tanah Laut, Tanah Laut, Tanah Laut Tbk, TanahLaut</v>
      </c>
      <c r="K420" t="str">
        <f t="shared" si="74"/>
        <v>INDX, PT Tanah Laut, Tanah Laut, Tanah Laut Tbk, TanahLaut</v>
      </c>
      <c r="L420" t="str">
        <f t="shared" si="70"/>
        <v>TanahLaut</v>
      </c>
      <c r="M420" t="str">
        <f t="shared" si="75"/>
        <v>INDX, PT Tanah Laut, Tanah Laut, Tanah Laut Tbk</v>
      </c>
      <c r="N420" t="str">
        <f t="shared" si="76"/>
        <v>INDX, PT Tanah Laut, Tanah Laut, Tanah Laut Tbk</v>
      </c>
    </row>
    <row r="421" spans="1:14" x14ac:dyDescent="0.2">
      <c r="A421" t="s">
        <v>634</v>
      </c>
      <c r="B421" t="s">
        <v>635</v>
      </c>
      <c r="C421" t="s">
        <v>8220</v>
      </c>
      <c r="D421" t="str">
        <f t="shared" si="66"/>
        <v>INDY, INDIKA ENERGY, Indika Energy, Indika Energy Tbk, IndikaEnergy, PT Indika Energy, indika energy</v>
      </c>
      <c r="E421" t="str">
        <f t="shared" si="67"/>
        <v>INDY, INDIKA ENERGY, Indika Energy, Indika Energy Tbk, IndikaEnergy, PT Indika Energy, indika energy</v>
      </c>
      <c r="F421" t="str">
        <f t="shared" si="68"/>
        <v>indika energy</v>
      </c>
      <c r="G421" t="str">
        <f t="shared" si="71"/>
        <v>INDY, INDIKA ENERGY, Indika Energy, Indika Energy Tbk, IndikaEnergy, PT Indika Energy</v>
      </c>
      <c r="H421" t="str">
        <f t="shared" si="72"/>
        <v>INDY, INDIKA ENERGY, Indika Energy, Indika Energy Tbk, IndikaEnergy, PT Indika Energy</v>
      </c>
      <c r="I421" t="str">
        <f t="shared" si="69"/>
        <v>INDIKA ENERGY</v>
      </c>
      <c r="J421" t="str">
        <f t="shared" si="73"/>
        <v>INDY, Indika Energy, Indika Energy Tbk, IndikaEnergy, PT Indika Energy</v>
      </c>
      <c r="K421" t="str">
        <f t="shared" si="74"/>
        <v>INDY, Indika Energy, Indika Energy Tbk, IndikaEnergy, PT Indika Energy</v>
      </c>
      <c r="L421" t="str">
        <f t="shared" si="70"/>
        <v>IndikaEnergy</v>
      </c>
      <c r="M421" t="str">
        <f t="shared" si="75"/>
        <v>INDY, Indika Energy, Indika Energy Tbk, PT Indika Energy</v>
      </c>
      <c r="N421" t="str">
        <f t="shared" si="76"/>
        <v>INDY, Indika Energy, Indika Energy Tbk, PT Indika Energy</v>
      </c>
    </row>
    <row r="422" spans="1:14" x14ac:dyDescent="0.2">
      <c r="A422" t="s">
        <v>2333</v>
      </c>
      <c r="B422" t="s">
        <v>3586</v>
      </c>
      <c r="C422" t="s">
        <v>8221</v>
      </c>
      <c r="D422" t="str">
        <f t="shared" si="66"/>
        <v>INET, PT Sinergi Inti Andalan Prima, SINERGI INTI ANDALAN PRIMA, Sinergi Inti Andalan Prima, Sinergi Inti Andalan Prima Tbk, SinergiIntiAndalanPrima, sinergi inti andalan prima</v>
      </c>
      <c r="E422" t="str">
        <f t="shared" si="67"/>
        <v>INET, PT Sinergi Inti Andalan Prima, SINERGI INTI ANDALAN PRIMA, Sinergi Inti Andalan Prima, Sinergi Inti Andalan Prima Tbk, SinergiIntiAndalanPrima, sinergi inti andalan prima</v>
      </c>
      <c r="F422" t="str">
        <f t="shared" si="68"/>
        <v>sinergi inti andalan prima</v>
      </c>
      <c r="G422" t="str">
        <f t="shared" si="71"/>
        <v>INET, PT Sinergi Inti Andalan Prima, SINERGI INTI ANDALAN PRIMA, Sinergi Inti Andalan Prima, Sinergi Inti Andalan Prima Tbk, SinergiIntiAndalanPrima</v>
      </c>
      <c r="H422" t="str">
        <f t="shared" si="72"/>
        <v>INET, PT Sinergi Inti Andalan Prima, SINERGI INTI ANDALAN PRIMA, Sinergi Inti Andalan Prima, Sinergi Inti Andalan Prima Tbk, SinergiIntiAndalanPrima</v>
      </c>
      <c r="I422" t="str">
        <f t="shared" si="69"/>
        <v>SINERGI INTI ANDALAN PRIMA</v>
      </c>
      <c r="J422" t="str">
        <f t="shared" si="73"/>
        <v>INET, PT Sinergi Inti Andalan Prima, Sinergi Inti Andalan Prima, Sinergi Inti Andalan Prima Tbk, SinergiIntiAndalanPrima</v>
      </c>
      <c r="K422" t="str">
        <f t="shared" si="74"/>
        <v>INET, PT Sinergi Inti Andalan Prima, Sinergi Inti Andalan Prima, Sinergi Inti Andalan Prima Tbk, SinergiIntiAndalanPrima</v>
      </c>
      <c r="L422" t="str">
        <f t="shared" si="70"/>
        <v>SinergiIntiAndalanPrima</v>
      </c>
      <c r="M422" t="str">
        <f t="shared" si="75"/>
        <v>INET, PT Sinergi Inti Andalan Prima, Sinergi Inti Andalan Prima, Sinergi Inti Andalan Prima Tbk</v>
      </c>
      <c r="N422" t="str">
        <f t="shared" si="76"/>
        <v>INET, PT Sinergi Inti Andalan Prima, Sinergi Inti Andalan Prima, Sinergi Inti Andalan Prima Tbk</v>
      </c>
    </row>
    <row r="423" spans="1:14" x14ac:dyDescent="0.2">
      <c r="A423" t="s">
        <v>637</v>
      </c>
      <c r="B423" t="s">
        <v>638</v>
      </c>
      <c r="C423" t="s">
        <v>8222</v>
      </c>
      <c r="D423" t="str">
        <f t="shared" si="66"/>
        <v>INKP, INDAH KIAT PULP &amp; PAPER, Indah Kiat Pulp &amp; Paper, Indah Kiat Pulp &amp; Paper Tbk, IndahKiatPulp&amp;Paper, PT Indah Kiat Pulp &amp; Paper, indah kiat pulp &amp; paper</v>
      </c>
      <c r="E423" t="str">
        <f t="shared" si="67"/>
        <v>INKP, INDAH KIAT PULP &amp; PAPER, Indah Kiat Pulp &amp; Paper, Indah Kiat Pulp &amp; Paper Tbk, IndahKiatPulp&amp;Paper, PT Indah Kiat Pulp &amp; Paper, indah kiat pulp &amp; paper</v>
      </c>
      <c r="F423" t="str">
        <f t="shared" si="68"/>
        <v>indah kiat pulp &amp; paper</v>
      </c>
      <c r="G423" t="str">
        <f t="shared" si="71"/>
        <v>INKP, INDAH KIAT PULP &amp; PAPER, Indah Kiat Pulp &amp; Paper, Indah Kiat Pulp &amp; Paper Tbk, IndahKiatPulp&amp;Paper, PT Indah Kiat Pulp &amp; Paper</v>
      </c>
      <c r="H423" t="str">
        <f t="shared" si="72"/>
        <v>INKP, INDAH KIAT PULP &amp; PAPER, Indah Kiat Pulp &amp; Paper, Indah Kiat Pulp &amp; Paper Tbk, IndahKiatPulp&amp;Paper, PT Indah Kiat Pulp &amp; Paper</v>
      </c>
      <c r="I423" t="str">
        <f t="shared" si="69"/>
        <v>INDAH KIAT PULP &amp; PAPER</v>
      </c>
      <c r="J423" t="str">
        <f t="shared" si="73"/>
        <v>INKP, Indah Kiat Pulp &amp; Paper, Indah Kiat Pulp &amp; Paper Tbk, IndahKiatPulp&amp;Paper, PT Indah Kiat Pulp &amp; Paper</v>
      </c>
      <c r="K423" t="str">
        <f t="shared" si="74"/>
        <v>INKP, Indah Kiat Pulp &amp; Paper, Indah Kiat Pulp &amp; Paper Tbk, IndahKiatPulp&amp;Paper, PT Indah Kiat Pulp &amp; Paper</v>
      </c>
      <c r="L423" t="str">
        <f t="shared" si="70"/>
        <v>IndahKiatPulp&amp;Paper</v>
      </c>
      <c r="M423" t="str">
        <f t="shared" si="75"/>
        <v>INKP, Indah Kiat Pulp &amp; Paper, Indah Kiat Pulp &amp; Paper Tbk, PT Indah Kiat Pulp &amp; Paper</v>
      </c>
      <c r="N423" t="str">
        <f t="shared" si="76"/>
        <v>INKP, Indah Kiat Pulp &amp; Paper, Indah Kiat Pulp &amp; Paper Tbk, PT Indah Kiat Pulp &amp; Paper</v>
      </c>
    </row>
    <row r="424" spans="1:14" x14ac:dyDescent="0.2">
      <c r="A424" t="s">
        <v>1717</v>
      </c>
      <c r="B424" t="s">
        <v>1718</v>
      </c>
      <c r="C424" t="s">
        <v>8223</v>
      </c>
      <c r="D424" t="str">
        <f t="shared" si="66"/>
        <v>INOV, INOCYCLE TECHNOLOGY GROUP, Inocycle Technology Group, Inocycle Technology Group Tbk, InocycleTechnologyGroup, PT Inocycle Technology Group, inocycle technology group</v>
      </c>
      <c r="E424" t="str">
        <f t="shared" si="67"/>
        <v>INOV, INOCYCLE TECHNOLOGY GROUP, Inocycle Technology Group, Inocycle Technology Group Tbk, InocycleTechnologyGroup, PT Inocycle Technology Group, inocycle technology group</v>
      </c>
      <c r="F424" t="str">
        <f t="shared" si="68"/>
        <v>inocycle technology group</v>
      </c>
      <c r="G424" t="str">
        <f t="shared" si="71"/>
        <v>INOV, INOCYCLE TECHNOLOGY GROUP, Inocycle Technology Group, Inocycle Technology Group Tbk, InocycleTechnologyGroup, PT Inocycle Technology Group</v>
      </c>
      <c r="H424" t="str">
        <f t="shared" si="72"/>
        <v>INOV, INOCYCLE TECHNOLOGY GROUP, Inocycle Technology Group, Inocycle Technology Group Tbk, InocycleTechnologyGroup, PT Inocycle Technology Group</v>
      </c>
      <c r="I424" t="str">
        <f t="shared" si="69"/>
        <v>INOCYCLE TECHNOLOGY GROUP</v>
      </c>
      <c r="J424" t="str">
        <f t="shared" si="73"/>
        <v>INOV, Inocycle Technology Group, Inocycle Technology Group Tbk, InocycleTechnologyGroup, PT Inocycle Technology Group</v>
      </c>
      <c r="K424" t="str">
        <f t="shared" si="74"/>
        <v>INOV, Inocycle Technology Group, Inocycle Technology Group Tbk, InocycleTechnologyGroup, PT Inocycle Technology Group</v>
      </c>
      <c r="L424" t="str">
        <f t="shared" si="70"/>
        <v>InocycleTechnologyGroup</v>
      </c>
      <c r="M424" t="str">
        <f t="shared" si="75"/>
        <v>INOV, Inocycle Technology Group, Inocycle Technology Group Tbk, PT Inocycle Technology Group</v>
      </c>
      <c r="N424" t="str">
        <f t="shared" si="76"/>
        <v>INOV, Inocycle Technology Group, Inocycle Technology Group Tbk, PT Inocycle Technology Group</v>
      </c>
    </row>
    <row r="425" spans="1:14" x14ac:dyDescent="0.2">
      <c r="A425" t="s">
        <v>640</v>
      </c>
      <c r="B425" t="s">
        <v>3587</v>
      </c>
      <c r="C425" t="s">
        <v>8224</v>
      </c>
      <c r="D425" t="str">
        <f t="shared" si="66"/>
        <v>INPC, BANK ARTHA GRAHA INTERNASIONAL, Bank Artha Graha, Bank Artha Graha Internasional, Bank Artha Graha Internasional Tbk, Bank Internasional, BankArthaGrahaInternasional, Internasional, PT Bank Artha Graha Internasional, bank artha graha internasional</v>
      </c>
      <c r="E425" t="str">
        <f t="shared" si="67"/>
        <v>INPC, BANK ARTHA GRAHA INTERNASIONAL, Bank Artha Graha, Bank Artha Graha Internasional, Bank Artha Graha Internasional Tbk, Bank Internasional, BankArthaGrahaInternasional, Internasional, PT Bank Artha Graha Internasional, bank artha graha internasional</v>
      </c>
      <c r="F425" t="str">
        <f t="shared" si="68"/>
        <v>bank artha graha internasional</v>
      </c>
      <c r="G425" t="str">
        <f t="shared" si="71"/>
        <v>INPC, BANK ARTHA GRAHA INTERNASIONAL, Bank Artha Graha, Bank Artha Graha Internasional, Bank Artha Graha Internasional Tbk, Bank Internasional, BankArthaGrahaInternasional, Internasional, PT Bank Artha Graha Internasional</v>
      </c>
      <c r="H425" t="str">
        <f t="shared" si="72"/>
        <v>INPC, BANK ARTHA GRAHA INTERNASIONAL, Bank Artha Graha, Bank Artha Graha Internasional, Bank Artha Graha Internasional Tbk, Bank Internasional, BankArthaGrahaInternasional, Internasional, PT Bank Artha Graha Internasional</v>
      </c>
      <c r="I425" t="str">
        <f t="shared" si="69"/>
        <v>BANK ARTHA GRAHA INTERNASIONAL</v>
      </c>
      <c r="J425" t="str">
        <f t="shared" si="73"/>
        <v>INPC, Bank Artha Graha, Bank Artha Graha Internasional, Bank Artha Graha Internasional Tbk, Bank Internasional, BankArthaGrahaInternasional, Internasional, PT Bank Artha Graha Internasional</v>
      </c>
      <c r="K425" t="str">
        <f t="shared" si="74"/>
        <v>INPC, Bank Artha Graha, Bank Artha Graha Internasional, Bank Artha Graha Internasional Tbk, Bank Internasional, BankArthaGrahaInternasional, Internasional, PT Bank Artha Graha Internasional</v>
      </c>
      <c r="L425" t="str">
        <f t="shared" si="70"/>
        <v>BankArthaGrahaInternasional</v>
      </c>
      <c r="M425" t="str">
        <f t="shared" si="75"/>
        <v>INPC, Bank Artha Graha, Bank Artha Graha Internasional, Bank Artha Graha Internasional Tbk, Bank Internasional, Internasional, PT Bank Artha Graha Internasional</v>
      </c>
      <c r="N425" t="str">
        <f t="shared" si="76"/>
        <v>INPC, Bank Artha Graha, Bank Artha Graha Internasional, Bank Artha Graha Internasional Tbk, Bank Internasional, Internasional, PT Bank Artha Graha Internasional</v>
      </c>
    </row>
    <row r="426" spans="1:14" x14ac:dyDescent="0.2">
      <c r="A426" t="s">
        <v>642</v>
      </c>
      <c r="B426" t="s">
        <v>3588</v>
      </c>
      <c r="C426" t="s">
        <v>8225</v>
      </c>
      <c r="D426" t="str">
        <f t="shared" si="66"/>
        <v>INPP, INDONESIAN PARADISE PROPERTY, Indonesian Paradise Property, Indonesian Paradise Property Tbk, IndonesianParadiseProperty, PT Indonesian Paradise Property, indonesian paradise property</v>
      </c>
      <c r="E426" t="str">
        <f t="shared" si="67"/>
        <v>INPP, INDONESIAN PARADISE PROPERTY, Indonesian Paradise Property, Indonesian Paradise Property Tbk, IndonesianParadiseProperty, PT Indonesian Paradise Property, indonesian paradise property</v>
      </c>
      <c r="F426" t="str">
        <f t="shared" si="68"/>
        <v>indonesian paradise property</v>
      </c>
      <c r="G426" t="str">
        <f t="shared" si="71"/>
        <v>INPP, INDONESIAN PARADISE PROPERTY, Indonesian Paradise Property, Indonesian Paradise Property Tbk, IndonesianParadiseProperty, PT Indonesian Paradise Property</v>
      </c>
      <c r="H426" t="str">
        <f t="shared" si="72"/>
        <v>INPP, INDONESIAN PARADISE PROPERTY, Indonesian Paradise Property, Indonesian Paradise Property Tbk, IndonesianParadiseProperty, PT Indonesian Paradise Property</v>
      </c>
      <c r="I426" t="str">
        <f t="shared" si="69"/>
        <v>INDONESIAN PARADISE PROPERTY</v>
      </c>
      <c r="J426" t="str">
        <f t="shared" si="73"/>
        <v>INPP, Indonesian Paradise Property, Indonesian Paradise Property Tbk, IndonesianParadiseProperty, PT Indonesian Paradise Property</v>
      </c>
      <c r="K426" t="str">
        <f t="shared" si="74"/>
        <v>INPP, Indonesian Paradise Property, Indonesian Paradise Property Tbk, IndonesianParadiseProperty, PT Indonesian Paradise Property</v>
      </c>
      <c r="L426" t="str">
        <f t="shared" si="70"/>
        <v>IndonesianParadiseProperty</v>
      </c>
      <c r="M426" t="str">
        <f t="shared" si="75"/>
        <v>INPP, Indonesian Paradise Property, Indonesian Paradise Property Tbk, PT Indonesian Paradise Property</v>
      </c>
      <c r="N426" t="str">
        <f t="shared" si="76"/>
        <v>INPP, Indonesian Paradise Property, Indonesian Paradise Property Tbk, PT Indonesian Paradise Property</v>
      </c>
    </row>
    <row r="427" spans="1:14" x14ac:dyDescent="0.2">
      <c r="A427" t="s">
        <v>1502</v>
      </c>
      <c r="B427" t="s">
        <v>1503</v>
      </c>
      <c r="C427" t="s">
        <v>8226</v>
      </c>
      <c r="D427" t="str">
        <f t="shared" si="66"/>
        <v>INPS, INDAH PRAKASA SENTOSA, Indah Prakasa Sentosa, Indah Prakasa Sentosa Tbk, IndahPrakasaSentosa, PT Indah Prakasa Sentosa, indah prakasa sentosa</v>
      </c>
      <c r="E427" t="str">
        <f t="shared" si="67"/>
        <v>INPS, INDAH PRAKASA SENTOSA, Indah Prakasa Sentosa, Indah Prakasa Sentosa Tbk, IndahPrakasaSentosa, PT Indah Prakasa Sentosa, indah prakasa sentosa</v>
      </c>
      <c r="F427" t="str">
        <f t="shared" si="68"/>
        <v>indah prakasa sentosa</v>
      </c>
      <c r="G427" t="str">
        <f t="shared" si="71"/>
        <v>INPS, INDAH PRAKASA SENTOSA, Indah Prakasa Sentosa, Indah Prakasa Sentosa Tbk, IndahPrakasaSentosa, PT Indah Prakasa Sentosa</v>
      </c>
      <c r="H427" t="str">
        <f t="shared" si="72"/>
        <v>INPS, INDAH PRAKASA SENTOSA, Indah Prakasa Sentosa, Indah Prakasa Sentosa Tbk, IndahPrakasaSentosa, PT Indah Prakasa Sentosa</v>
      </c>
      <c r="I427" t="str">
        <f t="shared" si="69"/>
        <v>INDAH PRAKASA SENTOSA</v>
      </c>
      <c r="J427" t="str">
        <f t="shared" si="73"/>
        <v>INPS, Indah Prakasa Sentosa, Indah Prakasa Sentosa Tbk, IndahPrakasaSentosa, PT Indah Prakasa Sentosa</v>
      </c>
      <c r="K427" t="str">
        <f t="shared" si="74"/>
        <v>INPS, Indah Prakasa Sentosa, Indah Prakasa Sentosa Tbk, IndahPrakasaSentosa, PT Indah Prakasa Sentosa</v>
      </c>
      <c r="L427" t="str">
        <f t="shared" si="70"/>
        <v>IndahPrakasaSentosa</v>
      </c>
      <c r="M427" t="str">
        <f t="shared" si="75"/>
        <v>INPS, Indah Prakasa Sentosa, Indah Prakasa Sentosa Tbk, PT Indah Prakasa Sentosa</v>
      </c>
      <c r="N427" t="str">
        <f t="shared" si="76"/>
        <v>INPS, Indah Prakasa Sentosa, Indah Prakasa Sentosa Tbk, PT Indah Prakasa Sentosa</v>
      </c>
    </row>
    <row r="428" spans="1:14" x14ac:dyDescent="0.2">
      <c r="A428" t="s">
        <v>644</v>
      </c>
      <c r="B428" t="s">
        <v>645</v>
      </c>
      <c r="C428" t="s">
        <v>8227</v>
      </c>
      <c r="D428" t="str">
        <f t="shared" si="66"/>
        <v>INRU, PT Toba Pulp Lestari, TOBA PULP LESTARI, Toba Pulp Lestari, Toba Pulp Lestari Tbk, TobaPulpLestari, toba pulp lestari</v>
      </c>
      <c r="E428" t="str">
        <f t="shared" si="67"/>
        <v>INRU, PT Toba Pulp Lestari, TOBA PULP LESTARI, Toba Pulp Lestari, Toba Pulp Lestari Tbk, TobaPulpLestari, toba pulp lestari</v>
      </c>
      <c r="F428" t="str">
        <f t="shared" si="68"/>
        <v>toba pulp lestari</v>
      </c>
      <c r="G428" t="str">
        <f t="shared" si="71"/>
        <v>INRU, PT Toba Pulp Lestari, TOBA PULP LESTARI, Toba Pulp Lestari, Toba Pulp Lestari Tbk, TobaPulpLestari</v>
      </c>
      <c r="H428" t="str">
        <f t="shared" si="72"/>
        <v>INRU, PT Toba Pulp Lestari, TOBA PULP LESTARI, Toba Pulp Lestari, Toba Pulp Lestari Tbk, TobaPulpLestari</v>
      </c>
      <c r="I428" t="str">
        <f t="shared" si="69"/>
        <v>TOBA PULP LESTARI</v>
      </c>
      <c r="J428" t="str">
        <f t="shared" si="73"/>
        <v>INRU, PT Toba Pulp Lestari, Toba Pulp Lestari, Toba Pulp Lestari Tbk, TobaPulpLestari</v>
      </c>
      <c r="K428" t="str">
        <f t="shared" si="74"/>
        <v>INRU, PT Toba Pulp Lestari, Toba Pulp Lestari, Toba Pulp Lestari Tbk, TobaPulpLestari</v>
      </c>
      <c r="L428" t="str">
        <f t="shared" si="70"/>
        <v>TobaPulpLestari</v>
      </c>
      <c r="M428" t="str">
        <f t="shared" si="75"/>
        <v>INRU, PT Toba Pulp Lestari, Toba Pulp Lestari, Toba Pulp Lestari Tbk</v>
      </c>
      <c r="N428" t="str">
        <f t="shared" si="76"/>
        <v>INRU, PT Toba Pulp Lestari, Toba Pulp Lestari, Toba Pulp Lestari Tbk</v>
      </c>
    </row>
    <row r="429" spans="1:14" x14ac:dyDescent="0.2">
      <c r="A429" t="s">
        <v>647</v>
      </c>
      <c r="B429" t="s">
        <v>648</v>
      </c>
      <c r="C429" t="s">
        <v>8228</v>
      </c>
      <c r="D429" t="str">
        <f t="shared" si="66"/>
        <v>INTA, INTRACO PENTA, Intraco Penta, Intraco Penta Tbk, IntracoPenta, PT Intraco Penta, intraco penta</v>
      </c>
      <c r="E429" t="str">
        <f t="shared" si="67"/>
        <v>INTA, INTRACO PENTA, Intraco Penta, Intraco Penta Tbk, IntracoPenta, PT Intraco Penta, intraco penta</v>
      </c>
      <c r="F429" t="str">
        <f t="shared" si="68"/>
        <v>intraco penta</v>
      </c>
      <c r="G429" t="str">
        <f t="shared" si="71"/>
        <v>INTA, INTRACO PENTA, Intraco Penta, Intraco Penta Tbk, IntracoPenta, PT Intraco Penta</v>
      </c>
      <c r="H429" t="str">
        <f t="shared" si="72"/>
        <v>INTA, INTRACO PENTA, Intraco Penta, Intraco Penta Tbk, IntracoPenta, PT Intraco Penta</v>
      </c>
      <c r="I429" t="str">
        <f t="shared" si="69"/>
        <v>INTRACO PENTA</v>
      </c>
      <c r="J429" t="str">
        <f t="shared" si="73"/>
        <v>INTA, Intraco Penta, Intraco Penta Tbk, IntracoPenta, PT Intraco Penta</v>
      </c>
      <c r="K429" t="str">
        <f t="shared" si="74"/>
        <v>INTA, Intraco Penta, Intraco Penta Tbk, IntracoPenta, PT Intraco Penta</v>
      </c>
      <c r="L429" t="str">
        <f t="shared" si="70"/>
        <v>IntracoPenta</v>
      </c>
      <c r="M429" t="str">
        <f t="shared" si="75"/>
        <v>INTA, Intraco Penta, Intraco Penta Tbk, PT Intraco Penta</v>
      </c>
      <c r="N429" t="str">
        <f t="shared" si="76"/>
        <v>INTA, Intraco Penta, Intraco Penta Tbk, PT Intraco Penta</v>
      </c>
    </row>
    <row r="430" spans="1:14" x14ac:dyDescent="0.2">
      <c r="A430" t="s">
        <v>650</v>
      </c>
      <c r="B430" t="s">
        <v>3589</v>
      </c>
      <c r="C430" t="s">
        <v>8229</v>
      </c>
      <c r="D430" t="str">
        <f t="shared" si="66"/>
        <v>INTD, INTER DELTA, Inter Delta, Inter Delta Tbk, InterDelta, PT Inter Delta, inter delta</v>
      </c>
      <c r="E430" t="str">
        <f t="shared" si="67"/>
        <v>INTD, INTER DELTA, Inter Delta, Inter Delta Tbk, InterDelta, PT Inter Delta, inter delta</v>
      </c>
      <c r="F430" t="str">
        <f t="shared" si="68"/>
        <v>inter delta</v>
      </c>
      <c r="G430" t="str">
        <f t="shared" si="71"/>
        <v>INTD, INTER DELTA, Inter Delta, Inter Delta Tbk, InterDelta, PT Inter Delta</v>
      </c>
      <c r="H430" t="str">
        <f t="shared" si="72"/>
        <v>INTD, INTER DELTA, Inter Delta, Inter Delta Tbk, InterDelta, PT Inter Delta</v>
      </c>
      <c r="I430" t="str">
        <f t="shared" si="69"/>
        <v>INTER DELTA</v>
      </c>
      <c r="J430" t="str">
        <f t="shared" si="73"/>
        <v>INTD, Inter Delta, Inter Delta Tbk, InterDelta, PT Inter Delta</v>
      </c>
      <c r="K430" t="str">
        <f t="shared" si="74"/>
        <v>INTD, Inter Delta, Inter Delta Tbk, InterDelta, PT Inter Delta</v>
      </c>
      <c r="L430" t="str">
        <f t="shared" si="70"/>
        <v>InterDelta</v>
      </c>
      <c r="M430" t="str">
        <f t="shared" si="75"/>
        <v>INTD, Inter Delta, Inter Delta Tbk, PT Inter Delta</v>
      </c>
      <c r="N430" t="str">
        <f t="shared" si="76"/>
        <v>INTD, Inter Delta, Inter Delta Tbk, PT Inter Delta</v>
      </c>
    </row>
    <row r="431" spans="1:14" x14ac:dyDescent="0.2">
      <c r="A431" t="s">
        <v>653</v>
      </c>
      <c r="B431" t="s">
        <v>3590</v>
      </c>
      <c r="C431" t="s">
        <v>8230</v>
      </c>
      <c r="D431" t="str">
        <f t="shared" si="66"/>
        <v>INTP, INDOCEMENT TUNGGAL PRAKARSA, Indocement Tunggal Prakarsa, Indocement Tunggal Prakarsa Tbk, IndocementTunggalPrakarsa, PT Indocement Tunggal Prakarsa, indocement tunggal prakarsa</v>
      </c>
      <c r="E431" t="str">
        <f t="shared" si="67"/>
        <v>INTP, INDOCEMENT TUNGGAL PRAKARSA, Indocement Tunggal Prakarsa, Indocement Tunggal Prakarsa Tbk, IndocementTunggalPrakarsa, PT Indocement Tunggal Prakarsa, indocement tunggal prakarsa</v>
      </c>
      <c r="F431" t="str">
        <f t="shared" si="68"/>
        <v>indocement tunggal prakarsa</v>
      </c>
      <c r="G431" t="str">
        <f t="shared" si="71"/>
        <v>INTP, INDOCEMENT TUNGGAL PRAKARSA, Indocement Tunggal Prakarsa, Indocement Tunggal Prakarsa Tbk, IndocementTunggalPrakarsa, PT Indocement Tunggal Prakarsa</v>
      </c>
      <c r="H431" t="str">
        <f t="shared" si="72"/>
        <v>INTP, INDOCEMENT TUNGGAL PRAKARSA, Indocement Tunggal Prakarsa, Indocement Tunggal Prakarsa Tbk, IndocementTunggalPrakarsa, PT Indocement Tunggal Prakarsa</v>
      </c>
      <c r="I431" t="str">
        <f t="shared" si="69"/>
        <v>INDOCEMENT TUNGGAL PRAKARSA</v>
      </c>
      <c r="J431" t="str">
        <f t="shared" si="73"/>
        <v>INTP, Indocement Tunggal Prakarsa, Indocement Tunggal Prakarsa Tbk, IndocementTunggalPrakarsa, PT Indocement Tunggal Prakarsa</v>
      </c>
      <c r="K431" t="str">
        <f t="shared" si="74"/>
        <v>INTP, Indocement Tunggal Prakarsa, Indocement Tunggal Prakarsa Tbk, IndocementTunggalPrakarsa, PT Indocement Tunggal Prakarsa</v>
      </c>
      <c r="L431" t="str">
        <f t="shared" si="70"/>
        <v>IndocementTunggalPrakarsa</v>
      </c>
      <c r="M431" t="str">
        <f t="shared" si="75"/>
        <v>INTP, Indocement Tunggal Prakarsa, Indocement Tunggal Prakarsa Tbk, PT Indocement Tunggal Prakarsa</v>
      </c>
      <c r="N431" t="str">
        <f t="shared" si="76"/>
        <v>INTP, Indocement Tunggal Prakarsa, Indocement Tunggal Prakarsa Tbk, PT Indocement Tunggal Prakarsa</v>
      </c>
    </row>
    <row r="432" spans="1:14" x14ac:dyDescent="0.2">
      <c r="A432" t="s">
        <v>2378</v>
      </c>
      <c r="B432" t="s">
        <v>2379</v>
      </c>
      <c r="C432" t="s">
        <v>8231</v>
      </c>
      <c r="D432" t="str">
        <f t="shared" si="66"/>
        <v>IOTF, PT Sumber Sinergi Makmur, SUMBER SINERGI MAKMUR, Sumber Sinergi Makmur, Sumber Sinergi Makmur Tbk, SumberSinergiMakmur, sumber sinergi makmur</v>
      </c>
      <c r="E432" t="str">
        <f t="shared" si="67"/>
        <v>IOTF, PT Sumber Sinergi Makmur, SUMBER SINERGI MAKMUR, Sumber Sinergi Makmur, Sumber Sinergi Makmur Tbk, SumberSinergiMakmur, sumber sinergi makmur</v>
      </c>
      <c r="F432" t="str">
        <f t="shared" si="68"/>
        <v>sumber sinergi makmur</v>
      </c>
      <c r="G432" t="str">
        <f t="shared" si="71"/>
        <v>IOTF, PT Sumber Sinergi Makmur, SUMBER SINERGI MAKMUR, Sumber Sinergi Makmur, Sumber Sinergi Makmur Tbk, SumberSinergiMakmur</v>
      </c>
      <c r="H432" t="str">
        <f t="shared" si="72"/>
        <v>IOTF, PT Sumber Sinergi Makmur, SUMBER SINERGI MAKMUR, Sumber Sinergi Makmur, Sumber Sinergi Makmur Tbk, SumberSinergiMakmur</v>
      </c>
      <c r="I432" t="str">
        <f t="shared" si="69"/>
        <v>SUMBER SINERGI MAKMUR</v>
      </c>
      <c r="J432" t="str">
        <f t="shared" si="73"/>
        <v>IOTF, PT Sumber Sinergi Makmur, Sumber Sinergi Makmur, Sumber Sinergi Makmur Tbk, SumberSinergiMakmur</v>
      </c>
      <c r="K432" t="str">
        <f t="shared" si="74"/>
        <v>IOTF, PT Sumber Sinergi Makmur, Sumber Sinergi Makmur, Sumber Sinergi Makmur Tbk, SumberSinergiMakmur</v>
      </c>
      <c r="L432" t="str">
        <f t="shared" si="70"/>
        <v>SumberSinergiMakmur</v>
      </c>
      <c r="M432" t="str">
        <f t="shared" si="75"/>
        <v>IOTF, PT Sumber Sinergi Makmur, Sumber Sinergi Makmur, Sumber Sinergi Makmur Tbk</v>
      </c>
      <c r="N432" t="str">
        <f t="shared" si="76"/>
        <v>IOTF, PT Sumber Sinergi Makmur, Sumber Sinergi Makmur, Sumber Sinergi Makmur Tbk</v>
      </c>
    </row>
    <row r="433" spans="1:14" x14ac:dyDescent="0.2">
      <c r="A433" t="s">
        <v>1963</v>
      </c>
      <c r="B433" t="s">
        <v>1964</v>
      </c>
      <c r="C433" t="s">
        <v>8232</v>
      </c>
      <c r="D433" t="str">
        <f t="shared" si="66"/>
        <v>IPAC, ERA GRAHAREALTY, Era Graharealty, Era Graharealty Tbk, EraGraharealty, PT Era Graharealty, era graharealty</v>
      </c>
      <c r="E433" t="str">
        <f t="shared" si="67"/>
        <v>IPAC, ERA GRAHAREALTY, Era Graharealty, Era Graharealty Tbk, EraGraharealty, PT Era Graharealty, era graharealty</v>
      </c>
      <c r="F433" t="str">
        <f t="shared" si="68"/>
        <v>era graharealty</v>
      </c>
      <c r="G433" t="str">
        <f t="shared" si="71"/>
        <v>IPAC, ERA GRAHAREALTY, Era Graharealty, Era Graharealty Tbk, EraGraharealty, PT Era Graharealty</v>
      </c>
      <c r="H433" t="str">
        <f t="shared" si="72"/>
        <v>IPAC, ERA GRAHAREALTY, Era Graharealty, Era Graharealty Tbk, EraGraharealty, PT Era Graharealty</v>
      </c>
      <c r="I433" t="str">
        <f t="shared" si="69"/>
        <v>ERA GRAHAREALTY</v>
      </c>
      <c r="J433" t="str">
        <f t="shared" si="73"/>
        <v>IPAC, Era Graharealty, Era Graharealty Tbk, EraGraharealty, PT Era Graharealty</v>
      </c>
      <c r="K433" t="str">
        <f t="shared" si="74"/>
        <v>IPAC, Era Graharealty, Era Graharealty Tbk, EraGraharealty, PT Era Graharealty</v>
      </c>
      <c r="L433" t="str">
        <f t="shared" si="70"/>
        <v>EraGraharealty</v>
      </c>
      <c r="M433" t="str">
        <f t="shared" si="75"/>
        <v>IPAC, Era Graharealty, Era Graharealty Tbk, PT Era Graharealty</v>
      </c>
      <c r="N433" t="str">
        <f t="shared" si="76"/>
        <v>IPAC, Era Graharealty, Era Graharealty Tbk, PT Era Graharealty</v>
      </c>
    </row>
    <row r="434" spans="1:14" x14ac:dyDescent="0.2">
      <c r="A434" t="s">
        <v>1549</v>
      </c>
      <c r="B434" t="s">
        <v>3591</v>
      </c>
      <c r="C434" t="s">
        <v>8233</v>
      </c>
      <c r="D434" t="str">
        <f t="shared" si="66"/>
        <v>IPCC, INDONESIA KENDARAAN TERMINAL, Indonesia Kendaraan Terminal, Indonesia Kendaraan Terminal Tbk, IndonesiaKendaraanTerminal, PT Indonesia Kendaraan Terminal, indonesia kendaraan terminal</v>
      </c>
      <c r="E434" t="str">
        <f t="shared" si="67"/>
        <v>IPCC, INDONESIA KENDARAAN TERMINAL, Indonesia Kendaraan Terminal, Indonesia Kendaraan Terminal Tbk, IndonesiaKendaraanTerminal, PT Indonesia Kendaraan Terminal, indonesia kendaraan terminal</v>
      </c>
      <c r="F434" t="str">
        <f t="shared" si="68"/>
        <v>indonesia kendaraan terminal</v>
      </c>
      <c r="G434" t="str">
        <f t="shared" si="71"/>
        <v>IPCC, INDONESIA KENDARAAN TERMINAL, Indonesia Kendaraan Terminal, Indonesia Kendaraan Terminal Tbk, IndonesiaKendaraanTerminal, PT Indonesia Kendaraan Terminal</v>
      </c>
      <c r="H434" t="str">
        <f t="shared" si="72"/>
        <v>IPCC, INDONESIA KENDARAAN TERMINAL, Indonesia Kendaraan Terminal, Indonesia Kendaraan Terminal Tbk, IndonesiaKendaraanTerminal, PT Indonesia Kendaraan Terminal</v>
      </c>
      <c r="I434" t="str">
        <f t="shared" si="69"/>
        <v>INDONESIA KENDARAAN TERMINAL</v>
      </c>
      <c r="J434" t="str">
        <f t="shared" si="73"/>
        <v>IPCC, Indonesia Kendaraan Terminal, Indonesia Kendaraan Terminal Tbk, IndonesiaKendaraanTerminal, PT Indonesia Kendaraan Terminal</v>
      </c>
      <c r="K434" t="str">
        <f t="shared" si="74"/>
        <v>IPCC, Indonesia Kendaraan Terminal, Indonesia Kendaraan Terminal Tbk, IndonesiaKendaraanTerminal, PT Indonesia Kendaraan Terminal</v>
      </c>
      <c r="L434" t="str">
        <f t="shared" si="70"/>
        <v>IndonesiaKendaraanTerminal</v>
      </c>
      <c r="M434" t="str">
        <f t="shared" si="75"/>
        <v>IPCC, Indonesia Kendaraan Terminal, Indonesia Kendaraan Terminal Tbk, PT Indonesia Kendaraan Terminal</v>
      </c>
      <c r="N434" t="str">
        <f t="shared" si="76"/>
        <v>IPCC, Indonesia Kendaraan Terminal, Indonesia Kendaraan Terminal Tbk, PT Indonesia Kendaraan Terminal</v>
      </c>
    </row>
    <row r="435" spans="1:14" x14ac:dyDescent="0.2">
      <c r="A435" t="s">
        <v>1486</v>
      </c>
      <c r="B435" t="s">
        <v>1487</v>
      </c>
      <c r="C435" t="s">
        <v>8234</v>
      </c>
      <c r="D435" t="str">
        <f t="shared" si="66"/>
        <v>IPCM, JASA ARMADA INDONESIA, Jasa Armada Indonesia, Jasa Armada Indonesia Tbk, JasaArmadaIndonesia, PT Jasa Armada Indonesia, jasa armada indonesia</v>
      </c>
      <c r="E435" t="str">
        <f t="shared" si="67"/>
        <v>IPCM, JASA ARMADA INDONESIA, Jasa Armada Indonesia, Jasa Armada Indonesia Tbk, JasaArmadaIndonesia, PT Jasa Armada Indonesia, jasa armada indonesia</v>
      </c>
      <c r="F435" t="str">
        <f t="shared" si="68"/>
        <v>jasa armada indonesia</v>
      </c>
      <c r="G435" t="str">
        <f t="shared" si="71"/>
        <v>IPCM, JASA ARMADA INDONESIA, Jasa Armada Indonesia, Jasa Armada Indonesia Tbk, JasaArmadaIndonesia, PT Jasa Armada Indonesia</v>
      </c>
      <c r="H435" t="str">
        <f t="shared" si="72"/>
        <v>IPCM, JASA ARMADA INDONESIA, Jasa Armada Indonesia, Jasa Armada Indonesia Tbk, JasaArmadaIndonesia, PT Jasa Armada Indonesia</v>
      </c>
      <c r="I435" t="str">
        <f t="shared" si="69"/>
        <v>JASA ARMADA INDONESIA</v>
      </c>
      <c r="J435" t="str">
        <f t="shared" si="73"/>
        <v>IPCM, Jasa Armada Indonesia, Jasa Armada Indonesia Tbk, JasaArmadaIndonesia, PT Jasa Armada Indonesia</v>
      </c>
      <c r="K435" t="str">
        <f t="shared" si="74"/>
        <v>IPCM, Jasa Armada Indonesia, Jasa Armada Indonesia Tbk, JasaArmadaIndonesia, PT Jasa Armada Indonesia</v>
      </c>
      <c r="L435" t="str">
        <f t="shared" si="70"/>
        <v>JasaArmadaIndonesia</v>
      </c>
      <c r="M435" t="str">
        <f t="shared" si="75"/>
        <v>IPCM, Jasa Armada Indonesia, Jasa Armada Indonesia Tbk, PT Jasa Armada Indonesia</v>
      </c>
      <c r="N435" t="str">
        <f t="shared" si="76"/>
        <v>IPCM, Jasa Armada Indonesia, Jasa Armada Indonesia Tbk, PT Jasa Armada Indonesia</v>
      </c>
    </row>
    <row r="436" spans="1:14" x14ac:dyDescent="0.2">
      <c r="A436" t="s">
        <v>655</v>
      </c>
      <c r="B436" t="s">
        <v>3592</v>
      </c>
      <c r="C436" t="s">
        <v>8235</v>
      </c>
      <c r="D436" t="str">
        <f t="shared" si="66"/>
        <v>IPOL, INDOPOLY SWAKARSA INDUSTRY, Indopoly Swakarsa Industry, Indopoly Swakarsa Industry Tbk, IndopolySwakarsaIndustry, PT Indopoly Swakarsa Industry, indopoly swakarsa industry</v>
      </c>
      <c r="E436" t="str">
        <f t="shared" si="67"/>
        <v>IPOL, INDOPOLY SWAKARSA INDUSTRY, Indopoly Swakarsa Industry, Indopoly Swakarsa Industry Tbk, IndopolySwakarsaIndustry, PT Indopoly Swakarsa Industry, indopoly swakarsa industry</v>
      </c>
      <c r="F436" t="str">
        <f t="shared" si="68"/>
        <v>indopoly swakarsa industry</v>
      </c>
      <c r="G436" t="str">
        <f t="shared" si="71"/>
        <v>IPOL, INDOPOLY SWAKARSA INDUSTRY, Indopoly Swakarsa Industry, Indopoly Swakarsa Industry Tbk, IndopolySwakarsaIndustry, PT Indopoly Swakarsa Industry</v>
      </c>
      <c r="H436" t="str">
        <f t="shared" si="72"/>
        <v>IPOL, INDOPOLY SWAKARSA INDUSTRY, Indopoly Swakarsa Industry, Indopoly Swakarsa Industry Tbk, IndopolySwakarsaIndustry, PT Indopoly Swakarsa Industry</v>
      </c>
      <c r="I436" t="str">
        <f t="shared" si="69"/>
        <v>INDOPOLY SWAKARSA INDUSTRY</v>
      </c>
      <c r="J436" t="str">
        <f t="shared" si="73"/>
        <v>IPOL, Indopoly Swakarsa Industry, Indopoly Swakarsa Industry Tbk, IndopolySwakarsaIndustry, PT Indopoly Swakarsa Industry</v>
      </c>
      <c r="K436" t="str">
        <f t="shared" si="74"/>
        <v>IPOL, Indopoly Swakarsa Industry, Indopoly Swakarsa Industry Tbk, IndopolySwakarsaIndustry, PT Indopoly Swakarsa Industry</v>
      </c>
      <c r="L436" t="str">
        <f t="shared" si="70"/>
        <v>IndopolySwakarsaIndustry</v>
      </c>
      <c r="M436" t="str">
        <f t="shared" si="75"/>
        <v>IPOL, Indopoly Swakarsa Industry, Indopoly Swakarsa Industry Tbk, PT Indopoly Swakarsa Industry</v>
      </c>
      <c r="N436" t="str">
        <f t="shared" si="76"/>
        <v>IPOL, Indopoly Swakarsa Industry, Indopoly Swakarsa Industry Tbk, PT Indopoly Swakarsa Industry</v>
      </c>
    </row>
    <row r="437" spans="1:14" x14ac:dyDescent="0.2">
      <c r="A437" t="s">
        <v>2049</v>
      </c>
      <c r="B437" t="s">
        <v>2050</v>
      </c>
      <c r="C437" t="s">
        <v>8236</v>
      </c>
      <c r="D437" t="str">
        <f t="shared" si="66"/>
        <v>IPPE, INDO PURECO PRATAMA, Indo Pureco Pratama, Indo Pureco Pratama Tbk, IndoPurecoPratama, PT Indo Pureco Pratama, indo pureco pratama</v>
      </c>
      <c r="E437" t="str">
        <f t="shared" si="67"/>
        <v>IPPE, INDO PURECO PRATAMA, Indo Pureco Pratama, Indo Pureco Pratama Tbk, IndoPurecoPratama, PT Indo Pureco Pratama, indo pureco pratama</v>
      </c>
      <c r="F437" t="str">
        <f t="shared" si="68"/>
        <v>indo pureco pratama</v>
      </c>
      <c r="G437" t="str">
        <f t="shared" si="71"/>
        <v>IPPE, INDO PURECO PRATAMA, Indo Pureco Pratama, Indo Pureco Pratama Tbk, IndoPurecoPratama, PT Indo Pureco Pratama</v>
      </c>
      <c r="H437" t="str">
        <f t="shared" si="72"/>
        <v>IPPE, INDO PURECO PRATAMA, Indo Pureco Pratama, Indo Pureco Pratama Tbk, IndoPurecoPratama, PT Indo Pureco Pratama</v>
      </c>
      <c r="I437" t="str">
        <f t="shared" si="69"/>
        <v>INDO PURECO PRATAMA</v>
      </c>
      <c r="J437" t="str">
        <f t="shared" si="73"/>
        <v>IPPE, Indo Pureco Pratama, Indo Pureco Pratama Tbk, IndoPurecoPratama, PT Indo Pureco Pratama</v>
      </c>
      <c r="K437" t="str">
        <f t="shared" si="74"/>
        <v>IPPE, Indo Pureco Pratama, Indo Pureco Pratama Tbk, IndoPurecoPratama, PT Indo Pureco Pratama</v>
      </c>
      <c r="L437" t="str">
        <f t="shared" si="70"/>
        <v>IndoPurecoPratama</v>
      </c>
      <c r="M437" t="str">
        <f t="shared" si="75"/>
        <v>IPPE, Indo Pureco Pratama, Indo Pureco Pratama Tbk, PT Indo Pureco Pratama</v>
      </c>
      <c r="N437" t="str">
        <f t="shared" si="76"/>
        <v>IPPE, Indo Pureco Pratama, Indo Pureco Pratama Tbk, PT Indo Pureco Pratama</v>
      </c>
    </row>
    <row r="438" spans="1:14" x14ac:dyDescent="0.2">
      <c r="A438" t="s">
        <v>1700</v>
      </c>
      <c r="B438" t="s">
        <v>1701</v>
      </c>
      <c r="C438" t="s">
        <v>8237</v>
      </c>
      <c r="D438" t="str">
        <f t="shared" si="66"/>
        <v>IPTV, MNC VISION NETWORKS, MNC Vision Networks, MNC Vision Networks Tbk, MNCVisionNetworks, PT MNC Vision Networks, mnc vision networks</v>
      </c>
      <c r="E438" t="str">
        <f t="shared" si="67"/>
        <v>IPTV, MNC VISION NETWORKS, MNC Vision Networks, MNC Vision Networks Tbk, MNCVisionNetworks, PT MNC Vision Networks, mnc vision networks</v>
      </c>
      <c r="F438" t="str">
        <f t="shared" si="68"/>
        <v>mnc vision networks</v>
      </c>
      <c r="G438" t="str">
        <f t="shared" si="71"/>
        <v>IPTV, MNC VISION NETWORKS, MNC Vision Networks, MNC Vision Networks Tbk, MNCVisionNetworks, PT MNC Vision Networks</v>
      </c>
      <c r="H438" t="str">
        <f t="shared" si="72"/>
        <v>IPTV, MNC VISION NETWORKS, MNC Vision Networks, MNC Vision Networks Tbk, MNCVisionNetworks, PT MNC Vision Networks</v>
      </c>
      <c r="I438" t="str">
        <f t="shared" si="69"/>
        <v>MNC VISION NETWORKS</v>
      </c>
      <c r="J438" t="str">
        <f t="shared" si="73"/>
        <v>IPTV, MNC Vision Networks, MNC Vision Networks Tbk, MNCVisionNetworks, PT MNC Vision Networks</v>
      </c>
      <c r="K438" t="str">
        <f t="shared" si="74"/>
        <v>IPTV, MNC Vision Networks, MNC Vision Networks Tbk, MNCVisionNetworks, PT MNC Vision Networks</v>
      </c>
      <c r="L438" t="str">
        <f t="shared" si="70"/>
        <v>MNCVisionNetworks</v>
      </c>
      <c r="M438" t="str">
        <f t="shared" si="75"/>
        <v>IPTV, MNC Vision Networks, MNC Vision Networks Tbk, PT MNC Vision Networks</v>
      </c>
      <c r="N438" t="str">
        <f t="shared" si="76"/>
        <v>IPTV, MNC Vision Networks, MNC Vision Networks Tbk, PT MNC Vision Networks</v>
      </c>
    </row>
    <row r="439" spans="1:14" x14ac:dyDescent="0.2">
      <c r="A439" t="s">
        <v>1751</v>
      </c>
      <c r="B439" t="s">
        <v>1752</v>
      </c>
      <c r="C439" t="s">
        <v>8238</v>
      </c>
      <c r="D439" t="str">
        <f t="shared" si="66"/>
        <v>IRRA, ITAMA RANORAYA, Itama Ranoraya, Itama Ranoraya Tbk, ItamaRanoraya, PT Itama Ranoraya, itama ranoraya</v>
      </c>
      <c r="E439" t="str">
        <f t="shared" si="67"/>
        <v>IRRA, ITAMA RANORAYA, Itama Ranoraya, Itama Ranoraya Tbk, ItamaRanoraya, PT Itama Ranoraya, itama ranoraya</v>
      </c>
      <c r="F439" t="str">
        <f t="shared" si="68"/>
        <v>itama ranoraya</v>
      </c>
      <c r="G439" t="str">
        <f t="shared" si="71"/>
        <v>IRRA, ITAMA RANORAYA, Itama Ranoraya, Itama Ranoraya Tbk, ItamaRanoraya, PT Itama Ranoraya</v>
      </c>
      <c r="H439" t="str">
        <f t="shared" si="72"/>
        <v>IRRA, ITAMA RANORAYA, Itama Ranoraya, Itama Ranoraya Tbk, ItamaRanoraya, PT Itama Ranoraya</v>
      </c>
      <c r="I439" t="str">
        <f t="shared" si="69"/>
        <v>ITAMA RANORAYA</v>
      </c>
      <c r="J439" t="str">
        <f t="shared" si="73"/>
        <v>IRRA, Itama Ranoraya, Itama Ranoraya Tbk, ItamaRanoraya, PT Itama Ranoraya</v>
      </c>
      <c r="K439" t="str">
        <f t="shared" si="74"/>
        <v>IRRA, Itama Ranoraya, Itama Ranoraya Tbk, ItamaRanoraya, PT Itama Ranoraya</v>
      </c>
      <c r="L439" t="str">
        <f t="shared" si="70"/>
        <v>ItamaRanoraya</v>
      </c>
      <c r="M439" t="str">
        <f t="shared" si="75"/>
        <v>IRRA, Itama Ranoraya, Itama Ranoraya Tbk, PT Itama Ranoraya</v>
      </c>
      <c r="N439" t="str">
        <f t="shared" si="76"/>
        <v>IRRA, Itama Ranoraya, Itama Ranoraya Tbk, PT Itama Ranoraya</v>
      </c>
    </row>
    <row r="440" spans="1:14" x14ac:dyDescent="0.2">
      <c r="A440" t="s">
        <v>2250</v>
      </c>
      <c r="B440" t="s">
        <v>2251</v>
      </c>
      <c r="C440" t="s">
        <v>8239</v>
      </c>
      <c r="D440" t="str">
        <f t="shared" si="66"/>
        <v>IRSX, FOLAGO GLOBAL NUSANTARA, Folago Global Nusantara, Folago Global Nusantara Tbk, FolagoGlobalNusantara, PT Folago Global Nusantara, folago global nusantara</v>
      </c>
      <c r="E440" t="str">
        <f t="shared" si="67"/>
        <v>IRSX, FOLAGO GLOBAL NUSANTARA, Folago Global Nusantara, Folago Global Nusantara Tbk, FolagoGlobalNusantara, PT Folago Global Nusantara, folago global nusantara</v>
      </c>
      <c r="F440" t="str">
        <f t="shared" si="68"/>
        <v>folago global nusantara</v>
      </c>
      <c r="G440" t="str">
        <f t="shared" si="71"/>
        <v>IRSX, FOLAGO GLOBAL NUSANTARA, Folago Global Nusantara, Folago Global Nusantara Tbk, FolagoGlobalNusantara, PT Folago Global Nusantara</v>
      </c>
      <c r="H440" t="str">
        <f t="shared" si="72"/>
        <v>IRSX, FOLAGO GLOBAL NUSANTARA, Folago Global Nusantara, Folago Global Nusantara Tbk, FolagoGlobalNusantara, PT Folago Global Nusantara</v>
      </c>
      <c r="I440" t="str">
        <f t="shared" si="69"/>
        <v>FOLAGO GLOBAL NUSANTARA</v>
      </c>
      <c r="J440" t="str">
        <f t="shared" si="73"/>
        <v>IRSX, Folago Global Nusantara, Folago Global Nusantara Tbk, FolagoGlobalNusantara, PT Folago Global Nusantara</v>
      </c>
      <c r="K440" t="str">
        <f t="shared" si="74"/>
        <v>IRSX, Folago Global Nusantara, Folago Global Nusantara Tbk, FolagoGlobalNusantara, PT Folago Global Nusantara</v>
      </c>
      <c r="L440" t="str">
        <f t="shared" si="70"/>
        <v>FolagoGlobalNusantara</v>
      </c>
      <c r="M440" t="str">
        <f t="shared" si="75"/>
        <v>IRSX, Folago Global Nusantara, Folago Global Nusantara Tbk, PT Folago Global Nusantara</v>
      </c>
      <c r="N440" t="str">
        <f t="shared" si="76"/>
        <v>IRSX, Folago Global Nusantara, Folago Global Nusantara Tbk, PT Folago Global Nusantara</v>
      </c>
    </row>
    <row r="441" spans="1:14" x14ac:dyDescent="0.2">
      <c r="A441" t="s">
        <v>2211</v>
      </c>
      <c r="B441" t="s">
        <v>2212</v>
      </c>
      <c r="C441" t="s">
        <v>8240</v>
      </c>
      <c r="D441" t="str">
        <f t="shared" si="66"/>
        <v>ISAP, ISRA PRESISI INDONESIA, Isra Presisi Indonesia, Isra Presisi Indonesia Tbk, IsraPresisiIndonesia, PT Isra Presisi Indonesia, isra presisi indonesia</v>
      </c>
      <c r="E441" t="str">
        <f t="shared" si="67"/>
        <v>ISAP, ISRA PRESISI INDONESIA, Isra Presisi Indonesia, Isra Presisi Indonesia Tbk, IsraPresisiIndonesia, PT Isra Presisi Indonesia, isra presisi indonesia</v>
      </c>
      <c r="F441" t="str">
        <f t="shared" si="68"/>
        <v>isra presisi indonesia</v>
      </c>
      <c r="G441" t="str">
        <f t="shared" si="71"/>
        <v>ISAP, ISRA PRESISI INDONESIA, Isra Presisi Indonesia, Isra Presisi Indonesia Tbk, IsraPresisiIndonesia, PT Isra Presisi Indonesia</v>
      </c>
      <c r="H441" t="str">
        <f t="shared" si="72"/>
        <v>ISAP, ISRA PRESISI INDONESIA, Isra Presisi Indonesia, Isra Presisi Indonesia Tbk, IsraPresisiIndonesia, PT Isra Presisi Indonesia</v>
      </c>
      <c r="I441" t="str">
        <f t="shared" si="69"/>
        <v>ISRA PRESISI INDONESIA</v>
      </c>
      <c r="J441" t="str">
        <f t="shared" si="73"/>
        <v>ISAP, Isra Presisi Indonesia, Isra Presisi Indonesia Tbk, IsraPresisiIndonesia, PT Isra Presisi Indonesia</v>
      </c>
      <c r="K441" t="str">
        <f t="shared" si="74"/>
        <v>ISAP, Isra Presisi Indonesia, Isra Presisi Indonesia Tbk, IsraPresisiIndonesia, PT Isra Presisi Indonesia</v>
      </c>
      <c r="L441" t="str">
        <f t="shared" si="70"/>
        <v>IsraPresisiIndonesia</v>
      </c>
      <c r="M441" t="str">
        <f t="shared" si="75"/>
        <v>ISAP, Isra Presisi Indonesia, Isra Presisi Indonesia Tbk, PT Isra Presisi Indonesia</v>
      </c>
      <c r="N441" t="str">
        <f t="shared" si="76"/>
        <v>ISAP, Isra Presisi Indonesia, Isra Presisi Indonesia Tbk, PT Isra Presisi Indonesia</v>
      </c>
    </row>
    <row r="442" spans="1:14" x14ac:dyDescent="0.2">
      <c r="A442" t="s">
        <v>658</v>
      </c>
      <c r="B442" t="s">
        <v>659</v>
      </c>
      <c r="C442" t="s">
        <v>8241</v>
      </c>
      <c r="D442" t="str">
        <f t="shared" si="66"/>
        <v>ISAT, INDOSAT, Indosat, Indosat Tbk, PT Indosat, indosat</v>
      </c>
      <c r="E442" t="str">
        <f t="shared" si="67"/>
        <v>ISAT, INDOSAT, Indosat, Indosat Tbk, PT Indosat, indosat</v>
      </c>
      <c r="F442" t="str">
        <f t="shared" si="68"/>
        <v>indosat</v>
      </c>
      <c r="G442" t="str">
        <f t="shared" si="71"/>
        <v>ISAT, INDOSAT, Indosat, Indosat Tbk, PT Indosat</v>
      </c>
      <c r="H442" t="str">
        <f t="shared" si="72"/>
        <v>ISAT, INDOSAT, Indosat, Indosat Tbk, PT Indosat</v>
      </c>
      <c r="I442" t="str">
        <f t="shared" si="69"/>
        <v>INDOSAT</v>
      </c>
      <c r="J442" t="str">
        <f t="shared" si="73"/>
        <v>ISAT, Indosat, Indosat Tbk, PT Indosat</v>
      </c>
      <c r="K442" t="str">
        <f t="shared" si="74"/>
        <v>ISAT, Indosat, Indosat Tbk, PT Indosat</v>
      </c>
      <c r="L442" t="str">
        <f t="shared" si="70"/>
        <v>Indosat</v>
      </c>
      <c r="M442" t="str">
        <f t="shared" si="75"/>
        <v>ISAT Tbk, PT Indosat</v>
      </c>
      <c r="N442" t="str">
        <f t="shared" si="76"/>
        <v>ISAT Tbk, PT Indosat</v>
      </c>
    </row>
    <row r="443" spans="1:14" x14ac:dyDescent="0.2">
      <c r="A443" t="s">
        <v>2474</v>
      </c>
      <c r="B443" t="s">
        <v>2475</v>
      </c>
      <c r="C443" t="s">
        <v>8242</v>
      </c>
      <c r="D443" t="str">
        <f t="shared" si="66"/>
        <v>ISEA, INDO AMERICAN SEAFOODS, Indo American Seafoods, Indo American Seafoods Tbk, IndoAmericanSeafoods, PT Indo American Seafoods, indo american seafoods</v>
      </c>
      <c r="E443" t="str">
        <f t="shared" si="67"/>
        <v>ISEA, INDO AMERICAN SEAFOODS, Indo American Seafoods, Indo American Seafoods Tbk, IndoAmericanSeafoods, PT Indo American Seafoods, indo american seafoods</v>
      </c>
      <c r="F443" t="str">
        <f t="shared" si="68"/>
        <v>indo american seafoods</v>
      </c>
      <c r="G443" t="str">
        <f t="shared" si="71"/>
        <v>ISEA, INDO AMERICAN SEAFOODS, Indo American Seafoods, Indo American Seafoods Tbk, IndoAmericanSeafoods, PT Indo American Seafoods</v>
      </c>
      <c r="H443" t="str">
        <f t="shared" si="72"/>
        <v>ISEA, INDO AMERICAN SEAFOODS, Indo American Seafoods, Indo American Seafoods Tbk, IndoAmericanSeafoods, PT Indo American Seafoods</v>
      </c>
      <c r="I443" t="str">
        <f t="shared" si="69"/>
        <v>INDO AMERICAN SEAFOODS</v>
      </c>
      <c r="J443" t="str">
        <f t="shared" si="73"/>
        <v>ISEA, Indo American Seafoods, Indo American Seafoods Tbk, IndoAmericanSeafoods, PT Indo American Seafoods</v>
      </c>
      <c r="K443" t="str">
        <f t="shared" si="74"/>
        <v>ISEA, Indo American Seafoods, Indo American Seafoods Tbk, IndoAmericanSeafoods, PT Indo American Seafoods</v>
      </c>
      <c r="L443" t="str">
        <f t="shared" si="70"/>
        <v>IndoAmericanSeafoods</v>
      </c>
      <c r="M443" t="str">
        <f t="shared" si="75"/>
        <v>ISEA, Indo American Seafoods, Indo American Seafoods Tbk, PT Indo American Seafoods</v>
      </c>
      <c r="N443" t="str">
        <f t="shared" si="76"/>
        <v>ISEA, Indo American Seafoods, Indo American Seafoods Tbk, PT Indo American Seafoods</v>
      </c>
    </row>
    <row r="444" spans="1:14" x14ac:dyDescent="0.2">
      <c r="A444" t="s">
        <v>661</v>
      </c>
      <c r="B444" t="s">
        <v>3593</v>
      </c>
      <c r="C444" t="s">
        <v>8243</v>
      </c>
      <c r="D444" t="str">
        <f t="shared" si="66"/>
        <v>ISSP, PT Steel Pipe Industry of Indonesia, STEEL PIPE INDUSTRY OF INDONESIA, Steel Pipe Industry of Indonesia, Steel Pipe Industry of Indonesia Tbk, SteelPipeIndustryofIndonesia, steel pipe industry of indonesia</v>
      </c>
      <c r="E444" t="str">
        <f t="shared" si="67"/>
        <v>ISSP, PT Steel Pipe Industry of Indonesia, STEEL PIPE INDUSTRY OF INDONESIA, Steel Pipe Industry of Indonesia, Steel Pipe Industry of Indonesia Tbk, SteelPipeIndustryofIndonesia, steel pipe industry of indonesia</v>
      </c>
      <c r="F444" t="str">
        <f t="shared" si="68"/>
        <v>steel pipe industry of indonesia</v>
      </c>
      <c r="G444" t="str">
        <f t="shared" si="71"/>
        <v>ISSP, PT Steel Pipe Industry of Indonesia, STEEL PIPE INDUSTRY OF INDONESIA, Steel Pipe Industry of Indonesia, Steel Pipe Industry of Indonesia Tbk, SteelPipeIndustryofIndonesia</v>
      </c>
      <c r="H444" t="str">
        <f t="shared" si="72"/>
        <v>ISSP, PT Steel Pipe Industry of Indonesia, STEEL PIPE INDUSTRY OF INDONESIA, Steel Pipe Industry of Indonesia, Steel Pipe Industry of Indonesia Tbk, SteelPipeIndustryofIndonesia</v>
      </c>
      <c r="I444" t="str">
        <f t="shared" si="69"/>
        <v>STEEL PIPE INDUSTRY OF INDONESIA</v>
      </c>
      <c r="J444" t="str">
        <f t="shared" si="73"/>
        <v>ISSP, PT Steel Pipe Industry of Indonesia, Steel Pipe Industry of Indonesia, Steel Pipe Industry of Indonesia Tbk, SteelPipeIndustryofIndonesia</v>
      </c>
      <c r="K444" t="str">
        <f t="shared" si="74"/>
        <v>ISSP, PT Steel Pipe Industry of Indonesia, Steel Pipe Industry of Indonesia, Steel Pipe Industry of Indonesia Tbk, SteelPipeIndustryofIndonesia</v>
      </c>
      <c r="L444" t="str">
        <f t="shared" si="70"/>
        <v>SteelPipeIndustryofIndonesia</v>
      </c>
      <c r="M444" t="str">
        <f t="shared" si="75"/>
        <v>ISSP, PT Steel Pipe Industry of Indonesia, Steel Pipe Industry of Indonesia, Steel Pipe Industry of Indonesia Tbk</v>
      </c>
      <c r="N444" t="str">
        <f t="shared" si="76"/>
        <v>ISSP, PT Steel Pipe Industry of Indonesia, Steel Pipe Industry of Indonesia, Steel Pipe Industry of Indonesia Tbk</v>
      </c>
    </row>
    <row r="445" spans="1:14" x14ac:dyDescent="0.2">
      <c r="A445" t="s">
        <v>1694</v>
      </c>
      <c r="B445" t="s">
        <v>1695</v>
      </c>
      <c r="C445" t="s">
        <v>8244</v>
      </c>
      <c r="D445" t="str">
        <f t="shared" si="66"/>
        <v>ITIC, INDONESIAN TOBACCO, Indonesian Tobacco, Indonesian Tobacco Tbk, IndonesianTobacco, PT Indonesian Tobacco, indonesian tobacco</v>
      </c>
      <c r="E445" t="str">
        <f t="shared" si="67"/>
        <v>ITIC, INDONESIAN TOBACCO, Indonesian Tobacco, Indonesian Tobacco Tbk, IndonesianTobacco, PT Indonesian Tobacco, indonesian tobacco</v>
      </c>
      <c r="F445" t="str">
        <f t="shared" si="68"/>
        <v>indonesian tobacco</v>
      </c>
      <c r="G445" t="str">
        <f t="shared" si="71"/>
        <v>ITIC, INDONESIAN TOBACCO, Indonesian Tobacco, Indonesian Tobacco Tbk, IndonesianTobacco, PT Indonesian Tobacco</v>
      </c>
      <c r="H445" t="str">
        <f t="shared" si="72"/>
        <v>ITIC, INDONESIAN TOBACCO, Indonesian Tobacco, Indonesian Tobacco Tbk, IndonesianTobacco, PT Indonesian Tobacco</v>
      </c>
      <c r="I445" t="str">
        <f t="shared" si="69"/>
        <v>INDONESIAN TOBACCO</v>
      </c>
      <c r="J445" t="str">
        <f t="shared" si="73"/>
        <v>ITIC, Indonesian Tobacco, Indonesian Tobacco Tbk, IndonesianTobacco, PT Indonesian Tobacco</v>
      </c>
      <c r="K445" t="str">
        <f t="shared" si="74"/>
        <v>ITIC, Indonesian Tobacco, Indonesian Tobacco Tbk, IndonesianTobacco, PT Indonesian Tobacco</v>
      </c>
      <c r="L445" t="str">
        <f t="shared" si="70"/>
        <v>IndonesianTobacco</v>
      </c>
      <c r="M445" t="str">
        <f t="shared" si="75"/>
        <v>ITIC, Indonesian Tobacco, Indonesian Tobacco Tbk, PT Indonesian Tobacco</v>
      </c>
      <c r="N445" t="str">
        <f t="shared" si="76"/>
        <v>ITIC, Indonesian Tobacco, Indonesian Tobacco Tbk, PT Indonesian Tobacco</v>
      </c>
    </row>
    <row r="446" spans="1:14" x14ac:dyDescent="0.2">
      <c r="A446" t="s">
        <v>663</v>
      </c>
      <c r="B446" t="s">
        <v>664</v>
      </c>
      <c r="C446" t="s">
        <v>8245</v>
      </c>
      <c r="D446" t="str">
        <f t="shared" si="66"/>
        <v>ITMA, PT Sumber Energi Andalan, SUMBER ENERGI ANDALAN, Sumber Energi Andalan, Sumber Energi Andalan Tbk, SumberEnergiAndalan, sumber energi andalan</v>
      </c>
      <c r="E446" t="str">
        <f t="shared" si="67"/>
        <v>ITMA, PT Sumber Energi Andalan, SUMBER ENERGI ANDALAN, Sumber Energi Andalan, Sumber Energi Andalan Tbk, SumberEnergiAndalan, sumber energi andalan</v>
      </c>
      <c r="F446" t="str">
        <f t="shared" si="68"/>
        <v>sumber energi andalan</v>
      </c>
      <c r="G446" t="str">
        <f t="shared" si="71"/>
        <v>ITMA, PT Sumber Energi Andalan, SUMBER ENERGI ANDALAN, Sumber Energi Andalan, Sumber Energi Andalan Tbk, SumberEnergiAndalan</v>
      </c>
      <c r="H446" t="str">
        <f t="shared" si="72"/>
        <v>ITMA, PT Sumber Energi Andalan, SUMBER ENERGI ANDALAN, Sumber Energi Andalan, Sumber Energi Andalan Tbk, SumberEnergiAndalan</v>
      </c>
      <c r="I446" t="str">
        <f t="shared" si="69"/>
        <v>SUMBER ENERGI ANDALAN</v>
      </c>
      <c r="J446" t="str">
        <f t="shared" si="73"/>
        <v>ITMA, PT Sumber Energi Andalan, Sumber Energi Andalan, Sumber Energi Andalan Tbk, SumberEnergiAndalan</v>
      </c>
      <c r="K446" t="str">
        <f t="shared" si="74"/>
        <v>ITMA, PT Sumber Energi Andalan, Sumber Energi Andalan, Sumber Energi Andalan Tbk, SumberEnergiAndalan</v>
      </c>
      <c r="L446" t="str">
        <f t="shared" si="70"/>
        <v>SumberEnergiAndalan</v>
      </c>
      <c r="M446" t="str">
        <f t="shared" si="75"/>
        <v>ITMA, PT Sumber Energi Andalan, Sumber Energi Andalan, Sumber Energi Andalan Tbk</v>
      </c>
      <c r="N446" t="str">
        <f t="shared" si="76"/>
        <v>ITMA, PT Sumber Energi Andalan, Sumber Energi Andalan, Sumber Energi Andalan Tbk</v>
      </c>
    </row>
    <row r="447" spans="1:14" x14ac:dyDescent="0.2">
      <c r="A447" t="s">
        <v>666</v>
      </c>
      <c r="B447" t="s">
        <v>667</v>
      </c>
      <c r="C447" t="s">
        <v>8246</v>
      </c>
      <c r="D447" t="str">
        <f t="shared" si="66"/>
        <v>ITMG, INDO TAMBANGRAYA MEGAH, Indo Tambangraya Megah, Indo Tambangraya Megah Tbk, IndoTambangrayaMegah, PT Indo Tambangraya Megah, indo tambangraya megah</v>
      </c>
      <c r="E447" t="str">
        <f t="shared" si="67"/>
        <v>ITMG, INDO TAMBANGRAYA MEGAH, Indo Tambangraya Megah, Indo Tambangraya Megah Tbk, IndoTambangrayaMegah, PT Indo Tambangraya Megah, indo tambangraya megah</v>
      </c>
      <c r="F447" t="str">
        <f t="shared" si="68"/>
        <v>indo tambangraya megah</v>
      </c>
      <c r="G447" t="str">
        <f t="shared" si="71"/>
        <v>ITMG, INDO TAMBANGRAYA MEGAH, Indo Tambangraya Megah, Indo Tambangraya Megah Tbk, IndoTambangrayaMegah, PT Indo Tambangraya Megah</v>
      </c>
      <c r="H447" t="str">
        <f t="shared" si="72"/>
        <v>ITMG, INDO TAMBANGRAYA MEGAH, Indo Tambangraya Megah, Indo Tambangraya Megah Tbk, IndoTambangrayaMegah, PT Indo Tambangraya Megah</v>
      </c>
      <c r="I447" t="str">
        <f t="shared" si="69"/>
        <v>INDO TAMBANGRAYA MEGAH</v>
      </c>
      <c r="J447" t="str">
        <f t="shared" si="73"/>
        <v>ITMG, Indo Tambangraya Megah, Indo Tambangraya Megah Tbk, IndoTambangrayaMegah, PT Indo Tambangraya Megah</v>
      </c>
      <c r="K447" t="str">
        <f t="shared" si="74"/>
        <v>ITMG, Indo Tambangraya Megah, Indo Tambangraya Megah Tbk, IndoTambangrayaMegah, PT Indo Tambangraya Megah</v>
      </c>
      <c r="L447" t="str">
        <f t="shared" si="70"/>
        <v>IndoTambangrayaMegah</v>
      </c>
      <c r="M447" t="str">
        <f t="shared" si="75"/>
        <v>ITMG, Indo Tambangraya Megah, Indo Tambangraya Megah Tbk, PT Indo Tambangraya Megah</v>
      </c>
      <c r="N447" t="str">
        <f t="shared" si="76"/>
        <v>ITMG, Indo Tambangraya Megah, Indo Tambangraya Megah Tbk, PT Indo Tambangraya Megah</v>
      </c>
    </row>
    <row r="448" spans="1:14" x14ac:dyDescent="0.2">
      <c r="A448" t="s">
        <v>2143</v>
      </c>
      <c r="B448" t="s">
        <v>2144</v>
      </c>
      <c r="C448" t="s">
        <v>8247</v>
      </c>
      <c r="D448" t="str">
        <f t="shared" si="66"/>
        <v>JARR, JHONLIN AGRO RAYA, Jhonlin, Jhonlin Agro Raya, Jhonlin Agro Raya Tbk, JhonlinAgroRaya, PT Jhonlin Agro Raya, jhonlin agro raya</v>
      </c>
      <c r="E448" t="str">
        <f t="shared" si="67"/>
        <v>JARR, JHONLIN AGRO RAYA, Jhonlin, Jhonlin Agro Raya, Jhonlin Agro Raya Tbk, JhonlinAgroRaya, PT Jhonlin Agro Raya, jhonlin agro raya</v>
      </c>
      <c r="F448" t="str">
        <f t="shared" si="68"/>
        <v>jhonlin agro raya</v>
      </c>
      <c r="G448" t="str">
        <f t="shared" si="71"/>
        <v>JARR, JHONLIN AGRO RAYA, Jhonlin, Jhonlin Agro Raya, Jhonlin Agro Raya Tbk, JhonlinAgroRaya, PT Jhonlin Agro Raya</v>
      </c>
      <c r="H448" t="str">
        <f t="shared" si="72"/>
        <v>JARR, JHONLIN AGRO RAYA, Jhonlin, Jhonlin Agro Raya, Jhonlin Agro Raya Tbk, JhonlinAgroRaya, PT Jhonlin Agro Raya</v>
      </c>
      <c r="I448" t="str">
        <f t="shared" si="69"/>
        <v>JHONLIN AGRO RAYA</v>
      </c>
      <c r="J448" t="str">
        <f t="shared" si="73"/>
        <v>JARR, Jhonlin, Jhonlin Agro Raya, Jhonlin Agro Raya Tbk, JhonlinAgroRaya, PT Jhonlin Agro Raya</v>
      </c>
      <c r="K448" t="str">
        <f t="shared" si="74"/>
        <v>JARR, Jhonlin, Jhonlin Agro Raya, Jhonlin Agro Raya Tbk, JhonlinAgroRaya, PT Jhonlin Agro Raya</v>
      </c>
      <c r="L448" t="str">
        <f t="shared" si="70"/>
        <v>JhonlinAgroRaya</v>
      </c>
      <c r="M448" t="str">
        <f t="shared" si="75"/>
        <v>JARR, Jhonlin, Jhonlin Agro Raya, Jhonlin Agro Raya Tbk, PT Jhonlin Agro Raya</v>
      </c>
      <c r="N448" t="str">
        <f t="shared" si="76"/>
        <v>JARR, Jhonlin, Jhonlin Agro Raya, Jhonlin Agro Raya Tbk, PT Jhonlin Agro Raya</v>
      </c>
    </row>
    <row r="449" spans="1:14" x14ac:dyDescent="0.2">
      <c r="A449" t="s">
        <v>1672</v>
      </c>
      <c r="B449" t="s">
        <v>1673</v>
      </c>
      <c r="C449" t="s">
        <v>8248</v>
      </c>
      <c r="D449" t="str">
        <f t="shared" si="66"/>
        <v>JAST, JASNITA TELEKOMINDO, Jasnita Telekomindo, Jasnita Telekomindo Tbk, JasnitaTelekomindo, PT Jasnita Telekomindo, jasnita telekomindo</v>
      </c>
      <c r="E449" t="str">
        <f t="shared" si="67"/>
        <v>JAST, JASNITA TELEKOMINDO, Jasnita Telekomindo, Jasnita Telekomindo Tbk, JasnitaTelekomindo, PT Jasnita Telekomindo, jasnita telekomindo</v>
      </c>
      <c r="F449" t="str">
        <f t="shared" si="68"/>
        <v>jasnita telekomindo</v>
      </c>
      <c r="G449" t="str">
        <f t="shared" si="71"/>
        <v>JAST, JASNITA TELEKOMINDO, Jasnita Telekomindo, Jasnita Telekomindo Tbk, JasnitaTelekomindo, PT Jasnita Telekomindo</v>
      </c>
      <c r="H449" t="str">
        <f t="shared" si="72"/>
        <v>JAST, JASNITA TELEKOMINDO, Jasnita Telekomindo, Jasnita Telekomindo Tbk, JasnitaTelekomindo, PT Jasnita Telekomindo</v>
      </c>
      <c r="I449" t="str">
        <f t="shared" si="69"/>
        <v>JASNITA TELEKOMINDO</v>
      </c>
      <c r="J449" t="str">
        <f t="shared" si="73"/>
        <v>JAST, Jasnita Telekomindo, Jasnita Telekomindo Tbk, JasnitaTelekomindo, PT Jasnita Telekomindo</v>
      </c>
      <c r="K449" t="str">
        <f t="shared" si="74"/>
        <v>JAST, Jasnita Telekomindo, Jasnita Telekomindo Tbk, JasnitaTelekomindo, PT Jasnita Telekomindo</v>
      </c>
      <c r="L449" t="str">
        <f t="shared" si="70"/>
        <v>JasnitaTelekomindo</v>
      </c>
      <c r="M449" t="str">
        <f t="shared" si="75"/>
        <v>JAST, Jasnita Telekomindo, Jasnita Telekomindo Tbk, PT Jasnita Telekomindo</v>
      </c>
      <c r="N449" t="str">
        <f t="shared" si="76"/>
        <v>JAST, Jasnita Telekomindo, Jasnita Telekomindo Tbk, PT Jasnita Telekomindo</v>
      </c>
    </row>
    <row r="450" spans="1:14" x14ac:dyDescent="0.2">
      <c r="A450" t="s">
        <v>2298</v>
      </c>
      <c r="B450" t="s">
        <v>3594</v>
      </c>
      <c r="C450" t="s">
        <v>8249</v>
      </c>
      <c r="D450" t="str">
        <f t="shared" ref="D450:D513" si="77">SUBSTITUTE(C450, _xlfn.CONCAT(", ", B450), "")</f>
        <v>JATI, INFORMASI TEKNOLOGI INDONESIA, Informasi Teknologi Indonesia, Informasi Teknologi Indonesia Tbk, InformasiTeknologiIndonesia, PT Informasi Teknologi Indonesia, informasi teknologi indonesia</v>
      </c>
      <c r="E450" t="str">
        <f t="shared" ref="E450:E513" si="78">SUBSTITUTE(D450, _xlfn.CONCAT(B450, ", "), "")</f>
        <v>JATI, INFORMASI TEKNOLOGI INDONESIA, Informasi Teknologi Indonesia, Informasi Teknologi Indonesia Tbk, InformasiTeknologiIndonesia, PT Informasi Teknologi Indonesia, informasi teknologi indonesia</v>
      </c>
      <c r="F450" t="str">
        <f t="shared" ref="F450:F513" si="79">LOWER(MID(B450, 1, FIND(" Tbk.", B450)-1))</f>
        <v>informasi teknologi indonesia</v>
      </c>
      <c r="G450" t="str">
        <f t="shared" si="71"/>
        <v>JATI, INFORMASI TEKNOLOGI INDONESIA, Informasi Teknologi Indonesia, Informasi Teknologi Indonesia Tbk, InformasiTeknologiIndonesia, PT Informasi Teknologi Indonesia</v>
      </c>
      <c r="H450" t="str">
        <f t="shared" si="72"/>
        <v>JATI, INFORMASI TEKNOLOGI INDONESIA, Informasi Teknologi Indonesia, Informasi Teknologi Indonesia Tbk, InformasiTeknologiIndonesia, PT Informasi Teknologi Indonesia</v>
      </c>
      <c r="I450" t="str">
        <f t="shared" ref="I450:I513" si="80">UPPER(MID(B450, 1, FIND(" Tbk.", B450)-1))</f>
        <v>INFORMASI TEKNOLOGI INDONESIA</v>
      </c>
      <c r="J450" t="str">
        <f t="shared" si="73"/>
        <v>JATI, Informasi Teknologi Indonesia, Informasi Teknologi Indonesia Tbk, InformasiTeknologiIndonesia, PT Informasi Teknologi Indonesia</v>
      </c>
      <c r="K450" t="str">
        <f t="shared" si="74"/>
        <v>JATI, Informasi Teknologi Indonesia, Informasi Teknologi Indonesia Tbk, InformasiTeknologiIndonesia, PT Informasi Teknologi Indonesia</v>
      </c>
      <c r="L450" t="str">
        <f t="shared" ref="L450:L513" si="81">SUBSTITUTE(MID(B450, 1, FIND(" Tbk.", B450)-1), " ", "")</f>
        <v>InformasiTeknologiIndonesia</v>
      </c>
      <c r="M450" t="str">
        <f t="shared" si="75"/>
        <v>JATI, Informasi Teknologi Indonesia, Informasi Teknologi Indonesia Tbk, PT Informasi Teknologi Indonesia</v>
      </c>
      <c r="N450" t="str">
        <f t="shared" si="76"/>
        <v>JATI, Informasi Teknologi Indonesia, Informasi Teknologi Indonesia Tbk, PT Informasi Teknologi Indonesia</v>
      </c>
    </row>
    <row r="451" spans="1:14" x14ac:dyDescent="0.2">
      <c r="A451" t="s">
        <v>669</v>
      </c>
      <c r="B451" t="s">
        <v>670</v>
      </c>
      <c r="C451" t="s">
        <v>8250</v>
      </c>
      <c r="D451" t="str">
        <f t="shared" si="77"/>
        <v>JAWA, JAYA AGRA WATTIE, Jaya Agra Wattie, Jaya Agra Wattie Tbk, JayaAgraWattie, PT Jaya Agra Wattie, jaya agra wattie</v>
      </c>
      <c r="E451" t="str">
        <f t="shared" si="78"/>
        <v>JAWA, JAYA AGRA WATTIE, Jaya Agra Wattie, Jaya Agra Wattie Tbk, JayaAgraWattie, PT Jaya Agra Wattie, jaya agra wattie</v>
      </c>
      <c r="F451" t="str">
        <f t="shared" si="79"/>
        <v>jaya agra wattie</v>
      </c>
      <c r="G451" t="str">
        <f t="shared" ref="G451:G514" si="82">SUBSTITUTE(E451, _xlfn.CONCAT(", ", F451), "")</f>
        <v>JAWA, JAYA AGRA WATTIE, Jaya Agra Wattie, Jaya Agra Wattie Tbk, JayaAgraWattie, PT Jaya Agra Wattie</v>
      </c>
      <c r="H451" t="str">
        <f t="shared" ref="H451:H514" si="83">SUBSTITUTE(G451, _xlfn.CONCAT(F451, ", "), "")</f>
        <v>JAWA, JAYA AGRA WATTIE, Jaya Agra Wattie, Jaya Agra Wattie Tbk, JayaAgraWattie, PT Jaya Agra Wattie</v>
      </c>
      <c r="I451" t="str">
        <f t="shared" si="80"/>
        <v>JAYA AGRA WATTIE</v>
      </c>
      <c r="J451" t="str">
        <f t="shared" ref="J451:J514" si="84">SUBSTITUTE(H451, _xlfn.CONCAT(", ", I451), "")</f>
        <v>JAWA, Jaya Agra Wattie, Jaya Agra Wattie Tbk, JayaAgraWattie, PT Jaya Agra Wattie</v>
      </c>
      <c r="K451" t="str">
        <f t="shared" ref="K451:K514" si="85">SUBSTITUTE(J451, _xlfn.CONCAT(I451, ", "), "")</f>
        <v>JAWA, Jaya Agra Wattie, Jaya Agra Wattie Tbk, JayaAgraWattie, PT Jaya Agra Wattie</v>
      </c>
      <c r="L451" t="str">
        <f t="shared" si="81"/>
        <v>JayaAgraWattie</v>
      </c>
      <c r="M451" t="str">
        <f t="shared" ref="M451:M514" si="86">SUBSTITUTE(K451, _xlfn.CONCAT(", ", L451), "")</f>
        <v>JAWA, Jaya Agra Wattie, Jaya Agra Wattie Tbk, PT Jaya Agra Wattie</v>
      </c>
      <c r="N451" t="str">
        <f t="shared" ref="N451:N514" si="87">SUBSTITUTE(M451, _xlfn.CONCAT(L451, ", "), "")</f>
        <v>JAWA, Jaya Agra Wattie, Jaya Agra Wattie Tbk, PT Jaya Agra Wattie</v>
      </c>
    </row>
    <row r="452" spans="1:14" x14ac:dyDescent="0.2">
      <c r="A452" t="s">
        <v>1654</v>
      </c>
      <c r="B452" t="s">
        <v>1655</v>
      </c>
      <c r="C452" t="s">
        <v>8251</v>
      </c>
      <c r="D452" t="str">
        <f t="shared" si="77"/>
        <v>JAYA, ARMADA BERJAYA TRANS, Armada Berjaya Trans, Armada Berjaya Trans Tbk, ArmadaBerjayaTrans, PT Armada Berjaya Trans, armada berjaya trans</v>
      </c>
      <c r="E452" t="str">
        <f t="shared" si="78"/>
        <v>JAYA, ARMADA BERJAYA TRANS, Armada Berjaya Trans, Armada Berjaya Trans Tbk, ArmadaBerjayaTrans, PT Armada Berjaya Trans, armada berjaya trans</v>
      </c>
      <c r="F452" t="str">
        <f t="shared" si="79"/>
        <v>armada berjaya trans</v>
      </c>
      <c r="G452" t="str">
        <f t="shared" si="82"/>
        <v>JAYA, ARMADA BERJAYA TRANS, Armada Berjaya Trans, Armada Berjaya Trans Tbk, ArmadaBerjayaTrans, PT Armada Berjaya Trans</v>
      </c>
      <c r="H452" t="str">
        <f t="shared" si="83"/>
        <v>JAYA, ARMADA BERJAYA TRANS, Armada Berjaya Trans, Armada Berjaya Trans Tbk, ArmadaBerjayaTrans, PT Armada Berjaya Trans</v>
      </c>
      <c r="I452" t="str">
        <f t="shared" si="80"/>
        <v>ARMADA BERJAYA TRANS</v>
      </c>
      <c r="J452" t="str">
        <f t="shared" si="84"/>
        <v>JAYA, Armada Berjaya Trans, Armada Berjaya Trans Tbk, ArmadaBerjayaTrans, PT Armada Berjaya Trans</v>
      </c>
      <c r="K452" t="str">
        <f t="shared" si="85"/>
        <v>JAYA, Armada Berjaya Trans, Armada Berjaya Trans Tbk, ArmadaBerjayaTrans, PT Armada Berjaya Trans</v>
      </c>
      <c r="L452" t="str">
        <f t="shared" si="81"/>
        <v>ArmadaBerjayaTrans</v>
      </c>
      <c r="M452" t="str">
        <f t="shared" si="86"/>
        <v>JAYA, Armada Berjaya Trans, Armada Berjaya Trans Tbk, PT Armada Berjaya Trans</v>
      </c>
      <c r="N452" t="str">
        <f t="shared" si="87"/>
        <v>JAYA, Armada Berjaya Trans, Armada Berjaya Trans Tbk, PT Armada Berjaya Trans</v>
      </c>
    </row>
    <row r="453" spans="1:14" x14ac:dyDescent="0.2">
      <c r="A453" t="s">
        <v>672</v>
      </c>
      <c r="B453" t="s">
        <v>673</v>
      </c>
      <c r="C453" t="s">
        <v>8252</v>
      </c>
      <c r="D453" t="str">
        <f t="shared" si="77"/>
        <v>JECC, JEMBO CABLE COMPANY, Jembo Cable Company, Jembo Cable Company Tbk, JemboCableCompany, PT Jembo Cable Company, jembo cable company</v>
      </c>
      <c r="E453" t="str">
        <f t="shared" si="78"/>
        <v>JECC, JEMBO CABLE COMPANY, Jembo Cable Company, Jembo Cable Company Tbk, JemboCableCompany, PT Jembo Cable Company, jembo cable company</v>
      </c>
      <c r="F453" t="str">
        <f t="shared" si="79"/>
        <v>jembo cable company</v>
      </c>
      <c r="G453" t="str">
        <f t="shared" si="82"/>
        <v>JECC, JEMBO CABLE COMPANY, Jembo Cable Company, Jembo Cable Company Tbk, JemboCableCompany, PT Jembo Cable Company</v>
      </c>
      <c r="H453" t="str">
        <f t="shared" si="83"/>
        <v>JECC, JEMBO CABLE COMPANY, Jembo Cable Company, Jembo Cable Company Tbk, JemboCableCompany, PT Jembo Cable Company</v>
      </c>
      <c r="I453" t="str">
        <f t="shared" si="80"/>
        <v>JEMBO CABLE COMPANY</v>
      </c>
      <c r="J453" t="str">
        <f t="shared" si="84"/>
        <v>JECC, Jembo Cable Company, Jembo Cable Company Tbk, JemboCableCompany, PT Jembo Cable Company</v>
      </c>
      <c r="K453" t="str">
        <f t="shared" si="85"/>
        <v>JECC, Jembo Cable Company, Jembo Cable Company Tbk, JemboCableCompany, PT Jembo Cable Company</v>
      </c>
      <c r="L453" t="str">
        <f t="shared" si="81"/>
        <v>JemboCableCompany</v>
      </c>
      <c r="M453" t="str">
        <f t="shared" si="86"/>
        <v>JECC, Jembo Cable Company, Jembo Cable Company Tbk, PT Jembo Cable Company</v>
      </c>
      <c r="N453" t="str">
        <f t="shared" si="87"/>
        <v>JECC, Jembo Cable Company, Jembo Cable Company Tbk, PT Jembo Cable Company</v>
      </c>
    </row>
    <row r="454" spans="1:14" x14ac:dyDescent="0.2">
      <c r="A454" t="s">
        <v>1356</v>
      </c>
      <c r="B454" t="s">
        <v>3595</v>
      </c>
      <c r="C454" t="s">
        <v>8253</v>
      </c>
      <c r="D454" t="str">
        <f t="shared" si="77"/>
        <v>JGLE, GRAHA ANDRASENTRA PROPERTINDO, Graha Andrasentra Propertindo, Graha Andrasentra Propertindo Tbk, GrahaAndrasentraPropertindo, PT Graha Andrasentra Propertindo, graha andrasentra propertindo</v>
      </c>
      <c r="E454" t="str">
        <f t="shared" si="78"/>
        <v>JGLE, GRAHA ANDRASENTRA PROPERTINDO, Graha Andrasentra Propertindo, Graha Andrasentra Propertindo Tbk, GrahaAndrasentraPropertindo, PT Graha Andrasentra Propertindo, graha andrasentra propertindo</v>
      </c>
      <c r="F454" t="str">
        <f t="shared" si="79"/>
        <v>graha andrasentra propertindo</v>
      </c>
      <c r="G454" t="str">
        <f t="shared" si="82"/>
        <v>JGLE, GRAHA ANDRASENTRA PROPERTINDO, Graha Andrasentra Propertindo, Graha Andrasentra Propertindo Tbk, GrahaAndrasentraPropertindo, PT Graha Andrasentra Propertindo</v>
      </c>
      <c r="H454" t="str">
        <f t="shared" si="83"/>
        <v>JGLE, GRAHA ANDRASENTRA PROPERTINDO, Graha Andrasentra Propertindo, Graha Andrasentra Propertindo Tbk, GrahaAndrasentraPropertindo, PT Graha Andrasentra Propertindo</v>
      </c>
      <c r="I454" t="str">
        <f t="shared" si="80"/>
        <v>GRAHA ANDRASENTRA PROPERTINDO</v>
      </c>
      <c r="J454" t="str">
        <f t="shared" si="84"/>
        <v>JGLE, Graha Andrasentra Propertindo, Graha Andrasentra Propertindo Tbk, GrahaAndrasentraPropertindo, PT Graha Andrasentra Propertindo</v>
      </c>
      <c r="K454" t="str">
        <f t="shared" si="85"/>
        <v>JGLE, Graha Andrasentra Propertindo, Graha Andrasentra Propertindo Tbk, GrahaAndrasentraPropertindo, PT Graha Andrasentra Propertindo</v>
      </c>
      <c r="L454" t="str">
        <f t="shared" si="81"/>
        <v>GrahaAndrasentraPropertindo</v>
      </c>
      <c r="M454" t="str">
        <f t="shared" si="86"/>
        <v>JGLE, Graha Andrasentra Propertindo, Graha Andrasentra Propertindo Tbk, PT Graha Andrasentra Propertindo</v>
      </c>
      <c r="N454" t="str">
        <f t="shared" si="87"/>
        <v>JGLE, Graha Andrasentra Propertindo, Graha Andrasentra Propertindo Tbk, PT Graha Andrasentra Propertindo</v>
      </c>
    </row>
    <row r="455" spans="1:14" x14ac:dyDescent="0.2">
      <c r="A455" t="s">
        <v>675</v>
      </c>
      <c r="B455" t="s">
        <v>3596</v>
      </c>
      <c r="C455" t="s">
        <v>8254</v>
      </c>
      <c r="D455" t="str">
        <f t="shared" si="77"/>
        <v>JIHD, JAKARTA INTERNATIONAL HOTELS &amp; DEVELOPMENT, Jakarta International Hotels &amp; Development, Jakarta International Hotels &amp; Development Tbk, JakartaInternationalHotels&amp;Development, PT Jakarta International Hotels &amp; Development, jakarta international hotels &amp; development</v>
      </c>
      <c r="E455" t="str">
        <f t="shared" si="78"/>
        <v>JIHD, JAKARTA INTERNATIONAL HOTELS &amp; DEVELOPMENT, Jakarta International Hotels &amp; Development, Jakarta International Hotels &amp; Development Tbk, JakartaInternationalHotels&amp;Development, PT Jakarta International Hotels &amp; Development, jakarta international hotels &amp; development</v>
      </c>
      <c r="F455" t="str">
        <f t="shared" si="79"/>
        <v>jakarta international hotels &amp; development</v>
      </c>
      <c r="G455" t="str">
        <f t="shared" si="82"/>
        <v>JIHD, JAKARTA INTERNATIONAL HOTELS &amp; DEVELOPMENT, Jakarta International Hotels &amp; Development, Jakarta International Hotels &amp; Development Tbk, JakartaInternationalHotels&amp;Development, PT Jakarta International Hotels &amp; Development</v>
      </c>
      <c r="H455" t="str">
        <f t="shared" si="83"/>
        <v>JIHD, JAKARTA INTERNATIONAL HOTELS &amp; DEVELOPMENT, Jakarta International Hotels &amp; Development, Jakarta International Hotels &amp; Development Tbk, JakartaInternationalHotels&amp;Development, PT Jakarta International Hotels &amp; Development</v>
      </c>
      <c r="I455" t="str">
        <f t="shared" si="80"/>
        <v>JAKARTA INTERNATIONAL HOTELS &amp; DEVELOPMENT</v>
      </c>
      <c r="J455" t="str">
        <f t="shared" si="84"/>
        <v>JIHD, Jakarta International Hotels &amp; Development, Jakarta International Hotels &amp; Development Tbk, JakartaInternationalHotels&amp;Development, PT Jakarta International Hotels &amp; Development</v>
      </c>
      <c r="K455" t="str">
        <f t="shared" si="85"/>
        <v>JIHD, Jakarta International Hotels &amp; Development, Jakarta International Hotels &amp; Development Tbk, JakartaInternationalHotels&amp;Development, PT Jakarta International Hotels &amp; Development</v>
      </c>
      <c r="L455" t="str">
        <f t="shared" si="81"/>
        <v>JakartaInternationalHotels&amp;Development</v>
      </c>
      <c r="M455" t="str">
        <f t="shared" si="86"/>
        <v>JIHD, Jakarta International Hotels &amp; Development, Jakarta International Hotels &amp; Development Tbk, PT Jakarta International Hotels &amp; Development</v>
      </c>
      <c r="N455" t="str">
        <f t="shared" si="87"/>
        <v>JIHD, Jakarta International Hotels &amp; Development, Jakarta International Hotels &amp; Development Tbk, PT Jakarta International Hotels &amp; Development</v>
      </c>
    </row>
    <row r="456" spans="1:14" x14ac:dyDescent="0.2">
      <c r="A456" t="s">
        <v>677</v>
      </c>
      <c r="B456" t="s">
        <v>3597</v>
      </c>
      <c r="C456" t="s">
        <v>8255</v>
      </c>
      <c r="D456" t="str">
        <f t="shared" si="77"/>
        <v>JKON, JAYA KONSTRUKSI MANGGALA PRATAMA, Jaya Konstruksi Manggala Pratama, Jaya Konstruksi Manggala Pratama Tbk, JayaKonstruksiManggalaPratama, PT Jaya Konstruksi Manggala Pratama, jaya konstruksi manggala pratama</v>
      </c>
      <c r="E456" t="str">
        <f t="shared" si="78"/>
        <v>JKON, JAYA KONSTRUKSI MANGGALA PRATAMA, Jaya Konstruksi Manggala Pratama, Jaya Konstruksi Manggala Pratama Tbk, JayaKonstruksiManggalaPratama, PT Jaya Konstruksi Manggala Pratama, jaya konstruksi manggala pratama</v>
      </c>
      <c r="F456" t="str">
        <f t="shared" si="79"/>
        <v>jaya konstruksi manggala pratama</v>
      </c>
      <c r="G456" t="str">
        <f t="shared" si="82"/>
        <v>JKON, JAYA KONSTRUKSI MANGGALA PRATAMA, Jaya Konstruksi Manggala Pratama, Jaya Konstruksi Manggala Pratama Tbk, JayaKonstruksiManggalaPratama, PT Jaya Konstruksi Manggala Pratama</v>
      </c>
      <c r="H456" t="str">
        <f t="shared" si="83"/>
        <v>JKON, JAYA KONSTRUKSI MANGGALA PRATAMA, Jaya Konstruksi Manggala Pratama, Jaya Konstruksi Manggala Pratama Tbk, JayaKonstruksiManggalaPratama, PT Jaya Konstruksi Manggala Pratama</v>
      </c>
      <c r="I456" t="str">
        <f t="shared" si="80"/>
        <v>JAYA KONSTRUKSI MANGGALA PRATAMA</v>
      </c>
      <c r="J456" t="str">
        <f t="shared" si="84"/>
        <v>JKON, Jaya Konstruksi Manggala Pratama, Jaya Konstruksi Manggala Pratama Tbk, JayaKonstruksiManggalaPratama, PT Jaya Konstruksi Manggala Pratama</v>
      </c>
      <c r="K456" t="str">
        <f t="shared" si="85"/>
        <v>JKON, Jaya Konstruksi Manggala Pratama, Jaya Konstruksi Manggala Pratama Tbk, JayaKonstruksiManggalaPratama, PT Jaya Konstruksi Manggala Pratama</v>
      </c>
      <c r="L456" t="str">
        <f t="shared" si="81"/>
        <v>JayaKonstruksiManggalaPratama</v>
      </c>
      <c r="M456" t="str">
        <f t="shared" si="86"/>
        <v>JKON, Jaya Konstruksi Manggala Pratama, Jaya Konstruksi Manggala Pratama Tbk, PT Jaya Konstruksi Manggala Pratama</v>
      </c>
      <c r="N456" t="str">
        <f t="shared" si="87"/>
        <v>JKON, Jaya Konstruksi Manggala Pratama, Jaya Konstruksi Manggala Pratama Tbk, PT Jaya Konstruksi Manggala Pratama</v>
      </c>
    </row>
    <row r="457" spans="1:14" x14ac:dyDescent="0.2">
      <c r="A457" t="s">
        <v>1482</v>
      </c>
      <c r="B457" t="s">
        <v>3598</v>
      </c>
      <c r="C457" t="s">
        <v>8256</v>
      </c>
      <c r="D457" t="str">
        <f t="shared" si="77"/>
        <v>JMAS, ASURANSI JIWA SYARIAH JASA MITRA ABADI, Asuransi Jiwa Syariah Jasa Mitra Abadi, Asuransi Jiwa Syariah Jasa Mitra Abadi Tbk, AsuransiJiwaSyariahJasaMitraAbadi, PT Asuransi Jiwa Syariah Jasa Mitra Abadi, asuransi jiwa syariah jasa mitra abadi</v>
      </c>
      <c r="E457" t="str">
        <f t="shared" si="78"/>
        <v>JMAS, ASURANSI JIWA SYARIAH JASA MITRA ABADI, Asuransi Jiwa Syariah Jasa Mitra Abadi, Asuransi Jiwa Syariah Jasa Mitra Abadi Tbk, AsuransiJiwaSyariahJasaMitraAbadi, PT Asuransi Jiwa Syariah Jasa Mitra Abadi, asuransi jiwa syariah jasa mitra abadi</v>
      </c>
      <c r="F457" t="str">
        <f t="shared" si="79"/>
        <v>asuransi jiwa syariah jasa mitra abadi</v>
      </c>
      <c r="G457" t="str">
        <f t="shared" si="82"/>
        <v>JMAS, ASURANSI JIWA SYARIAH JASA MITRA ABADI, Asuransi Jiwa Syariah Jasa Mitra Abadi, Asuransi Jiwa Syariah Jasa Mitra Abadi Tbk, AsuransiJiwaSyariahJasaMitraAbadi, PT Asuransi Jiwa Syariah Jasa Mitra Abadi</v>
      </c>
      <c r="H457" t="str">
        <f t="shared" si="83"/>
        <v>JMAS, ASURANSI JIWA SYARIAH JASA MITRA ABADI, Asuransi Jiwa Syariah Jasa Mitra Abadi, Asuransi Jiwa Syariah Jasa Mitra Abadi Tbk, AsuransiJiwaSyariahJasaMitraAbadi, PT Asuransi Jiwa Syariah Jasa Mitra Abadi</v>
      </c>
      <c r="I457" t="str">
        <f t="shared" si="80"/>
        <v>ASURANSI JIWA SYARIAH JASA MITRA ABADI</v>
      </c>
      <c r="J457" t="str">
        <f t="shared" si="84"/>
        <v>JMAS, Asuransi Jiwa Syariah Jasa Mitra Abadi, Asuransi Jiwa Syariah Jasa Mitra Abadi Tbk, AsuransiJiwaSyariahJasaMitraAbadi, PT Asuransi Jiwa Syariah Jasa Mitra Abadi</v>
      </c>
      <c r="K457" t="str">
        <f t="shared" si="85"/>
        <v>JMAS, Asuransi Jiwa Syariah Jasa Mitra Abadi, Asuransi Jiwa Syariah Jasa Mitra Abadi Tbk, AsuransiJiwaSyariahJasaMitraAbadi, PT Asuransi Jiwa Syariah Jasa Mitra Abadi</v>
      </c>
      <c r="L457" t="str">
        <f t="shared" si="81"/>
        <v>AsuransiJiwaSyariahJasaMitraAbadi</v>
      </c>
      <c r="M457" t="str">
        <f t="shared" si="86"/>
        <v>JMAS, Asuransi Jiwa Syariah Jasa Mitra Abadi, Asuransi Jiwa Syariah Jasa Mitra Abadi Tbk, PT Asuransi Jiwa Syariah Jasa Mitra Abadi</v>
      </c>
      <c r="N457" t="str">
        <f t="shared" si="87"/>
        <v>JMAS, Asuransi Jiwa Syariah Jasa Mitra Abadi, Asuransi Jiwa Syariah Jasa Mitra Abadi Tbk, PT Asuransi Jiwa Syariah Jasa Mitra Abadi</v>
      </c>
    </row>
    <row r="458" spans="1:14" x14ac:dyDescent="0.2">
      <c r="A458" t="s">
        <v>679</v>
      </c>
      <c r="B458" t="s">
        <v>680</v>
      </c>
      <c r="C458" t="s">
        <v>8257</v>
      </c>
      <c r="D458" t="str">
        <f t="shared" si="77"/>
        <v>JPFA, JAPFA COMFEED INDONESIA, Japfa, Japfa Comfeed Indonesia, Japfa Comfeed Indonesia Tbk, JapfaComfeedIndonesia, PT Japfa Comfeed Indonesia, japfa comfeed indonesia</v>
      </c>
      <c r="E458" t="str">
        <f t="shared" si="78"/>
        <v>JPFA, JAPFA COMFEED INDONESIA, Japfa, Japfa Comfeed Indonesia, Japfa Comfeed Indonesia Tbk, JapfaComfeedIndonesia, PT Japfa Comfeed Indonesia, japfa comfeed indonesia</v>
      </c>
      <c r="F458" t="str">
        <f t="shared" si="79"/>
        <v>japfa comfeed indonesia</v>
      </c>
      <c r="G458" t="str">
        <f t="shared" si="82"/>
        <v>JPFA, JAPFA COMFEED INDONESIA, Japfa, Japfa Comfeed Indonesia, Japfa Comfeed Indonesia Tbk, JapfaComfeedIndonesia, PT Japfa Comfeed Indonesia</v>
      </c>
      <c r="H458" t="str">
        <f t="shared" si="83"/>
        <v>JPFA, JAPFA COMFEED INDONESIA, Japfa, Japfa Comfeed Indonesia, Japfa Comfeed Indonesia Tbk, JapfaComfeedIndonesia, PT Japfa Comfeed Indonesia</v>
      </c>
      <c r="I458" t="str">
        <f t="shared" si="80"/>
        <v>JAPFA COMFEED INDONESIA</v>
      </c>
      <c r="J458" t="str">
        <f t="shared" si="84"/>
        <v>JPFA, Japfa, Japfa Comfeed Indonesia, Japfa Comfeed Indonesia Tbk, JapfaComfeedIndonesia, PT Japfa Comfeed Indonesia</v>
      </c>
      <c r="K458" t="str">
        <f t="shared" si="85"/>
        <v>JPFA, Japfa, Japfa Comfeed Indonesia, Japfa Comfeed Indonesia Tbk, JapfaComfeedIndonesia, PT Japfa Comfeed Indonesia</v>
      </c>
      <c r="L458" t="str">
        <f t="shared" si="81"/>
        <v>JapfaComfeedIndonesia</v>
      </c>
      <c r="M458" t="str">
        <f t="shared" si="86"/>
        <v>JPFA, Japfa, Japfa Comfeed Indonesia, Japfa Comfeed Indonesia Tbk, PT Japfa Comfeed Indonesia</v>
      </c>
      <c r="N458" t="str">
        <f t="shared" si="87"/>
        <v>JPFA, Japfa, Japfa Comfeed Indonesia, Japfa Comfeed Indonesia Tbk, PT Japfa Comfeed Indonesia</v>
      </c>
    </row>
    <row r="459" spans="1:14" x14ac:dyDescent="0.2">
      <c r="A459" t="s">
        <v>682</v>
      </c>
      <c r="B459" t="s">
        <v>683</v>
      </c>
      <c r="C459" t="s">
        <v>8258</v>
      </c>
      <c r="D459" t="str">
        <f t="shared" si="77"/>
        <v>JRPT, JAYA REAL PROPERTY, Jaya Real Property, Jaya Real Property Tbk, JayaRealProperty, PT Jaya Real Property, jaya real property</v>
      </c>
      <c r="E459" t="str">
        <f t="shared" si="78"/>
        <v>JRPT, JAYA REAL PROPERTY, Jaya Real Property, Jaya Real Property Tbk, JayaRealProperty, PT Jaya Real Property, jaya real property</v>
      </c>
      <c r="F459" t="str">
        <f t="shared" si="79"/>
        <v>jaya real property</v>
      </c>
      <c r="G459" t="str">
        <f t="shared" si="82"/>
        <v>JRPT, JAYA REAL PROPERTY, Jaya Real Property, Jaya Real Property Tbk, JayaRealProperty, PT Jaya Real Property</v>
      </c>
      <c r="H459" t="str">
        <f t="shared" si="83"/>
        <v>JRPT, JAYA REAL PROPERTY, Jaya Real Property, Jaya Real Property Tbk, JayaRealProperty, PT Jaya Real Property</v>
      </c>
      <c r="I459" t="str">
        <f t="shared" si="80"/>
        <v>JAYA REAL PROPERTY</v>
      </c>
      <c r="J459" t="str">
        <f t="shared" si="84"/>
        <v>JRPT, Jaya Real Property, Jaya Real Property Tbk, JayaRealProperty, PT Jaya Real Property</v>
      </c>
      <c r="K459" t="str">
        <f t="shared" si="85"/>
        <v>JRPT, Jaya Real Property, Jaya Real Property Tbk, JayaRealProperty, PT Jaya Real Property</v>
      </c>
      <c r="L459" t="str">
        <f t="shared" si="81"/>
        <v>JayaRealProperty</v>
      </c>
      <c r="M459" t="str">
        <f t="shared" si="86"/>
        <v>JRPT, Jaya Real Property, Jaya Real Property Tbk, PT Jaya Real Property</v>
      </c>
      <c r="N459" t="str">
        <f t="shared" si="87"/>
        <v>JRPT, Jaya Real Property, Jaya Real Property Tbk, PT Jaya Real Property</v>
      </c>
    </row>
    <row r="460" spans="1:14" x14ac:dyDescent="0.2">
      <c r="A460" t="s">
        <v>1499</v>
      </c>
      <c r="B460" t="s">
        <v>1500</v>
      </c>
      <c r="C460" t="s">
        <v>8259</v>
      </c>
      <c r="D460" t="str">
        <f t="shared" si="77"/>
        <v>JSKY, PT Sky Energy Indonesia, SKY ENERGY INDONESIA, Sky Energy Indonesia, Sky Energy Indonesia Tbk, SkyEnergyIndonesia, sky energy indonesia</v>
      </c>
      <c r="E460" t="str">
        <f t="shared" si="78"/>
        <v>JSKY, PT Sky Energy Indonesia, SKY ENERGY INDONESIA, Sky Energy Indonesia, Sky Energy Indonesia Tbk, SkyEnergyIndonesia, sky energy indonesia</v>
      </c>
      <c r="F460" t="str">
        <f t="shared" si="79"/>
        <v>sky energy indonesia</v>
      </c>
      <c r="G460" t="str">
        <f t="shared" si="82"/>
        <v>JSKY, PT Sky Energy Indonesia, SKY ENERGY INDONESIA, Sky Energy Indonesia, Sky Energy Indonesia Tbk, SkyEnergyIndonesia</v>
      </c>
      <c r="H460" t="str">
        <f t="shared" si="83"/>
        <v>JSKY, PT Sky Energy Indonesia, SKY ENERGY INDONESIA, Sky Energy Indonesia, Sky Energy Indonesia Tbk, SkyEnergyIndonesia</v>
      </c>
      <c r="I460" t="str">
        <f t="shared" si="80"/>
        <v>SKY ENERGY INDONESIA</v>
      </c>
      <c r="J460" t="str">
        <f t="shared" si="84"/>
        <v>JSKY, PT Sky Energy Indonesia, Sky Energy Indonesia, Sky Energy Indonesia Tbk, SkyEnergyIndonesia</v>
      </c>
      <c r="K460" t="str">
        <f t="shared" si="85"/>
        <v>JSKY, PT Sky Energy Indonesia, Sky Energy Indonesia, Sky Energy Indonesia Tbk, SkyEnergyIndonesia</v>
      </c>
      <c r="L460" t="str">
        <f t="shared" si="81"/>
        <v>SkyEnergyIndonesia</v>
      </c>
      <c r="M460" t="str">
        <f t="shared" si="86"/>
        <v>JSKY, PT Sky Energy Indonesia, Sky Energy Indonesia, Sky Energy Indonesia Tbk</v>
      </c>
      <c r="N460" t="str">
        <f t="shared" si="87"/>
        <v>JSKY, PT Sky Energy Indonesia, Sky Energy Indonesia, Sky Energy Indonesia Tbk</v>
      </c>
    </row>
    <row r="461" spans="1:14" x14ac:dyDescent="0.2">
      <c r="A461" t="s">
        <v>685</v>
      </c>
      <c r="B461" t="s">
        <v>686</v>
      </c>
      <c r="C461" t="s">
        <v>8260</v>
      </c>
      <c r="D461" t="str">
        <f t="shared" si="77"/>
        <v>JSMR, JASA MARGA (PERSERO), Jasa Marga (Persero), Jasa Marga (Persero) Tbk, JasaMarga(Persero), PT Jasa Marga (Persero), jasa marga (persero)</v>
      </c>
      <c r="E461" t="str">
        <f t="shared" si="78"/>
        <v>JSMR, JASA MARGA (PERSERO), Jasa Marga (Persero), Jasa Marga (Persero) Tbk, JasaMarga(Persero), PT Jasa Marga (Persero), jasa marga (persero)</v>
      </c>
      <c r="F461" t="str">
        <f t="shared" si="79"/>
        <v>jasa marga (persero)</v>
      </c>
      <c r="G461" t="str">
        <f t="shared" si="82"/>
        <v>JSMR, JASA MARGA (PERSERO), Jasa Marga (Persero), Jasa Marga (Persero) Tbk, JasaMarga(Persero), PT Jasa Marga (Persero)</v>
      </c>
      <c r="H461" t="str">
        <f t="shared" si="83"/>
        <v>JSMR, JASA MARGA (PERSERO), Jasa Marga (Persero), Jasa Marga (Persero) Tbk, JasaMarga(Persero), PT Jasa Marga (Persero)</v>
      </c>
      <c r="I461" t="str">
        <f t="shared" si="80"/>
        <v>JASA MARGA (PERSERO)</v>
      </c>
      <c r="J461" t="str">
        <f t="shared" si="84"/>
        <v>JSMR, Jasa Marga (Persero), Jasa Marga (Persero) Tbk, JasaMarga(Persero), PT Jasa Marga (Persero)</v>
      </c>
      <c r="K461" t="str">
        <f t="shared" si="85"/>
        <v>JSMR, Jasa Marga (Persero), Jasa Marga (Persero) Tbk, JasaMarga(Persero), PT Jasa Marga (Persero)</v>
      </c>
      <c r="L461" t="str">
        <f t="shared" si="81"/>
        <v>JasaMarga(Persero)</v>
      </c>
      <c r="M461" t="str">
        <f t="shared" si="86"/>
        <v>JSMR, Jasa Marga (Persero), Jasa Marga (Persero) Tbk, PT Jasa Marga (Persero)</v>
      </c>
      <c r="N461" t="str">
        <f t="shared" si="87"/>
        <v>JSMR, Jasa Marga (Persero), Jasa Marga (Persero) Tbk, PT Jasa Marga (Persero)</v>
      </c>
    </row>
    <row r="462" spans="1:14" x14ac:dyDescent="0.2">
      <c r="A462" t="s">
        <v>688</v>
      </c>
      <c r="B462" t="s">
        <v>3599</v>
      </c>
      <c r="C462" t="s">
        <v>8261</v>
      </c>
      <c r="D462" t="str">
        <f t="shared" si="77"/>
        <v>JSPT, JAKARTA SETIABUDI INTERNASIONAL, Jakarta Setiabudi Internasional, Jakarta Setiabudi Internasional Tbk, JakartaSetiabudiInternasional, PT Jakarta Setiabudi Internasional, jakarta setiabudi internasional</v>
      </c>
      <c r="E462" t="str">
        <f t="shared" si="78"/>
        <v>JSPT, JAKARTA SETIABUDI INTERNASIONAL, Jakarta Setiabudi Internasional, Jakarta Setiabudi Internasional Tbk, JakartaSetiabudiInternasional, PT Jakarta Setiabudi Internasional, jakarta setiabudi internasional</v>
      </c>
      <c r="F462" t="str">
        <f t="shared" si="79"/>
        <v>jakarta setiabudi internasional</v>
      </c>
      <c r="G462" t="str">
        <f t="shared" si="82"/>
        <v>JSPT, JAKARTA SETIABUDI INTERNASIONAL, Jakarta Setiabudi Internasional, Jakarta Setiabudi Internasional Tbk, JakartaSetiabudiInternasional, PT Jakarta Setiabudi Internasional</v>
      </c>
      <c r="H462" t="str">
        <f t="shared" si="83"/>
        <v>JSPT, JAKARTA SETIABUDI INTERNASIONAL, Jakarta Setiabudi Internasional, Jakarta Setiabudi Internasional Tbk, JakartaSetiabudiInternasional, PT Jakarta Setiabudi Internasional</v>
      </c>
      <c r="I462" t="str">
        <f t="shared" si="80"/>
        <v>JAKARTA SETIABUDI INTERNASIONAL</v>
      </c>
      <c r="J462" t="str">
        <f t="shared" si="84"/>
        <v>JSPT, Jakarta Setiabudi Internasional, Jakarta Setiabudi Internasional Tbk, JakartaSetiabudiInternasional, PT Jakarta Setiabudi Internasional</v>
      </c>
      <c r="K462" t="str">
        <f t="shared" si="85"/>
        <v>JSPT, Jakarta Setiabudi Internasional, Jakarta Setiabudi Internasional Tbk, JakartaSetiabudiInternasional, PT Jakarta Setiabudi Internasional</v>
      </c>
      <c r="L462" t="str">
        <f t="shared" si="81"/>
        <v>JakartaSetiabudiInternasional</v>
      </c>
      <c r="M462" t="str">
        <f t="shared" si="86"/>
        <v>JSPT, Jakarta Setiabudi Internasional, Jakarta Setiabudi Internasional Tbk, PT Jakarta Setiabudi Internasional</v>
      </c>
      <c r="N462" t="str">
        <f t="shared" si="87"/>
        <v>JSPT, Jakarta Setiabudi Internasional, Jakarta Setiabudi Internasional Tbk, PT Jakarta Setiabudi Internasional</v>
      </c>
    </row>
    <row r="463" spans="1:14" x14ac:dyDescent="0.2">
      <c r="A463" t="s">
        <v>690</v>
      </c>
      <c r="B463" t="s">
        <v>691</v>
      </c>
      <c r="C463" t="s">
        <v>8262</v>
      </c>
      <c r="D463" t="str">
        <f t="shared" si="77"/>
        <v>JTPE, JASUINDO TIGA PERKASA, Jasuindo Tiga Perkasa, Jasuindo Tiga Perkasa Tbk, JasuindoTigaPerkasa, PT Jasuindo Tiga Perkasa, jasuindo tiga perkasa</v>
      </c>
      <c r="E463" t="str">
        <f t="shared" si="78"/>
        <v>JTPE, JASUINDO TIGA PERKASA, Jasuindo Tiga Perkasa, Jasuindo Tiga Perkasa Tbk, JasuindoTigaPerkasa, PT Jasuindo Tiga Perkasa, jasuindo tiga perkasa</v>
      </c>
      <c r="F463" t="str">
        <f t="shared" si="79"/>
        <v>jasuindo tiga perkasa</v>
      </c>
      <c r="G463" t="str">
        <f t="shared" si="82"/>
        <v>JTPE, JASUINDO TIGA PERKASA, Jasuindo Tiga Perkasa, Jasuindo Tiga Perkasa Tbk, JasuindoTigaPerkasa, PT Jasuindo Tiga Perkasa</v>
      </c>
      <c r="H463" t="str">
        <f t="shared" si="83"/>
        <v>JTPE, JASUINDO TIGA PERKASA, Jasuindo Tiga Perkasa, Jasuindo Tiga Perkasa Tbk, JasuindoTigaPerkasa, PT Jasuindo Tiga Perkasa</v>
      </c>
      <c r="I463" t="str">
        <f t="shared" si="80"/>
        <v>JASUINDO TIGA PERKASA</v>
      </c>
      <c r="J463" t="str">
        <f t="shared" si="84"/>
        <v>JTPE, Jasuindo Tiga Perkasa, Jasuindo Tiga Perkasa Tbk, JasuindoTigaPerkasa, PT Jasuindo Tiga Perkasa</v>
      </c>
      <c r="K463" t="str">
        <f t="shared" si="85"/>
        <v>JTPE, Jasuindo Tiga Perkasa, Jasuindo Tiga Perkasa Tbk, JasuindoTigaPerkasa, PT Jasuindo Tiga Perkasa</v>
      </c>
      <c r="L463" t="str">
        <f t="shared" si="81"/>
        <v>JasuindoTigaPerkasa</v>
      </c>
      <c r="M463" t="str">
        <f t="shared" si="86"/>
        <v>JTPE, Jasuindo Tiga Perkasa, Jasuindo Tiga Perkasa Tbk, PT Jasuindo Tiga Perkasa</v>
      </c>
      <c r="N463" t="str">
        <f t="shared" si="87"/>
        <v>JTPE, Jasuindo Tiga Perkasa, Jasuindo Tiga Perkasa Tbk, PT Jasuindo Tiga Perkasa</v>
      </c>
    </row>
    <row r="464" spans="1:14" x14ac:dyDescent="0.2">
      <c r="A464" t="s">
        <v>693</v>
      </c>
      <c r="B464" t="s">
        <v>694</v>
      </c>
      <c r="C464" t="s">
        <v>8263</v>
      </c>
      <c r="D464" t="str">
        <f t="shared" si="77"/>
        <v>KAEF, KIMIA FARMA, Kimia Farma, Kimia Farma Tbk, KimiaFarma, PT Kimia Farma, kimia farma</v>
      </c>
      <c r="E464" t="str">
        <f t="shared" si="78"/>
        <v>KAEF, KIMIA FARMA, Kimia Farma, Kimia Farma Tbk, KimiaFarma, PT Kimia Farma, kimia farma</v>
      </c>
      <c r="F464" t="str">
        <f t="shared" si="79"/>
        <v>kimia farma</v>
      </c>
      <c r="G464" t="str">
        <f t="shared" si="82"/>
        <v>KAEF, KIMIA FARMA, Kimia Farma, Kimia Farma Tbk, KimiaFarma, PT Kimia Farma</v>
      </c>
      <c r="H464" t="str">
        <f t="shared" si="83"/>
        <v>KAEF, KIMIA FARMA, Kimia Farma, Kimia Farma Tbk, KimiaFarma, PT Kimia Farma</v>
      </c>
      <c r="I464" t="str">
        <f t="shared" si="80"/>
        <v>KIMIA FARMA</v>
      </c>
      <c r="J464" t="str">
        <f t="shared" si="84"/>
        <v>KAEF, Kimia Farma, Kimia Farma Tbk, KimiaFarma, PT Kimia Farma</v>
      </c>
      <c r="K464" t="str">
        <f t="shared" si="85"/>
        <v>KAEF, Kimia Farma, Kimia Farma Tbk, KimiaFarma, PT Kimia Farma</v>
      </c>
      <c r="L464" t="str">
        <f t="shared" si="81"/>
        <v>KimiaFarma</v>
      </c>
      <c r="M464" t="str">
        <f t="shared" si="86"/>
        <v>KAEF, Kimia Farma, Kimia Farma Tbk, PT Kimia Farma</v>
      </c>
      <c r="N464" t="str">
        <f t="shared" si="87"/>
        <v>KAEF, Kimia Farma, Kimia Farma Tbk, PT Kimia Farma</v>
      </c>
    </row>
    <row r="465" spans="1:14" x14ac:dyDescent="0.2">
      <c r="A465" t="s">
        <v>2569</v>
      </c>
      <c r="B465" t="s">
        <v>2570</v>
      </c>
      <c r="C465" t="s">
        <v>8264</v>
      </c>
      <c r="D465" t="str">
        <f t="shared" si="77"/>
        <v>KAQI, JANTRA GRUPO INDONESIA, Jantra Grupo Indonesia, Jantra Grupo Indonesia Tbk, JantraGrupoIndonesia, PT Jantra Grupo Indonesia, jantra grupo indonesia</v>
      </c>
      <c r="E465" t="str">
        <f t="shared" si="78"/>
        <v>KAQI, JANTRA GRUPO INDONESIA, Jantra Grupo Indonesia, Jantra Grupo Indonesia Tbk, JantraGrupoIndonesia, PT Jantra Grupo Indonesia, jantra grupo indonesia</v>
      </c>
      <c r="F465" t="str">
        <f t="shared" si="79"/>
        <v>jantra grupo indonesia</v>
      </c>
      <c r="G465" t="str">
        <f t="shared" si="82"/>
        <v>KAQI, JANTRA GRUPO INDONESIA, Jantra Grupo Indonesia, Jantra Grupo Indonesia Tbk, JantraGrupoIndonesia, PT Jantra Grupo Indonesia</v>
      </c>
      <c r="H465" t="str">
        <f t="shared" si="83"/>
        <v>KAQI, JANTRA GRUPO INDONESIA, Jantra Grupo Indonesia, Jantra Grupo Indonesia Tbk, JantraGrupoIndonesia, PT Jantra Grupo Indonesia</v>
      </c>
      <c r="I465" t="str">
        <f t="shared" si="80"/>
        <v>JANTRA GRUPO INDONESIA</v>
      </c>
      <c r="J465" t="str">
        <f t="shared" si="84"/>
        <v>KAQI, Jantra Grupo Indonesia, Jantra Grupo Indonesia Tbk, JantraGrupoIndonesia, PT Jantra Grupo Indonesia</v>
      </c>
      <c r="K465" t="str">
        <f t="shared" si="85"/>
        <v>KAQI, Jantra Grupo Indonesia, Jantra Grupo Indonesia Tbk, JantraGrupoIndonesia, PT Jantra Grupo Indonesia</v>
      </c>
      <c r="L465" t="str">
        <f t="shared" si="81"/>
        <v>JantraGrupoIndonesia</v>
      </c>
      <c r="M465" t="str">
        <f t="shared" si="86"/>
        <v>KAQI, Jantra Grupo Indonesia, Jantra Grupo Indonesia Tbk, PT Jantra Grupo Indonesia</v>
      </c>
      <c r="N465" t="str">
        <f t="shared" si="87"/>
        <v>KAQI, Jantra Grupo Indonesia, Jantra Grupo Indonesia Tbk, PT Jantra Grupo Indonesia</v>
      </c>
    </row>
    <row r="466" spans="1:14" x14ac:dyDescent="0.2">
      <c r="A466" t="s">
        <v>696</v>
      </c>
      <c r="B466" t="s">
        <v>697</v>
      </c>
      <c r="C466" t="s">
        <v>8265</v>
      </c>
      <c r="D466" t="str">
        <f t="shared" si="77"/>
        <v>KARW, MERATUS JASA PRIMA, Meratus Jasa Prima, Meratus Jasa Prima Tbk, MeratusJasaPrima, PT Meratus Jasa Prima, meratus jasa prima</v>
      </c>
      <c r="E466" t="str">
        <f t="shared" si="78"/>
        <v>KARW, MERATUS JASA PRIMA, Meratus Jasa Prima, Meratus Jasa Prima Tbk, MeratusJasaPrima, PT Meratus Jasa Prima, meratus jasa prima</v>
      </c>
      <c r="F466" t="str">
        <f t="shared" si="79"/>
        <v>meratus jasa prima</v>
      </c>
      <c r="G466" t="str">
        <f t="shared" si="82"/>
        <v>KARW, MERATUS JASA PRIMA, Meratus Jasa Prima, Meratus Jasa Prima Tbk, MeratusJasaPrima, PT Meratus Jasa Prima</v>
      </c>
      <c r="H466" t="str">
        <f t="shared" si="83"/>
        <v>KARW, MERATUS JASA PRIMA, Meratus Jasa Prima, Meratus Jasa Prima Tbk, MeratusJasaPrima, PT Meratus Jasa Prima</v>
      </c>
      <c r="I466" t="str">
        <f t="shared" si="80"/>
        <v>MERATUS JASA PRIMA</v>
      </c>
      <c r="J466" t="str">
        <f t="shared" si="84"/>
        <v>KARW, Meratus Jasa Prima, Meratus Jasa Prima Tbk, MeratusJasaPrima, PT Meratus Jasa Prima</v>
      </c>
      <c r="K466" t="str">
        <f t="shared" si="85"/>
        <v>KARW, Meratus Jasa Prima, Meratus Jasa Prima Tbk, MeratusJasaPrima, PT Meratus Jasa Prima</v>
      </c>
      <c r="L466" t="str">
        <f t="shared" si="81"/>
        <v>MeratusJasaPrima</v>
      </c>
      <c r="M466" t="str">
        <f t="shared" si="86"/>
        <v>KARW, Meratus Jasa Prima, Meratus Jasa Prima Tbk, PT Meratus Jasa Prima</v>
      </c>
      <c r="N466" t="str">
        <f t="shared" si="87"/>
        <v>KARW, Meratus Jasa Prima, Meratus Jasa Prima Tbk, PT Meratus Jasa Prima</v>
      </c>
    </row>
    <row r="467" spans="1:14" x14ac:dyDescent="0.2">
      <c r="A467" t="s">
        <v>1691</v>
      </c>
      <c r="B467" t="s">
        <v>1692</v>
      </c>
      <c r="C467" t="s">
        <v>8266</v>
      </c>
      <c r="D467" t="str">
        <f t="shared" si="77"/>
        <v>KAYU, DARMI BERSAUDARA, Darmi Bersaudara, Darmi Bersaudara Tbk, DarmiBersaudara, PT Darmi Bersaudara, darmi bersaudara</v>
      </c>
      <c r="E467" t="str">
        <f t="shared" si="78"/>
        <v>KAYU, DARMI BERSAUDARA, Darmi Bersaudara, Darmi Bersaudara Tbk, DarmiBersaudara, PT Darmi Bersaudara, darmi bersaudara</v>
      </c>
      <c r="F467" t="str">
        <f t="shared" si="79"/>
        <v>darmi bersaudara</v>
      </c>
      <c r="G467" t="str">
        <f t="shared" si="82"/>
        <v>KAYU, DARMI BERSAUDARA, Darmi Bersaudara, Darmi Bersaudara Tbk, DarmiBersaudara, PT Darmi Bersaudara</v>
      </c>
      <c r="H467" t="str">
        <f t="shared" si="83"/>
        <v>KAYU, DARMI BERSAUDARA, Darmi Bersaudara, Darmi Bersaudara Tbk, DarmiBersaudara, PT Darmi Bersaudara</v>
      </c>
      <c r="I467" t="str">
        <f t="shared" si="80"/>
        <v>DARMI BERSAUDARA</v>
      </c>
      <c r="J467" t="str">
        <f t="shared" si="84"/>
        <v>KAYU, Darmi Bersaudara, Darmi Bersaudara Tbk, DarmiBersaudara, PT Darmi Bersaudara</v>
      </c>
      <c r="K467" t="str">
        <f t="shared" si="85"/>
        <v>KAYU, Darmi Bersaudara, Darmi Bersaudara Tbk, DarmiBersaudara, PT Darmi Bersaudara</v>
      </c>
      <c r="L467" t="str">
        <f t="shared" si="81"/>
        <v>DarmiBersaudara</v>
      </c>
      <c r="M467" t="str">
        <f t="shared" si="86"/>
        <v>KAYU, Darmi Bersaudara, Darmi Bersaudara Tbk, PT Darmi Bersaudara</v>
      </c>
      <c r="N467" t="str">
        <f t="shared" si="87"/>
        <v>KAYU, Darmi Bersaudara, Darmi Bersaudara Tbk, PT Darmi Bersaudara</v>
      </c>
    </row>
    <row r="468" spans="1:14" x14ac:dyDescent="0.2">
      <c r="A468" t="s">
        <v>1830</v>
      </c>
      <c r="B468" t="s">
        <v>1831</v>
      </c>
      <c r="C468" t="s">
        <v>8267</v>
      </c>
      <c r="D468" t="str">
        <f t="shared" si="77"/>
        <v>KBAG, KARYA BERSAMA ANUGERAH, Karya Bersama Anugerah, Karya Bersama Anugerah Tbk, KaryaBersamaAnugerah, PT Karya Bersama Anugerah, karya bersama anugerah</v>
      </c>
      <c r="E468" t="str">
        <f t="shared" si="78"/>
        <v>KBAG, KARYA BERSAMA ANUGERAH, Karya Bersama Anugerah, Karya Bersama Anugerah Tbk, KaryaBersamaAnugerah, PT Karya Bersama Anugerah, karya bersama anugerah</v>
      </c>
      <c r="F468" t="str">
        <f t="shared" si="79"/>
        <v>karya bersama anugerah</v>
      </c>
      <c r="G468" t="str">
        <f t="shared" si="82"/>
        <v>KBAG, KARYA BERSAMA ANUGERAH, Karya Bersama Anugerah, Karya Bersama Anugerah Tbk, KaryaBersamaAnugerah, PT Karya Bersama Anugerah</v>
      </c>
      <c r="H468" t="str">
        <f t="shared" si="83"/>
        <v>KBAG, KARYA BERSAMA ANUGERAH, Karya Bersama Anugerah, Karya Bersama Anugerah Tbk, KaryaBersamaAnugerah, PT Karya Bersama Anugerah</v>
      </c>
      <c r="I468" t="str">
        <f t="shared" si="80"/>
        <v>KARYA BERSAMA ANUGERAH</v>
      </c>
      <c r="J468" t="str">
        <f t="shared" si="84"/>
        <v>KBAG, Karya Bersama Anugerah, Karya Bersama Anugerah Tbk, KaryaBersamaAnugerah, PT Karya Bersama Anugerah</v>
      </c>
      <c r="K468" t="str">
        <f t="shared" si="85"/>
        <v>KBAG, Karya Bersama Anugerah, Karya Bersama Anugerah Tbk, KaryaBersamaAnugerah, PT Karya Bersama Anugerah</v>
      </c>
      <c r="L468" t="str">
        <f t="shared" si="81"/>
        <v>KaryaBersamaAnugerah</v>
      </c>
      <c r="M468" t="str">
        <f t="shared" si="86"/>
        <v>KBAG, Karya Bersama Anugerah, Karya Bersama Anugerah Tbk, PT Karya Bersama Anugerah</v>
      </c>
      <c r="N468" t="str">
        <f t="shared" si="87"/>
        <v>KBAG, Karya Bersama Anugerah, Karya Bersama Anugerah Tbk, PT Karya Bersama Anugerah</v>
      </c>
    </row>
    <row r="469" spans="1:14" x14ac:dyDescent="0.2">
      <c r="A469" t="s">
        <v>699</v>
      </c>
      <c r="B469" t="s">
        <v>700</v>
      </c>
      <c r="C469" t="s">
        <v>8268</v>
      </c>
      <c r="D469" t="str">
        <f t="shared" si="77"/>
        <v>KBLI, KMI WIRE &amp; CABLE, KMI Wire &amp; Cable, KMI Wire &amp; Cable Tbk, KMIWire&amp;Cable, PT KMI Wire &amp; Cable, kmi wire &amp; cable</v>
      </c>
      <c r="E469" t="str">
        <f t="shared" si="78"/>
        <v>KBLI, KMI WIRE &amp; CABLE, KMI Wire &amp; Cable, KMI Wire &amp; Cable Tbk, KMIWire&amp;Cable, PT KMI Wire &amp; Cable, kmi wire &amp; cable</v>
      </c>
      <c r="F469" t="str">
        <f t="shared" si="79"/>
        <v>kmi wire &amp; cable</v>
      </c>
      <c r="G469" t="str">
        <f t="shared" si="82"/>
        <v>KBLI, KMI WIRE &amp; CABLE, KMI Wire &amp; Cable, KMI Wire &amp; Cable Tbk, KMIWire&amp;Cable, PT KMI Wire &amp; Cable</v>
      </c>
      <c r="H469" t="str">
        <f t="shared" si="83"/>
        <v>KBLI, KMI WIRE &amp; CABLE, KMI Wire &amp; Cable, KMI Wire &amp; Cable Tbk, KMIWire&amp;Cable, PT KMI Wire &amp; Cable</v>
      </c>
      <c r="I469" t="str">
        <f t="shared" si="80"/>
        <v>KMI WIRE &amp; CABLE</v>
      </c>
      <c r="J469" t="str">
        <f t="shared" si="84"/>
        <v>KBLI, KMI Wire &amp; Cable, KMI Wire &amp; Cable Tbk, KMIWire&amp;Cable, PT KMI Wire &amp; Cable</v>
      </c>
      <c r="K469" t="str">
        <f t="shared" si="85"/>
        <v>KBLI, KMI Wire &amp; Cable, KMI Wire &amp; Cable Tbk, KMIWire&amp;Cable, PT KMI Wire &amp; Cable</v>
      </c>
      <c r="L469" t="str">
        <f t="shared" si="81"/>
        <v>KMIWire&amp;Cable</v>
      </c>
      <c r="M469" t="str">
        <f t="shared" si="86"/>
        <v>KBLI, KMI Wire &amp; Cable, KMI Wire &amp; Cable Tbk, PT KMI Wire &amp; Cable</v>
      </c>
      <c r="N469" t="str">
        <f t="shared" si="87"/>
        <v>KBLI, KMI Wire &amp; Cable, KMI Wire &amp; Cable Tbk, PT KMI Wire &amp; Cable</v>
      </c>
    </row>
    <row r="470" spans="1:14" x14ac:dyDescent="0.2">
      <c r="A470" t="s">
        <v>702</v>
      </c>
      <c r="B470" t="s">
        <v>703</v>
      </c>
      <c r="C470" t="s">
        <v>8269</v>
      </c>
      <c r="D470" t="str">
        <f t="shared" si="77"/>
        <v>KBLM, KABELINDO MURNI, Kabelindo Murni, Kabelindo Murni Tbk, KabelindoMurni, PT Kabelindo Murni, kabelindo murni</v>
      </c>
      <c r="E470" t="str">
        <f t="shared" si="78"/>
        <v>KBLM, KABELINDO MURNI, Kabelindo Murni, Kabelindo Murni Tbk, KabelindoMurni, PT Kabelindo Murni, kabelindo murni</v>
      </c>
      <c r="F470" t="str">
        <f t="shared" si="79"/>
        <v>kabelindo murni</v>
      </c>
      <c r="G470" t="str">
        <f t="shared" si="82"/>
        <v>KBLM, KABELINDO MURNI, Kabelindo Murni, Kabelindo Murni Tbk, KabelindoMurni, PT Kabelindo Murni</v>
      </c>
      <c r="H470" t="str">
        <f t="shared" si="83"/>
        <v>KBLM, KABELINDO MURNI, Kabelindo Murni, Kabelindo Murni Tbk, KabelindoMurni, PT Kabelindo Murni</v>
      </c>
      <c r="I470" t="str">
        <f t="shared" si="80"/>
        <v>KABELINDO MURNI</v>
      </c>
      <c r="J470" t="str">
        <f t="shared" si="84"/>
        <v>KBLM, Kabelindo Murni, Kabelindo Murni Tbk, KabelindoMurni, PT Kabelindo Murni</v>
      </c>
      <c r="K470" t="str">
        <f t="shared" si="85"/>
        <v>KBLM, Kabelindo Murni, Kabelindo Murni Tbk, KabelindoMurni, PT Kabelindo Murni</v>
      </c>
      <c r="L470" t="str">
        <f t="shared" si="81"/>
        <v>KabelindoMurni</v>
      </c>
      <c r="M470" t="str">
        <f t="shared" si="86"/>
        <v>KBLM, Kabelindo Murni, Kabelindo Murni Tbk, PT Kabelindo Murni</v>
      </c>
      <c r="N470" t="str">
        <f t="shared" si="87"/>
        <v>KBLM, Kabelindo Murni, Kabelindo Murni Tbk, PT Kabelindo Murni</v>
      </c>
    </row>
    <row r="471" spans="1:14" x14ac:dyDescent="0.2">
      <c r="A471" t="s">
        <v>704</v>
      </c>
      <c r="B471" t="s">
        <v>705</v>
      </c>
      <c r="C471" t="s">
        <v>8270</v>
      </c>
      <c r="D471" t="str">
        <f t="shared" si="77"/>
        <v>KBLV, FIRST MEDIA, First Media, First Media Tbk, FirstMedia, PT First Media, first media</v>
      </c>
      <c r="E471" t="str">
        <f t="shared" si="78"/>
        <v>KBLV, FIRST MEDIA, First Media, First Media Tbk, FirstMedia, PT First Media, first media</v>
      </c>
      <c r="F471" t="str">
        <f t="shared" si="79"/>
        <v>first media</v>
      </c>
      <c r="G471" t="str">
        <f t="shared" si="82"/>
        <v>KBLV, FIRST MEDIA, First Media, First Media Tbk, FirstMedia, PT First Media</v>
      </c>
      <c r="H471" t="str">
        <f t="shared" si="83"/>
        <v>KBLV, FIRST MEDIA, First Media, First Media Tbk, FirstMedia, PT First Media</v>
      </c>
      <c r="I471" t="str">
        <f t="shared" si="80"/>
        <v>FIRST MEDIA</v>
      </c>
      <c r="J471" t="str">
        <f t="shared" si="84"/>
        <v>KBLV, First Media, First Media Tbk, FirstMedia, PT First Media</v>
      </c>
      <c r="K471" t="str">
        <f t="shared" si="85"/>
        <v>KBLV, First Media, First Media Tbk, FirstMedia, PT First Media</v>
      </c>
      <c r="L471" t="str">
        <f t="shared" si="81"/>
        <v>FirstMedia</v>
      </c>
      <c r="M471" t="str">
        <f t="shared" si="86"/>
        <v>KBLV, First Media, First Media Tbk, PT First Media</v>
      </c>
      <c r="N471" t="str">
        <f t="shared" si="87"/>
        <v>KBLV, First Media, First Media Tbk, PT First Media</v>
      </c>
    </row>
    <row r="472" spans="1:14" x14ac:dyDescent="0.2">
      <c r="A472" t="s">
        <v>707</v>
      </c>
      <c r="B472" t="s">
        <v>3600</v>
      </c>
      <c r="C472" t="s">
        <v>8271</v>
      </c>
      <c r="D472" t="str">
        <f t="shared" si="77"/>
        <v>KBRI, KERTAS BASUKI RACHMAT INDONESIA, Kertas Basuki Rachmat Indonesia, Kertas Basuki Rachmat Indonesia Tbk, KertasBasukiRachmatIndonesia, PT Kertas Basuki Rachmat Indonesia, kertas basuki rachmat indonesia</v>
      </c>
      <c r="E472" t="str">
        <f t="shared" si="78"/>
        <v>KBRI, KERTAS BASUKI RACHMAT INDONESIA, Kertas Basuki Rachmat Indonesia, Kertas Basuki Rachmat Indonesia Tbk, KertasBasukiRachmatIndonesia, PT Kertas Basuki Rachmat Indonesia, kertas basuki rachmat indonesia</v>
      </c>
      <c r="F472" t="str">
        <f t="shared" si="79"/>
        <v>kertas basuki rachmat indonesia</v>
      </c>
      <c r="G472" t="str">
        <f t="shared" si="82"/>
        <v>KBRI, KERTAS BASUKI RACHMAT INDONESIA, Kertas Basuki Rachmat Indonesia, Kertas Basuki Rachmat Indonesia Tbk, KertasBasukiRachmatIndonesia, PT Kertas Basuki Rachmat Indonesia</v>
      </c>
      <c r="H472" t="str">
        <f t="shared" si="83"/>
        <v>KBRI, KERTAS BASUKI RACHMAT INDONESIA, Kertas Basuki Rachmat Indonesia, Kertas Basuki Rachmat Indonesia Tbk, KertasBasukiRachmatIndonesia, PT Kertas Basuki Rachmat Indonesia</v>
      </c>
      <c r="I472" t="str">
        <f t="shared" si="80"/>
        <v>KERTAS BASUKI RACHMAT INDONESIA</v>
      </c>
      <c r="J472" t="str">
        <f t="shared" si="84"/>
        <v>KBRI, Kertas Basuki Rachmat Indonesia, Kertas Basuki Rachmat Indonesia Tbk, KertasBasukiRachmatIndonesia, PT Kertas Basuki Rachmat Indonesia</v>
      </c>
      <c r="K472" t="str">
        <f t="shared" si="85"/>
        <v>KBRI, Kertas Basuki Rachmat Indonesia, Kertas Basuki Rachmat Indonesia Tbk, KertasBasukiRachmatIndonesia, PT Kertas Basuki Rachmat Indonesia</v>
      </c>
      <c r="L472" t="str">
        <f t="shared" si="81"/>
        <v>KertasBasukiRachmatIndonesia</v>
      </c>
      <c r="M472" t="str">
        <f t="shared" si="86"/>
        <v>KBRI, Kertas Basuki Rachmat Indonesia, Kertas Basuki Rachmat Indonesia Tbk, PT Kertas Basuki Rachmat Indonesia</v>
      </c>
      <c r="N472" t="str">
        <f t="shared" si="87"/>
        <v>KBRI, Kertas Basuki Rachmat Indonesia, Kertas Basuki Rachmat Indonesia Tbk, PT Kertas Basuki Rachmat Indonesia</v>
      </c>
    </row>
    <row r="473" spans="1:14" x14ac:dyDescent="0.2">
      <c r="A473" t="s">
        <v>709</v>
      </c>
      <c r="B473" t="s">
        <v>710</v>
      </c>
      <c r="C473" t="s">
        <v>8272</v>
      </c>
      <c r="D473" t="str">
        <f t="shared" si="77"/>
        <v>KDSI, KEDAWUNG SETIA INDUSTRIAL, Kedawung Setia Industrial, Kedawung Setia Industrial Tbk, KedawungSetiaIndustrial, PT Kedawung Setia Industrial, kedawung setia industrial</v>
      </c>
      <c r="E473" t="str">
        <f t="shared" si="78"/>
        <v>KDSI, KEDAWUNG SETIA INDUSTRIAL, Kedawung Setia Industrial, Kedawung Setia Industrial Tbk, KedawungSetiaIndustrial, PT Kedawung Setia Industrial, kedawung setia industrial</v>
      </c>
      <c r="F473" t="str">
        <f t="shared" si="79"/>
        <v>kedawung setia industrial</v>
      </c>
      <c r="G473" t="str">
        <f t="shared" si="82"/>
        <v>KDSI, KEDAWUNG SETIA INDUSTRIAL, Kedawung Setia Industrial, Kedawung Setia Industrial Tbk, KedawungSetiaIndustrial, PT Kedawung Setia Industrial</v>
      </c>
      <c r="H473" t="str">
        <f t="shared" si="83"/>
        <v>KDSI, KEDAWUNG SETIA INDUSTRIAL, Kedawung Setia Industrial, Kedawung Setia Industrial Tbk, KedawungSetiaIndustrial, PT Kedawung Setia Industrial</v>
      </c>
      <c r="I473" t="str">
        <f t="shared" si="80"/>
        <v>KEDAWUNG SETIA INDUSTRIAL</v>
      </c>
      <c r="J473" t="str">
        <f t="shared" si="84"/>
        <v>KDSI, Kedawung Setia Industrial, Kedawung Setia Industrial Tbk, KedawungSetiaIndustrial, PT Kedawung Setia Industrial</v>
      </c>
      <c r="K473" t="str">
        <f t="shared" si="85"/>
        <v>KDSI, Kedawung Setia Industrial, Kedawung Setia Industrial Tbk, KedawungSetiaIndustrial, PT Kedawung Setia Industrial</v>
      </c>
      <c r="L473" t="str">
        <f t="shared" si="81"/>
        <v>KedawungSetiaIndustrial</v>
      </c>
      <c r="M473" t="str">
        <f t="shared" si="86"/>
        <v>KDSI, Kedawung Setia Industrial, Kedawung Setia Industrial Tbk, PT Kedawung Setia Industrial</v>
      </c>
      <c r="N473" t="str">
        <f t="shared" si="87"/>
        <v>KDSI, Kedawung Setia Industrial, Kedawung Setia Industrial Tbk, PT Kedawung Setia Industrial</v>
      </c>
    </row>
    <row r="474" spans="1:14" x14ac:dyDescent="0.2">
      <c r="A474" t="s">
        <v>2196</v>
      </c>
      <c r="B474" t="s">
        <v>2197</v>
      </c>
      <c r="C474" t="s">
        <v>8273</v>
      </c>
      <c r="D474" t="str">
        <f t="shared" si="77"/>
        <v>KDTN, PT Puri Sentul Permai, PURI SENTUL PERMAI, Puri Sentul Permai, Puri Sentul Permai Tbk, PuriSentulPermai, puri sentul permai</v>
      </c>
      <c r="E474" t="str">
        <f t="shared" si="78"/>
        <v>KDTN, PT Puri Sentul Permai, PURI SENTUL PERMAI, Puri Sentul Permai, Puri Sentul Permai Tbk, PuriSentulPermai, puri sentul permai</v>
      </c>
      <c r="F474" t="str">
        <f t="shared" si="79"/>
        <v>puri sentul permai</v>
      </c>
      <c r="G474" t="str">
        <f t="shared" si="82"/>
        <v>KDTN, PT Puri Sentul Permai, PURI SENTUL PERMAI, Puri Sentul Permai, Puri Sentul Permai Tbk, PuriSentulPermai</v>
      </c>
      <c r="H474" t="str">
        <f t="shared" si="83"/>
        <v>KDTN, PT Puri Sentul Permai, PURI SENTUL PERMAI, Puri Sentul Permai, Puri Sentul Permai Tbk, PuriSentulPermai</v>
      </c>
      <c r="I474" t="str">
        <f t="shared" si="80"/>
        <v>PURI SENTUL PERMAI</v>
      </c>
      <c r="J474" t="str">
        <f t="shared" si="84"/>
        <v>KDTN, PT Puri Sentul Permai, Puri Sentul Permai, Puri Sentul Permai Tbk, PuriSentulPermai</v>
      </c>
      <c r="K474" t="str">
        <f t="shared" si="85"/>
        <v>KDTN, PT Puri Sentul Permai, Puri Sentul Permai, Puri Sentul Permai Tbk, PuriSentulPermai</v>
      </c>
      <c r="L474" t="str">
        <f t="shared" si="81"/>
        <v>PuriSentulPermai</v>
      </c>
      <c r="M474" t="str">
        <f t="shared" si="86"/>
        <v>KDTN, PT Puri Sentul Permai, Puri Sentul Permai, Puri Sentul Permai Tbk</v>
      </c>
      <c r="N474" t="str">
        <f t="shared" si="87"/>
        <v>KDTN, PT Puri Sentul Permai, Puri Sentul Permai, Puri Sentul Permai Tbk</v>
      </c>
    </row>
    <row r="475" spans="1:14" x14ac:dyDescent="0.2">
      <c r="A475" t="s">
        <v>1729</v>
      </c>
      <c r="B475" t="s">
        <v>1730</v>
      </c>
      <c r="C475" t="s">
        <v>8274</v>
      </c>
      <c r="D475" t="str">
        <f t="shared" si="77"/>
        <v>KEEN, KENCANA ENERGI LESTARI, Kencana Energi Lestari, Kencana Energi Lestari Tbk, KencanaEnergiLestari, PT Kencana Energi Lestari, kencana energi lestari</v>
      </c>
      <c r="E475" t="str">
        <f t="shared" si="78"/>
        <v>KEEN, KENCANA ENERGI LESTARI, Kencana Energi Lestari, Kencana Energi Lestari Tbk, KencanaEnergiLestari, PT Kencana Energi Lestari, kencana energi lestari</v>
      </c>
      <c r="F475" t="str">
        <f t="shared" si="79"/>
        <v>kencana energi lestari</v>
      </c>
      <c r="G475" t="str">
        <f t="shared" si="82"/>
        <v>KEEN, KENCANA ENERGI LESTARI, Kencana Energi Lestari, Kencana Energi Lestari Tbk, KencanaEnergiLestari, PT Kencana Energi Lestari</v>
      </c>
      <c r="H475" t="str">
        <f t="shared" si="83"/>
        <v>KEEN, KENCANA ENERGI LESTARI, Kencana Energi Lestari, Kencana Energi Lestari Tbk, KencanaEnergiLestari, PT Kencana Energi Lestari</v>
      </c>
      <c r="I475" t="str">
        <f t="shared" si="80"/>
        <v>KENCANA ENERGI LESTARI</v>
      </c>
      <c r="J475" t="str">
        <f t="shared" si="84"/>
        <v>KEEN, Kencana Energi Lestari, Kencana Energi Lestari Tbk, KencanaEnergiLestari, PT Kencana Energi Lestari</v>
      </c>
      <c r="K475" t="str">
        <f t="shared" si="85"/>
        <v>KEEN, Kencana Energi Lestari, Kencana Energi Lestari Tbk, KencanaEnergiLestari, PT Kencana Energi Lestari</v>
      </c>
      <c r="L475" t="str">
        <f t="shared" si="81"/>
        <v>KencanaEnergiLestari</v>
      </c>
      <c r="M475" t="str">
        <f t="shared" si="86"/>
        <v>KEEN, Kencana Energi Lestari, Kencana Energi Lestari Tbk, PT Kencana Energi Lestari</v>
      </c>
      <c r="N475" t="str">
        <f t="shared" si="87"/>
        <v>KEEN, Kencana Energi Lestari, Kencana Energi Lestari Tbk, PT Kencana Energi Lestari</v>
      </c>
    </row>
    <row r="476" spans="1:14" x14ac:dyDescent="0.2">
      <c r="A476" t="s">
        <v>1768</v>
      </c>
      <c r="B476" t="s">
        <v>1769</v>
      </c>
      <c r="C476" t="s">
        <v>8275</v>
      </c>
      <c r="D476" t="str">
        <f t="shared" si="77"/>
        <v>KEJU, MULIA BOGA RAYA, Mulia Boga Raya, Mulia Boga Raya Tbk, MuliaBogaRaya, PT Mulia Boga Raya, mulia boga raya</v>
      </c>
      <c r="E476" t="str">
        <f t="shared" si="78"/>
        <v>KEJU, MULIA BOGA RAYA, Mulia Boga Raya, Mulia Boga Raya Tbk, MuliaBogaRaya, PT Mulia Boga Raya, mulia boga raya</v>
      </c>
      <c r="F476" t="str">
        <f t="shared" si="79"/>
        <v>mulia boga raya</v>
      </c>
      <c r="G476" t="str">
        <f t="shared" si="82"/>
        <v>KEJU, MULIA BOGA RAYA, Mulia Boga Raya, Mulia Boga Raya Tbk, MuliaBogaRaya, PT Mulia Boga Raya</v>
      </c>
      <c r="H476" t="str">
        <f t="shared" si="83"/>
        <v>KEJU, MULIA BOGA RAYA, Mulia Boga Raya, Mulia Boga Raya Tbk, MuliaBogaRaya, PT Mulia Boga Raya</v>
      </c>
      <c r="I476" t="str">
        <f t="shared" si="80"/>
        <v>MULIA BOGA RAYA</v>
      </c>
      <c r="J476" t="str">
        <f t="shared" si="84"/>
        <v>KEJU, Mulia Boga Raya, Mulia Boga Raya Tbk, MuliaBogaRaya, PT Mulia Boga Raya</v>
      </c>
      <c r="K476" t="str">
        <f t="shared" si="85"/>
        <v>KEJU, Mulia Boga Raya, Mulia Boga Raya Tbk, MuliaBogaRaya, PT Mulia Boga Raya</v>
      </c>
      <c r="L476" t="str">
        <f t="shared" si="81"/>
        <v>MuliaBogaRaya</v>
      </c>
      <c r="M476" t="str">
        <f t="shared" si="86"/>
        <v>KEJU, Mulia Boga Raya, Mulia Boga Raya Tbk, PT Mulia Boga Raya</v>
      </c>
      <c r="N476" t="str">
        <f t="shared" si="87"/>
        <v>KEJU, Mulia Boga Raya, Mulia Boga Raya Tbk, PT Mulia Boga Raya</v>
      </c>
    </row>
    <row r="477" spans="1:14" x14ac:dyDescent="0.2">
      <c r="A477" t="s">
        <v>2652</v>
      </c>
      <c r="B477" t="s">
        <v>2653</v>
      </c>
      <c r="C477" t="s">
        <v>8276</v>
      </c>
      <c r="D477" t="str">
        <f t="shared" si="77"/>
        <v>KETR, KETROSDEN TRIASMITRA, Ketrosden Triasmitra, Ketrosden Triasmitra Tbk, KetrosdenTriasmitra, PT Ketrosden Triasmitra, ketrosden triasmitra</v>
      </c>
      <c r="E477" t="str">
        <f t="shared" si="78"/>
        <v>KETR, KETROSDEN TRIASMITRA, Ketrosden Triasmitra, Ketrosden Triasmitra Tbk, KetrosdenTriasmitra, PT Ketrosden Triasmitra, ketrosden triasmitra</v>
      </c>
      <c r="F477" t="str">
        <f t="shared" si="79"/>
        <v>ketrosden triasmitra</v>
      </c>
      <c r="G477" t="str">
        <f t="shared" si="82"/>
        <v>KETR, KETROSDEN TRIASMITRA, Ketrosden Triasmitra, Ketrosden Triasmitra Tbk, KetrosdenTriasmitra, PT Ketrosden Triasmitra</v>
      </c>
      <c r="H477" t="str">
        <f t="shared" si="83"/>
        <v>KETR, KETROSDEN TRIASMITRA, Ketrosden Triasmitra, Ketrosden Triasmitra Tbk, KetrosdenTriasmitra, PT Ketrosden Triasmitra</v>
      </c>
      <c r="I477" t="str">
        <f t="shared" si="80"/>
        <v>KETROSDEN TRIASMITRA</v>
      </c>
      <c r="J477" t="str">
        <f t="shared" si="84"/>
        <v>KETR, Ketrosden Triasmitra, Ketrosden Triasmitra Tbk, KetrosdenTriasmitra, PT Ketrosden Triasmitra</v>
      </c>
      <c r="K477" t="str">
        <f t="shared" si="85"/>
        <v>KETR, Ketrosden Triasmitra, Ketrosden Triasmitra Tbk, KetrosdenTriasmitra, PT Ketrosden Triasmitra</v>
      </c>
      <c r="L477" t="str">
        <f t="shared" si="81"/>
        <v>KetrosdenTriasmitra</v>
      </c>
      <c r="M477" t="str">
        <f t="shared" si="86"/>
        <v>KETR, Ketrosden Triasmitra, Ketrosden Triasmitra Tbk, PT Ketrosden Triasmitra</v>
      </c>
      <c r="N477" t="str">
        <f t="shared" si="87"/>
        <v>KETR, Ketrosden Triasmitra, Ketrosden Triasmitra Tbk, PT Ketrosden Triasmitra</v>
      </c>
    </row>
    <row r="478" spans="1:14" x14ac:dyDescent="0.2">
      <c r="A478" t="s">
        <v>712</v>
      </c>
      <c r="B478" t="s">
        <v>3601</v>
      </c>
      <c r="C478" t="s">
        <v>8277</v>
      </c>
      <c r="D478" t="str">
        <f t="shared" si="77"/>
        <v>KIAS, KERAMIKA INDONESIA ASSOSIASI, Keramika Indonesia Assosiasi, Keramika Indonesia Assosiasi Tbk, KeramikaIndonesiaAssosiasi, PT Keramika Indonesia Assosiasi, keramika indonesia assosiasi</v>
      </c>
      <c r="E478" t="str">
        <f t="shared" si="78"/>
        <v>KIAS, KERAMIKA INDONESIA ASSOSIASI, Keramika Indonesia Assosiasi, Keramika Indonesia Assosiasi Tbk, KeramikaIndonesiaAssosiasi, PT Keramika Indonesia Assosiasi, keramika indonesia assosiasi</v>
      </c>
      <c r="F478" t="str">
        <f t="shared" si="79"/>
        <v>keramika indonesia assosiasi</v>
      </c>
      <c r="G478" t="str">
        <f t="shared" si="82"/>
        <v>KIAS, KERAMIKA INDONESIA ASSOSIASI, Keramika Indonesia Assosiasi, Keramika Indonesia Assosiasi Tbk, KeramikaIndonesiaAssosiasi, PT Keramika Indonesia Assosiasi</v>
      </c>
      <c r="H478" t="str">
        <f t="shared" si="83"/>
        <v>KIAS, KERAMIKA INDONESIA ASSOSIASI, Keramika Indonesia Assosiasi, Keramika Indonesia Assosiasi Tbk, KeramikaIndonesiaAssosiasi, PT Keramika Indonesia Assosiasi</v>
      </c>
      <c r="I478" t="str">
        <f t="shared" si="80"/>
        <v>KERAMIKA INDONESIA ASSOSIASI</v>
      </c>
      <c r="J478" t="str">
        <f t="shared" si="84"/>
        <v>KIAS, Keramika Indonesia Assosiasi, Keramika Indonesia Assosiasi Tbk, KeramikaIndonesiaAssosiasi, PT Keramika Indonesia Assosiasi</v>
      </c>
      <c r="K478" t="str">
        <f t="shared" si="85"/>
        <v>KIAS, Keramika Indonesia Assosiasi, Keramika Indonesia Assosiasi Tbk, KeramikaIndonesiaAssosiasi, PT Keramika Indonesia Assosiasi</v>
      </c>
      <c r="L478" t="str">
        <f t="shared" si="81"/>
        <v>KeramikaIndonesiaAssosiasi</v>
      </c>
      <c r="M478" t="str">
        <f t="shared" si="86"/>
        <v>KIAS, Keramika Indonesia Assosiasi, Keramika Indonesia Assosiasi Tbk, PT Keramika Indonesia Assosiasi</v>
      </c>
      <c r="N478" t="str">
        <f t="shared" si="87"/>
        <v>KIAS, Keramika Indonesia Assosiasi, Keramika Indonesia Assosiasi Tbk, PT Keramika Indonesia Assosiasi</v>
      </c>
    </row>
    <row r="479" spans="1:14" x14ac:dyDescent="0.2">
      <c r="A479" t="s">
        <v>714</v>
      </c>
      <c r="B479" t="s">
        <v>3602</v>
      </c>
      <c r="C479" t="s">
        <v>8278</v>
      </c>
      <c r="D479" t="str">
        <f t="shared" si="77"/>
        <v>KICI, KEDAUNG INDAH CAN, Kedaung Indah Can, Kedaung Indah Can Tbk, KedaungIndahCan, PT Kedaung Indah Can, kedaung indah can</v>
      </c>
      <c r="E479" t="str">
        <f t="shared" si="78"/>
        <v>KICI, KEDAUNG INDAH CAN, Kedaung Indah Can, Kedaung Indah Can Tbk, KedaungIndahCan, PT Kedaung Indah Can, kedaung indah can</v>
      </c>
      <c r="F479" t="str">
        <f t="shared" si="79"/>
        <v>kedaung indah can</v>
      </c>
      <c r="G479" t="str">
        <f t="shared" si="82"/>
        <v>KICI, KEDAUNG INDAH CAN, Kedaung Indah Can, Kedaung Indah Can Tbk, KedaungIndahCan, PT Kedaung Indah Can</v>
      </c>
      <c r="H479" t="str">
        <f t="shared" si="83"/>
        <v>KICI, KEDAUNG INDAH CAN, Kedaung Indah Can, Kedaung Indah Can Tbk, KedaungIndahCan, PT Kedaung Indah Can</v>
      </c>
      <c r="I479" t="str">
        <f t="shared" si="80"/>
        <v>KEDAUNG INDAH CAN</v>
      </c>
      <c r="J479" t="str">
        <f t="shared" si="84"/>
        <v>KICI, Kedaung Indah Can, Kedaung Indah Can Tbk, KedaungIndahCan, PT Kedaung Indah Can</v>
      </c>
      <c r="K479" t="str">
        <f t="shared" si="85"/>
        <v>KICI, Kedaung Indah Can, Kedaung Indah Can Tbk, KedaungIndahCan, PT Kedaung Indah Can</v>
      </c>
      <c r="L479" t="str">
        <f t="shared" si="81"/>
        <v>KedaungIndahCan</v>
      </c>
      <c r="M479" t="str">
        <f t="shared" si="86"/>
        <v>KICI, Kedaung Indah Can, Kedaung Indah Can Tbk, PT Kedaung Indah Can</v>
      </c>
      <c r="N479" t="str">
        <f t="shared" si="87"/>
        <v>KICI, Kedaung Indah Can, Kedaung Indah Can Tbk, PT Kedaung Indah Can</v>
      </c>
    </row>
    <row r="480" spans="1:14" x14ac:dyDescent="0.2">
      <c r="A480" t="s">
        <v>717</v>
      </c>
      <c r="B480" t="s">
        <v>718</v>
      </c>
      <c r="C480" t="s">
        <v>8279</v>
      </c>
      <c r="D480" t="str">
        <f t="shared" si="77"/>
        <v>KIJA, KAWASAN INDUSTRI JABABEKA, Kawasan Industri Jababeka, Kawasan Industri Jababeka Tbk, KawasanIndustriJababeka, PT Kawasan Industri Jababeka, kawasan industri jababeka</v>
      </c>
      <c r="E480" t="str">
        <f t="shared" si="78"/>
        <v>KIJA, KAWASAN INDUSTRI JABABEKA, Kawasan Industri Jababeka, Kawasan Industri Jababeka Tbk, KawasanIndustriJababeka, PT Kawasan Industri Jababeka, kawasan industri jababeka</v>
      </c>
      <c r="F480" t="str">
        <f t="shared" si="79"/>
        <v>kawasan industri jababeka</v>
      </c>
      <c r="G480" t="str">
        <f t="shared" si="82"/>
        <v>KIJA, KAWASAN INDUSTRI JABABEKA, Kawasan Industri Jababeka, Kawasan Industri Jababeka Tbk, KawasanIndustriJababeka, PT Kawasan Industri Jababeka</v>
      </c>
      <c r="H480" t="str">
        <f t="shared" si="83"/>
        <v>KIJA, KAWASAN INDUSTRI JABABEKA, Kawasan Industri Jababeka, Kawasan Industri Jababeka Tbk, KawasanIndustriJababeka, PT Kawasan Industri Jababeka</v>
      </c>
      <c r="I480" t="str">
        <f t="shared" si="80"/>
        <v>KAWASAN INDUSTRI JABABEKA</v>
      </c>
      <c r="J480" t="str">
        <f t="shared" si="84"/>
        <v>KIJA, Kawasan Industri Jababeka, Kawasan Industri Jababeka Tbk, KawasanIndustriJababeka, PT Kawasan Industri Jababeka</v>
      </c>
      <c r="K480" t="str">
        <f t="shared" si="85"/>
        <v>KIJA, Kawasan Industri Jababeka, Kawasan Industri Jababeka Tbk, KawasanIndustriJababeka, PT Kawasan Industri Jababeka</v>
      </c>
      <c r="L480" t="str">
        <f t="shared" si="81"/>
        <v>KawasanIndustriJababeka</v>
      </c>
      <c r="M480" t="str">
        <f t="shared" si="86"/>
        <v>KIJA, Kawasan Industri Jababeka, Kawasan Industri Jababeka Tbk, PT Kawasan Industri Jababeka</v>
      </c>
      <c r="N480" t="str">
        <f t="shared" si="87"/>
        <v>KIJA, Kawasan Industri Jababeka, Kawasan Industri Jababeka Tbk, PT Kawasan Industri Jababeka</v>
      </c>
    </row>
    <row r="481" spans="1:14" x14ac:dyDescent="0.2">
      <c r="A481" t="s">
        <v>2264</v>
      </c>
      <c r="B481" t="s">
        <v>2265</v>
      </c>
      <c r="C481" t="s">
        <v>8280</v>
      </c>
      <c r="D481" t="str">
        <f t="shared" si="77"/>
        <v>KING, HOFFMEN CLEANINDO, Hoffmen Cleanindo, Hoffmen Cleanindo Tbk, HoffmenCleanindo, PT Hoffmen Cleanindo, hoffmen cleanindo</v>
      </c>
      <c r="E481" t="str">
        <f t="shared" si="78"/>
        <v>KING, HOFFMEN CLEANINDO, Hoffmen Cleanindo, Hoffmen Cleanindo Tbk, HoffmenCleanindo, PT Hoffmen Cleanindo, hoffmen cleanindo</v>
      </c>
      <c r="F481" t="str">
        <f t="shared" si="79"/>
        <v>hoffmen cleanindo</v>
      </c>
      <c r="G481" t="str">
        <f t="shared" si="82"/>
        <v>KING, HOFFMEN CLEANINDO, Hoffmen Cleanindo, Hoffmen Cleanindo Tbk, HoffmenCleanindo, PT Hoffmen Cleanindo</v>
      </c>
      <c r="H481" t="str">
        <f t="shared" si="83"/>
        <v>KING, HOFFMEN CLEANINDO, Hoffmen Cleanindo, Hoffmen Cleanindo Tbk, HoffmenCleanindo, PT Hoffmen Cleanindo</v>
      </c>
      <c r="I481" t="str">
        <f t="shared" si="80"/>
        <v>HOFFMEN CLEANINDO</v>
      </c>
      <c r="J481" t="str">
        <f t="shared" si="84"/>
        <v>KING, Hoffmen Cleanindo, Hoffmen Cleanindo Tbk, HoffmenCleanindo, PT Hoffmen Cleanindo</v>
      </c>
      <c r="K481" t="str">
        <f t="shared" si="85"/>
        <v>KING, Hoffmen Cleanindo, Hoffmen Cleanindo Tbk, HoffmenCleanindo, PT Hoffmen Cleanindo</v>
      </c>
      <c r="L481" t="str">
        <f t="shared" si="81"/>
        <v>HoffmenCleanindo</v>
      </c>
      <c r="M481" t="str">
        <f t="shared" si="86"/>
        <v>KING, Hoffmen Cleanindo, Hoffmen Cleanindo Tbk, PT Hoffmen Cleanindo</v>
      </c>
      <c r="N481" t="str">
        <f t="shared" si="87"/>
        <v>KING, Hoffmen Cleanindo, Hoffmen Cleanindo Tbk, PT Hoffmen Cleanindo</v>
      </c>
    </row>
    <row r="482" spans="1:14" x14ac:dyDescent="0.2">
      <c r="A482" t="s">
        <v>1358</v>
      </c>
      <c r="B482" t="s">
        <v>1359</v>
      </c>
      <c r="C482" t="s">
        <v>8281</v>
      </c>
      <c r="D482" t="str">
        <f t="shared" si="77"/>
        <v>KINO, KINO INDONESIA, Kino Indonesia, Kino Indonesia Tbk, KinoIndonesia, PT Kino Indonesia, kino indonesia</v>
      </c>
      <c r="E482" t="str">
        <f t="shared" si="78"/>
        <v>KINO, KINO INDONESIA, Kino Indonesia, Kino Indonesia Tbk, KinoIndonesia, PT Kino Indonesia, kino indonesia</v>
      </c>
      <c r="F482" t="str">
        <f t="shared" si="79"/>
        <v>kino indonesia</v>
      </c>
      <c r="G482" t="str">
        <f t="shared" si="82"/>
        <v>KINO, KINO INDONESIA, Kino Indonesia, Kino Indonesia Tbk, KinoIndonesia, PT Kino Indonesia</v>
      </c>
      <c r="H482" t="str">
        <f t="shared" si="83"/>
        <v>KINO, KINO INDONESIA, Kino Indonesia, Kino Indonesia Tbk, KinoIndonesia, PT Kino Indonesia</v>
      </c>
      <c r="I482" t="str">
        <f t="shared" si="80"/>
        <v>KINO INDONESIA</v>
      </c>
      <c r="J482" t="str">
        <f t="shared" si="84"/>
        <v>KINO, Kino Indonesia, Kino Indonesia Tbk, KinoIndonesia, PT Kino Indonesia</v>
      </c>
      <c r="K482" t="str">
        <f t="shared" si="85"/>
        <v>KINO, Kino Indonesia, Kino Indonesia Tbk, KinoIndonesia, PT Kino Indonesia</v>
      </c>
      <c r="L482" t="str">
        <f t="shared" si="81"/>
        <v>KinoIndonesia</v>
      </c>
      <c r="M482" t="str">
        <f t="shared" si="86"/>
        <v>KINO, Kino Indonesia, Kino Indonesia Tbk, PT Kino Indonesia</v>
      </c>
      <c r="N482" t="str">
        <f t="shared" si="87"/>
        <v>KINO, Kino Indonesia, Kino Indonesia Tbk, PT Kino Indonesia</v>
      </c>
    </row>
    <row r="483" spans="1:14" x14ac:dyDescent="0.2">
      <c r="A483" t="s">
        <v>1452</v>
      </c>
      <c r="B483" t="s">
        <v>3603</v>
      </c>
      <c r="C483" t="s">
        <v>8282</v>
      </c>
      <c r="D483" t="str">
        <f t="shared" si="77"/>
        <v>KIOS, KIOSON KOMERSIAL INDONESIA, Kioson Komersial Indonesia, Kioson Komersial Indonesia Tbk, KiosonKomersialIndonesia, PT Kioson Komersial Indonesia, kioson komersial indonesia</v>
      </c>
      <c r="E483" t="str">
        <f t="shared" si="78"/>
        <v>KIOS, KIOSON KOMERSIAL INDONESIA, Kioson Komersial Indonesia, Kioson Komersial Indonesia Tbk, KiosonKomersialIndonesia, PT Kioson Komersial Indonesia, kioson komersial indonesia</v>
      </c>
      <c r="F483" t="str">
        <f t="shared" si="79"/>
        <v>kioson komersial indonesia</v>
      </c>
      <c r="G483" t="str">
        <f t="shared" si="82"/>
        <v>KIOS, KIOSON KOMERSIAL INDONESIA, Kioson Komersial Indonesia, Kioson Komersial Indonesia Tbk, KiosonKomersialIndonesia, PT Kioson Komersial Indonesia</v>
      </c>
      <c r="H483" t="str">
        <f t="shared" si="83"/>
        <v>KIOS, KIOSON KOMERSIAL INDONESIA, Kioson Komersial Indonesia, Kioson Komersial Indonesia Tbk, KiosonKomersialIndonesia, PT Kioson Komersial Indonesia</v>
      </c>
      <c r="I483" t="str">
        <f t="shared" si="80"/>
        <v>KIOSON KOMERSIAL INDONESIA</v>
      </c>
      <c r="J483" t="str">
        <f t="shared" si="84"/>
        <v>KIOS, Kioson Komersial Indonesia, Kioson Komersial Indonesia Tbk, KiosonKomersialIndonesia, PT Kioson Komersial Indonesia</v>
      </c>
      <c r="K483" t="str">
        <f t="shared" si="85"/>
        <v>KIOS, Kioson Komersial Indonesia, Kioson Komersial Indonesia Tbk, KiosonKomersialIndonesia, PT Kioson Komersial Indonesia</v>
      </c>
      <c r="L483" t="str">
        <f t="shared" si="81"/>
        <v>KiosonKomersialIndonesia</v>
      </c>
      <c r="M483" t="str">
        <f t="shared" si="86"/>
        <v>KIOS, Kioson Komersial Indonesia, Kioson Komersial Indonesia Tbk, PT Kioson Komersial Indonesia</v>
      </c>
      <c r="N483" t="str">
        <f t="shared" si="87"/>
        <v>KIOS, Kioson Komersial Indonesia, Kioson Komersial Indonesia Tbk, PT Kioson Komersial Indonesia</v>
      </c>
    </row>
    <row r="484" spans="1:14" x14ac:dyDescent="0.2">
      <c r="A484" t="s">
        <v>1688</v>
      </c>
      <c r="B484" t="s">
        <v>1689</v>
      </c>
      <c r="C484" t="s">
        <v>8283</v>
      </c>
      <c r="D484" t="str">
        <f t="shared" si="77"/>
        <v>KJEN, KRIDA JARINGAN NUSANTARA, Krida Jaringan Nusantara, Krida Jaringan Nusantara Tbk, KridaJaringanNusantara, PT Krida Jaringan Nusantara, krida jaringan nusantara</v>
      </c>
      <c r="E484" t="str">
        <f t="shared" si="78"/>
        <v>KJEN, KRIDA JARINGAN NUSANTARA, Krida Jaringan Nusantara, Krida Jaringan Nusantara Tbk, KridaJaringanNusantara, PT Krida Jaringan Nusantara, krida jaringan nusantara</v>
      </c>
      <c r="F484" t="str">
        <f t="shared" si="79"/>
        <v>krida jaringan nusantara</v>
      </c>
      <c r="G484" t="str">
        <f t="shared" si="82"/>
        <v>KJEN, KRIDA JARINGAN NUSANTARA, Krida Jaringan Nusantara, Krida Jaringan Nusantara Tbk, KridaJaringanNusantara, PT Krida Jaringan Nusantara</v>
      </c>
      <c r="H484" t="str">
        <f t="shared" si="83"/>
        <v>KJEN, KRIDA JARINGAN NUSANTARA, Krida Jaringan Nusantara, Krida Jaringan Nusantara Tbk, KridaJaringanNusantara, PT Krida Jaringan Nusantara</v>
      </c>
      <c r="I484" t="str">
        <f t="shared" si="80"/>
        <v>KRIDA JARINGAN NUSANTARA</v>
      </c>
      <c r="J484" t="str">
        <f t="shared" si="84"/>
        <v>KJEN, Krida Jaringan Nusantara, Krida Jaringan Nusantara Tbk, KridaJaringanNusantara, PT Krida Jaringan Nusantara</v>
      </c>
      <c r="K484" t="str">
        <f t="shared" si="85"/>
        <v>KJEN, Krida Jaringan Nusantara, Krida Jaringan Nusantara Tbk, KridaJaringanNusantara, PT Krida Jaringan Nusantara</v>
      </c>
      <c r="L484" t="str">
        <f t="shared" si="81"/>
        <v>KridaJaringanNusantara</v>
      </c>
      <c r="M484" t="str">
        <f t="shared" si="86"/>
        <v>KJEN, Krida Jaringan Nusantara, Krida Jaringan Nusantara Tbk, PT Krida Jaringan Nusantara</v>
      </c>
      <c r="N484" t="str">
        <f t="shared" si="87"/>
        <v>KJEN, Krida Jaringan Nusantara, Krida Jaringan Nusantara Tbk, PT Krida Jaringan Nusantara</v>
      </c>
    </row>
    <row r="485" spans="1:14" x14ac:dyDescent="0.2">
      <c r="A485" t="s">
        <v>2152</v>
      </c>
      <c r="B485" t="s">
        <v>2153</v>
      </c>
      <c r="C485" t="s">
        <v>8284</v>
      </c>
      <c r="D485" t="str">
        <f t="shared" si="77"/>
        <v>KKES, KUSUMA KEMINDO SENTOSA, Kusuma Kemindo Sentosa, Kusuma Kemindo Sentosa Tbk, KusumaKemindoSentosa, PT Kusuma Kemindo Sentosa, kusuma kemindo sentosa</v>
      </c>
      <c r="E485" t="str">
        <f t="shared" si="78"/>
        <v>KKES, KUSUMA KEMINDO SENTOSA, Kusuma Kemindo Sentosa, Kusuma Kemindo Sentosa Tbk, KusumaKemindoSentosa, PT Kusuma Kemindo Sentosa, kusuma kemindo sentosa</v>
      </c>
      <c r="F485" t="str">
        <f t="shared" si="79"/>
        <v>kusuma kemindo sentosa</v>
      </c>
      <c r="G485" t="str">
        <f t="shared" si="82"/>
        <v>KKES, KUSUMA KEMINDO SENTOSA, Kusuma Kemindo Sentosa, Kusuma Kemindo Sentosa Tbk, KusumaKemindoSentosa, PT Kusuma Kemindo Sentosa</v>
      </c>
      <c r="H485" t="str">
        <f t="shared" si="83"/>
        <v>KKES, KUSUMA KEMINDO SENTOSA, Kusuma Kemindo Sentosa, Kusuma Kemindo Sentosa Tbk, KusumaKemindoSentosa, PT Kusuma Kemindo Sentosa</v>
      </c>
      <c r="I485" t="str">
        <f t="shared" si="80"/>
        <v>KUSUMA KEMINDO SENTOSA</v>
      </c>
      <c r="J485" t="str">
        <f t="shared" si="84"/>
        <v>KKES, Kusuma Kemindo Sentosa, Kusuma Kemindo Sentosa Tbk, KusumaKemindoSentosa, PT Kusuma Kemindo Sentosa</v>
      </c>
      <c r="K485" t="str">
        <f t="shared" si="85"/>
        <v>KKES, Kusuma Kemindo Sentosa, Kusuma Kemindo Sentosa Tbk, KusumaKemindoSentosa, PT Kusuma Kemindo Sentosa</v>
      </c>
      <c r="L485" t="str">
        <f t="shared" si="81"/>
        <v>KusumaKemindoSentosa</v>
      </c>
      <c r="M485" t="str">
        <f t="shared" si="86"/>
        <v>KKES, Kusuma Kemindo Sentosa, Kusuma Kemindo Sentosa Tbk, PT Kusuma Kemindo Sentosa</v>
      </c>
      <c r="N485" t="str">
        <f t="shared" si="87"/>
        <v>KKES, Kusuma Kemindo Sentosa, Kusuma Kemindo Sentosa Tbk, PT Kusuma Kemindo Sentosa</v>
      </c>
    </row>
    <row r="486" spans="1:14" x14ac:dyDescent="0.2">
      <c r="A486" t="s">
        <v>720</v>
      </c>
      <c r="B486" t="s">
        <v>721</v>
      </c>
      <c r="C486" t="s">
        <v>8285</v>
      </c>
      <c r="D486" t="str">
        <f t="shared" si="77"/>
        <v>KKGI, PT Resource Alam Indonesia, RESOURCE ALAM INDONESIA, Resource Alam Indonesia, Resource Alam Indonesia Tbk, ResourceAlamIndonesia, resource alam indonesia</v>
      </c>
      <c r="E486" t="str">
        <f t="shared" si="78"/>
        <v>KKGI, PT Resource Alam Indonesia, RESOURCE ALAM INDONESIA, Resource Alam Indonesia, Resource Alam Indonesia Tbk, ResourceAlamIndonesia, resource alam indonesia</v>
      </c>
      <c r="F486" t="str">
        <f t="shared" si="79"/>
        <v>resource alam indonesia</v>
      </c>
      <c r="G486" t="str">
        <f t="shared" si="82"/>
        <v>KKGI, PT Resource Alam Indonesia, RESOURCE ALAM INDONESIA, Resource Alam Indonesia, Resource Alam Indonesia Tbk, ResourceAlamIndonesia</v>
      </c>
      <c r="H486" t="str">
        <f t="shared" si="83"/>
        <v>KKGI, PT Resource Alam Indonesia, RESOURCE ALAM INDONESIA, Resource Alam Indonesia, Resource Alam Indonesia Tbk, ResourceAlamIndonesia</v>
      </c>
      <c r="I486" t="str">
        <f t="shared" si="80"/>
        <v>RESOURCE ALAM INDONESIA</v>
      </c>
      <c r="J486" t="str">
        <f t="shared" si="84"/>
        <v>KKGI, PT Resource Alam Indonesia, Resource Alam Indonesia, Resource Alam Indonesia Tbk, ResourceAlamIndonesia</v>
      </c>
      <c r="K486" t="str">
        <f t="shared" si="85"/>
        <v>KKGI, PT Resource Alam Indonesia, Resource Alam Indonesia, Resource Alam Indonesia Tbk, ResourceAlamIndonesia</v>
      </c>
      <c r="L486" t="str">
        <f t="shared" si="81"/>
        <v>ResourceAlamIndonesia</v>
      </c>
      <c r="M486" t="str">
        <f t="shared" si="86"/>
        <v>KKGI, PT Resource Alam Indonesia, Resource Alam Indonesia, Resource Alam Indonesia Tbk</v>
      </c>
      <c r="N486" t="str">
        <f t="shared" si="87"/>
        <v>KKGI, PT Resource Alam Indonesia, Resource Alam Indonesia, Resource Alam Indonesia Tbk</v>
      </c>
    </row>
    <row r="487" spans="1:14" x14ac:dyDescent="0.2">
      <c r="A487" t="s">
        <v>2308</v>
      </c>
      <c r="B487" t="s">
        <v>3604</v>
      </c>
      <c r="C487" t="s">
        <v>8286</v>
      </c>
      <c r="D487" t="str">
        <f t="shared" si="77"/>
        <v>KLAS, PELAYARAN KURNIA LAUTAN SEMESTA, PT Pelayaran Kurnia Lautan Semesta, Pelayaran Kurnia Lautan Semesta, Pelayaran Kurnia Lautan Semesta Tbk, PelayaranKurniaLautanSemesta, pelayaran kurnia lautan semesta</v>
      </c>
      <c r="E487" t="str">
        <f t="shared" si="78"/>
        <v>KLAS, PELAYARAN KURNIA LAUTAN SEMESTA, PT Pelayaran Kurnia Lautan Semesta, Pelayaran Kurnia Lautan Semesta, Pelayaran Kurnia Lautan Semesta Tbk, PelayaranKurniaLautanSemesta, pelayaran kurnia lautan semesta</v>
      </c>
      <c r="F487" t="str">
        <f t="shared" si="79"/>
        <v>pelayaran kurnia lautan semesta</v>
      </c>
      <c r="G487" t="str">
        <f t="shared" si="82"/>
        <v>KLAS, PELAYARAN KURNIA LAUTAN SEMESTA, PT Pelayaran Kurnia Lautan Semesta, Pelayaran Kurnia Lautan Semesta, Pelayaran Kurnia Lautan Semesta Tbk, PelayaranKurniaLautanSemesta</v>
      </c>
      <c r="H487" t="str">
        <f t="shared" si="83"/>
        <v>KLAS, PELAYARAN KURNIA LAUTAN SEMESTA, PT Pelayaran Kurnia Lautan Semesta, Pelayaran Kurnia Lautan Semesta, Pelayaran Kurnia Lautan Semesta Tbk, PelayaranKurniaLautanSemesta</v>
      </c>
      <c r="I487" t="str">
        <f t="shared" si="80"/>
        <v>PELAYARAN KURNIA LAUTAN SEMESTA</v>
      </c>
      <c r="J487" t="str">
        <f t="shared" si="84"/>
        <v>KLAS, PT Pelayaran Kurnia Lautan Semesta, Pelayaran Kurnia Lautan Semesta, Pelayaran Kurnia Lautan Semesta Tbk, PelayaranKurniaLautanSemesta</v>
      </c>
      <c r="K487" t="str">
        <f t="shared" si="85"/>
        <v>KLAS, PT Pelayaran Kurnia Lautan Semesta, Pelayaran Kurnia Lautan Semesta, Pelayaran Kurnia Lautan Semesta Tbk, PelayaranKurniaLautanSemesta</v>
      </c>
      <c r="L487" t="str">
        <f t="shared" si="81"/>
        <v>PelayaranKurniaLautanSemesta</v>
      </c>
      <c r="M487" t="str">
        <f t="shared" si="86"/>
        <v>KLAS, PT Pelayaran Kurnia Lautan Semesta, Pelayaran Kurnia Lautan Semesta, Pelayaran Kurnia Lautan Semesta Tbk</v>
      </c>
      <c r="N487" t="str">
        <f t="shared" si="87"/>
        <v>KLAS, PT Pelayaran Kurnia Lautan Semesta, Pelayaran Kurnia Lautan Semesta, Pelayaran Kurnia Lautan Semesta Tbk</v>
      </c>
    </row>
    <row r="488" spans="1:14" x14ac:dyDescent="0.2">
      <c r="A488" t="s">
        <v>723</v>
      </c>
      <c r="B488" t="s">
        <v>724</v>
      </c>
      <c r="C488" t="s">
        <v>8287</v>
      </c>
      <c r="D488" t="str">
        <f t="shared" si="77"/>
        <v>KLBF, KALBE FARMA, Kalbe Farma, Kalbe Farma Tbk, KalbeFarma, PT Kalbe Farma, kalbe farma</v>
      </c>
      <c r="E488" t="str">
        <f t="shared" si="78"/>
        <v>KLBF, KALBE FARMA, Kalbe Farma, Kalbe Farma Tbk, KalbeFarma, PT Kalbe Farma, kalbe farma</v>
      </c>
      <c r="F488" t="str">
        <f t="shared" si="79"/>
        <v>kalbe farma</v>
      </c>
      <c r="G488" t="str">
        <f t="shared" si="82"/>
        <v>KLBF, KALBE FARMA, Kalbe Farma, Kalbe Farma Tbk, KalbeFarma, PT Kalbe Farma</v>
      </c>
      <c r="H488" t="str">
        <f t="shared" si="83"/>
        <v>KLBF, KALBE FARMA, Kalbe Farma, Kalbe Farma Tbk, KalbeFarma, PT Kalbe Farma</v>
      </c>
      <c r="I488" t="str">
        <f t="shared" si="80"/>
        <v>KALBE FARMA</v>
      </c>
      <c r="J488" t="str">
        <f t="shared" si="84"/>
        <v>KLBF, Kalbe Farma, Kalbe Farma Tbk, KalbeFarma, PT Kalbe Farma</v>
      </c>
      <c r="K488" t="str">
        <f t="shared" si="85"/>
        <v>KLBF, Kalbe Farma, Kalbe Farma Tbk, KalbeFarma, PT Kalbe Farma</v>
      </c>
      <c r="L488" t="str">
        <f t="shared" si="81"/>
        <v>KalbeFarma</v>
      </c>
      <c r="M488" t="str">
        <f t="shared" si="86"/>
        <v>KLBF, Kalbe Farma, Kalbe Farma Tbk, PT Kalbe Farma</v>
      </c>
      <c r="N488" t="str">
        <f t="shared" si="87"/>
        <v>KLBF, Kalbe Farma, Kalbe Farma Tbk, PT Kalbe Farma</v>
      </c>
    </row>
    <row r="489" spans="1:14" x14ac:dyDescent="0.2">
      <c r="A489" t="s">
        <v>2159</v>
      </c>
      <c r="B489" t="s">
        <v>2160</v>
      </c>
      <c r="C489" t="s">
        <v>8288</v>
      </c>
      <c r="D489" t="str">
        <f t="shared" si="77"/>
        <v>KLIN, KLINKO KARYA IMAJI, Klinko Karya Imaji, Klinko Karya Imaji Tbk, KlinkoKaryaImaji, PT Klinko Karya Imaji, klinko karya imaji</v>
      </c>
      <c r="E489" t="str">
        <f t="shared" si="78"/>
        <v>KLIN, KLINKO KARYA IMAJI, Klinko Karya Imaji, Klinko Karya Imaji Tbk, KlinkoKaryaImaji, PT Klinko Karya Imaji, klinko karya imaji</v>
      </c>
      <c r="F489" t="str">
        <f t="shared" si="79"/>
        <v>klinko karya imaji</v>
      </c>
      <c r="G489" t="str">
        <f t="shared" si="82"/>
        <v>KLIN, KLINKO KARYA IMAJI, Klinko Karya Imaji, Klinko Karya Imaji Tbk, KlinkoKaryaImaji, PT Klinko Karya Imaji</v>
      </c>
      <c r="H489" t="str">
        <f t="shared" si="83"/>
        <v>KLIN, KLINKO KARYA IMAJI, Klinko Karya Imaji, Klinko Karya Imaji Tbk, KlinkoKaryaImaji, PT Klinko Karya Imaji</v>
      </c>
      <c r="I489" t="str">
        <f t="shared" si="80"/>
        <v>KLINKO KARYA IMAJI</v>
      </c>
      <c r="J489" t="str">
        <f t="shared" si="84"/>
        <v>KLIN, Klinko Karya Imaji, Klinko Karya Imaji Tbk, KlinkoKaryaImaji, PT Klinko Karya Imaji</v>
      </c>
      <c r="K489" t="str">
        <f t="shared" si="85"/>
        <v>KLIN, Klinko Karya Imaji, Klinko Karya Imaji Tbk, KlinkoKaryaImaji, PT Klinko Karya Imaji</v>
      </c>
      <c r="L489" t="str">
        <f t="shared" si="81"/>
        <v>KlinkoKaryaImaji</v>
      </c>
      <c r="M489" t="str">
        <f t="shared" si="86"/>
        <v>KLIN, Klinko Karya Imaji, Klinko Karya Imaji Tbk, PT Klinko Karya Imaji</v>
      </c>
      <c r="N489" t="str">
        <f t="shared" si="87"/>
        <v>KLIN, Klinko Karya Imaji, Klinko Karya Imaji Tbk, PT Klinko Karya Imaji</v>
      </c>
    </row>
    <row r="490" spans="1:14" x14ac:dyDescent="0.2">
      <c r="A490" t="s">
        <v>1881</v>
      </c>
      <c r="B490" t="s">
        <v>1882</v>
      </c>
      <c r="C490" t="s">
        <v>8289</v>
      </c>
      <c r="D490" t="str">
        <f t="shared" si="77"/>
        <v>KMDS, KURNIAMITRA DUTA SENTOSA, Kurniamitra Duta Sentosa, Kurniamitra Duta Sentosa Tbk, KurniamitraDutaSentosa, PT Kurniamitra Duta Sentosa, kurniamitra duta sentosa</v>
      </c>
      <c r="E490" t="str">
        <f t="shared" si="78"/>
        <v>KMDS, KURNIAMITRA DUTA SENTOSA, Kurniamitra Duta Sentosa, Kurniamitra Duta Sentosa Tbk, KurniamitraDutaSentosa, PT Kurniamitra Duta Sentosa, kurniamitra duta sentosa</v>
      </c>
      <c r="F490" t="str">
        <f t="shared" si="79"/>
        <v>kurniamitra duta sentosa</v>
      </c>
      <c r="G490" t="str">
        <f t="shared" si="82"/>
        <v>KMDS, KURNIAMITRA DUTA SENTOSA, Kurniamitra Duta Sentosa, Kurniamitra Duta Sentosa Tbk, KurniamitraDutaSentosa, PT Kurniamitra Duta Sentosa</v>
      </c>
      <c r="H490" t="str">
        <f t="shared" si="83"/>
        <v>KMDS, KURNIAMITRA DUTA SENTOSA, Kurniamitra Duta Sentosa, Kurniamitra Duta Sentosa Tbk, KurniamitraDutaSentosa, PT Kurniamitra Duta Sentosa</v>
      </c>
      <c r="I490" t="str">
        <f t="shared" si="80"/>
        <v>KURNIAMITRA DUTA SENTOSA</v>
      </c>
      <c r="J490" t="str">
        <f t="shared" si="84"/>
        <v>KMDS, Kurniamitra Duta Sentosa, Kurniamitra Duta Sentosa Tbk, KurniamitraDutaSentosa, PT Kurniamitra Duta Sentosa</v>
      </c>
      <c r="K490" t="str">
        <f t="shared" si="85"/>
        <v>KMDS, Kurniamitra Duta Sentosa, Kurniamitra Duta Sentosa Tbk, KurniamitraDutaSentosa, PT Kurniamitra Duta Sentosa</v>
      </c>
      <c r="L490" t="str">
        <f t="shared" si="81"/>
        <v>KurniamitraDutaSentosa</v>
      </c>
      <c r="M490" t="str">
        <f t="shared" si="86"/>
        <v>KMDS, Kurniamitra Duta Sentosa, Kurniamitra Duta Sentosa Tbk, PT Kurniamitra Duta Sentosa</v>
      </c>
      <c r="N490" t="str">
        <f t="shared" si="87"/>
        <v>KMDS, Kurniamitra Duta Sentosa, Kurniamitra Duta Sentosa Tbk, PT Kurniamitra Duta Sentosa</v>
      </c>
    </row>
    <row r="491" spans="1:14" x14ac:dyDescent="0.2">
      <c r="A491" t="s">
        <v>1416</v>
      </c>
      <c r="B491" t="s">
        <v>1417</v>
      </c>
      <c r="C491" t="s">
        <v>8290</v>
      </c>
      <c r="D491" t="str">
        <f t="shared" si="77"/>
        <v>KMTR, KIRANA MEGATARA, Kirana Megatara, Kirana Megatara Tbk, KiranaMegatara, PT Kirana Megatara, kirana megatara</v>
      </c>
      <c r="E491" t="str">
        <f t="shared" si="78"/>
        <v>KMTR, KIRANA MEGATARA, Kirana Megatara, Kirana Megatara Tbk, KiranaMegatara, PT Kirana Megatara, kirana megatara</v>
      </c>
      <c r="F491" t="str">
        <f t="shared" si="79"/>
        <v>kirana megatara</v>
      </c>
      <c r="G491" t="str">
        <f t="shared" si="82"/>
        <v>KMTR, KIRANA MEGATARA, Kirana Megatara, Kirana Megatara Tbk, KiranaMegatara, PT Kirana Megatara</v>
      </c>
      <c r="H491" t="str">
        <f t="shared" si="83"/>
        <v>KMTR, KIRANA MEGATARA, Kirana Megatara, Kirana Megatara Tbk, KiranaMegatara, PT Kirana Megatara</v>
      </c>
      <c r="I491" t="str">
        <f t="shared" si="80"/>
        <v>KIRANA MEGATARA</v>
      </c>
      <c r="J491" t="str">
        <f t="shared" si="84"/>
        <v>KMTR, Kirana Megatara, Kirana Megatara Tbk, KiranaMegatara, PT Kirana Megatara</v>
      </c>
      <c r="K491" t="str">
        <f t="shared" si="85"/>
        <v>KMTR, Kirana Megatara, Kirana Megatara Tbk, KiranaMegatara, PT Kirana Megatara</v>
      </c>
      <c r="L491" t="str">
        <f t="shared" si="81"/>
        <v>KiranaMegatara</v>
      </c>
      <c r="M491" t="str">
        <f t="shared" si="86"/>
        <v>KMTR, Kirana Megatara, Kirana Megatara Tbk, PT Kirana Megatara</v>
      </c>
      <c r="N491" t="str">
        <f t="shared" si="87"/>
        <v>KMTR, Kirana Megatara, Kirana Megatara Tbk, PT Kirana Megatara</v>
      </c>
    </row>
    <row r="492" spans="1:14" x14ac:dyDescent="0.2">
      <c r="A492" t="s">
        <v>726</v>
      </c>
      <c r="B492" t="s">
        <v>727</v>
      </c>
      <c r="C492" t="s">
        <v>8291</v>
      </c>
      <c r="D492" t="str">
        <f t="shared" si="77"/>
        <v>KOBX, KOBEXINDO TRACTORS, Kobexindo Tractors, Kobexindo Tractors Tbk, KobexindoTractors, PT Kobexindo Tractors, kobexindo tractors</v>
      </c>
      <c r="E492" t="str">
        <f t="shared" si="78"/>
        <v>KOBX, KOBEXINDO TRACTORS, Kobexindo Tractors, Kobexindo Tractors Tbk, KobexindoTractors, PT Kobexindo Tractors, kobexindo tractors</v>
      </c>
      <c r="F492" t="str">
        <f t="shared" si="79"/>
        <v>kobexindo tractors</v>
      </c>
      <c r="G492" t="str">
        <f t="shared" si="82"/>
        <v>KOBX, KOBEXINDO TRACTORS, Kobexindo Tractors, Kobexindo Tractors Tbk, KobexindoTractors, PT Kobexindo Tractors</v>
      </c>
      <c r="H492" t="str">
        <f t="shared" si="83"/>
        <v>KOBX, KOBEXINDO TRACTORS, Kobexindo Tractors, Kobexindo Tractors Tbk, KobexindoTractors, PT Kobexindo Tractors</v>
      </c>
      <c r="I492" t="str">
        <f t="shared" si="80"/>
        <v>KOBEXINDO TRACTORS</v>
      </c>
      <c r="J492" t="str">
        <f t="shared" si="84"/>
        <v>KOBX, Kobexindo Tractors, Kobexindo Tractors Tbk, KobexindoTractors, PT Kobexindo Tractors</v>
      </c>
      <c r="K492" t="str">
        <f t="shared" si="85"/>
        <v>KOBX, Kobexindo Tractors, Kobexindo Tractors Tbk, KobexindoTractors, PT Kobexindo Tractors</v>
      </c>
      <c r="L492" t="str">
        <f t="shared" si="81"/>
        <v>KobexindoTractors</v>
      </c>
      <c r="M492" t="str">
        <f t="shared" si="86"/>
        <v>KOBX, Kobexindo Tractors, Kobexindo Tractors Tbk, PT Kobexindo Tractors</v>
      </c>
      <c r="N492" t="str">
        <f t="shared" si="87"/>
        <v>KOBX, Kobexindo Tractors, Kobexindo Tractors Tbk, PT Kobexindo Tractors</v>
      </c>
    </row>
    <row r="493" spans="1:14" x14ac:dyDescent="0.2">
      <c r="A493" t="s">
        <v>2381</v>
      </c>
      <c r="B493" t="s">
        <v>2382</v>
      </c>
      <c r="C493" t="s">
        <v>8292</v>
      </c>
      <c r="D493" t="str">
        <f t="shared" si="77"/>
        <v>KOCI, KOKOH EXA NUSANTARA, Kokoh Exa Nusantara, Kokoh Exa Nusantara Tbk, KokohExaNusantara, PT Kokoh Exa Nusantara, kokoh exa nusantara</v>
      </c>
      <c r="E493" t="str">
        <f t="shared" si="78"/>
        <v>KOCI, KOKOH EXA NUSANTARA, Kokoh Exa Nusantara, Kokoh Exa Nusantara Tbk, KokohExaNusantara, PT Kokoh Exa Nusantara, kokoh exa nusantara</v>
      </c>
      <c r="F493" t="str">
        <f t="shared" si="79"/>
        <v>kokoh exa nusantara</v>
      </c>
      <c r="G493" t="str">
        <f t="shared" si="82"/>
        <v>KOCI, KOKOH EXA NUSANTARA, Kokoh Exa Nusantara, Kokoh Exa Nusantara Tbk, KokohExaNusantara, PT Kokoh Exa Nusantara</v>
      </c>
      <c r="H493" t="str">
        <f t="shared" si="83"/>
        <v>KOCI, KOKOH EXA NUSANTARA, Kokoh Exa Nusantara, Kokoh Exa Nusantara Tbk, KokohExaNusantara, PT Kokoh Exa Nusantara</v>
      </c>
      <c r="I493" t="str">
        <f t="shared" si="80"/>
        <v>KOKOH EXA NUSANTARA</v>
      </c>
      <c r="J493" t="str">
        <f t="shared" si="84"/>
        <v>KOCI, Kokoh Exa Nusantara, Kokoh Exa Nusantara Tbk, KokohExaNusantara, PT Kokoh Exa Nusantara</v>
      </c>
      <c r="K493" t="str">
        <f t="shared" si="85"/>
        <v>KOCI, Kokoh Exa Nusantara, Kokoh Exa Nusantara Tbk, KokohExaNusantara, PT Kokoh Exa Nusantara</v>
      </c>
      <c r="L493" t="str">
        <f t="shared" si="81"/>
        <v>KokohExaNusantara</v>
      </c>
      <c r="M493" t="str">
        <f t="shared" si="86"/>
        <v>KOCI, Kokoh Exa Nusantara, Kokoh Exa Nusantara Tbk, PT Kokoh Exa Nusantara</v>
      </c>
      <c r="N493" t="str">
        <f t="shared" si="87"/>
        <v>KOCI, Kokoh Exa Nusantara, Kokoh Exa Nusantara Tbk, PT Kokoh Exa Nusantara</v>
      </c>
    </row>
    <row r="494" spans="1:14" x14ac:dyDescent="0.2">
      <c r="A494" t="s">
        <v>729</v>
      </c>
      <c r="B494" t="s">
        <v>3605</v>
      </c>
      <c r="C494" t="s">
        <v>8293</v>
      </c>
      <c r="D494" t="str">
        <f t="shared" si="77"/>
        <v>KOIN, KOKOH INTI AREBAMA, Kokoh Inti Arebama, Kokoh Inti Arebama Tbk, KokohIntiArebama, PT Kokoh Inti Arebama, kokoh inti arebama</v>
      </c>
      <c r="E494" t="str">
        <f t="shared" si="78"/>
        <v>KOIN, KOKOH INTI AREBAMA, Kokoh Inti Arebama, Kokoh Inti Arebama Tbk, KokohIntiArebama, PT Kokoh Inti Arebama, kokoh inti arebama</v>
      </c>
      <c r="F494" t="str">
        <f t="shared" si="79"/>
        <v>kokoh inti arebama</v>
      </c>
      <c r="G494" t="str">
        <f t="shared" si="82"/>
        <v>KOIN, KOKOH INTI AREBAMA, Kokoh Inti Arebama, Kokoh Inti Arebama Tbk, KokohIntiArebama, PT Kokoh Inti Arebama</v>
      </c>
      <c r="H494" t="str">
        <f t="shared" si="83"/>
        <v>KOIN, KOKOH INTI AREBAMA, Kokoh Inti Arebama, Kokoh Inti Arebama Tbk, KokohIntiArebama, PT Kokoh Inti Arebama</v>
      </c>
      <c r="I494" t="str">
        <f t="shared" si="80"/>
        <v>KOKOH INTI AREBAMA</v>
      </c>
      <c r="J494" t="str">
        <f t="shared" si="84"/>
        <v>KOIN, Kokoh Inti Arebama, Kokoh Inti Arebama Tbk, KokohIntiArebama, PT Kokoh Inti Arebama</v>
      </c>
      <c r="K494" t="str">
        <f t="shared" si="85"/>
        <v>KOIN, Kokoh Inti Arebama, Kokoh Inti Arebama Tbk, KokohIntiArebama, PT Kokoh Inti Arebama</v>
      </c>
      <c r="L494" t="str">
        <f t="shared" si="81"/>
        <v>KokohIntiArebama</v>
      </c>
      <c r="M494" t="str">
        <f t="shared" si="86"/>
        <v>KOIN, Kokoh Inti Arebama, Kokoh Inti Arebama Tbk, PT Kokoh Inti Arebama</v>
      </c>
      <c r="N494" t="str">
        <f t="shared" si="87"/>
        <v>KOIN, Kokoh Inti Arebama, Kokoh Inti Arebama Tbk, PT Kokoh Inti Arebama</v>
      </c>
    </row>
    <row r="495" spans="1:14" x14ac:dyDescent="0.2">
      <c r="A495" t="s">
        <v>2393</v>
      </c>
      <c r="B495" t="s">
        <v>2394</v>
      </c>
      <c r="C495" t="s">
        <v>8294</v>
      </c>
      <c r="D495" t="str">
        <f t="shared" si="77"/>
        <v>KOKA, KOKA INDONESIA, Koka Indonesia, Koka Indonesia Tbk, KokaIndonesia, PT Koka Indonesia, koka indonesia</v>
      </c>
      <c r="E495" t="str">
        <f t="shared" si="78"/>
        <v>KOKA, KOKA INDONESIA, Koka Indonesia, Koka Indonesia Tbk, KokaIndonesia, PT Koka Indonesia, koka indonesia</v>
      </c>
      <c r="F495" t="str">
        <f t="shared" si="79"/>
        <v>koka indonesia</v>
      </c>
      <c r="G495" t="str">
        <f t="shared" si="82"/>
        <v>KOKA, KOKA INDONESIA, Koka Indonesia, Koka Indonesia Tbk, KokaIndonesia, PT Koka Indonesia</v>
      </c>
      <c r="H495" t="str">
        <f t="shared" si="83"/>
        <v>KOKA, KOKA INDONESIA, Koka Indonesia, Koka Indonesia Tbk, KokaIndonesia, PT Koka Indonesia</v>
      </c>
      <c r="I495" t="str">
        <f t="shared" si="80"/>
        <v>KOKA INDONESIA</v>
      </c>
      <c r="J495" t="str">
        <f t="shared" si="84"/>
        <v>KOKA, Koka Indonesia, Koka Indonesia Tbk, KokaIndonesia, PT Koka Indonesia</v>
      </c>
      <c r="K495" t="str">
        <f t="shared" si="85"/>
        <v>KOKA, Koka Indonesia, Koka Indonesia Tbk, KokaIndonesia, PT Koka Indonesia</v>
      </c>
      <c r="L495" t="str">
        <f t="shared" si="81"/>
        <v>KokaIndonesia</v>
      </c>
      <c r="M495" t="str">
        <f t="shared" si="86"/>
        <v>KOKA, Koka Indonesia, Koka Indonesia Tbk, PT Koka Indonesia</v>
      </c>
      <c r="N495" t="str">
        <f t="shared" si="87"/>
        <v>KOKA, Koka Indonesia, Koka Indonesia Tbk, PT Koka Indonesia</v>
      </c>
    </row>
    <row r="496" spans="1:14" x14ac:dyDescent="0.2">
      <c r="A496" t="s">
        <v>732</v>
      </c>
      <c r="B496" t="s">
        <v>3606</v>
      </c>
      <c r="C496" t="s">
        <v>8295</v>
      </c>
      <c r="D496" t="str">
        <f t="shared" si="77"/>
        <v>KONI, PERDANA BANGUN PUSAKA, PT Perdana Bangun Pusaka, Perdana Bangun Pusaka, Perdana Bangun Pusaka Tbk, PerdanaBangunPusaka, perdana bangun pusaka</v>
      </c>
      <c r="E496" t="str">
        <f t="shared" si="78"/>
        <v>KONI, PERDANA BANGUN PUSAKA, PT Perdana Bangun Pusaka, Perdana Bangun Pusaka, Perdana Bangun Pusaka Tbk, PerdanaBangunPusaka, perdana bangun pusaka</v>
      </c>
      <c r="F496" t="str">
        <f t="shared" si="79"/>
        <v>perdana bangun pusaka</v>
      </c>
      <c r="G496" t="str">
        <f t="shared" si="82"/>
        <v>KONI, PERDANA BANGUN PUSAKA, PT Perdana Bangun Pusaka, Perdana Bangun Pusaka, Perdana Bangun Pusaka Tbk, PerdanaBangunPusaka</v>
      </c>
      <c r="H496" t="str">
        <f t="shared" si="83"/>
        <v>KONI, PERDANA BANGUN PUSAKA, PT Perdana Bangun Pusaka, Perdana Bangun Pusaka, Perdana Bangun Pusaka Tbk, PerdanaBangunPusaka</v>
      </c>
      <c r="I496" t="str">
        <f t="shared" si="80"/>
        <v>PERDANA BANGUN PUSAKA</v>
      </c>
      <c r="J496" t="str">
        <f t="shared" si="84"/>
        <v>KONI, PT Perdana Bangun Pusaka, Perdana Bangun Pusaka, Perdana Bangun Pusaka Tbk, PerdanaBangunPusaka</v>
      </c>
      <c r="K496" t="str">
        <f t="shared" si="85"/>
        <v>KONI, PT Perdana Bangun Pusaka, Perdana Bangun Pusaka, Perdana Bangun Pusaka Tbk, PerdanaBangunPusaka</v>
      </c>
      <c r="L496" t="str">
        <f t="shared" si="81"/>
        <v>PerdanaBangunPusaka</v>
      </c>
      <c r="M496" t="str">
        <f t="shared" si="86"/>
        <v>KONI, PT Perdana Bangun Pusaka, Perdana Bangun Pusaka, Perdana Bangun Pusaka Tbk</v>
      </c>
      <c r="N496" t="str">
        <f t="shared" si="87"/>
        <v>KONI, PT Perdana Bangun Pusaka, Perdana Bangun Pusaka, Perdana Bangun Pusaka Tbk</v>
      </c>
    </row>
    <row r="497" spans="1:14" x14ac:dyDescent="0.2">
      <c r="A497" t="s">
        <v>735</v>
      </c>
      <c r="B497" t="s">
        <v>736</v>
      </c>
      <c r="C497" t="s">
        <v>8296</v>
      </c>
      <c r="D497" t="str">
        <f t="shared" si="77"/>
        <v>KOPI, MITRA ENERGI PERSADA, Mitra Energi Persada, Mitra Energi Persada Tbk, MitraEnergiPersada, PT Mitra Energi Persada, mitra energi persada</v>
      </c>
      <c r="E497" t="str">
        <f t="shared" si="78"/>
        <v>KOPI, MITRA ENERGI PERSADA, Mitra Energi Persada, Mitra Energi Persada Tbk, MitraEnergiPersada, PT Mitra Energi Persada, mitra energi persada</v>
      </c>
      <c r="F497" t="str">
        <f t="shared" si="79"/>
        <v>mitra energi persada</v>
      </c>
      <c r="G497" t="str">
        <f t="shared" si="82"/>
        <v>KOPI, MITRA ENERGI PERSADA, Mitra Energi Persada, Mitra Energi Persada Tbk, MitraEnergiPersada, PT Mitra Energi Persada</v>
      </c>
      <c r="H497" t="str">
        <f t="shared" si="83"/>
        <v>KOPI, MITRA ENERGI PERSADA, Mitra Energi Persada, Mitra Energi Persada Tbk, MitraEnergiPersada, PT Mitra Energi Persada</v>
      </c>
      <c r="I497" t="str">
        <f t="shared" si="80"/>
        <v>MITRA ENERGI PERSADA</v>
      </c>
      <c r="J497" t="str">
        <f t="shared" si="84"/>
        <v>KOPI, Mitra Energi Persada, Mitra Energi Persada Tbk, MitraEnergiPersada, PT Mitra Energi Persada</v>
      </c>
      <c r="K497" t="str">
        <f t="shared" si="85"/>
        <v>KOPI, Mitra Energi Persada, Mitra Energi Persada Tbk, MitraEnergiPersada, PT Mitra Energi Persada</v>
      </c>
      <c r="L497" t="str">
        <f t="shared" si="81"/>
        <v>MitraEnergiPersada</v>
      </c>
      <c r="M497" t="str">
        <f t="shared" si="86"/>
        <v>KOPI, Mitra Energi Persada, Mitra Energi Persada Tbk, PT Mitra Energi Persada</v>
      </c>
      <c r="N497" t="str">
        <f t="shared" si="87"/>
        <v>KOPI, Mitra Energi Persada, Mitra Energi Persada Tbk, PT Mitra Energi Persada</v>
      </c>
    </row>
    <row r="498" spans="1:14" x14ac:dyDescent="0.2">
      <c r="A498" t="s">
        <v>1714</v>
      </c>
      <c r="B498" t="s">
        <v>1715</v>
      </c>
      <c r="C498" t="s">
        <v>8297</v>
      </c>
      <c r="D498" t="str">
        <f t="shared" si="77"/>
        <v>KOTA, DMS PROPERTINDO, DMS Propertindo, DMS Propertindo Tbk, DMSPropertindo, PT DMS Propertindo, dms propertindo</v>
      </c>
      <c r="E498" t="str">
        <f t="shared" si="78"/>
        <v>KOTA, DMS PROPERTINDO, DMS Propertindo, DMS Propertindo Tbk, DMSPropertindo, PT DMS Propertindo, dms propertindo</v>
      </c>
      <c r="F498" t="str">
        <f t="shared" si="79"/>
        <v>dms propertindo</v>
      </c>
      <c r="G498" t="str">
        <f t="shared" si="82"/>
        <v>KOTA, DMS PROPERTINDO, DMS Propertindo, DMS Propertindo Tbk, DMSPropertindo, PT DMS Propertindo</v>
      </c>
      <c r="H498" t="str">
        <f t="shared" si="83"/>
        <v>KOTA, DMS PROPERTINDO, DMS Propertindo, DMS Propertindo Tbk, DMSPropertindo, PT DMS Propertindo</v>
      </c>
      <c r="I498" t="str">
        <f t="shared" si="80"/>
        <v>DMS PROPERTINDO</v>
      </c>
      <c r="J498" t="str">
        <f t="shared" si="84"/>
        <v>KOTA, DMS Propertindo, DMS Propertindo Tbk, DMSPropertindo, PT DMS Propertindo</v>
      </c>
      <c r="K498" t="str">
        <f t="shared" si="85"/>
        <v>KOTA, DMS Propertindo, DMS Propertindo Tbk, DMSPropertindo, PT DMS Propertindo</v>
      </c>
      <c r="L498" t="str">
        <f t="shared" si="81"/>
        <v>DMSPropertindo</v>
      </c>
      <c r="M498" t="str">
        <f t="shared" si="86"/>
        <v>KOTA, DMS Propertindo, DMS Propertindo Tbk, PT DMS Propertindo</v>
      </c>
      <c r="N498" t="str">
        <f t="shared" si="87"/>
        <v>KOTA, DMS Propertindo, DMS Propertindo Tbk, PT DMS Propertindo</v>
      </c>
    </row>
    <row r="499" spans="1:14" x14ac:dyDescent="0.2">
      <c r="A499" t="s">
        <v>738</v>
      </c>
      <c r="B499" t="s">
        <v>739</v>
      </c>
      <c r="C499" t="s">
        <v>8298</v>
      </c>
      <c r="D499" t="str">
        <f t="shared" si="77"/>
        <v>KPIG, MNC TOURISM INDONESIA, MNC Tourism Indonesia, MNC Tourism Indonesia Tbk, MNCTourismIndonesia, PT MNC Tourism Indonesia, mnc tourism indonesia</v>
      </c>
      <c r="E499" t="str">
        <f t="shared" si="78"/>
        <v>KPIG, MNC TOURISM INDONESIA, MNC Tourism Indonesia, MNC Tourism Indonesia Tbk, MNCTourismIndonesia, PT MNC Tourism Indonesia, mnc tourism indonesia</v>
      </c>
      <c r="F499" t="str">
        <f t="shared" si="79"/>
        <v>mnc tourism indonesia</v>
      </c>
      <c r="G499" t="str">
        <f t="shared" si="82"/>
        <v>KPIG, MNC TOURISM INDONESIA, MNC Tourism Indonesia, MNC Tourism Indonesia Tbk, MNCTourismIndonesia, PT MNC Tourism Indonesia</v>
      </c>
      <c r="H499" t="str">
        <f t="shared" si="83"/>
        <v>KPIG, MNC TOURISM INDONESIA, MNC Tourism Indonesia, MNC Tourism Indonesia Tbk, MNCTourismIndonesia, PT MNC Tourism Indonesia</v>
      </c>
      <c r="I499" t="str">
        <f t="shared" si="80"/>
        <v>MNC TOURISM INDONESIA</v>
      </c>
      <c r="J499" t="str">
        <f t="shared" si="84"/>
        <v>KPIG, MNC Tourism Indonesia, MNC Tourism Indonesia Tbk, MNCTourismIndonesia, PT MNC Tourism Indonesia</v>
      </c>
      <c r="K499" t="str">
        <f t="shared" si="85"/>
        <v>KPIG, MNC Tourism Indonesia, MNC Tourism Indonesia Tbk, MNCTourismIndonesia, PT MNC Tourism Indonesia</v>
      </c>
      <c r="L499" t="str">
        <f t="shared" si="81"/>
        <v>MNCTourismIndonesia</v>
      </c>
      <c r="M499" t="str">
        <f t="shared" si="86"/>
        <v>KPIG, MNC Tourism Indonesia, MNC Tourism Indonesia Tbk, PT MNC Tourism Indonesia</v>
      </c>
      <c r="N499" t="str">
        <f t="shared" si="87"/>
        <v>KPIG, MNC Tourism Indonesia, MNC Tourism Indonesia Tbk, PT MNC Tourism Indonesia</v>
      </c>
    </row>
    <row r="500" spans="1:14" x14ac:dyDescent="0.2">
      <c r="A500" t="s">
        <v>741</v>
      </c>
      <c r="B500" t="s">
        <v>742</v>
      </c>
      <c r="C500" t="s">
        <v>8299</v>
      </c>
      <c r="D500" t="str">
        <f t="shared" si="77"/>
        <v>KRAS, KRAKATAU STEEL (PERSERO), Krakatau Steel (Persero), Krakatau Steel (Persero) Tbk, KrakatauSteel(Persero), PT Krakatau Steel (Persero), krakatau steel (persero)</v>
      </c>
      <c r="E500" t="str">
        <f t="shared" si="78"/>
        <v>KRAS, KRAKATAU STEEL (PERSERO), Krakatau Steel (Persero), Krakatau Steel (Persero) Tbk, KrakatauSteel(Persero), PT Krakatau Steel (Persero), krakatau steel (persero)</v>
      </c>
      <c r="F500" t="str">
        <f t="shared" si="79"/>
        <v>krakatau steel (persero)</v>
      </c>
      <c r="G500" t="str">
        <f t="shared" si="82"/>
        <v>KRAS, KRAKATAU STEEL (PERSERO), Krakatau Steel (Persero), Krakatau Steel (Persero) Tbk, KrakatauSteel(Persero), PT Krakatau Steel (Persero)</v>
      </c>
      <c r="H500" t="str">
        <f t="shared" si="83"/>
        <v>KRAS, KRAKATAU STEEL (PERSERO), Krakatau Steel (Persero), Krakatau Steel (Persero) Tbk, KrakatauSteel(Persero), PT Krakatau Steel (Persero)</v>
      </c>
      <c r="I500" t="str">
        <f t="shared" si="80"/>
        <v>KRAKATAU STEEL (PERSERO)</v>
      </c>
      <c r="J500" t="str">
        <f t="shared" si="84"/>
        <v>KRAS, Krakatau Steel (Persero), Krakatau Steel (Persero) Tbk, KrakatauSteel(Persero), PT Krakatau Steel (Persero)</v>
      </c>
      <c r="K500" t="str">
        <f t="shared" si="85"/>
        <v>KRAS, Krakatau Steel (Persero), Krakatau Steel (Persero) Tbk, KrakatauSteel(Persero), PT Krakatau Steel (Persero)</v>
      </c>
      <c r="L500" t="str">
        <f t="shared" si="81"/>
        <v>KrakatauSteel(Persero)</v>
      </c>
      <c r="M500" t="str">
        <f t="shared" si="86"/>
        <v>KRAS, Krakatau Steel (Persero), Krakatau Steel (Persero) Tbk, PT Krakatau Steel (Persero)</v>
      </c>
      <c r="N500" t="str">
        <f t="shared" si="87"/>
        <v>KRAS, Krakatau Steel (Persero), Krakatau Steel (Persero) Tbk, PT Krakatau Steel (Persero)</v>
      </c>
    </row>
    <row r="501" spans="1:14" x14ac:dyDescent="0.2">
      <c r="A501" t="s">
        <v>744</v>
      </c>
      <c r="B501" t="s">
        <v>745</v>
      </c>
      <c r="C501" t="s">
        <v>8300</v>
      </c>
      <c r="D501" t="str">
        <f t="shared" si="77"/>
        <v>KREN, PT Quantum Clovera Investama, QUANTUM CLOVERA INVESTAMA, Quantum Clovera Investama, Quantum Clovera Investama Tbk, QuantumCloveraInvestama, quantum clovera investama</v>
      </c>
      <c r="E501" t="str">
        <f t="shared" si="78"/>
        <v>KREN, PT Quantum Clovera Investama, QUANTUM CLOVERA INVESTAMA, Quantum Clovera Investama, Quantum Clovera Investama Tbk, QuantumCloveraInvestama, quantum clovera investama</v>
      </c>
      <c r="F501" t="str">
        <f t="shared" si="79"/>
        <v>quantum clovera investama</v>
      </c>
      <c r="G501" t="str">
        <f t="shared" si="82"/>
        <v>KREN, PT Quantum Clovera Investama, QUANTUM CLOVERA INVESTAMA, Quantum Clovera Investama, Quantum Clovera Investama Tbk, QuantumCloveraInvestama</v>
      </c>
      <c r="H501" t="str">
        <f t="shared" si="83"/>
        <v>KREN, PT Quantum Clovera Investama, QUANTUM CLOVERA INVESTAMA, Quantum Clovera Investama, Quantum Clovera Investama Tbk, QuantumCloveraInvestama</v>
      </c>
      <c r="I501" t="str">
        <f t="shared" si="80"/>
        <v>QUANTUM CLOVERA INVESTAMA</v>
      </c>
      <c r="J501" t="str">
        <f t="shared" si="84"/>
        <v>KREN, PT Quantum Clovera Investama, Quantum Clovera Investama, Quantum Clovera Investama Tbk, QuantumCloveraInvestama</v>
      </c>
      <c r="K501" t="str">
        <f t="shared" si="85"/>
        <v>KREN, PT Quantum Clovera Investama, Quantum Clovera Investama, Quantum Clovera Investama Tbk, QuantumCloveraInvestama</v>
      </c>
      <c r="L501" t="str">
        <f t="shared" si="81"/>
        <v>QuantumCloveraInvestama</v>
      </c>
      <c r="M501" t="str">
        <f t="shared" si="86"/>
        <v>KREN, PT Quantum Clovera Investama, Quantum Clovera Investama, Quantum Clovera Investama Tbk</v>
      </c>
      <c r="N501" t="str">
        <f t="shared" si="87"/>
        <v>KREN, PT Quantum Clovera Investama, Quantum Clovera Investama, Quantum Clovera Investama Tbk</v>
      </c>
    </row>
    <row r="502" spans="1:14" x14ac:dyDescent="0.2">
      <c r="A502" t="s">
        <v>2131</v>
      </c>
      <c r="B502" t="s">
        <v>2132</v>
      </c>
      <c r="C502" t="s">
        <v>8301</v>
      </c>
      <c r="D502" t="str">
        <f t="shared" si="77"/>
        <v>KRYA, BANGUN KARYA PERKASA JAYA, Bangun Karya Perkasa Jaya, Bangun Karya Perkasa Jaya Tbk, BangunKaryaPerkasaJaya, PT Bangun Karya Perkasa Jaya, bangun karya perkasa jaya</v>
      </c>
      <c r="E502" t="str">
        <f t="shared" si="78"/>
        <v>KRYA, BANGUN KARYA PERKASA JAYA, Bangun Karya Perkasa Jaya, Bangun Karya Perkasa Jaya Tbk, BangunKaryaPerkasaJaya, PT Bangun Karya Perkasa Jaya, bangun karya perkasa jaya</v>
      </c>
      <c r="F502" t="str">
        <f t="shared" si="79"/>
        <v>bangun karya perkasa jaya</v>
      </c>
      <c r="G502" t="str">
        <f t="shared" si="82"/>
        <v>KRYA, BANGUN KARYA PERKASA JAYA, Bangun Karya Perkasa Jaya, Bangun Karya Perkasa Jaya Tbk, BangunKaryaPerkasaJaya, PT Bangun Karya Perkasa Jaya</v>
      </c>
      <c r="H502" t="str">
        <f t="shared" si="83"/>
        <v>KRYA, BANGUN KARYA PERKASA JAYA, Bangun Karya Perkasa Jaya, Bangun Karya Perkasa Jaya Tbk, BangunKaryaPerkasaJaya, PT Bangun Karya Perkasa Jaya</v>
      </c>
      <c r="I502" t="str">
        <f t="shared" si="80"/>
        <v>BANGUN KARYA PERKASA JAYA</v>
      </c>
      <c r="J502" t="str">
        <f t="shared" si="84"/>
        <v>KRYA, Bangun Karya Perkasa Jaya, Bangun Karya Perkasa Jaya Tbk, BangunKaryaPerkasaJaya, PT Bangun Karya Perkasa Jaya</v>
      </c>
      <c r="K502" t="str">
        <f t="shared" si="85"/>
        <v>KRYA, Bangun Karya Perkasa Jaya, Bangun Karya Perkasa Jaya Tbk, BangunKaryaPerkasaJaya, PT Bangun Karya Perkasa Jaya</v>
      </c>
      <c r="L502" t="str">
        <f t="shared" si="81"/>
        <v>BangunKaryaPerkasaJaya</v>
      </c>
      <c r="M502" t="str">
        <f t="shared" si="86"/>
        <v>KRYA, Bangun Karya Perkasa Jaya, Bangun Karya Perkasa Jaya Tbk, PT Bangun Karya Perkasa Jaya</v>
      </c>
      <c r="N502" t="str">
        <f t="shared" si="87"/>
        <v>KRYA, Bangun Karya Perkasa Jaya, Bangun Karya Perkasa Jaya Tbk, PT Bangun Karya Perkasa Jaya</v>
      </c>
    </row>
    <row r="503" spans="1:14" x14ac:dyDescent="0.2">
      <c r="A503" t="s">
        <v>2512</v>
      </c>
      <c r="B503" t="s">
        <v>3607</v>
      </c>
      <c r="C503" t="s">
        <v>8302</v>
      </c>
      <c r="D503" t="str">
        <f t="shared" si="77"/>
        <v>KSIX, KENTANIX SUPRA INTERNATIONAL, Kentanix Supra International, Kentanix Supra International Tbk, KentanixSupraInternational, PT Kentanix Supra International, kentanix supra international</v>
      </c>
      <c r="E503" t="str">
        <f t="shared" si="78"/>
        <v>KSIX, KENTANIX SUPRA INTERNATIONAL, Kentanix Supra International, Kentanix Supra International Tbk, KentanixSupraInternational, PT Kentanix Supra International, kentanix supra international</v>
      </c>
      <c r="F503" t="str">
        <f t="shared" si="79"/>
        <v>kentanix supra international</v>
      </c>
      <c r="G503" t="str">
        <f t="shared" si="82"/>
        <v>KSIX, KENTANIX SUPRA INTERNATIONAL, Kentanix Supra International, Kentanix Supra International Tbk, KentanixSupraInternational, PT Kentanix Supra International</v>
      </c>
      <c r="H503" t="str">
        <f t="shared" si="83"/>
        <v>KSIX, KENTANIX SUPRA INTERNATIONAL, Kentanix Supra International, Kentanix Supra International Tbk, KentanixSupraInternational, PT Kentanix Supra International</v>
      </c>
      <c r="I503" t="str">
        <f t="shared" si="80"/>
        <v>KENTANIX SUPRA INTERNATIONAL</v>
      </c>
      <c r="J503" t="str">
        <f t="shared" si="84"/>
        <v>KSIX, Kentanix Supra International, Kentanix Supra International Tbk, KentanixSupraInternational, PT Kentanix Supra International</v>
      </c>
      <c r="K503" t="str">
        <f t="shared" si="85"/>
        <v>KSIX, Kentanix Supra International, Kentanix Supra International Tbk, KentanixSupraInternational, PT Kentanix Supra International</v>
      </c>
      <c r="L503" t="str">
        <f t="shared" si="81"/>
        <v>KentanixSupraInternational</v>
      </c>
      <c r="M503" t="str">
        <f t="shared" si="86"/>
        <v>KSIX, Kentanix Supra International, Kentanix Supra International Tbk, PT Kentanix Supra International</v>
      </c>
      <c r="N503" t="str">
        <f t="shared" si="87"/>
        <v>KSIX, Kentanix Supra International, Kentanix Supra International Tbk, PT Kentanix Supra International</v>
      </c>
    </row>
    <row r="504" spans="1:14" x14ac:dyDescent="0.2">
      <c r="A504" t="s">
        <v>2013</v>
      </c>
      <c r="B504" t="s">
        <v>2014</v>
      </c>
      <c r="C504" t="s">
        <v>8303</v>
      </c>
      <c r="D504" t="str">
        <f t="shared" si="77"/>
        <v>KUAS, ACE OLDFIELDS, Ace Oldfields, Ace Oldfields Tbk, AceOldfields, PT Ace Oldfields, ace oldfields</v>
      </c>
      <c r="E504" t="str">
        <f t="shared" si="78"/>
        <v>KUAS, ACE OLDFIELDS, Ace Oldfields, Ace Oldfields Tbk, AceOldfields, PT Ace Oldfields, ace oldfields</v>
      </c>
      <c r="F504" t="str">
        <f t="shared" si="79"/>
        <v>ace oldfields</v>
      </c>
      <c r="G504" t="str">
        <f t="shared" si="82"/>
        <v>KUAS, ACE OLDFIELDS, Ace Oldfields, Ace Oldfields Tbk, AceOldfields, PT Ace Oldfields</v>
      </c>
      <c r="H504" t="str">
        <f t="shared" si="83"/>
        <v>KUAS, ACE OLDFIELDS, Ace Oldfields, Ace Oldfields Tbk, AceOldfields, PT Ace Oldfields</v>
      </c>
      <c r="I504" t="str">
        <f t="shared" si="80"/>
        <v>ACE OLDFIELDS</v>
      </c>
      <c r="J504" t="str">
        <f t="shared" si="84"/>
        <v>KUAS, Ace Oldfields, Ace Oldfields Tbk, AceOldfields, PT Ace Oldfields</v>
      </c>
      <c r="K504" t="str">
        <f t="shared" si="85"/>
        <v>KUAS, Ace Oldfields, Ace Oldfields Tbk, AceOldfields, PT Ace Oldfields</v>
      </c>
      <c r="L504" t="str">
        <f t="shared" si="81"/>
        <v>AceOldfields</v>
      </c>
      <c r="M504" t="str">
        <f t="shared" si="86"/>
        <v>KUAS, Ace Oldfields, Ace Oldfields Tbk, PT Ace Oldfields</v>
      </c>
      <c r="N504" t="str">
        <f t="shared" si="87"/>
        <v>KUAS, Ace Oldfields, Ace Oldfields Tbk, PT Ace Oldfields</v>
      </c>
    </row>
    <row r="505" spans="1:14" x14ac:dyDescent="0.2">
      <c r="A505" t="s">
        <v>1957</v>
      </c>
      <c r="B505" t="s">
        <v>1958</v>
      </c>
      <c r="C505" t="s">
        <v>8304</v>
      </c>
      <c r="D505" t="str">
        <f t="shared" si="77"/>
        <v>LABA, GREEN POWER GROUP, Green Power Group, Green Power Group Tbk, GreenPowerGroup, PT Green Power Group, green power group</v>
      </c>
      <c r="E505" t="str">
        <f t="shared" si="78"/>
        <v>LABA, GREEN POWER GROUP, Green Power Group, Green Power Group Tbk, GreenPowerGroup, PT Green Power Group, green power group</v>
      </c>
      <c r="F505" t="str">
        <f t="shared" si="79"/>
        <v>green power group</v>
      </c>
      <c r="G505" t="str">
        <f t="shared" si="82"/>
        <v>LABA, GREEN POWER GROUP, Green Power Group, Green Power Group Tbk, GreenPowerGroup, PT Green Power Group</v>
      </c>
      <c r="H505" t="str">
        <f t="shared" si="83"/>
        <v>LABA, GREEN POWER GROUP, Green Power Group, Green Power Group Tbk, GreenPowerGroup, PT Green Power Group</v>
      </c>
      <c r="I505" t="str">
        <f t="shared" si="80"/>
        <v>GREEN POWER GROUP</v>
      </c>
      <c r="J505" t="str">
        <f t="shared" si="84"/>
        <v>LABA, Green Power Group, Green Power Group Tbk, GreenPowerGroup, PT Green Power Group</v>
      </c>
      <c r="K505" t="str">
        <f t="shared" si="85"/>
        <v>LABA, Green Power Group, Green Power Group Tbk, GreenPowerGroup, PT Green Power Group</v>
      </c>
      <c r="L505" t="str">
        <f t="shared" si="81"/>
        <v>GreenPowerGroup</v>
      </c>
      <c r="M505" t="str">
        <f t="shared" si="86"/>
        <v>LABA, Green Power Group, Green Power Group Tbk, PT Green Power Group</v>
      </c>
      <c r="N505" t="str">
        <f t="shared" si="87"/>
        <v>LABA, Green Power Group, Green Power Group Tbk, PT Green Power Group</v>
      </c>
    </row>
    <row r="506" spans="1:14" x14ac:dyDescent="0.2">
      <c r="A506" t="s">
        <v>2482</v>
      </c>
      <c r="B506" t="s">
        <v>2483</v>
      </c>
      <c r="C506" t="s">
        <v>8305</v>
      </c>
      <c r="D506" t="str">
        <f t="shared" si="77"/>
        <v>LABS, PT UBC Medical Indonesia, UBC MEDICAL INDONESIA, UBC Medical Indonesia, UBC Medical Indonesia Tbk, UBCMedicalIndonesia, ubc medical indonesia</v>
      </c>
      <c r="E506" t="str">
        <f t="shared" si="78"/>
        <v>LABS, PT UBC Medical Indonesia, UBC MEDICAL INDONESIA, UBC Medical Indonesia, UBC Medical Indonesia Tbk, UBCMedicalIndonesia, ubc medical indonesia</v>
      </c>
      <c r="F506" t="str">
        <f t="shared" si="79"/>
        <v>ubc medical indonesia</v>
      </c>
      <c r="G506" t="str">
        <f t="shared" si="82"/>
        <v>LABS, PT UBC Medical Indonesia, UBC MEDICAL INDONESIA, UBC Medical Indonesia, UBC Medical Indonesia Tbk, UBCMedicalIndonesia</v>
      </c>
      <c r="H506" t="str">
        <f t="shared" si="83"/>
        <v>LABS, PT UBC Medical Indonesia, UBC MEDICAL INDONESIA, UBC Medical Indonesia, UBC Medical Indonesia Tbk, UBCMedicalIndonesia</v>
      </c>
      <c r="I506" t="str">
        <f t="shared" si="80"/>
        <v>UBC MEDICAL INDONESIA</v>
      </c>
      <c r="J506" t="str">
        <f t="shared" si="84"/>
        <v>LABS, PT UBC Medical Indonesia, UBC Medical Indonesia, UBC Medical Indonesia Tbk, UBCMedicalIndonesia</v>
      </c>
      <c r="K506" t="str">
        <f t="shared" si="85"/>
        <v>LABS, PT UBC Medical Indonesia, UBC Medical Indonesia, UBC Medical Indonesia Tbk, UBCMedicalIndonesia</v>
      </c>
      <c r="L506" t="str">
        <f t="shared" si="81"/>
        <v>UBCMedicalIndonesia</v>
      </c>
      <c r="M506" t="str">
        <f t="shared" si="86"/>
        <v>LABS, PT UBC Medical Indonesia, UBC Medical Indonesia, UBC Medical Indonesia Tbk</v>
      </c>
      <c r="N506" t="str">
        <f t="shared" si="87"/>
        <v>LABS, PT UBC Medical Indonesia, UBC Medical Indonesia, UBC Medical Indonesia Tbk</v>
      </c>
    </row>
    <row r="507" spans="1:14" x14ac:dyDescent="0.2">
      <c r="A507" t="s">
        <v>2241</v>
      </c>
      <c r="B507" t="s">
        <v>2242</v>
      </c>
      <c r="C507" t="s">
        <v>8306</v>
      </c>
      <c r="D507" t="str">
        <f t="shared" si="77"/>
        <v>LAJU, JASA BERDIKARI LOGISTICS, Jasa Berdikari Logistics, Jasa Berdikari Logistics Tbk, JasaBerdikariLogistics, PT Jasa Berdikari Logistics, jasa berdikari logistics</v>
      </c>
      <c r="E507" t="str">
        <f t="shared" si="78"/>
        <v>LAJU, JASA BERDIKARI LOGISTICS, Jasa Berdikari Logistics, Jasa Berdikari Logistics Tbk, JasaBerdikariLogistics, PT Jasa Berdikari Logistics, jasa berdikari logistics</v>
      </c>
      <c r="F507" t="str">
        <f t="shared" si="79"/>
        <v>jasa berdikari logistics</v>
      </c>
      <c r="G507" t="str">
        <f t="shared" si="82"/>
        <v>LAJU, JASA BERDIKARI LOGISTICS, Jasa Berdikari Logistics, Jasa Berdikari Logistics Tbk, JasaBerdikariLogistics, PT Jasa Berdikari Logistics</v>
      </c>
      <c r="H507" t="str">
        <f t="shared" si="83"/>
        <v>LAJU, JASA BERDIKARI LOGISTICS, Jasa Berdikari Logistics, Jasa Berdikari Logistics Tbk, JasaBerdikariLogistics, PT Jasa Berdikari Logistics</v>
      </c>
      <c r="I507" t="str">
        <f t="shared" si="80"/>
        <v>JASA BERDIKARI LOGISTICS</v>
      </c>
      <c r="J507" t="str">
        <f t="shared" si="84"/>
        <v>LAJU, Jasa Berdikari Logistics, Jasa Berdikari Logistics Tbk, JasaBerdikariLogistics, PT Jasa Berdikari Logistics</v>
      </c>
      <c r="K507" t="str">
        <f t="shared" si="85"/>
        <v>LAJU, Jasa Berdikari Logistics, Jasa Berdikari Logistics Tbk, JasaBerdikariLogistics, PT Jasa Berdikari Logistics</v>
      </c>
      <c r="L507" t="str">
        <f t="shared" si="81"/>
        <v>JasaBerdikariLogistics</v>
      </c>
      <c r="M507" t="str">
        <f t="shared" si="86"/>
        <v>LAJU, Jasa Berdikari Logistics, Jasa Berdikari Logistics Tbk, PT Jasa Berdikari Logistics</v>
      </c>
      <c r="N507" t="str">
        <f t="shared" si="87"/>
        <v>LAJU, Jasa Berdikari Logistics, Jasa Berdikari Logistics Tbk, PT Jasa Berdikari Logistics</v>
      </c>
    </row>
    <row r="508" spans="1:14" x14ac:dyDescent="0.2">
      <c r="A508" t="s">
        <v>1574</v>
      </c>
      <c r="B508" t="s">
        <v>1575</v>
      </c>
      <c r="C508" t="s">
        <v>8307</v>
      </c>
      <c r="D508" t="str">
        <f t="shared" si="77"/>
        <v>LAND, PT Trimitra Propertindo, TRIMITRA PROPERTINDO, Trimitra Propertindo, Trimitra Propertindo Tbk, TrimitraPropertindo, trimitra propertindo</v>
      </c>
      <c r="E508" t="str">
        <f t="shared" si="78"/>
        <v>LAND, PT Trimitra Propertindo, TRIMITRA PROPERTINDO, Trimitra Propertindo, Trimitra Propertindo Tbk, TrimitraPropertindo, trimitra propertindo</v>
      </c>
      <c r="F508" t="str">
        <f t="shared" si="79"/>
        <v>trimitra propertindo</v>
      </c>
      <c r="G508" t="str">
        <f t="shared" si="82"/>
        <v>LAND, PT Trimitra Propertindo, TRIMITRA PROPERTINDO, Trimitra Propertindo, Trimitra Propertindo Tbk, TrimitraPropertindo</v>
      </c>
      <c r="H508" t="str">
        <f t="shared" si="83"/>
        <v>LAND, PT Trimitra Propertindo, TRIMITRA PROPERTINDO, Trimitra Propertindo, Trimitra Propertindo Tbk, TrimitraPropertindo</v>
      </c>
      <c r="I508" t="str">
        <f t="shared" si="80"/>
        <v>TRIMITRA PROPERTINDO</v>
      </c>
      <c r="J508" t="str">
        <f t="shared" si="84"/>
        <v>LAND, PT Trimitra Propertindo, Trimitra Propertindo, Trimitra Propertindo Tbk, TrimitraPropertindo</v>
      </c>
      <c r="K508" t="str">
        <f t="shared" si="85"/>
        <v>LAND, PT Trimitra Propertindo, Trimitra Propertindo, Trimitra Propertindo Tbk, TrimitraPropertindo</v>
      </c>
      <c r="L508" t="str">
        <f t="shared" si="81"/>
        <v>TrimitraPropertindo</v>
      </c>
      <c r="M508" t="str">
        <f t="shared" si="86"/>
        <v>LAND, PT Trimitra Propertindo, Trimitra Propertindo, Trimitra Propertindo Tbk</v>
      </c>
      <c r="N508" t="str">
        <f t="shared" si="87"/>
        <v>LAND, PT Trimitra Propertindo, Trimitra Propertindo, Trimitra Propertindo Tbk</v>
      </c>
    </row>
    <row r="509" spans="1:14" x14ac:dyDescent="0.2">
      <c r="A509" t="s">
        <v>747</v>
      </c>
      <c r="B509" t="s">
        <v>748</v>
      </c>
      <c r="C509" t="s">
        <v>8308</v>
      </c>
      <c r="D509" t="str">
        <f t="shared" si="77"/>
        <v>LAPD, LEYAND INTERNATIONAL, Leyand International, Leyand International Tbk, LeyandInternational, PT Leyand International, leyand international</v>
      </c>
      <c r="E509" t="str">
        <f t="shared" si="78"/>
        <v>LAPD, LEYAND INTERNATIONAL, Leyand International, Leyand International Tbk, LeyandInternational, PT Leyand International, leyand international</v>
      </c>
      <c r="F509" t="str">
        <f t="shared" si="79"/>
        <v>leyand international</v>
      </c>
      <c r="G509" t="str">
        <f t="shared" si="82"/>
        <v>LAPD, LEYAND INTERNATIONAL, Leyand International, Leyand International Tbk, LeyandInternational, PT Leyand International</v>
      </c>
      <c r="H509" t="str">
        <f t="shared" si="83"/>
        <v>LAPD, LEYAND INTERNATIONAL, Leyand International, Leyand International Tbk, LeyandInternational, PT Leyand International</v>
      </c>
      <c r="I509" t="str">
        <f t="shared" si="80"/>
        <v>LEYAND INTERNATIONAL</v>
      </c>
      <c r="J509" t="str">
        <f t="shared" si="84"/>
        <v>LAPD, Leyand International, Leyand International Tbk, LeyandInternational, PT Leyand International</v>
      </c>
      <c r="K509" t="str">
        <f t="shared" si="85"/>
        <v>LAPD, Leyand International, Leyand International Tbk, LeyandInternational, PT Leyand International</v>
      </c>
      <c r="L509" t="str">
        <f t="shared" si="81"/>
        <v>LeyandInternational</v>
      </c>
      <c r="M509" t="str">
        <f t="shared" si="86"/>
        <v>LAPD, Leyand International, Leyand International Tbk, PT Leyand International</v>
      </c>
      <c r="N509" t="str">
        <f t="shared" si="87"/>
        <v>LAPD, Leyand International, Leyand International Tbk, PT Leyand International</v>
      </c>
    </row>
    <row r="510" spans="1:14" x14ac:dyDescent="0.2">
      <c r="A510" t="s">
        <v>750</v>
      </c>
      <c r="B510" t="s">
        <v>751</v>
      </c>
      <c r="C510" t="s">
        <v>8309</v>
      </c>
      <c r="D510" t="str">
        <f t="shared" si="77"/>
        <v>LCGP, EUREKA PRIMA JAKARTA, Eureka Prima Jakarta, Eureka Prima Jakarta Tbk, EurekaPrimaJakarta, PT Eureka Prima Jakarta, eureka prima jakarta</v>
      </c>
      <c r="E510" t="str">
        <f t="shared" si="78"/>
        <v>LCGP, EUREKA PRIMA JAKARTA, Eureka Prima Jakarta, Eureka Prima Jakarta Tbk, EurekaPrimaJakarta, PT Eureka Prima Jakarta, eureka prima jakarta</v>
      </c>
      <c r="F510" t="str">
        <f t="shared" si="79"/>
        <v>eureka prima jakarta</v>
      </c>
      <c r="G510" t="str">
        <f t="shared" si="82"/>
        <v>LCGP, EUREKA PRIMA JAKARTA, Eureka Prima Jakarta, Eureka Prima Jakarta Tbk, EurekaPrimaJakarta, PT Eureka Prima Jakarta</v>
      </c>
      <c r="H510" t="str">
        <f t="shared" si="83"/>
        <v>LCGP, EUREKA PRIMA JAKARTA, Eureka Prima Jakarta, Eureka Prima Jakarta Tbk, EurekaPrimaJakarta, PT Eureka Prima Jakarta</v>
      </c>
      <c r="I510" t="str">
        <f t="shared" si="80"/>
        <v>EUREKA PRIMA JAKARTA</v>
      </c>
      <c r="J510" t="str">
        <f t="shared" si="84"/>
        <v>LCGP, Eureka Prima Jakarta, Eureka Prima Jakarta Tbk, EurekaPrimaJakarta, PT Eureka Prima Jakarta</v>
      </c>
      <c r="K510" t="str">
        <f t="shared" si="85"/>
        <v>LCGP, Eureka Prima Jakarta, Eureka Prima Jakarta Tbk, EurekaPrimaJakarta, PT Eureka Prima Jakarta</v>
      </c>
      <c r="L510" t="str">
        <f t="shared" si="81"/>
        <v>EurekaPrimaJakarta</v>
      </c>
      <c r="M510" t="str">
        <f t="shared" si="86"/>
        <v>LCGP, Eureka Prima Jakarta, Eureka Prima Jakarta Tbk, PT Eureka Prima Jakarta</v>
      </c>
      <c r="N510" t="str">
        <f t="shared" si="87"/>
        <v>LCGP, Eureka Prima Jakarta, Eureka Prima Jakarta Tbk, PT Eureka Prima Jakarta</v>
      </c>
    </row>
    <row r="511" spans="1:14" x14ac:dyDescent="0.2">
      <c r="A511" t="s">
        <v>1492</v>
      </c>
      <c r="B511" t="s">
        <v>1493</v>
      </c>
      <c r="C511" t="s">
        <v>8310</v>
      </c>
      <c r="D511" t="str">
        <f t="shared" si="77"/>
        <v>LCKM, LCK GLOBAL KEDATON, LCK Global Kedaton, LCK Global Kedaton Tbk, LCKGlobalKedaton, PT LCK Global Kedaton, lck global kedaton</v>
      </c>
      <c r="E511" t="str">
        <f t="shared" si="78"/>
        <v>LCKM, LCK GLOBAL KEDATON, LCK Global Kedaton, LCK Global Kedaton Tbk, LCKGlobalKedaton, PT LCK Global Kedaton, lck global kedaton</v>
      </c>
      <c r="F511" t="str">
        <f t="shared" si="79"/>
        <v>lck global kedaton</v>
      </c>
      <c r="G511" t="str">
        <f t="shared" si="82"/>
        <v>LCKM, LCK GLOBAL KEDATON, LCK Global Kedaton, LCK Global Kedaton Tbk, LCKGlobalKedaton, PT LCK Global Kedaton</v>
      </c>
      <c r="H511" t="str">
        <f t="shared" si="83"/>
        <v>LCKM, LCK GLOBAL KEDATON, LCK Global Kedaton, LCK Global Kedaton Tbk, LCKGlobalKedaton, PT LCK Global Kedaton</v>
      </c>
      <c r="I511" t="str">
        <f t="shared" si="80"/>
        <v>LCK GLOBAL KEDATON</v>
      </c>
      <c r="J511" t="str">
        <f t="shared" si="84"/>
        <v>LCKM, LCK Global Kedaton, LCK Global Kedaton Tbk, LCKGlobalKedaton, PT LCK Global Kedaton</v>
      </c>
      <c r="K511" t="str">
        <f t="shared" si="85"/>
        <v>LCKM, LCK Global Kedaton, LCK Global Kedaton Tbk, LCKGlobalKedaton, PT LCK Global Kedaton</v>
      </c>
      <c r="L511" t="str">
        <f t="shared" si="81"/>
        <v>LCKGlobalKedaton</v>
      </c>
      <c r="M511" t="str">
        <f t="shared" si="86"/>
        <v>LCKM, LCK Global Kedaton, LCK Global Kedaton Tbk, PT LCK Global Kedaton</v>
      </c>
      <c r="N511" t="str">
        <f t="shared" si="87"/>
        <v>LCKM, LCK Global Kedaton, LCK Global Kedaton Tbk, PT LCK Global Kedaton</v>
      </c>
    </row>
    <row r="512" spans="1:14" x14ac:dyDescent="0.2">
      <c r="A512" t="s">
        <v>753</v>
      </c>
      <c r="B512" t="s">
        <v>754</v>
      </c>
      <c r="C512" t="s">
        <v>8311</v>
      </c>
      <c r="D512" t="str">
        <f t="shared" si="77"/>
        <v>LEAD, LOGINDO SAMUDRAMAKMUR, Logindo Samudramakmur, Logindo Samudramakmur Tbk, LogindoSamudramakmur, PT Logindo Samudramakmur, logindo samudramakmur</v>
      </c>
      <c r="E512" t="str">
        <f t="shared" si="78"/>
        <v>LEAD, LOGINDO SAMUDRAMAKMUR, Logindo Samudramakmur, Logindo Samudramakmur Tbk, LogindoSamudramakmur, PT Logindo Samudramakmur, logindo samudramakmur</v>
      </c>
      <c r="F512" t="str">
        <f t="shared" si="79"/>
        <v>logindo samudramakmur</v>
      </c>
      <c r="G512" t="str">
        <f t="shared" si="82"/>
        <v>LEAD, LOGINDO SAMUDRAMAKMUR, Logindo Samudramakmur, Logindo Samudramakmur Tbk, LogindoSamudramakmur, PT Logindo Samudramakmur</v>
      </c>
      <c r="H512" t="str">
        <f t="shared" si="83"/>
        <v>LEAD, LOGINDO SAMUDRAMAKMUR, Logindo Samudramakmur, Logindo Samudramakmur Tbk, LogindoSamudramakmur, PT Logindo Samudramakmur</v>
      </c>
      <c r="I512" t="str">
        <f t="shared" si="80"/>
        <v>LOGINDO SAMUDRAMAKMUR</v>
      </c>
      <c r="J512" t="str">
        <f t="shared" si="84"/>
        <v>LEAD, Logindo Samudramakmur, Logindo Samudramakmur Tbk, LogindoSamudramakmur, PT Logindo Samudramakmur</v>
      </c>
      <c r="K512" t="str">
        <f t="shared" si="85"/>
        <v>LEAD, Logindo Samudramakmur, Logindo Samudramakmur Tbk, LogindoSamudramakmur, PT Logindo Samudramakmur</v>
      </c>
      <c r="L512" t="str">
        <f t="shared" si="81"/>
        <v>LogindoSamudramakmur</v>
      </c>
      <c r="M512" t="str">
        <f t="shared" si="86"/>
        <v>LEAD, Logindo Samudramakmur, Logindo Samudramakmur Tbk, PT Logindo Samudramakmur</v>
      </c>
      <c r="N512" t="str">
        <f t="shared" si="87"/>
        <v>LEAD, Logindo Samudramakmur, Logindo Samudramakmur Tbk, PT Logindo Samudramakmur</v>
      </c>
    </row>
    <row r="513" spans="1:14" x14ac:dyDescent="0.2">
      <c r="A513" t="s">
        <v>1930</v>
      </c>
      <c r="B513" t="s">
        <v>1931</v>
      </c>
      <c r="C513" t="s">
        <v>8312</v>
      </c>
      <c r="D513" t="str">
        <f t="shared" si="77"/>
        <v>LFLO, IMAGO MULIA PERSADA, Imago Mulia Persada, Imago Mulia Persada Tbk, ImagoMuliaPersada, PT Imago Mulia Persada, imago mulia persada</v>
      </c>
      <c r="E513" t="str">
        <f t="shared" si="78"/>
        <v>LFLO, IMAGO MULIA PERSADA, Imago Mulia Persada, Imago Mulia Persada Tbk, ImagoMuliaPersada, PT Imago Mulia Persada, imago mulia persada</v>
      </c>
      <c r="F513" t="str">
        <f t="shared" si="79"/>
        <v>imago mulia persada</v>
      </c>
      <c r="G513" t="str">
        <f t="shared" si="82"/>
        <v>LFLO, IMAGO MULIA PERSADA, Imago Mulia Persada, Imago Mulia Persada Tbk, ImagoMuliaPersada, PT Imago Mulia Persada</v>
      </c>
      <c r="H513" t="str">
        <f t="shared" si="83"/>
        <v>LFLO, IMAGO MULIA PERSADA, Imago Mulia Persada, Imago Mulia Persada Tbk, ImagoMuliaPersada, PT Imago Mulia Persada</v>
      </c>
      <c r="I513" t="str">
        <f t="shared" si="80"/>
        <v>IMAGO MULIA PERSADA</v>
      </c>
      <c r="J513" t="str">
        <f t="shared" si="84"/>
        <v>LFLO, Imago Mulia Persada, Imago Mulia Persada Tbk, ImagoMuliaPersada, PT Imago Mulia Persada</v>
      </c>
      <c r="K513" t="str">
        <f t="shared" si="85"/>
        <v>LFLO, Imago Mulia Persada, Imago Mulia Persada Tbk, ImagoMuliaPersada, PT Imago Mulia Persada</v>
      </c>
      <c r="L513" t="str">
        <f t="shared" si="81"/>
        <v>ImagoMuliaPersada</v>
      </c>
      <c r="M513" t="str">
        <f t="shared" si="86"/>
        <v>LFLO, Imago Mulia Persada, Imago Mulia Persada Tbk, PT Imago Mulia Persada</v>
      </c>
      <c r="N513" t="str">
        <f t="shared" si="87"/>
        <v>LFLO, Imago Mulia Persada, Imago Mulia Persada Tbk, PT Imago Mulia Persada</v>
      </c>
    </row>
    <row r="514" spans="1:14" x14ac:dyDescent="0.2">
      <c r="A514" t="s">
        <v>1710</v>
      </c>
      <c r="B514" t="s">
        <v>3608</v>
      </c>
      <c r="C514" t="s">
        <v>8313</v>
      </c>
      <c r="D514" t="str">
        <f t="shared" ref="D514:D577" si="88">SUBSTITUTE(C514, _xlfn.CONCAT(", ", B514), "")</f>
        <v>LIFE, ASURANSI JIWA SINARMAS MSIG, Asuransi Jiwa Sinarmas MSIG, Asuransi Jiwa Sinarmas MSIG Tbk, AsuransiJiwaSinarmasMSIG, PT Asuransi Jiwa Sinarmas MSIG, asuransi jiwa sinarmas msig</v>
      </c>
      <c r="E514" t="str">
        <f t="shared" ref="E514:E577" si="89">SUBSTITUTE(D514, _xlfn.CONCAT(B514, ", "), "")</f>
        <v>LIFE, ASURANSI JIWA SINARMAS MSIG, Asuransi Jiwa Sinarmas MSIG, Asuransi Jiwa Sinarmas MSIG Tbk, AsuransiJiwaSinarmasMSIG, PT Asuransi Jiwa Sinarmas MSIG, asuransi jiwa sinarmas msig</v>
      </c>
      <c r="F514" t="str">
        <f t="shared" ref="F514:F577" si="90">LOWER(MID(B514, 1, FIND(" Tbk.", B514)-1))</f>
        <v>asuransi jiwa sinarmas msig</v>
      </c>
      <c r="G514" t="str">
        <f t="shared" si="82"/>
        <v>LIFE, ASURANSI JIWA SINARMAS MSIG, Asuransi Jiwa Sinarmas MSIG, Asuransi Jiwa Sinarmas MSIG Tbk, AsuransiJiwaSinarmasMSIG, PT Asuransi Jiwa Sinarmas MSIG</v>
      </c>
      <c r="H514" t="str">
        <f t="shared" si="83"/>
        <v>LIFE, ASURANSI JIWA SINARMAS MSIG, Asuransi Jiwa Sinarmas MSIG, Asuransi Jiwa Sinarmas MSIG Tbk, AsuransiJiwaSinarmasMSIG, PT Asuransi Jiwa Sinarmas MSIG</v>
      </c>
      <c r="I514" t="str">
        <f t="shared" ref="I514:I577" si="91">UPPER(MID(B514, 1, FIND(" Tbk.", B514)-1))</f>
        <v>ASURANSI JIWA SINARMAS MSIG</v>
      </c>
      <c r="J514" t="str">
        <f t="shared" si="84"/>
        <v>LIFE, Asuransi Jiwa Sinarmas MSIG, Asuransi Jiwa Sinarmas MSIG Tbk, AsuransiJiwaSinarmasMSIG, PT Asuransi Jiwa Sinarmas MSIG</v>
      </c>
      <c r="K514" t="str">
        <f t="shared" si="85"/>
        <v>LIFE, Asuransi Jiwa Sinarmas MSIG, Asuransi Jiwa Sinarmas MSIG Tbk, AsuransiJiwaSinarmasMSIG, PT Asuransi Jiwa Sinarmas MSIG</v>
      </c>
      <c r="L514" t="str">
        <f t="shared" ref="L514:L577" si="92">SUBSTITUTE(MID(B514, 1, FIND(" Tbk.", B514)-1), " ", "")</f>
        <v>AsuransiJiwaSinarmasMSIG</v>
      </c>
      <c r="M514" t="str">
        <f t="shared" si="86"/>
        <v>LIFE, Asuransi Jiwa Sinarmas MSIG, Asuransi Jiwa Sinarmas MSIG Tbk, PT Asuransi Jiwa Sinarmas MSIG</v>
      </c>
      <c r="N514" t="str">
        <f t="shared" si="87"/>
        <v>LIFE, Asuransi Jiwa Sinarmas MSIG, Asuransi Jiwa Sinarmas MSIG Tbk, PT Asuransi Jiwa Sinarmas MSIG</v>
      </c>
    </row>
    <row r="515" spans="1:14" x14ac:dyDescent="0.2">
      <c r="A515" t="s">
        <v>756</v>
      </c>
      <c r="B515" t="s">
        <v>757</v>
      </c>
      <c r="C515" t="s">
        <v>8314</v>
      </c>
      <c r="D515" t="str">
        <f t="shared" si="88"/>
        <v>LINK, LINK NET, Link Net, Link Net Tbk, LinkNet, PT Link Net, link net</v>
      </c>
      <c r="E515" t="str">
        <f t="shared" si="89"/>
        <v>LINK, LINK NET, Link Net, Link Net Tbk, LinkNet, PT Link Net, link net</v>
      </c>
      <c r="F515" t="str">
        <f t="shared" si="90"/>
        <v>link net</v>
      </c>
      <c r="G515" t="str">
        <f t="shared" ref="G515:G578" si="93">SUBSTITUTE(E515, _xlfn.CONCAT(", ", F515), "")</f>
        <v>LINK, LINK NET, Link Net, Link Net Tbk, LinkNet, PT Link Net</v>
      </c>
      <c r="H515" t="str">
        <f t="shared" ref="H515:H578" si="94">SUBSTITUTE(G515, _xlfn.CONCAT(F515, ", "), "")</f>
        <v>LINK, LINK NET, Link Net, Link Net Tbk, LinkNet, PT Link Net</v>
      </c>
      <c r="I515" t="str">
        <f t="shared" si="91"/>
        <v>LINK NET</v>
      </c>
      <c r="J515" t="str">
        <f t="shared" ref="J515:J578" si="95">SUBSTITUTE(H515, _xlfn.CONCAT(", ", I515), "")</f>
        <v>LINK, Link Net, Link Net Tbk, LinkNet, PT Link Net</v>
      </c>
      <c r="K515" t="str">
        <f t="shared" ref="K515:K578" si="96">SUBSTITUTE(J515, _xlfn.CONCAT(I515, ", "), "")</f>
        <v>LINK, Link Net, Link Net Tbk, LinkNet, PT Link Net</v>
      </c>
      <c r="L515" t="str">
        <f t="shared" si="92"/>
        <v>LinkNet</v>
      </c>
      <c r="M515" t="str">
        <f t="shared" ref="M515:M578" si="97">SUBSTITUTE(K515, _xlfn.CONCAT(", ", L515), "")</f>
        <v>LINK, Link Net, Link Net Tbk, PT Link Net</v>
      </c>
      <c r="N515" t="str">
        <f t="shared" ref="N515:N578" si="98">SUBSTITUTE(M515, _xlfn.CONCAT(L515, ", "), "")</f>
        <v>LINK, Link Net, Link Net Tbk, PT Link Net</v>
      </c>
    </row>
    <row r="516" spans="1:14" x14ac:dyDescent="0.2">
      <c r="A516" t="s">
        <v>759</v>
      </c>
      <c r="B516" t="s">
        <v>760</v>
      </c>
      <c r="C516" t="s">
        <v>8315</v>
      </c>
      <c r="D516" t="str">
        <f t="shared" si="88"/>
        <v>LION, LION METAL WORKS, Lion Metal Works, Lion Metal Works Tbk, LionMetalWorks, PT Lion Metal Works, lion metal works</v>
      </c>
      <c r="E516" t="str">
        <f t="shared" si="89"/>
        <v>LION, LION METAL WORKS, Lion Metal Works, Lion Metal Works Tbk, LionMetalWorks, PT Lion Metal Works, lion metal works</v>
      </c>
      <c r="F516" t="str">
        <f t="shared" si="90"/>
        <v>lion metal works</v>
      </c>
      <c r="G516" t="str">
        <f t="shared" si="93"/>
        <v>LION, LION METAL WORKS, Lion Metal Works, Lion Metal Works Tbk, LionMetalWorks, PT Lion Metal Works</v>
      </c>
      <c r="H516" t="str">
        <f t="shared" si="94"/>
        <v>LION, LION METAL WORKS, Lion Metal Works, Lion Metal Works Tbk, LionMetalWorks, PT Lion Metal Works</v>
      </c>
      <c r="I516" t="str">
        <f t="shared" si="91"/>
        <v>LION METAL WORKS</v>
      </c>
      <c r="J516" t="str">
        <f t="shared" si="95"/>
        <v>LION, Lion Metal Works, Lion Metal Works Tbk, LionMetalWorks, PT Lion Metal Works</v>
      </c>
      <c r="K516" t="str">
        <f t="shared" si="96"/>
        <v>LION, Lion Metal Works, Lion Metal Works Tbk, LionMetalWorks, PT Lion Metal Works</v>
      </c>
      <c r="L516" t="str">
        <f t="shared" si="92"/>
        <v>LionMetalWorks</v>
      </c>
      <c r="M516" t="str">
        <f t="shared" si="97"/>
        <v>LION, Lion Metal Works, Lion Metal Works Tbk, PT Lion Metal Works</v>
      </c>
      <c r="N516" t="str">
        <f t="shared" si="98"/>
        <v>LION, Lion Metal Works, Lion Metal Works Tbk, PT Lion Metal Works</v>
      </c>
    </row>
    <row r="517" spans="1:14" x14ac:dyDescent="0.2">
      <c r="A517" t="s">
        <v>2438</v>
      </c>
      <c r="B517" t="s">
        <v>2439</v>
      </c>
      <c r="C517" t="s">
        <v>8316</v>
      </c>
      <c r="D517" t="str">
        <f t="shared" si="88"/>
        <v>LIVE, HOMECO VICTORIA MAKMUR, Homeco Victoria Makmur, Homeco Victoria Makmur Tbk, HomecoVictoriaMakmur, PT Homeco Victoria Makmur, homeco victoria makmur</v>
      </c>
      <c r="E517" t="str">
        <f t="shared" si="89"/>
        <v>LIVE, HOMECO VICTORIA MAKMUR, Homeco Victoria Makmur, Homeco Victoria Makmur Tbk, HomecoVictoriaMakmur, PT Homeco Victoria Makmur, homeco victoria makmur</v>
      </c>
      <c r="F517" t="str">
        <f t="shared" si="90"/>
        <v>homeco victoria makmur</v>
      </c>
      <c r="G517" t="str">
        <f t="shared" si="93"/>
        <v>LIVE, HOMECO VICTORIA MAKMUR, Homeco Victoria Makmur, Homeco Victoria Makmur Tbk, HomecoVictoriaMakmur, PT Homeco Victoria Makmur</v>
      </c>
      <c r="H517" t="str">
        <f t="shared" si="94"/>
        <v>LIVE, HOMECO VICTORIA MAKMUR, Homeco Victoria Makmur, Homeco Victoria Makmur Tbk, HomecoVictoriaMakmur, PT Homeco Victoria Makmur</v>
      </c>
      <c r="I517" t="str">
        <f t="shared" si="91"/>
        <v>HOMECO VICTORIA MAKMUR</v>
      </c>
      <c r="J517" t="str">
        <f t="shared" si="95"/>
        <v>LIVE, Homeco Victoria Makmur, Homeco Victoria Makmur Tbk, HomecoVictoriaMakmur, PT Homeco Victoria Makmur</v>
      </c>
      <c r="K517" t="str">
        <f t="shared" si="96"/>
        <v>LIVE, Homeco Victoria Makmur, Homeco Victoria Makmur Tbk, HomecoVictoriaMakmur, PT Homeco Victoria Makmur</v>
      </c>
      <c r="L517" t="str">
        <f t="shared" si="92"/>
        <v>HomecoVictoriaMakmur</v>
      </c>
      <c r="M517" t="str">
        <f t="shared" si="97"/>
        <v>LIVE, Homeco Victoria Makmur, Homeco Victoria Makmur Tbk, PT Homeco Victoria Makmur</v>
      </c>
      <c r="N517" t="str">
        <f t="shared" si="98"/>
        <v>LIVE, Homeco Victoria Makmur, Homeco Victoria Makmur Tbk, PT Homeco Victoria Makmur</v>
      </c>
    </row>
    <row r="518" spans="1:14" x14ac:dyDescent="0.2">
      <c r="A518" t="s">
        <v>762</v>
      </c>
      <c r="B518" t="s">
        <v>3609</v>
      </c>
      <c r="C518" t="s">
        <v>8317</v>
      </c>
      <c r="D518" t="str">
        <f t="shared" si="88"/>
        <v>LMAS, LIMAS INDONESIA MAKMUR, Limas Indonesia Makmur, Limas Indonesia Makmur Tbk, LimasIndonesiaMakmur, PT Limas Indonesia Makmur, limas indonesia makmur</v>
      </c>
      <c r="E518" t="str">
        <f t="shared" si="89"/>
        <v>LMAS, LIMAS INDONESIA MAKMUR, Limas Indonesia Makmur, Limas Indonesia Makmur Tbk, LimasIndonesiaMakmur, PT Limas Indonesia Makmur, limas indonesia makmur</v>
      </c>
      <c r="F518" t="str">
        <f t="shared" si="90"/>
        <v>limas indonesia makmur</v>
      </c>
      <c r="G518" t="str">
        <f t="shared" si="93"/>
        <v>LMAS, LIMAS INDONESIA MAKMUR, Limas Indonesia Makmur, Limas Indonesia Makmur Tbk, LimasIndonesiaMakmur, PT Limas Indonesia Makmur</v>
      </c>
      <c r="H518" t="str">
        <f t="shared" si="94"/>
        <v>LMAS, LIMAS INDONESIA MAKMUR, Limas Indonesia Makmur, Limas Indonesia Makmur Tbk, LimasIndonesiaMakmur, PT Limas Indonesia Makmur</v>
      </c>
      <c r="I518" t="str">
        <f t="shared" si="91"/>
        <v>LIMAS INDONESIA MAKMUR</v>
      </c>
      <c r="J518" t="str">
        <f t="shared" si="95"/>
        <v>LMAS, Limas Indonesia Makmur, Limas Indonesia Makmur Tbk, LimasIndonesiaMakmur, PT Limas Indonesia Makmur</v>
      </c>
      <c r="K518" t="str">
        <f t="shared" si="96"/>
        <v>LMAS, Limas Indonesia Makmur, Limas Indonesia Makmur Tbk, LimasIndonesiaMakmur, PT Limas Indonesia Makmur</v>
      </c>
      <c r="L518" t="str">
        <f t="shared" si="92"/>
        <v>LimasIndonesiaMakmur</v>
      </c>
      <c r="M518" t="str">
        <f t="shared" si="97"/>
        <v>LMAS, Limas Indonesia Makmur, Limas Indonesia Makmur Tbk, PT Limas Indonesia Makmur</v>
      </c>
      <c r="N518" t="str">
        <f t="shared" si="98"/>
        <v>LMAS, Limas Indonesia Makmur, Limas Indonesia Makmur Tbk, PT Limas Indonesia Makmur</v>
      </c>
    </row>
    <row r="519" spans="1:14" x14ac:dyDescent="0.2">
      <c r="A519" t="s">
        <v>2363</v>
      </c>
      <c r="B519" t="s">
        <v>3610</v>
      </c>
      <c r="C519" t="s">
        <v>8318</v>
      </c>
      <c r="D519" t="str">
        <f t="shared" si="88"/>
        <v>LMAX, LUPROMAX PELUMAS INDONESIA, Lupromax Pelumas Indonesia, Lupromax Pelumas Indonesia Tbk, LupromaxPelumasIndonesia, PT Lupromax Pelumas Indonesia, lupromax pelumas indonesia</v>
      </c>
      <c r="E519" t="str">
        <f t="shared" si="89"/>
        <v>LMAX, LUPROMAX PELUMAS INDONESIA, Lupromax Pelumas Indonesia, Lupromax Pelumas Indonesia Tbk, LupromaxPelumasIndonesia, PT Lupromax Pelumas Indonesia, lupromax pelumas indonesia</v>
      </c>
      <c r="F519" t="str">
        <f t="shared" si="90"/>
        <v>lupromax pelumas indonesia</v>
      </c>
      <c r="G519" t="str">
        <f t="shared" si="93"/>
        <v>LMAX, LUPROMAX PELUMAS INDONESIA, Lupromax Pelumas Indonesia, Lupromax Pelumas Indonesia Tbk, LupromaxPelumasIndonesia, PT Lupromax Pelumas Indonesia</v>
      </c>
      <c r="H519" t="str">
        <f t="shared" si="94"/>
        <v>LMAX, LUPROMAX PELUMAS INDONESIA, Lupromax Pelumas Indonesia, Lupromax Pelumas Indonesia Tbk, LupromaxPelumasIndonesia, PT Lupromax Pelumas Indonesia</v>
      </c>
      <c r="I519" t="str">
        <f t="shared" si="91"/>
        <v>LUPROMAX PELUMAS INDONESIA</v>
      </c>
      <c r="J519" t="str">
        <f t="shared" si="95"/>
        <v>LMAX, Lupromax Pelumas Indonesia, Lupromax Pelumas Indonesia Tbk, LupromaxPelumasIndonesia, PT Lupromax Pelumas Indonesia</v>
      </c>
      <c r="K519" t="str">
        <f t="shared" si="96"/>
        <v>LMAX, Lupromax Pelumas Indonesia, Lupromax Pelumas Indonesia Tbk, LupromaxPelumasIndonesia, PT Lupromax Pelumas Indonesia</v>
      </c>
      <c r="L519" t="str">
        <f t="shared" si="92"/>
        <v>LupromaxPelumasIndonesia</v>
      </c>
      <c r="M519" t="str">
        <f t="shared" si="97"/>
        <v>LMAX, Lupromax Pelumas Indonesia, Lupromax Pelumas Indonesia Tbk, PT Lupromax Pelumas Indonesia</v>
      </c>
      <c r="N519" t="str">
        <f t="shared" si="98"/>
        <v>LMAX, Lupromax Pelumas Indonesia, Lupromax Pelumas Indonesia Tbk, PT Lupromax Pelumas Indonesia</v>
      </c>
    </row>
    <row r="520" spans="1:14" x14ac:dyDescent="0.2">
      <c r="A520" t="s">
        <v>765</v>
      </c>
      <c r="B520" t="s">
        <v>766</v>
      </c>
      <c r="C520" t="s">
        <v>8319</v>
      </c>
      <c r="D520" t="str">
        <f t="shared" si="88"/>
        <v>LMPI, LANGGENG MAKMUR INDUSTRI, Langgeng Makmur Industri, Langgeng Makmur Industri Tbk, LanggengMakmurIndustri, PT Langgeng Makmur Industri, langgeng makmur industri</v>
      </c>
      <c r="E520" t="str">
        <f t="shared" si="89"/>
        <v>LMPI, LANGGENG MAKMUR INDUSTRI, Langgeng Makmur Industri, Langgeng Makmur Industri Tbk, LanggengMakmurIndustri, PT Langgeng Makmur Industri, langgeng makmur industri</v>
      </c>
      <c r="F520" t="str">
        <f t="shared" si="90"/>
        <v>langgeng makmur industri</v>
      </c>
      <c r="G520" t="str">
        <f t="shared" si="93"/>
        <v>LMPI, LANGGENG MAKMUR INDUSTRI, Langgeng Makmur Industri, Langgeng Makmur Industri Tbk, LanggengMakmurIndustri, PT Langgeng Makmur Industri</v>
      </c>
      <c r="H520" t="str">
        <f t="shared" si="94"/>
        <v>LMPI, LANGGENG MAKMUR INDUSTRI, Langgeng Makmur Industri, Langgeng Makmur Industri Tbk, LanggengMakmurIndustri, PT Langgeng Makmur Industri</v>
      </c>
      <c r="I520" t="str">
        <f t="shared" si="91"/>
        <v>LANGGENG MAKMUR INDUSTRI</v>
      </c>
      <c r="J520" t="str">
        <f t="shared" si="95"/>
        <v>LMPI, Langgeng Makmur Industri, Langgeng Makmur Industri Tbk, LanggengMakmurIndustri, PT Langgeng Makmur Industri</v>
      </c>
      <c r="K520" t="str">
        <f t="shared" si="96"/>
        <v>LMPI, Langgeng Makmur Industri, Langgeng Makmur Industri Tbk, LanggengMakmurIndustri, PT Langgeng Makmur Industri</v>
      </c>
      <c r="L520" t="str">
        <f t="shared" si="92"/>
        <v>LanggengMakmurIndustri</v>
      </c>
      <c r="M520" t="str">
        <f t="shared" si="97"/>
        <v>LMPI, Langgeng Makmur Industri, Langgeng Makmur Industri Tbk, PT Langgeng Makmur Industri</v>
      </c>
      <c r="N520" t="str">
        <f t="shared" si="98"/>
        <v>LMPI, Langgeng Makmur Industri, Langgeng Makmur Industri Tbk, PT Langgeng Makmur Industri</v>
      </c>
    </row>
    <row r="521" spans="1:14" x14ac:dyDescent="0.2">
      <c r="A521" t="s">
        <v>768</v>
      </c>
      <c r="B521" t="s">
        <v>769</v>
      </c>
      <c r="C521" t="s">
        <v>8320</v>
      </c>
      <c r="D521" t="str">
        <f t="shared" si="88"/>
        <v>LMSH, LIONMESH PRIMA, Lionmesh Prima, Lionmesh Prima Tbk, LionmeshPrima, PT Lionmesh Prima, lionmesh prima</v>
      </c>
      <c r="E521" t="str">
        <f t="shared" si="89"/>
        <v>LMSH, LIONMESH PRIMA, Lionmesh Prima, Lionmesh Prima Tbk, LionmeshPrima, PT Lionmesh Prima, lionmesh prima</v>
      </c>
      <c r="F521" t="str">
        <f t="shared" si="90"/>
        <v>lionmesh prima</v>
      </c>
      <c r="G521" t="str">
        <f t="shared" si="93"/>
        <v>LMSH, LIONMESH PRIMA, Lionmesh Prima, Lionmesh Prima Tbk, LionmeshPrima, PT Lionmesh Prima</v>
      </c>
      <c r="H521" t="str">
        <f t="shared" si="94"/>
        <v>LMSH, LIONMESH PRIMA, Lionmesh Prima, Lionmesh Prima Tbk, LionmeshPrima, PT Lionmesh Prima</v>
      </c>
      <c r="I521" t="str">
        <f t="shared" si="91"/>
        <v>LIONMESH PRIMA</v>
      </c>
      <c r="J521" t="str">
        <f t="shared" si="95"/>
        <v>LMSH, Lionmesh Prima, Lionmesh Prima Tbk, LionmeshPrima, PT Lionmesh Prima</v>
      </c>
      <c r="K521" t="str">
        <f t="shared" si="96"/>
        <v>LMSH, Lionmesh Prima, Lionmesh Prima Tbk, LionmeshPrima, PT Lionmesh Prima</v>
      </c>
      <c r="L521" t="str">
        <f t="shared" si="92"/>
        <v>LionmeshPrima</v>
      </c>
      <c r="M521" t="str">
        <f t="shared" si="97"/>
        <v>LMSH, Lionmesh Prima, Lionmesh Prima Tbk, PT Lionmesh Prima</v>
      </c>
      <c r="N521" t="str">
        <f t="shared" si="98"/>
        <v>LMSH, Lionmesh Prima, Lionmesh Prima Tbk, PT Lionmesh Prima</v>
      </c>
    </row>
    <row r="522" spans="1:14" x14ac:dyDescent="0.2">
      <c r="A522" t="s">
        <v>2396</v>
      </c>
      <c r="B522" t="s">
        <v>3611</v>
      </c>
      <c r="C522" t="s">
        <v>8321</v>
      </c>
      <c r="D522" t="str">
        <f t="shared" si="88"/>
        <v>LOPI, LOGISTICSPLUS INTERNATIONAL, Logisticsplus International, Logisticsplus International Tbk, LogisticsplusInternational, PT Logisticsplus International, logisticsplus international</v>
      </c>
      <c r="E522" t="str">
        <f t="shared" si="89"/>
        <v>LOPI, LOGISTICSPLUS INTERNATIONAL, Logisticsplus International, Logisticsplus International Tbk, LogisticsplusInternational, PT Logisticsplus International, logisticsplus international</v>
      </c>
      <c r="F522" t="str">
        <f t="shared" si="90"/>
        <v>logisticsplus international</v>
      </c>
      <c r="G522" t="str">
        <f t="shared" si="93"/>
        <v>LOPI, LOGISTICSPLUS INTERNATIONAL, Logisticsplus International, Logisticsplus International Tbk, LogisticsplusInternational, PT Logisticsplus International</v>
      </c>
      <c r="H522" t="str">
        <f t="shared" si="94"/>
        <v>LOPI, LOGISTICSPLUS INTERNATIONAL, Logisticsplus International, Logisticsplus International Tbk, LogisticsplusInternational, PT Logisticsplus International</v>
      </c>
      <c r="I522" t="str">
        <f t="shared" si="91"/>
        <v>LOGISTICSPLUS INTERNATIONAL</v>
      </c>
      <c r="J522" t="str">
        <f t="shared" si="95"/>
        <v>LOPI, Logisticsplus International, Logisticsplus International Tbk, LogisticsplusInternational, PT Logisticsplus International</v>
      </c>
      <c r="K522" t="str">
        <f t="shared" si="96"/>
        <v>LOPI, Logisticsplus International, Logisticsplus International Tbk, LogisticsplusInternational, PT Logisticsplus International</v>
      </c>
      <c r="L522" t="str">
        <f t="shared" si="92"/>
        <v>LogisticsplusInternational</v>
      </c>
      <c r="M522" t="str">
        <f t="shared" si="97"/>
        <v>LOPI, Logisticsplus International, Logisticsplus International Tbk, PT Logisticsplus International</v>
      </c>
      <c r="N522" t="str">
        <f t="shared" si="98"/>
        <v>LOPI, Logisticsplus International, Logisticsplus International Tbk, PT Logisticsplus International</v>
      </c>
    </row>
    <row r="523" spans="1:14" x14ac:dyDescent="0.2">
      <c r="A523" t="s">
        <v>771</v>
      </c>
      <c r="B523" t="s">
        <v>3612</v>
      </c>
      <c r="C523" t="s">
        <v>8322</v>
      </c>
      <c r="D523" t="str">
        <f t="shared" si="88"/>
        <v>LPCK, LIPPO CIKARANG, Lippo Cikarang, Lippo Cikarang Tbk, LippoCikarang, PT Lippo Cikarang, lippo cikarang</v>
      </c>
      <c r="E523" t="str">
        <f t="shared" si="89"/>
        <v>LPCK, LIPPO CIKARANG, Lippo Cikarang, Lippo Cikarang Tbk, LippoCikarang, PT Lippo Cikarang, lippo cikarang</v>
      </c>
      <c r="F523" t="str">
        <f t="shared" si="90"/>
        <v>lippo cikarang</v>
      </c>
      <c r="G523" t="str">
        <f t="shared" si="93"/>
        <v>LPCK, LIPPO CIKARANG, Lippo Cikarang, Lippo Cikarang Tbk, LippoCikarang, PT Lippo Cikarang</v>
      </c>
      <c r="H523" t="str">
        <f t="shared" si="94"/>
        <v>LPCK, LIPPO CIKARANG, Lippo Cikarang, Lippo Cikarang Tbk, LippoCikarang, PT Lippo Cikarang</v>
      </c>
      <c r="I523" t="str">
        <f t="shared" si="91"/>
        <v>LIPPO CIKARANG</v>
      </c>
      <c r="J523" t="str">
        <f t="shared" si="95"/>
        <v>LPCK, Lippo Cikarang, Lippo Cikarang Tbk, LippoCikarang, PT Lippo Cikarang</v>
      </c>
      <c r="K523" t="str">
        <f t="shared" si="96"/>
        <v>LPCK, Lippo Cikarang, Lippo Cikarang Tbk, LippoCikarang, PT Lippo Cikarang</v>
      </c>
      <c r="L523" t="str">
        <f t="shared" si="92"/>
        <v>LippoCikarang</v>
      </c>
      <c r="M523" t="str">
        <f t="shared" si="97"/>
        <v>LPCK, Lippo Cikarang, Lippo Cikarang Tbk, PT Lippo Cikarang</v>
      </c>
      <c r="N523" t="str">
        <f t="shared" si="98"/>
        <v>LPCK, Lippo Cikarang, Lippo Cikarang Tbk, PT Lippo Cikarang</v>
      </c>
    </row>
    <row r="524" spans="1:14" x14ac:dyDescent="0.2">
      <c r="A524" t="s">
        <v>774</v>
      </c>
      <c r="B524" t="s">
        <v>775</v>
      </c>
      <c r="C524" t="s">
        <v>8323</v>
      </c>
      <c r="D524" t="str">
        <f t="shared" si="88"/>
        <v>LPGI, LIPPO GENERAL INSURANCE, Lippo General Insurance, Lippo General Insurance Tbk, LippoGeneralInsurance, PT Lippo General Insurance, lippo general insurance</v>
      </c>
      <c r="E524" t="str">
        <f t="shared" si="89"/>
        <v>LPGI, LIPPO GENERAL INSURANCE, Lippo General Insurance, Lippo General Insurance Tbk, LippoGeneralInsurance, PT Lippo General Insurance, lippo general insurance</v>
      </c>
      <c r="F524" t="str">
        <f t="shared" si="90"/>
        <v>lippo general insurance</v>
      </c>
      <c r="G524" t="str">
        <f t="shared" si="93"/>
        <v>LPGI, LIPPO GENERAL INSURANCE, Lippo General Insurance, Lippo General Insurance Tbk, LippoGeneralInsurance, PT Lippo General Insurance</v>
      </c>
      <c r="H524" t="str">
        <f t="shared" si="94"/>
        <v>LPGI, LIPPO GENERAL INSURANCE, Lippo General Insurance, Lippo General Insurance Tbk, LippoGeneralInsurance, PT Lippo General Insurance</v>
      </c>
      <c r="I524" t="str">
        <f t="shared" si="91"/>
        <v>LIPPO GENERAL INSURANCE</v>
      </c>
      <c r="J524" t="str">
        <f t="shared" si="95"/>
        <v>LPGI, Lippo General Insurance, Lippo General Insurance Tbk, LippoGeneralInsurance, PT Lippo General Insurance</v>
      </c>
      <c r="K524" t="str">
        <f t="shared" si="96"/>
        <v>LPGI, Lippo General Insurance, Lippo General Insurance Tbk, LippoGeneralInsurance, PT Lippo General Insurance</v>
      </c>
      <c r="L524" t="str">
        <f t="shared" si="92"/>
        <v>LippoGeneralInsurance</v>
      </c>
      <c r="M524" t="str">
        <f t="shared" si="97"/>
        <v>LPGI, Lippo General Insurance, Lippo General Insurance Tbk, PT Lippo General Insurance</v>
      </c>
      <c r="N524" t="str">
        <f t="shared" si="98"/>
        <v>LPGI, Lippo General Insurance, Lippo General Insurance Tbk, PT Lippo General Insurance</v>
      </c>
    </row>
    <row r="525" spans="1:14" x14ac:dyDescent="0.2">
      <c r="A525" t="s">
        <v>776</v>
      </c>
      <c r="B525" t="s">
        <v>3613</v>
      </c>
      <c r="C525" t="s">
        <v>8324</v>
      </c>
      <c r="D525" t="str">
        <f t="shared" si="88"/>
        <v>LPIN, MULTI PRIMA SEJAHTERA, Multi Prima Sejahtera, Multi Prima Sejahtera Tbk, MultiPrimaSejahtera, PT Multi Prima Sejahtera, multi prima sejahtera</v>
      </c>
      <c r="E525" t="str">
        <f t="shared" si="89"/>
        <v>LPIN, MULTI PRIMA SEJAHTERA, Multi Prima Sejahtera, Multi Prima Sejahtera Tbk, MultiPrimaSejahtera, PT Multi Prima Sejahtera, multi prima sejahtera</v>
      </c>
      <c r="F525" t="str">
        <f t="shared" si="90"/>
        <v>multi prima sejahtera</v>
      </c>
      <c r="G525" t="str">
        <f t="shared" si="93"/>
        <v>LPIN, MULTI PRIMA SEJAHTERA, Multi Prima Sejahtera, Multi Prima Sejahtera Tbk, MultiPrimaSejahtera, PT Multi Prima Sejahtera</v>
      </c>
      <c r="H525" t="str">
        <f t="shared" si="94"/>
        <v>LPIN, MULTI PRIMA SEJAHTERA, Multi Prima Sejahtera, Multi Prima Sejahtera Tbk, MultiPrimaSejahtera, PT Multi Prima Sejahtera</v>
      </c>
      <c r="I525" t="str">
        <f t="shared" si="91"/>
        <v>MULTI PRIMA SEJAHTERA</v>
      </c>
      <c r="J525" t="str">
        <f t="shared" si="95"/>
        <v>LPIN, Multi Prima Sejahtera, Multi Prima Sejahtera Tbk, MultiPrimaSejahtera, PT Multi Prima Sejahtera</v>
      </c>
      <c r="K525" t="str">
        <f t="shared" si="96"/>
        <v>LPIN, Multi Prima Sejahtera, Multi Prima Sejahtera Tbk, MultiPrimaSejahtera, PT Multi Prima Sejahtera</v>
      </c>
      <c r="L525" t="str">
        <f t="shared" si="92"/>
        <v>MultiPrimaSejahtera</v>
      </c>
      <c r="M525" t="str">
        <f t="shared" si="97"/>
        <v>LPIN, Multi Prima Sejahtera, Multi Prima Sejahtera Tbk, PT Multi Prima Sejahtera</v>
      </c>
      <c r="N525" t="str">
        <f t="shared" si="98"/>
        <v>LPIN, Multi Prima Sejahtera, Multi Prima Sejahtera Tbk, PT Multi Prima Sejahtera</v>
      </c>
    </row>
    <row r="526" spans="1:14" x14ac:dyDescent="0.2">
      <c r="A526" t="s">
        <v>779</v>
      </c>
      <c r="B526" t="s">
        <v>780</v>
      </c>
      <c r="C526" t="s">
        <v>8325</v>
      </c>
      <c r="D526" t="str">
        <f t="shared" si="88"/>
        <v>LPKR, LIPPO KARAWACI, Lippo Karawaci, Lippo Karawaci Tbk, LippoKarawaci, PT Lippo Karawaci, lippo karawaci</v>
      </c>
      <c r="E526" t="str">
        <f t="shared" si="89"/>
        <v>LPKR, LIPPO KARAWACI, Lippo Karawaci, Lippo Karawaci Tbk, LippoKarawaci, PT Lippo Karawaci, lippo karawaci</v>
      </c>
      <c r="F526" t="str">
        <f t="shared" si="90"/>
        <v>lippo karawaci</v>
      </c>
      <c r="G526" t="str">
        <f t="shared" si="93"/>
        <v>LPKR, LIPPO KARAWACI, Lippo Karawaci, Lippo Karawaci Tbk, LippoKarawaci, PT Lippo Karawaci</v>
      </c>
      <c r="H526" t="str">
        <f t="shared" si="94"/>
        <v>LPKR, LIPPO KARAWACI, Lippo Karawaci, Lippo Karawaci Tbk, LippoKarawaci, PT Lippo Karawaci</v>
      </c>
      <c r="I526" t="str">
        <f t="shared" si="91"/>
        <v>LIPPO KARAWACI</v>
      </c>
      <c r="J526" t="str">
        <f t="shared" si="95"/>
        <v>LPKR, Lippo Karawaci, Lippo Karawaci Tbk, LippoKarawaci, PT Lippo Karawaci</v>
      </c>
      <c r="K526" t="str">
        <f t="shared" si="96"/>
        <v>LPKR, Lippo Karawaci, Lippo Karawaci Tbk, LippoKarawaci, PT Lippo Karawaci</v>
      </c>
      <c r="L526" t="str">
        <f t="shared" si="92"/>
        <v>LippoKarawaci</v>
      </c>
      <c r="M526" t="str">
        <f t="shared" si="97"/>
        <v>LPKR, Lippo Karawaci, Lippo Karawaci Tbk, PT Lippo Karawaci</v>
      </c>
      <c r="N526" t="str">
        <f t="shared" si="98"/>
        <v>LPKR, Lippo Karawaci, Lippo Karawaci Tbk, PT Lippo Karawaci</v>
      </c>
    </row>
    <row r="527" spans="1:14" x14ac:dyDescent="0.2">
      <c r="A527" t="s">
        <v>782</v>
      </c>
      <c r="B527" t="s">
        <v>3614</v>
      </c>
      <c r="C527" t="s">
        <v>8326</v>
      </c>
      <c r="D527" t="str">
        <f t="shared" si="88"/>
        <v>LPLI, PT Star Pacific, STAR PACIFIC, Star Pacific, Star Pacific Tbk, StarPacific, star pacific</v>
      </c>
      <c r="E527" t="str">
        <f t="shared" si="89"/>
        <v>LPLI, PT Star Pacific, STAR PACIFIC, Star Pacific, Star Pacific Tbk, StarPacific, star pacific</v>
      </c>
      <c r="F527" t="str">
        <f t="shared" si="90"/>
        <v>star pacific</v>
      </c>
      <c r="G527" t="str">
        <f t="shared" si="93"/>
        <v>LPLI, PT Star Pacific, STAR PACIFIC, Star Pacific, Star Pacific Tbk, StarPacific</v>
      </c>
      <c r="H527" t="str">
        <f t="shared" si="94"/>
        <v>LPLI, PT Star Pacific, STAR PACIFIC, Star Pacific, Star Pacific Tbk, StarPacific</v>
      </c>
      <c r="I527" t="str">
        <f t="shared" si="91"/>
        <v>STAR PACIFIC</v>
      </c>
      <c r="J527" t="str">
        <f t="shared" si="95"/>
        <v>LPLI, PT Star Pacific, Star Pacific, Star Pacific Tbk, StarPacific</v>
      </c>
      <c r="K527" t="str">
        <f t="shared" si="96"/>
        <v>LPLI, PT Star Pacific, Star Pacific, Star Pacific Tbk, StarPacific</v>
      </c>
      <c r="L527" t="str">
        <f t="shared" si="92"/>
        <v>StarPacific</v>
      </c>
      <c r="M527" t="str">
        <f t="shared" si="97"/>
        <v>LPLI, PT Star Pacific, Star Pacific, Star Pacific Tbk</v>
      </c>
      <c r="N527" t="str">
        <f t="shared" si="98"/>
        <v>LPLI, PT Star Pacific, Star Pacific, Star Pacific Tbk</v>
      </c>
    </row>
    <row r="528" spans="1:14" x14ac:dyDescent="0.2">
      <c r="A528" t="s">
        <v>785</v>
      </c>
      <c r="B528" t="s">
        <v>786</v>
      </c>
      <c r="C528" t="s">
        <v>8327</v>
      </c>
      <c r="D528" t="str">
        <f t="shared" si="88"/>
        <v>LPPF, MATAHARI DEPARTMENT STORE, Matahari Department Store, Matahari Department Store Tbk, MatahariDepartmentStore, PT Matahari Department Store, matahari department store</v>
      </c>
      <c r="E528" t="str">
        <f t="shared" si="89"/>
        <v>LPPF, MATAHARI DEPARTMENT STORE, Matahari Department Store, Matahari Department Store Tbk, MatahariDepartmentStore, PT Matahari Department Store, matahari department store</v>
      </c>
      <c r="F528" t="str">
        <f t="shared" si="90"/>
        <v>matahari department store</v>
      </c>
      <c r="G528" t="str">
        <f t="shared" si="93"/>
        <v>LPPF, MATAHARI DEPARTMENT STORE, Matahari Department Store, Matahari Department Store Tbk, MatahariDepartmentStore, PT Matahari Department Store</v>
      </c>
      <c r="H528" t="str">
        <f t="shared" si="94"/>
        <v>LPPF, MATAHARI DEPARTMENT STORE, Matahari Department Store, Matahari Department Store Tbk, MatahariDepartmentStore, PT Matahari Department Store</v>
      </c>
      <c r="I528" t="str">
        <f t="shared" si="91"/>
        <v>MATAHARI DEPARTMENT STORE</v>
      </c>
      <c r="J528" t="str">
        <f t="shared" si="95"/>
        <v>LPPF, Matahari Department Store, Matahari Department Store Tbk, MatahariDepartmentStore, PT Matahari Department Store</v>
      </c>
      <c r="K528" t="str">
        <f t="shared" si="96"/>
        <v>LPPF, Matahari Department Store, Matahari Department Store Tbk, MatahariDepartmentStore, PT Matahari Department Store</v>
      </c>
      <c r="L528" t="str">
        <f t="shared" si="92"/>
        <v>MatahariDepartmentStore</v>
      </c>
      <c r="M528" t="str">
        <f t="shared" si="97"/>
        <v>LPPF, Matahari Department Store, Matahari Department Store Tbk, PT Matahari Department Store</v>
      </c>
      <c r="N528" t="str">
        <f t="shared" si="98"/>
        <v>LPPF, Matahari Department Store, Matahari Department Store Tbk, PT Matahari Department Store</v>
      </c>
    </row>
    <row r="529" spans="1:14" x14ac:dyDescent="0.2">
      <c r="A529" t="s">
        <v>788</v>
      </c>
      <c r="B529" t="s">
        <v>789</v>
      </c>
      <c r="C529" t="s">
        <v>8328</v>
      </c>
      <c r="D529" t="str">
        <f t="shared" si="88"/>
        <v>LPPS, LENOX PASIFIK INVESTAMA, Lenox Pasifik Investama, Lenox Pasifik Investama Tbk, LenoxPasifikInvestama, PT Lenox Pasifik Investama, lenox pasifik investama</v>
      </c>
      <c r="E529" t="str">
        <f t="shared" si="89"/>
        <v>LPPS, LENOX PASIFIK INVESTAMA, Lenox Pasifik Investama, Lenox Pasifik Investama Tbk, LenoxPasifikInvestama, PT Lenox Pasifik Investama, lenox pasifik investama</v>
      </c>
      <c r="F529" t="str">
        <f t="shared" si="90"/>
        <v>lenox pasifik investama</v>
      </c>
      <c r="G529" t="str">
        <f t="shared" si="93"/>
        <v>LPPS, LENOX PASIFIK INVESTAMA, Lenox Pasifik Investama, Lenox Pasifik Investama Tbk, LenoxPasifikInvestama, PT Lenox Pasifik Investama</v>
      </c>
      <c r="H529" t="str">
        <f t="shared" si="94"/>
        <v>LPPS, LENOX PASIFIK INVESTAMA, Lenox Pasifik Investama, Lenox Pasifik Investama Tbk, LenoxPasifikInvestama, PT Lenox Pasifik Investama</v>
      </c>
      <c r="I529" t="str">
        <f t="shared" si="91"/>
        <v>LENOX PASIFIK INVESTAMA</v>
      </c>
      <c r="J529" t="str">
        <f t="shared" si="95"/>
        <v>LPPS, Lenox Pasifik Investama, Lenox Pasifik Investama Tbk, LenoxPasifikInvestama, PT Lenox Pasifik Investama</v>
      </c>
      <c r="K529" t="str">
        <f t="shared" si="96"/>
        <v>LPPS, Lenox Pasifik Investama, Lenox Pasifik Investama Tbk, LenoxPasifikInvestama, PT Lenox Pasifik Investama</v>
      </c>
      <c r="L529" t="str">
        <f t="shared" si="92"/>
        <v>LenoxPasifikInvestama</v>
      </c>
      <c r="M529" t="str">
        <f t="shared" si="97"/>
        <v>LPPS, Lenox Pasifik Investama, Lenox Pasifik Investama Tbk, PT Lenox Pasifik Investama</v>
      </c>
      <c r="N529" t="str">
        <f t="shared" si="98"/>
        <v>LPPS, Lenox Pasifik Investama, Lenox Pasifik Investama Tbk, PT Lenox Pasifik Investama</v>
      </c>
    </row>
    <row r="530" spans="1:14" x14ac:dyDescent="0.2">
      <c r="A530" t="s">
        <v>791</v>
      </c>
      <c r="B530" t="s">
        <v>792</v>
      </c>
      <c r="C530" t="s">
        <v>8329</v>
      </c>
      <c r="D530" t="str">
        <f t="shared" si="88"/>
        <v>LRNA, EKA SARI LORENA TRANSPORT, Eka Sari Lorena Transport, Eka Sari Lorena Transport Tbk, EkaSariLorenaTransport, PT Eka Sari Lorena Transport, eka sari lorena transport</v>
      </c>
      <c r="E530" t="str">
        <f t="shared" si="89"/>
        <v>LRNA, EKA SARI LORENA TRANSPORT, Eka Sari Lorena Transport, Eka Sari Lorena Transport Tbk, EkaSariLorenaTransport, PT Eka Sari Lorena Transport, eka sari lorena transport</v>
      </c>
      <c r="F530" t="str">
        <f t="shared" si="90"/>
        <v>eka sari lorena transport</v>
      </c>
      <c r="G530" t="str">
        <f t="shared" si="93"/>
        <v>LRNA, EKA SARI LORENA TRANSPORT, Eka Sari Lorena Transport, Eka Sari Lorena Transport Tbk, EkaSariLorenaTransport, PT Eka Sari Lorena Transport</v>
      </c>
      <c r="H530" t="str">
        <f t="shared" si="94"/>
        <v>LRNA, EKA SARI LORENA TRANSPORT, Eka Sari Lorena Transport, Eka Sari Lorena Transport Tbk, EkaSariLorenaTransport, PT Eka Sari Lorena Transport</v>
      </c>
      <c r="I530" t="str">
        <f t="shared" si="91"/>
        <v>EKA SARI LORENA TRANSPORT</v>
      </c>
      <c r="J530" t="str">
        <f t="shared" si="95"/>
        <v>LRNA, Eka Sari Lorena Transport, Eka Sari Lorena Transport Tbk, EkaSariLorenaTransport, PT Eka Sari Lorena Transport</v>
      </c>
      <c r="K530" t="str">
        <f t="shared" si="96"/>
        <v>LRNA, Eka Sari Lorena Transport, Eka Sari Lorena Transport Tbk, EkaSariLorenaTransport, PT Eka Sari Lorena Transport</v>
      </c>
      <c r="L530" t="str">
        <f t="shared" si="92"/>
        <v>EkaSariLorenaTransport</v>
      </c>
      <c r="M530" t="str">
        <f t="shared" si="97"/>
        <v>LRNA, Eka Sari Lorena Transport, Eka Sari Lorena Transport Tbk, PT Eka Sari Lorena Transport</v>
      </c>
      <c r="N530" t="str">
        <f t="shared" si="98"/>
        <v>LRNA, Eka Sari Lorena Transport, Eka Sari Lorena Transport Tbk, PT Eka Sari Lorena Transport</v>
      </c>
    </row>
    <row r="531" spans="1:14" x14ac:dyDescent="0.2">
      <c r="A531" t="s">
        <v>794</v>
      </c>
      <c r="B531" t="s">
        <v>3615</v>
      </c>
      <c r="C531" t="s">
        <v>8330</v>
      </c>
      <c r="D531" t="str">
        <f t="shared" si="88"/>
        <v>LSIP, PP LONDON SUMATRA INDONESIA, PP London Sumatra Indonesia, PP London Sumatra Indonesia Tbk, PPLondonSumatraIndonesia, PT PP London Sumatra Indonesia, pp london sumatra indonesia</v>
      </c>
      <c r="E531" t="str">
        <f t="shared" si="89"/>
        <v>LSIP, PP LONDON SUMATRA INDONESIA, PP London Sumatra Indonesia, PP London Sumatra Indonesia Tbk, PPLondonSumatraIndonesia, PT PP London Sumatra Indonesia, pp london sumatra indonesia</v>
      </c>
      <c r="F531" t="str">
        <f t="shared" si="90"/>
        <v>pp london sumatra indonesia</v>
      </c>
      <c r="G531" t="str">
        <f t="shared" si="93"/>
        <v>LSIP, PP LONDON SUMATRA INDONESIA, PP London Sumatra Indonesia, PP London Sumatra Indonesia Tbk, PPLondonSumatraIndonesia, PT PP London Sumatra Indonesia</v>
      </c>
      <c r="H531" t="str">
        <f t="shared" si="94"/>
        <v>LSIP, PP LONDON SUMATRA INDONESIA, PP London Sumatra Indonesia, PP London Sumatra Indonesia Tbk, PPLondonSumatraIndonesia, PT PP London Sumatra Indonesia</v>
      </c>
      <c r="I531" t="str">
        <f t="shared" si="91"/>
        <v>PP LONDON SUMATRA INDONESIA</v>
      </c>
      <c r="J531" t="str">
        <f t="shared" si="95"/>
        <v>LSIP, PP London Sumatra Indonesia, PP London Sumatra Indonesia Tbk, PPLondonSumatraIndonesia, PT PP London Sumatra Indonesia</v>
      </c>
      <c r="K531" t="str">
        <f t="shared" si="96"/>
        <v>LSIP, PP London Sumatra Indonesia, PP London Sumatra Indonesia Tbk, PPLondonSumatraIndonesia, PT PP London Sumatra Indonesia</v>
      </c>
      <c r="L531" t="str">
        <f t="shared" si="92"/>
        <v>PPLondonSumatraIndonesia</v>
      </c>
      <c r="M531" t="str">
        <f t="shared" si="97"/>
        <v>LSIP, PP London Sumatra Indonesia, PP London Sumatra Indonesia Tbk, PT PP London Sumatra Indonesia</v>
      </c>
      <c r="N531" t="str">
        <f t="shared" si="98"/>
        <v>LSIP, PP London Sumatra Indonesia, PP London Sumatra Indonesia Tbk, PT PP London Sumatra Indonesia</v>
      </c>
    </row>
    <row r="532" spans="1:14" x14ac:dyDescent="0.2">
      <c r="A532" t="s">
        <v>796</v>
      </c>
      <c r="B532" t="s">
        <v>797</v>
      </c>
      <c r="C532" t="s">
        <v>8331</v>
      </c>
      <c r="D532" t="str">
        <f t="shared" si="88"/>
        <v>LTLS, LAUTAN LUAS, Lautan Luas, Lautan Luas Tbk, LautanLuas, PT Lautan Luas, lautan luas</v>
      </c>
      <c r="E532" t="str">
        <f t="shared" si="89"/>
        <v>LTLS, LAUTAN LUAS, Lautan Luas, Lautan Luas Tbk, LautanLuas, PT Lautan Luas, lautan luas</v>
      </c>
      <c r="F532" t="str">
        <f t="shared" si="90"/>
        <v>lautan luas</v>
      </c>
      <c r="G532" t="str">
        <f t="shared" si="93"/>
        <v>LTLS, LAUTAN LUAS, Lautan Luas, Lautan Luas Tbk, LautanLuas, PT Lautan Luas</v>
      </c>
      <c r="H532" t="str">
        <f t="shared" si="94"/>
        <v>LTLS, LAUTAN LUAS, Lautan Luas, Lautan Luas Tbk, LautanLuas, PT Lautan Luas</v>
      </c>
      <c r="I532" t="str">
        <f t="shared" si="91"/>
        <v>LAUTAN LUAS</v>
      </c>
      <c r="J532" t="str">
        <f t="shared" si="95"/>
        <v>LTLS, Lautan Luas, Lautan Luas Tbk, LautanLuas, PT Lautan Luas</v>
      </c>
      <c r="K532" t="str">
        <f t="shared" si="96"/>
        <v>LTLS, Lautan Luas, Lautan Luas Tbk, LautanLuas, PT Lautan Luas</v>
      </c>
      <c r="L532" t="str">
        <f t="shared" si="92"/>
        <v>LautanLuas</v>
      </c>
      <c r="M532" t="str">
        <f t="shared" si="97"/>
        <v>LTLS, Lautan Luas, Lautan Luas Tbk, PT Lautan Luas</v>
      </c>
      <c r="N532" t="str">
        <f t="shared" si="98"/>
        <v>LTLS, Lautan Luas, Lautan Luas Tbk, PT Lautan Luas</v>
      </c>
    </row>
    <row r="533" spans="1:14" x14ac:dyDescent="0.2">
      <c r="A533" t="s">
        <v>1627</v>
      </c>
      <c r="B533" t="s">
        <v>1628</v>
      </c>
      <c r="C533" t="s">
        <v>8332</v>
      </c>
      <c r="D533" t="str">
        <f t="shared" si="88"/>
        <v>LUCK, PT Sentral Mitra Informatika, SENTRAL MITRA INFORMATIKA, Sentral Mitra Informatika, Sentral Mitra Informatika Tbk, SentralMitraInformatika, sentral mitra informatika</v>
      </c>
      <c r="E533" t="str">
        <f t="shared" si="89"/>
        <v>LUCK, PT Sentral Mitra Informatika, SENTRAL MITRA INFORMATIKA, Sentral Mitra Informatika, Sentral Mitra Informatika Tbk, SentralMitraInformatika, sentral mitra informatika</v>
      </c>
      <c r="F533" t="str">
        <f t="shared" si="90"/>
        <v>sentral mitra informatika</v>
      </c>
      <c r="G533" t="str">
        <f t="shared" si="93"/>
        <v>LUCK, PT Sentral Mitra Informatika, SENTRAL MITRA INFORMATIKA, Sentral Mitra Informatika, Sentral Mitra Informatika Tbk, SentralMitraInformatika</v>
      </c>
      <c r="H533" t="str">
        <f t="shared" si="94"/>
        <v>LUCK, PT Sentral Mitra Informatika, SENTRAL MITRA INFORMATIKA, Sentral Mitra Informatika, Sentral Mitra Informatika Tbk, SentralMitraInformatika</v>
      </c>
      <c r="I533" t="str">
        <f t="shared" si="91"/>
        <v>SENTRAL MITRA INFORMATIKA</v>
      </c>
      <c r="J533" t="str">
        <f t="shared" si="95"/>
        <v>LUCK, PT Sentral Mitra Informatika, Sentral Mitra Informatika, Sentral Mitra Informatika Tbk, SentralMitraInformatika</v>
      </c>
      <c r="K533" t="str">
        <f t="shared" si="96"/>
        <v>LUCK, PT Sentral Mitra Informatika, Sentral Mitra Informatika, Sentral Mitra Informatika Tbk, SentralMitraInformatika</v>
      </c>
      <c r="L533" t="str">
        <f t="shared" si="92"/>
        <v>SentralMitraInformatika</v>
      </c>
      <c r="M533" t="str">
        <f t="shared" si="97"/>
        <v>LUCK, PT Sentral Mitra Informatika, Sentral Mitra Informatika, Sentral Mitra Informatika Tbk</v>
      </c>
      <c r="N533" t="str">
        <f t="shared" si="98"/>
        <v>LUCK, PT Sentral Mitra Informatika, Sentral Mitra Informatika, Sentral Mitra Informatika Tbk</v>
      </c>
    </row>
    <row r="534" spans="1:14" x14ac:dyDescent="0.2">
      <c r="A534" t="s">
        <v>1942</v>
      </c>
      <c r="B534" t="s">
        <v>1943</v>
      </c>
      <c r="C534" t="s">
        <v>8333</v>
      </c>
      <c r="D534" t="str">
        <f t="shared" si="88"/>
        <v>LUCY, LIMA DUA LIMA TIGA, Lima Dua Lima Tiga, Lima Dua Lima Tiga Tbk, LimaDuaLimaTiga, PT Lima Dua Lima Tiga, lima dua lima tiga</v>
      </c>
      <c r="E534" t="str">
        <f t="shared" si="89"/>
        <v>LUCY, LIMA DUA LIMA TIGA, Lima Dua Lima Tiga, Lima Dua Lima Tiga Tbk, LimaDuaLimaTiga, PT Lima Dua Lima Tiga, lima dua lima tiga</v>
      </c>
      <c r="F534" t="str">
        <f t="shared" si="90"/>
        <v>lima dua lima tiga</v>
      </c>
      <c r="G534" t="str">
        <f t="shared" si="93"/>
        <v>LUCY, LIMA DUA LIMA TIGA, Lima Dua Lima Tiga, Lima Dua Lima Tiga Tbk, LimaDuaLimaTiga, PT Lima Dua Lima Tiga</v>
      </c>
      <c r="H534" t="str">
        <f t="shared" si="94"/>
        <v>LUCY, LIMA DUA LIMA TIGA, Lima Dua Lima Tiga, Lima Dua Lima Tiga Tbk, LimaDuaLimaTiga, PT Lima Dua Lima Tiga</v>
      </c>
      <c r="I534" t="str">
        <f t="shared" si="91"/>
        <v>LIMA DUA LIMA TIGA</v>
      </c>
      <c r="J534" t="str">
        <f t="shared" si="95"/>
        <v>LUCY, Lima Dua Lima Tiga, Lima Dua Lima Tiga Tbk, LimaDuaLimaTiga, PT Lima Dua Lima Tiga</v>
      </c>
      <c r="K534" t="str">
        <f t="shared" si="96"/>
        <v>LUCY, Lima Dua Lima Tiga, Lima Dua Lima Tiga Tbk, LimaDuaLimaTiga, PT Lima Dua Lima Tiga</v>
      </c>
      <c r="L534" t="str">
        <f t="shared" si="92"/>
        <v>LimaDuaLimaTiga</v>
      </c>
      <c r="M534" t="str">
        <f t="shared" si="97"/>
        <v>LUCY, Lima Dua Lima Tiga, Lima Dua Lima Tiga Tbk, PT Lima Dua Lima Tiga</v>
      </c>
      <c r="N534" t="str">
        <f t="shared" si="98"/>
        <v>LUCY, Lima Dua Lima Tiga, Lima Dua Lima Tiga Tbk, PT Lima Dua Lima Tiga</v>
      </c>
    </row>
    <row r="535" spans="1:14" x14ac:dyDescent="0.2">
      <c r="A535" t="s">
        <v>1431</v>
      </c>
      <c r="B535" t="s">
        <v>1432</v>
      </c>
      <c r="C535" t="s">
        <v>8334</v>
      </c>
      <c r="D535" t="str">
        <f t="shared" si="88"/>
        <v>MABA, MARGA ABHINAYA ABADI, Marga Abhinaya Abadi, Marga Abhinaya Abadi Tbk, MargaAbhinayaAbadi, PT Marga Abhinaya Abadi, marga abhinaya abadi</v>
      </c>
      <c r="E535" t="str">
        <f t="shared" si="89"/>
        <v>MABA, MARGA ABHINAYA ABADI, Marga Abhinaya Abadi, Marga Abhinaya Abadi Tbk, MargaAbhinayaAbadi, PT Marga Abhinaya Abadi, marga abhinaya abadi</v>
      </c>
      <c r="F535" t="str">
        <f t="shared" si="90"/>
        <v>marga abhinaya abadi</v>
      </c>
      <c r="G535" t="str">
        <f t="shared" si="93"/>
        <v>MABA, MARGA ABHINAYA ABADI, Marga Abhinaya Abadi, Marga Abhinaya Abadi Tbk, MargaAbhinayaAbadi, PT Marga Abhinaya Abadi</v>
      </c>
      <c r="H535" t="str">
        <f t="shared" si="94"/>
        <v>MABA, MARGA ABHINAYA ABADI, Marga Abhinaya Abadi, Marga Abhinaya Abadi Tbk, MargaAbhinayaAbadi, PT Marga Abhinaya Abadi</v>
      </c>
      <c r="I535" t="str">
        <f t="shared" si="91"/>
        <v>MARGA ABHINAYA ABADI</v>
      </c>
      <c r="J535" t="str">
        <f t="shared" si="95"/>
        <v>MABA, Marga Abhinaya Abadi, Marga Abhinaya Abadi Tbk, MargaAbhinayaAbadi, PT Marga Abhinaya Abadi</v>
      </c>
      <c r="K535" t="str">
        <f t="shared" si="96"/>
        <v>MABA, Marga Abhinaya Abadi, Marga Abhinaya Abadi Tbk, MargaAbhinayaAbadi, PT Marga Abhinaya Abadi</v>
      </c>
      <c r="L535" t="str">
        <f t="shared" si="92"/>
        <v>MargaAbhinayaAbadi</v>
      </c>
      <c r="M535" t="str">
        <f t="shared" si="97"/>
        <v>MABA, Marga Abhinaya Abadi, Marga Abhinaya Abadi Tbk, PT Marga Abhinaya Abadi</v>
      </c>
      <c r="N535" t="str">
        <f t="shared" si="98"/>
        <v>MABA, Marga Abhinaya Abadi, Marga Abhinaya Abadi Tbk, PT Marga Abhinaya Abadi</v>
      </c>
    </row>
    <row r="536" spans="1:14" x14ac:dyDescent="0.2">
      <c r="A536" t="s">
        <v>799</v>
      </c>
      <c r="B536" t="s">
        <v>3616</v>
      </c>
      <c r="C536" t="s">
        <v>8335</v>
      </c>
      <c r="D536" t="str">
        <f t="shared" si="88"/>
        <v>MAGP, MULTI AGRO GEMILANG PLANTATION, Multi Agro Gemilang Plantation, Multi Agro Gemilang Plantation Tbk, MultiAgroGemilangPlantation, PT Multi Agro Gemilang Plantation, multi agro gemilang plantation</v>
      </c>
      <c r="E536" t="str">
        <f t="shared" si="89"/>
        <v>MAGP, MULTI AGRO GEMILANG PLANTATION, Multi Agro Gemilang Plantation, Multi Agro Gemilang Plantation Tbk, MultiAgroGemilangPlantation, PT Multi Agro Gemilang Plantation, multi agro gemilang plantation</v>
      </c>
      <c r="F536" t="str">
        <f t="shared" si="90"/>
        <v>multi agro gemilang plantation</v>
      </c>
      <c r="G536" t="str">
        <f t="shared" si="93"/>
        <v>MAGP, MULTI AGRO GEMILANG PLANTATION, Multi Agro Gemilang Plantation, Multi Agro Gemilang Plantation Tbk, MultiAgroGemilangPlantation, PT Multi Agro Gemilang Plantation</v>
      </c>
      <c r="H536" t="str">
        <f t="shared" si="94"/>
        <v>MAGP, MULTI AGRO GEMILANG PLANTATION, Multi Agro Gemilang Plantation, Multi Agro Gemilang Plantation Tbk, MultiAgroGemilangPlantation, PT Multi Agro Gemilang Plantation</v>
      </c>
      <c r="I536" t="str">
        <f t="shared" si="91"/>
        <v>MULTI AGRO GEMILANG PLANTATION</v>
      </c>
      <c r="J536" t="str">
        <f t="shared" si="95"/>
        <v>MAGP, Multi Agro Gemilang Plantation, Multi Agro Gemilang Plantation Tbk, MultiAgroGemilangPlantation, PT Multi Agro Gemilang Plantation</v>
      </c>
      <c r="K536" t="str">
        <f t="shared" si="96"/>
        <v>MAGP, Multi Agro Gemilang Plantation, Multi Agro Gemilang Plantation Tbk, MultiAgroGemilangPlantation, PT Multi Agro Gemilang Plantation</v>
      </c>
      <c r="L536" t="str">
        <f t="shared" si="92"/>
        <v>MultiAgroGemilangPlantation</v>
      </c>
      <c r="M536" t="str">
        <f t="shared" si="97"/>
        <v>MAGP, Multi Agro Gemilang Plantation, Multi Agro Gemilang Plantation Tbk, PT Multi Agro Gemilang Plantation</v>
      </c>
      <c r="N536" t="str">
        <f t="shared" si="98"/>
        <v>MAGP, Multi Agro Gemilang Plantation, Multi Agro Gemilang Plantation Tbk, PT Multi Agro Gemilang Plantation</v>
      </c>
    </row>
    <row r="537" spans="1:14" x14ac:dyDescent="0.2">
      <c r="A537" t="s">
        <v>2335</v>
      </c>
      <c r="B537" t="s">
        <v>3617</v>
      </c>
      <c r="C537" t="s">
        <v>8336</v>
      </c>
      <c r="D537" t="str">
        <f t="shared" si="88"/>
        <v>MAHA, MANDIRI HERINDO ADIPERKASA, Mandiri Herindo Adiperkasa, Mandiri Herindo Adiperkasa Tbk, MandiriHerindoAdiperkasa, PT Mandiri Herindo Adiperkasa, mandiri herindo adiperkasa</v>
      </c>
      <c r="E537" t="str">
        <f t="shared" si="89"/>
        <v>MAHA, MANDIRI HERINDO ADIPERKASA, Mandiri Herindo Adiperkasa, Mandiri Herindo Adiperkasa Tbk, MandiriHerindoAdiperkasa, PT Mandiri Herindo Adiperkasa, mandiri herindo adiperkasa</v>
      </c>
      <c r="F537" t="str">
        <f t="shared" si="90"/>
        <v>mandiri herindo adiperkasa</v>
      </c>
      <c r="G537" t="str">
        <f t="shared" si="93"/>
        <v>MAHA, MANDIRI HERINDO ADIPERKASA, Mandiri Herindo Adiperkasa, Mandiri Herindo Adiperkasa Tbk, MandiriHerindoAdiperkasa, PT Mandiri Herindo Adiperkasa</v>
      </c>
      <c r="H537" t="str">
        <f t="shared" si="94"/>
        <v>MAHA, MANDIRI HERINDO ADIPERKASA, Mandiri Herindo Adiperkasa, Mandiri Herindo Adiperkasa Tbk, MandiriHerindoAdiperkasa, PT Mandiri Herindo Adiperkasa</v>
      </c>
      <c r="I537" t="str">
        <f t="shared" si="91"/>
        <v>MANDIRI HERINDO ADIPERKASA</v>
      </c>
      <c r="J537" t="str">
        <f t="shared" si="95"/>
        <v>MAHA, Mandiri Herindo Adiperkasa, Mandiri Herindo Adiperkasa Tbk, MandiriHerindoAdiperkasa, PT Mandiri Herindo Adiperkasa</v>
      </c>
      <c r="K537" t="str">
        <f t="shared" si="96"/>
        <v>MAHA, Mandiri Herindo Adiperkasa, Mandiri Herindo Adiperkasa Tbk, MandiriHerindoAdiperkasa, PT Mandiri Herindo Adiperkasa</v>
      </c>
      <c r="L537" t="str">
        <f t="shared" si="92"/>
        <v>MandiriHerindoAdiperkasa</v>
      </c>
      <c r="M537" t="str">
        <f t="shared" si="97"/>
        <v>MAHA, Mandiri Herindo Adiperkasa, Mandiri Herindo Adiperkasa Tbk, PT Mandiri Herindo Adiperkasa</v>
      </c>
      <c r="N537" t="str">
        <f t="shared" si="98"/>
        <v>MAHA, Mandiri Herindo Adiperkasa, Mandiri Herindo Adiperkasa Tbk, PT Mandiri Herindo Adiperkasa</v>
      </c>
    </row>
    <row r="538" spans="1:14" x14ac:dyDescent="0.2">
      <c r="A538" t="s">
        <v>801</v>
      </c>
      <c r="B538" t="s">
        <v>802</v>
      </c>
      <c r="C538" t="s">
        <v>8337</v>
      </c>
      <c r="D538" t="str">
        <f t="shared" si="88"/>
        <v>MAIN, MALINDO FEEDMILL, Malindo Feedmill, Malindo Feedmill Tbk, MalindoFeedmill, PT Malindo Feedmill, malindo feedmill</v>
      </c>
      <c r="E538" t="str">
        <f t="shared" si="89"/>
        <v>MAIN, MALINDO FEEDMILL, Malindo Feedmill, Malindo Feedmill Tbk, MalindoFeedmill, PT Malindo Feedmill, malindo feedmill</v>
      </c>
      <c r="F538" t="str">
        <f t="shared" si="90"/>
        <v>malindo feedmill</v>
      </c>
      <c r="G538" t="str">
        <f t="shared" si="93"/>
        <v>MAIN, MALINDO FEEDMILL, Malindo Feedmill, Malindo Feedmill Tbk, MalindoFeedmill, PT Malindo Feedmill</v>
      </c>
      <c r="H538" t="str">
        <f t="shared" si="94"/>
        <v>MAIN, MALINDO FEEDMILL, Malindo Feedmill, Malindo Feedmill Tbk, MalindoFeedmill, PT Malindo Feedmill</v>
      </c>
      <c r="I538" t="str">
        <f t="shared" si="91"/>
        <v>MALINDO FEEDMILL</v>
      </c>
      <c r="J538" t="str">
        <f t="shared" si="95"/>
        <v>MAIN, Malindo Feedmill, Malindo Feedmill Tbk, MalindoFeedmill, PT Malindo Feedmill</v>
      </c>
      <c r="K538" t="str">
        <f t="shared" si="96"/>
        <v>MAIN, Malindo Feedmill, Malindo Feedmill Tbk, MalindoFeedmill, PT Malindo Feedmill</v>
      </c>
      <c r="L538" t="str">
        <f t="shared" si="92"/>
        <v>MalindoFeedmill</v>
      </c>
      <c r="M538" t="str">
        <f t="shared" si="97"/>
        <v>MAIN, Malindo Feedmill, Malindo Feedmill Tbk, PT Malindo Feedmill</v>
      </c>
      <c r="N538" t="str">
        <f t="shared" si="98"/>
        <v>MAIN, Malindo Feedmill, Malindo Feedmill Tbk, PT Malindo Feedmill</v>
      </c>
    </row>
    <row r="539" spans="1:14" x14ac:dyDescent="0.2">
      <c r="A539" t="s">
        <v>2640</v>
      </c>
      <c r="B539" t="s">
        <v>2641</v>
      </c>
      <c r="C539" t="s">
        <v>8338</v>
      </c>
      <c r="D539" t="str">
        <f t="shared" si="88"/>
        <v>MANG, MANGGUNG POLAHRAYA, Manggung Polahraya, Manggung Polahraya Tbk, ManggungPolahraya, PT Manggung Polahraya, manggung polahraya</v>
      </c>
      <c r="E539" t="str">
        <f t="shared" si="89"/>
        <v>MANG, MANGGUNG POLAHRAYA, Manggung Polahraya, Manggung Polahraya Tbk, ManggungPolahraya, PT Manggung Polahraya, manggung polahraya</v>
      </c>
      <c r="F539" t="str">
        <f t="shared" si="90"/>
        <v>manggung polahraya</v>
      </c>
      <c r="G539" t="str">
        <f t="shared" si="93"/>
        <v>MANG, MANGGUNG POLAHRAYA, Manggung Polahraya, Manggung Polahraya Tbk, ManggungPolahraya, PT Manggung Polahraya</v>
      </c>
      <c r="H539" t="str">
        <f t="shared" si="94"/>
        <v>MANG, MANGGUNG POLAHRAYA, Manggung Polahraya, Manggung Polahraya Tbk, ManggungPolahraya, PT Manggung Polahraya</v>
      </c>
      <c r="I539" t="str">
        <f t="shared" si="91"/>
        <v>MANGGUNG POLAHRAYA</v>
      </c>
      <c r="J539" t="str">
        <f t="shared" si="95"/>
        <v>MANG, Manggung Polahraya, Manggung Polahraya Tbk, ManggungPolahraya, PT Manggung Polahraya</v>
      </c>
      <c r="K539" t="str">
        <f t="shared" si="96"/>
        <v>MANG, Manggung Polahraya, Manggung Polahraya Tbk, ManggungPolahraya, PT Manggung Polahraya</v>
      </c>
      <c r="L539" t="str">
        <f t="shared" si="92"/>
        <v>ManggungPolahraya</v>
      </c>
      <c r="M539" t="str">
        <f t="shared" si="97"/>
        <v>MANG, Manggung Polahraya, Manggung Polahraya Tbk, PT Manggung Polahraya</v>
      </c>
      <c r="N539" t="str">
        <f t="shared" si="98"/>
        <v>MANG, Manggung Polahraya, Manggung Polahraya Tbk, PT Manggung Polahraya</v>
      </c>
    </row>
    <row r="540" spans="1:14" x14ac:dyDescent="0.2">
      <c r="A540" t="s">
        <v>1544</v>
      </c>
      <c r="B540" t="s">
        <v>1545</v>
      </c>
      <c r="C540" t="s">
        <v>8339</v>
      </c>
      <c r="D540" t="str">
        <f t="shared" si="88"/>
        <v>MAPA, MAP AKTIF ADIPERKASA, Map Aktif Adiperkasa, Map Aktif Adiperkasa Tbk, MapAktifAdiperkasa, PT Map Aktif Adiperkasa, map aktif adiperkasa</v>
      </c>
      <c r="E540" t="str">
        <f t="shared" si="89"/>
        <v>MAPA, MAP AKTIF ADIPERKASA, Map Aktif Adiperkasa, Map Aktif Adiperkasa Tbk, MapAktifAdiperkasa, PT Map Aktif Adiperkasa, map aktif adiperkasa</v>
      </c>
      <c r="F540" t="str">
        <f t="shared" si="90"/>
        <v>map aktif adiperkasa</v>
      </c>
      <c r="G540" t="str">
        <f t="shared" si="93"/>
        <v>MAPA, MAP AKTIF ADIPERKASA, Map Aktif Adiperkasa, Map Aktif Adiperkasa Tbk, MapAktifAdiperkasa, PT Map Aktif Adiperkasa</v>
      </c>
      <c r="H540" t="str">
        <f t="shared" si="94"/>
        <v>MAPA, MAP AKTIF ADIPERKASA, Map Aktif Adiperkasa, Map Aktif Adiperkasa Tbk, MapAktifAdiperkasa, PT Map Aktif Adiperkasa</v>
      </c>
      <c r="I540" t="str">
        <f t="shared" si="91"/>
        <v>MAP AKTIF ADIPERKASA</v>
      </c>
      <c r="J540" t="str">
        <f t="shared" si="95"/>
        <v>MAPA, Map Aktif Adiperkasa, Map Aktif Adiperkasa Tbk, MapAktifAdiperkasa, PT Map Aktif Adiperkasa</v>
      </c>
      <c r="K540" t="str">
        <f t="shared" si="96"/>
        <v>MAPA, Map Aktif Adiperkasa, Map Aktif Adiperkasa Tbk, MapAktifAdiperkasa, PT Map Aktif Adiperkasa</v>
      </c>
      <c r="L540" t="str">
        <f t="shared" si="92"/>
        <v>MapAktifAdiperkasa</v>
      </c>
      <c r="M540" t="str">
        <f t="shared" si="97"/>
        <v>MAPA, Map Aktif Adiperkasa, Map Aktif Adiperkasa Tbk, PT Map Aktif Adiperkasa</v>
      </c>
      <c r="N540" t="str">
        <f t="shared" si="98"/>
        <v>MAPA, Map Aktif Adiperkasa, Map Aktif Adiperkasa Tbk, PT Map Aktif Adiperkasa</v>
      </c>
    </row>
    <row r="541" spans="1:14" x14ac:dyDescent="0.2">
      <c r="A541" t="s">
        <v>1422</v>
      </c>
      <c r="B541" t="s">
        <v>1423</v>
      </c>
      <c r="C541" t="s">
        <v>8340</v>
      </c>
      <c r="D541" t="str">
        <f t="shared" si="88"/>
        <v>MAPB, MAP BOGA ADIPERKASA, MAP Boga Adiperkasa, MAP Boga Adiperkasa Tbk, MAPBogaAdiperkasa, PT MAP Boga Adiperkasa, map boga adiperkasa</v>
      </c>
      <c r="E541" t="str">
        <f t="shared" si="89"/>
        <v>MAPB, MAP BOGA ADIPERKASA, MAP Boga Adiperkasa, MAP Boga Adiperkasa Tbk, MAPBogaAdiperkasa, PT MAP Boga Adiperkasa, map boga adiperkasa</v>
      </c>
      <c r="F541" t="str">
        <f t="shared" si="90"/>
        <v>map boga adiperkasa</v>
      </c>
      <c r="G541" t="str">
        <f t="shared" si="93"/>
        <v>MAPB, MAP BOGA ADIPERKASA, MAP Boga Adiperkasa, MAP Boga Adiperkasa Tbk, MAPBogaAdiperkasa, PT MAP Boga Adiperkasa</v>
      </c>
      <c r="H541" t="str">
        <f t="shared" si="94"/>
        <v>MAPB, MAP BOGA ADIPERKASA, MAP Boga Adiperkasa, MAP Boga Adiperkasa Tbk, MAPBogaAdiperkasa, PT MAP Boga Adiperkasa</v>
      </c>
      <c r="I541" t="str">
        <f t="shared" si="91"/>
        <v>MAP BOGA ADIPERKASA</v>
      </c>
      <c r="J541" t="str">
        <f t="shared" si="95"/>
        <v>MAPB, MAP Boga Adiperkasa, MAP Boga Adiperkasa Tbk, MAPBogaAdiperkasa, PT MAP Boga Adiperkasa</v>
      </c>
      <c r="K541" t="str">
        <f t="shared" si="96"/>
        <v>MAPB, MAP Boga Adiperkasa, MAP Boga Adiperkasa Tbk, MAPBogaAdiperkasa, PT MAP Boga Adiperkasa</v>
      </c>
      <c r="L541" t="str">
        <f t="shared" si="92"/>
        <v>MAPBogaAdiperkasa</v>
      </c>
      <c r="M541" t="str">
        <f t="shared" si="97"/>
        <v>MAPB, MAP Boga Adiperkasa, MAP Boga Adiperkasa Tbk, PT MAP Boga Adiperkasa</v>
      </c>
      <c r="N541" t="str">
        <f t="shared" si="98"/>
        <v>MAPB, MAP Boga Adiperkasa, MAP Boga Adiperkasa Tbk, PT MAP Boga Adiperkasa</v>
      </c>
    </row>
    <row r="542" spans="1:14" x14ac:dyDescent="0.2">
      <c r="A542" t="s">
        <v>804</v>
      </c>
      <c r="B542" t="s">
        <v>805</v>
      </c>
      <c r="C542" t="s">
        <v>8341</v>
      </c>
      <c r="D542" t="str">
        <f t="shared" si="88"/>
        <v>MAPI, MITRA ADIPERKASA, Mitra Adiperkasa, Mitra Adiperkasa Tbk, MitraAdiperkasa, PT Mitra Adiperkasa, mitra adiperkasa</v>
      </c>
      <c r="E542" t="str">
        <f t="shared" si="89"/>
        <v>MAPI, MITRA ADIPERKASA, Mitra Adiperkasa, Mitra Adiperkasa Tbk, MitraAdiperkasa, PT Mitra Adiperkasa, mitra adiperkasa</v>
      </c>
      <c r="F542" t="str">
        <f t="shared" si="90"/>
        <v>mitra adiperkasa</v>
      </c>
      <c r="G542" t="str">
        <f t="shared" si="93"/>
        <v>MAPI, MITRA ADIPERKASA, Mitra Adiperkasa, Mitra Adiperkasa Tbk, MitraAdiperkasa, PT Mitra Adiperkasa</v>
      </c>
      <c r="H542" t="str">
        <f t="shared" si="94"/>
        <v>MAPI, MITRA ADIPERKASA, Mitra Adiperkasa, Mitra Adiperkasa Tbk, MitraAdiperkasa, PT Mitra Adiperkasa</v>
      </c>
      <c r="I542" t="str">
        <f t="shared" si="91"/>
        <v>MITRA ADIPERKASA</v>
      </c>
      <c r="J542" t="str">
        <f t="shared" si="95"/>
        <v>MAPI, Mitra Adiperkasa, Mitra Adiperkasa Tbk, MitraAdiperkasa, PT Mitra Adiperkasa</v>
      </c>
      <c r="K542" t="str">
        <f t="shared" si="96"/>
        <v>MAPI, Mitra Adiperkasa, Mitra Adiperkasa Tbk, MitraAdiperkasa, PT Mitra Adiperkasa</v>
      </c>
      <c r="L542" t="str">
        <f t="shared" si="92"/>
        <v>MitraAdiperkasa</v>
      </c>
      <c r="M542" t="str">
        <f t="shared" si="97"/>
        <v>MAPI, Mitra Adiperkasa, Mitra Adiperkasa Tbk, PT Mitra Adiperkasa</v>
      </c>
      <c r="N542" t="str">
        <f t="shared" si="98"/>
        <v>MAPI, Mitra Adiperkasa, Mitra Adiperkasa Tbk, PT Mitra Adiperkasa</v>
      </c>
    </row>
    <row r="543" spans="1:14" x14ac:dyDescent="0.2">
      <c r="A543" t="s">
        <v>1361</v>
      </c>
      <c r="B543" t="s">
        <v>1362</v>
      </c>
      <c r="C543" t="s">
        <v>8342</v>
      </c>
      <c r="D543" t="str">
        <f t="shared" si="88"/>
        <v>MARI, MAHAKA RADIO INTEGRA, Mahaka Radio Integra, Mahaka Radio Integra Tbk, MahakaRadioIntegra, PT Mahaka Radio Integra, mahaka radio integra</v>
      </c>
      <c r="E543" t="str">
        <f t="shared" si="89"/>
        <v>MARI, MAHAKA RADIO INTEGRA, Mahaka Radio Integra, Mahaka Radio Integra Tbk, MahakaRadioIntegra, PT Mahaka Radio Integra, mahaka radio integra</v>
      </c>
      <c r="F543" t="str">
        <f t="shared" si="90"/>
        <v>mahaka radio integra</v>
      </c>
      <c r="G543" t="str">
        <f t="shared" si="93"/>
        <v>MARI, MAHAKA RADIO INTEGRA, Mahaka Radio Integra, Mahaka Radio Integra Tbk, MahakaRadioIntegra, PT Mahaka Radio Integra</v>
      </c>
      <c r="H543" t="str">
        <f t="shared" si="94"/>
        <v>MARI, MAHAKA RADIO INTEGRA, Mahaka Radio Integra, Mahaka Radio Integra Tbk, MahakaRadioIntegra, PT Mahaka Radio Integra</v>
      </c>
      <c r="I543" t="str">
        <f t="shared" si="91"/>
        <v>MAHAKA RADIO INTEGRA</v>
      </c>
      <c r="J543" t="str">
        <f t="shared" si="95"/>
        <v>MARI, Mahaka Radio Integra, Mahaka Radio Integra Tbk, MahakaRadioIntegra, PT Mahaka Radio Integra</v>
      </c>
      <c r="K543" t="str">
        <f t="shared" si="96"/>
        <v>MARI, Mahaka Radio Integra, Mahaka Radio Integra Tbk, MahakaRadioIntegra, PT Mahaka Radio Integra</v>
      </c>
      <c r="L543" t="str">
        <f t="shared" si="92"/>
        <v>MahakaRadioIntegra</v>
      </c>
      <c r="M543" t="str">
        <f t="shared" si="97"/>
        <v>MARI, Mahaka Radio Integra, Mahaka Radio Integra Tbk, PT Mahaka Radio Integra</v>
      </c>
      <c r="N543" t="str">
        <f t="shared" si="98"/>
        <v>MARI, Mahaka Radio Integra, Mahaka Radio Integra Tbk, PT Mahaka Radio Integra</v>
      </c>
    </row>
    <row r="544" spans="1:14" x14ac:dyDescent="0.2">
      <c r="A544" t="s">
        <v>1440</v>
      </c>
      <c r="B544" t="s">
        <v>1441</v>
      </c>
      <c r="C544" t="s">
        <v>8343</v>
      </c>
      <c r="D544" t="str">
        <f t="shared" si="88"/>
        <v>MARK, MARK DYNAMICS INDONESIA, Mark Dynamics Indonesia, Mark Dynamics Indonesia Tbk, MarkDynamicsIndonesia, PT Mark Dynamics Indonesia, mark dynamics indonesia</v>
      </c>
      <c r="E544" t="str">
        <f t="shared" si="89"/>
        <v>MARK, MARK DYNAMICS INDONESIA, Mark Dynamics Indonesia, Mark Dynamics Indonesia Tbk, MarkDynamicsIndonesia, PT Mark Dynamics Indonesia, mark dynamics indonesia</v>
      </c>
      <c r="F544" t="str">
        <f t="shared" si="90"/>
        <v>mark dynamics indonesia</v>
      </c>
      <c r="G544" t="str">
        <f t="shared" si="93"/>
        <v>MARK, MARK DYNAMICS INDONESIA, Mark Dynamics Indonesia, Mark Dynamics Indonesia Tbk, MarkDynamicsIndonesia, PT Mark Dynamics Indonesia</v>
      </c>
      <c r="H544" t="str">
        <f t="shared" si="94"/>
        <v>MARK, MARK DYNAMICS INDONESIA, Mark Dynamics Indonesia, Mark Dynamics Indonesia Tbk, MarkDynamicsIndonesia, PT Mark Dynamics Indonesia</v>
      </c>
      <c r="I544" t="str">
        <f t="shared" si="91"/>
        <v>MARK DYNAMICS INDONESIA</v>
      </c>
      <c r="J544" t="str">
        <f t="shared" si="95"/>
        <v>MARK, Mark Dynamics Indonesia, Mark Dynamics Indonesia Tbk, MarkDynamicsIndonesia, PT Mark Dynamics Indonesia</v>
      </c>
      <c r="K544" t="str">
        <f t="shared" si="96"/>
        <v>MARK, Mark Dynamics Indonesia, Mark Dynamics Indonesia Tbk, MarkDynamicsIndonesia, PT Mark Dynamics Indonesia</v>
      </c>
      <c r="L544" t="str">
        <f t="shared" si="92"/>
        <v>MarkDynamicsIndonesia</v>
      </c>
      <c r="M544" t="str">
        <f t="shared" si="97"/>
        <v>MARK, Mark Dynamics Indonesia, Mark Dynamics Indonesia Tbk, PT Mark Dynamics Indonesia</v>
      </c>
      <c r="N544" t="str">
        <f t="shared" si="98"/>
        <v>MARK, Mark Dynamics Indonesia, Mark Dynamics Indonesia Tbk, PT Mark Dynamics Indonesia</v>
      </c>
    </row>
    <row r="545" spans="1:14" x14ac:dyDescent="0.2">
      <c r="A545" t="s">
        <v>1966</v>
      </c>
      <c r="B545" t="s">
        <v>1967</v>
      </c>
      <c r="C545" t="s">
        <v>8344</v>
      </c>
      <c r="D545" t="str">
        <f t="shared" si="88"/>
        <v>MASB, BANK MULTIARTA SENTOSA, Bank Multiarta Sentosa, Bank Multiarta Sentosa Tbk, Bank Sentosa, BankMultiartaSentosa, PT Bank Multiarta Sentosa, Sentosa, bank multiarta sentosa</v>
      </c>
      <c r="E545" t="str">
        <f t="shared" si="89"/>
        <v>MASB, BANK MULTIARTA SENTOSA, Bank Multiarta Sentosa, Bank Multiarta Sentosa Tbk, Bank Sentosa, BankMultiartaSentosa, PT Bank Multiarta Sentosa, Sentosa, bank multiarta sentosa</v>
      </c>
      <c r="F545" t="str">
        <f t="shared" si="90"/>
        <v>bank multiarta sentosa</v>
      </c>
      <c r="G545" t="str">
        <f t="shared" si="93"/>
        <v>MASB, BANK MULTIARTA SENTOSA, Bank Multiarta Sentosa, Bank Multiarta Sentosa Tbk, Bank Sentosa, BankMultiartaSentosa, PT Bank Multiarta Sentosa, Sentosa</v>
      </c>
      <c r="H545" t="str">
        <f t="shared" si="94"/>
        <v>MASB, BANK MULTIARTA SENTOSA, Bank Multiarta Sentosa, Bank Multiarta Sentosa Tbk, Bank Sentosa, BankMultiartaSentosa, PT Bank Multiarta Sentosa, Sentosa</v>
      </c>
      <c r="I545" t="str">
        <f t="shared" si="91"/>
        <v>BANK MULTIARTA SENTOSA</v>
      </c>
      <c r="J545" t="str">
        <f t="shared" si="95"/>
        <v>MASB, Bank Multiarta Sentosa, Bank Multiarta Sentosa Tbk, Bank Sentosa, BankMultiartaSentosa, PT Bank Multiarta Sentosa, Sentosa</v>
      </c>
      <c r="K545" t="str">
        <f t="shared" si="96"/>
        <v>MASB, Bank Multiarta Sentosa, Bank Multiarta Sentosa Tbk, Bank Sentosa, BankMultiartaSentosa, PT Bank Multiarta Sentosa, Sentosa</v>
      </c>
      <c r="L545" t="str">
        <f t="shared" si="92"/>
        <v>BankMultiartaSentosa</v>
      </c>
      <c r="M545" t="str">
        <f t="shared" si="97"/>
        <v>MASB, Bank Multiarta Sentosa, Bank Multiarta Sentosa Tbk, Bank Sentosa, PT Bank Multiarta Sentosa, Sentosa</v>
      </c>
      <c r="N545" t="str">
        <f t="shared" si="98"/>
        <v>MASB, Bank Multiarta Sentosa, Bank Multiarta Sentosa Tbk, Bank Sentosa, PT Bank Multiarta Sentosa, Sentosa</v>
      </c>
    </row>
    <row r="546" spans="1:14" x14ac:dyDescent="0.2">
      <c r="A546" t="s">
        <v>2310</v>
      </c>
      <c r="B546" t="s">
        <v>2311</v>
      </c>
      <c r="C546" t="s">
        <v>8345</v>
      </c>
      <c r="D546" t="str">
        <f t="shared" si="88"/>
        <v>MAXI, MAXINDO KARYA ANUGERAH, Maxindo Karya Anugerah, Maxindo Karya Anugerah Tbk, MaxindoKaryaAnugerah, PT Maxindo Karya Anugerah, maxindo karya anugerah</v>
      </c>
      <c r="E546" t="str">
        <f t="shared" si="89"/>
        <v>MAXI, MAXINDO KARYA ANUGERAH, Maxindo Karya Anugerah, Maxindo Karya Anugerah Tbk, MaxindoKaryaAnugerah, PT Maxindo Karya Anugerah, maxindo karya anugerah</v>
      </c>
      <c r="F546" t="str">
        <f t="shared" si="90"/>
        <v>maxindo karya anugerah</v>
      </c>
      <c r="G546" t="str">
        <f t="shared" si="93"/>
        <v>MAXI, MAXINDO KARYA ANUGERAH, Maxindo Karya Anugerah, Maxindo Karya Anugerah Tbk, MaxindoKaryaAnugerah, PT Maxindo Karya Anugerah</v>
      </c>
      <c r="H546" t="str">
        <f t="shared" si="94"/>
        <v>MAXI, MAXINDO KARYA ANUGERAH, Maxindo Karya Anugerah, Maxindo Karya Anugerah Tbk, MaxindoKaryaAnugerah, PT Maxindo Karya Anugerah</v>
      </c>
      <c r="I546" t="str">
        <f t="shared" si="91"/>
        <v>MAXINDO KARYA ANUGERAH</v>
      </c>
      <c r="J546" t="str">
        <f t="shared" si="95"/>
        <v>MAXI, Maxindo Karya Anugerah, Maxindo Karya Anugerah Tbk, MaxindoKaryaAnugerah, PT Maxindo Karya Anugerah</v>
      </c>
      <c r="K546" t="str">
        <f t="shared" si="96"/>
        <v>MAXI, Maxindo Karya Anugerah, Maxindo Karya Anugerah Tbk, MaxindoKaryaAnugerah, PT Maxindo Karya Anugerah</v>
      </c>
      <c r="L546" t="str">
        <f t="shared" si="92"/>
        <v>MaxindoKaryaAnugerah</v>
      </c>
      <c r="M546" t="str">
        <f t="shared" si="97"/>
        <v>MAXI, Maxindo Karya Anugerah, Maxindo Karya Anugerah Tbk, PT Maxindo Karya Anugerah</v>
      </c>
      <c r="N546" t="str">
        <f t="shared" si="98"/>
        <v>MAXI, Maxindo Karya Anugerah, Maxindo Karya Anugerah Tbk, PT Maxindo Karya Anugerah</v>
      </c>
    </row>
    <row r="547" spans="1:14" x14ac:dyDescent="0.2">
      <c r="A547" t="s">
        <v>807</v>
      </c>
      <c r="B547" t="s">
        <v>3618</v>
      </c>
      <c r="C547" t="s">
        <v>8346</v>
      </c>
      <c r="D547" t="str">
        <f t="shared" si="88"/>
        <v>MAYA, BANK MAYAPADA INTERNASIONAL, Bank Internasional, Bank Mayapada Internasional, Bank Mayapada Internasional Tbk, BankMayapadaInternasional, Internasional, PT Bank Mayapada Internasional, bank mayapada internasional</v>
      </c>
      <c r="E547" t="str">
        <f t="shared" si="89"/>
        <v>MAYA, BANK MAYAPADA INTERNASIONAL, Bank Internasional, Bank Mayapada Internasional, Bank Mayapada Internasional Tbk, BankMayapadaInternasional, Internasional, PT Bank Mayapada Internasional, bank mayapada internasional</v>
      </c>
      <c r="F547" t="str">
        <f t="shared" si="90"/>
        <v>bank mayapada internasional</v>
      </c>
      <c r="G547" t="str">
        <f t="shared" si="93"/>
        <v>MAYA, BANK MAYAPADA INTERNASIONAL, Bank Internasional, Bank Mayapada Internasional, Bank Mayapada Internasional Tbk, BankMayapadaInternasional, Internasional, PT Bank Mayapada Internasional</v>
      </c>
      <c r="H547" t="str">
        <f t="shared" si="94"/>
        <v>MAYA, BANK MAYAPADA INTERNASIONAL, Bank Internasional, Bank Mayapada Internasional, Bank Mayapada Internasional Tbk, BankMayapadaInternasional, Internasional, PT Bank Mayapada Internasional</v>
      </c>
      <c r="I547" t="str">
        <f t="shared" si="91"/>
        <v>BANK MAYAPADA INTERNASIONAL</v>
      </c>
      <c r="J547" t="str">
        <f t="shared" si="95"/>
        <v>MAYA, Bank Internasional, Bank Mayapada Internasional, Bank Mayapada Internasional Tbk, BankMayapadaInternasional, Internasional, PT Bank Mayapada Internasional</v>
      </c>
      <c r="K547" t="str">
        <f t="shared" si="96"/>
        <v>MAYA, Bank Internasional, Bank Mayapada Internasional, Bank Mayapada Internasional Tbk, BankMayapadaInternasional, Internasional, PT Bank Mayapada Internasional</v>
      </c>
      <c r="L547" t="str">
        <f t="shared" si="92"/>
        <v>BankMayapadaInternasional</v>
      </c>
      <c r="M547" t="str">
        <f t="shared" si="97"/>
        <v>MAYA, Bank Internasional, Bank Mayapada Internasional, Bank Mayapada Internasional Tbk, Internasional, PT Bank Mayapada Internasional</v>
      </c>
      <c r="N547" t="str">
        <f t="shared" si="98"/>
        <v>MAYA, Bank Internasional, Bank Mayapada Internasional, Bank Mayapada Internasional Tbk, Internasional, PT Bank Mayapada Internasional</v>
      </c>
    </row>
    <row r="548" spans="1:14" x14ac:dyDescent="0.2">
      <c r="A548" t="s">
        <v>809</v>
      </c>
      <c r="B548" t="s">
        <v>810</v>
      </c>
      <c r="C548" t="s">
        <v>8347</v>
      </c>
      <c r="D548" t="str">
        <f t="shared" si="88"/>
        <v>MBAP, MITRABARA ADIPERDANA, Mitrabara Adiperdana, Mitrabara Adiperdana Tbk, MitrabaraAdiperdana, PT Mitrabara Adiperdana, mitrabara adiperdana</v>
      </c>
      <c r="E548" t="str">
        <f t="shared" si="89"/>
        <v>MBAP, MITRABARA ADIPERDANA, Mitrabara Adiperdana, Mitrabara Adiperdana Tbk, MitrabaraAdiperdana, PT Mitrabara Adiperdana, mitrabara adiperdana</v>
      </c>
      <c r="F548" t="str">
        <f t="shared" si="90"/>
        <v>mitrabara adiperdana</v>
      </c>
      <c r="G548" t="str">
        <f t="shared" si="93"/>
        <v>MBAP, MITRABARA ADIPERDANA, Mitrabara Adiperdana, Mitrabara Adiperdana Tbk, MitrabaraAdiperdana, PT Mitrabara Adiperdana</v>
      </c>
      <c r="H548" t="str">
        <f t="shared" si="94"/>
        <v>MBAP, MITRABARA ADIPERDANA, Mitrabara Adiperdana, Mitrabara Adiperdana Tbk, MitrabaraAdiperdana, PT Mitrabara Adiperdana</v>
      </c>
      <c r="I548" t="str">
        <f t="shared" si="91"/>
        <v>MITRABARA ADIPERDANA</v>
      </c>
      <c r="J548" t="str">
        <f t="shared" si="95"/>
        <v>MBAP, Mitrabara Adiperdana, Mitrabara Adiperdana Tbk, MitrabaraAdiperdana, PT Mitrabara Adiperdana</v>
      </c>
      <c r="K548" t="str">
        <f t="shared" si="96"/>
        <v>MBAP, Mitrabara Adiperdana, Mitrabara Adiperdana Tbk, MitrabaraAdiperdana, PT Mitrabara Adiperdana</v>
      </c>
      <c r="L548" t="str">
        <f t="shared" si="92"/>
        <v>MitrabaraAdiperdana</v>
      </c>
      <c r="M548" t="str">
        <f t="shared" si="97"/>
        <v>MBAP, Mitrabara Adiperdana, Mitrabara Adiperdana Tbk, PT Mitrabara Adiperdana</v>
      </c>
      <c r="N548" t="str">
        <f t="shared" si="98"/>
        <v>MBAP, Mitrabara Adiperdana, Mitrabara Adiperdana Tbk, PT Mitrabara Adiperdana</v>
      </c>
    </row>
    <row r="549" spans="1:14" x14ac:dyDescent="0.2">
      <c r="A549" t="s">
        <v>2616</v>
      </c>
      <c r="B549" t="s">
        <v>2617</v>
      </c>
      <c r="C549" t="s">
        <v>8348</v>
      </c>
      <c r="D549" t="str">
        <f t="shared" si="88"/>
        <v>MBMA, MERDEKA BATTERY MATERIALS, Merdeka Battery Materials, Merdeka Battery Materials Tbk, MerdekaBatteryMaterials, PT Merdeka Battery Materials, merdeka battery materials</v>
      </c>
      <c r="E549" t="str">
        <f t="shared" si="89"/>
        <v>MBMA, MERDEKA BATTERY MATERIALS, Merdeka Battery Materials, Merdeka Battery Materials Tbk, MerdekaBatteryMaterials, PT Merdeka Battery Materials, merdeka battery materials</v>
      </c>
      <c r="F549" t="str">
        <f t="shared" si="90"/>
        <v>merdeka battery materials</v>
      </c>
      <c r="G549" t="str">
        <f t="shared" si="93"/>
        <v>MBMA, MERDEKA BATTERY MATERIALS, Merdeka Battery Materials, Merdeka Battery Materials Tbk, MerdekaBatteryMaterials, PT Merdeka Battery Materials</v>
      </c>
      <c r="H549" t="str">
        <f t="shared" si="94"/>
        <v>MBMA, MERDEKA BATTERY MATERIALS, Merdeka Battery Materials, Merdeka Battery Materials Tbk, MerdekaBatteryMaterials, PT Merdeka Battery Materials</v>
      </c>
      <c r="I549" t="str">
        <f t="shared" si="91"/>
        <v>MERDEKA BATTERY MATERIALS</v>
      </c>
      <c r="J549" t="str">
        <f t="shared" si="95"/>
        <v>MBMA, Merdeka Battery Materials, Merdeka Battery Materials Tbk, MerdekaBatteryMaterials, PT Merdeka Battery Materials</v>
      </c>
      <c r="K549" t="str">
        <f t="shared" si="96"/>
        <v>MBMA, Merdeka Battery Materials, Merdeka Battery Materials Tbk, MerdekaBatteryMaterials, PT Merdeka Battery Materials</v>
      </c>
      <c r="L549" t="str">
        <f t="shared" si="92"/>
        <v>MerdekaBatteryMaterials</v>
      </c>
      <c r="M549" t="str">
        <f t="shared" si="97"/>
        <v>MBMA, Merdeka Battery Materials, Merdeka Battery Materials Tbk, PT Merdeka Battery Materials</v>
      </c>
      <c r="N549" t="str">
        <f t="shared" si="98"/>
        <v>MBMA, Merdeka Battery Materials, Merdeka Battery Materials Tbk, PT Merdeka Battery Materials</v>
      </c>
    </row>
    <row r="550" spans="1:14" x14ac:dyDescent="0.2">
      <c r="A550" t="s">
        <v>812</v>
      </c>
      <c r="B550" t="s">
        <v>3619</v>
      </c>
      <c r="C550" t="s">
        <v>8349</v>
      </c>
      <c r="D550" t="str">
        <f t="shared" si="88"/>
        <v>MBSS, MITRABAHTERA SEGARA SEJATI, Mitrabahtera Segara Sejati, Mitrabahtera Segara Sejati Tbk, MitrabahteraSegaraSejati, PT Mitrabahtera Segara Sejati, mitrabahtera segara sejati</v>
      </c>
      <c r="E550" t="str">
        <f t="shared" si="89"/>
        <v>MBSS, MITRABAHTERA SEGARA SEJATI, Mitrabahtera Segara Sejati, Mitrabahtera Segara Sejati Tbk, MitrabahteraSegaraSejati, PT Mitrabahtera Segara Sejati, mitrabahtera segara sejati</v>
      </c>
      <c r="F550" t="str">
        <f t="shared" si="90"/>
        <v>mitrabahtera segara sejati</v>
      </c>
      <c r="G550" t="str">
        <f t="shared" si="93"/>
        <v>MBSS, MITRABAHTERA SEGARA SEJATI, Mitrabahtera Segara Sejati, Mitrabahtera Segara Sejati Tbk, MitrabahteraSegaraSejati, PT Mitrabahtera Segara Sejati</v>
      </c>
      <c r="H550" t="str">
        <f t="shared" si="94"/>
        <v>MBSS, MITRABAHTERA SEGARA SEJATI, Mitrabahtera Segara Sejati, Mitrabahtera Segara Sejati Tbk, MitrabahteraSegaraSejati, PT Mitrabahtera Segara Sejati</v>
      </c>
      <c r="I550" t="str">
        <f t="shared" si="91"/>
        <v>MITRABAHTERA SEGARA SEJATI</v>
      </c>
      <c r="J550" t="str">
        <f t="shared" si="95"/>
        <v>MBSS, Mitrabahtera Segara Sejati, Mitrabahtera Segara Sejati Tbk, MitrabahteraSegaraSejati, PT Mitrabahtera Segara Sejati</v>
      </c>
      <c r="K550" t="str">
        <f t="shared" si="96"/>
        <v>MBSS, Mitrabahtera Segara Sejati, Mitrabahtera Segara Sejati Tbk, MitrabahteraSegaraSejati, PT Mitrabahtera Segara Sejati</v>
      </c>
      <c r="L550" t="str">
        <f t="shared" si="92"/>
        <v>MitrabahteraSegaraSejati</v>
      </c>
      <c r="M550" t="str">
        <f t="shared" si="97"/>
        <v>MBSS, Mitrabahtera Segara Sejati, Mitrabahtera Segara Sejati Tbk, PT Mitrabahtera Segara Sejati</v>
      </c>
      <c r="N550" t="str">
        <f t="shared" si="98"/>
        <v>MBSS, Mitrabahtera Segara Sejati, Mitrabahtera Segara Sejati Tbk, PT Mitrabahtera Segara Sejati</v>
      </c>
    </row>
    <row r="551" spans="1:14" x14ac:dyDescent="0.2">
      <c r="A551" t="s">
        <v>815</v>
      </c>
      <c r="B551" t="s">
        <v>816</v>
      </c>
      <c r="C551" t="s">
        <v>8350</v>
      </c>
      <c r="D551" t="str">
        <f t="shared" si="88"/>
        <v>MBTO, MARTINA BERTO, Martina Berto, Martina Berto Tbk, MartinaBerto, PT Martina Berto, martina berto</v>
      </c>
      <c r="E551" t="str">
        <f t="shared" si="89"/>
        <v>MBTO, MARTINA BERTO, Martina Berto, Martina Berto Tbk, MartinaBerto, PT Martina Berto, martina berto</v>
      </c>
      <c r="F551" t="str">
        <f t="shared" si="90"/>
        <v>martina berto</v>
      </c>
      <c r="G551" t="str">
        <f t="shared" si="93"/>
        <v>MBTO, MARTINA BERTO, Martina Berto, Martina Berto Tbk, MartinaBerto, PT Martina Berto</v>
      </c>
      <c r="H551" t="str">
        <f t="shared" si="94"/>
        <v>MBTO, MARTINA BERTO, Martina Berto, Martina Berto Tbk, MartinaBerto, PT Martina Berto</v>
      </c>
      <c r="I551" t="str">
        <f t="shared" si="91"/>
        <v>MARTINA BERTO</v>
      </c>
      <c r="J551" t="str">
        <f t="shared" si="95"/>
        <v>MBTO, Martina Berto, Martina Berto Tbk, MartinaBerto, PT Martina Berto</v>
      </c>
      <c r="K551" t="str">
        <f t="shared" si="96"/>
        <v>MBTO, Martina Berto, Martina Berto Tbk, MartinaBerto, PT Martina Berto</v>
      </c>
      <c r="L551" t="str">
        <f t="shared" si="92"/>
        <v>MartinaBerto</v>
      </c>
      <c r="M551" t="str">
        <f t="shared" si="97"/>
        <v>MBTO, Martina Berto, Martina Berto Tbk, PT Martina Berto</v>
      </c>
      <c r="N551" t="str">
        <f t="shared" si="98"/>
        <v>MBTO, Martina Berto, Martina Berto Tbk, PT Martina Berto</v>
      </c>
    </row>
    <row r="552" spans="1:14" x14ac:dyDescent="0.2">
      <c r="A552" t="s">
        <v>1462</v>
      </c>
      <c r="B552" t="s">
        <v>1463</v>
      </c>
      <c r="C552" t="s">
        <v>8351</v>
      </c>
      <c r="D552" t="str">
        <f t="shared" si="88"/>
        <v>MCAS, M CASH INTEGRASI, M Cash Integrasi, M Cash Integrasi Tbk, MCashIntegrasi, PT M Cash Integrasi, m cash integrasi</v>
      </c>
      <c r="E552" t="str">
        <f t="shared" si="89"/>
        <v>MCAS, M CASH INTEGRASI, M Cash Integrasi, M Cash Integrasi Tbk, MCashIntegrasi, PT M Cash Integrasi, m cash integrasi</v>
      </c>
      <c r="F552" t="str">
        <f t="shared" si="90"/>
        <v>m cash integrasi</v>
      </c>
      <c r="G552" t="str">
        <f t="shared" si="93"/>
        <v>MCAS, M CASH INTEGRASI, M Cash Integrasi, M Cash Integrasi Tbk, MCashIntegrasi, PT M Cash Integrasi</v>
      </c>
      <c r="H552" t="str">
        <f t="shared" si="94"/>
        <v>MCAS, M CASH INTEGRASI, M Cash Integrasi, M Cash Integrasi Tbk, MCashIntegrasi, PT M Cash Integrasi</v>
      </c>
      <c r="I552" t="str">
        <f t="shared" si="91"/>
        <v>M CASH INTEGRASI</v>
      </c>
      <c r="J552" t="str">
        <f t="shared" si="95"/>
        <v>MCAS, M Cash Integrasi, M Cash Integrasi Tbk, MCashIntegrasi, PT M Cash Integrasi</v>
      </c>
      <c r="K552" t="str">
        <f t="shared" si="96"/>
        <v>MCAS, M Cash Integrasi, M Cash Integrasi Tbk, MCashIntegrasi, PT M Cash Integrasi</v>
      </c>
      <c r="L552" t="str">
        <f t="shared" si="92"/>
        <v>MCashIntegrasi</v>
      </c>
      <c r="M552" t="str">
        <f t="shared" si="97"/>
        <v>MCAS, M Cash Integrasi, M Cash Integrasi Tbk, PT M Cash Integrasi</v>
      </c>
      <c r="N552" t="str">
        <f t="shared" si="98"/>
        <v>MCAS, M Cash Integrasi, M Cash Integrasi Tbk, PT M Cash Integrasi</v>
      </c>
    </row>
    <row r="553" spans="1:14" x14ac:dyDescent="0.2">
      <c r="A553" t="s">
        <v>1992</v>
      </c>
      <c r="B553" t="s">
        <v>1993</v>
      </c>
      <c r="C553" t="s">
        <v>8352</v>
      </c>
      <c r="D553" t="str">
        <f t="shared" si="88"/>
        <v>MCOL, PRIMA ANDALAN MANDIRI, PT Prima Andalan Mandiri, Prima Andalan Mandiri, Prima Andalan Mandiri Tbk, PrimaAndalanMandiri, prima andalan mandiri</v>
      </c>
      <c r="E553" t="str">
        <f t="shared" si="89"/>
        <v>MCOL, PRIMA ANDALAN MANDIRI, PT Prima Andalan Mandiri, Prima Andalan Mandiri, Prima Andalan Mandiri Tbk, PrimaAndalanMandiri, prima andalan mandiri</v>
      </c>
      <c r="F553" t="str">
        <f t="shared" si="90"/>
        <v>prima andalan mandiri</v>
      </c>
      <c r="G553" t="str">
        <f t="shared" si="93"/>
        <v>MCOL, PRIMA ANDALAN MANDIRI, PT Prima Andalan Mandiri, Prima Andalan Mandiri, Prima Andalan Mandiri Tbk, PrimaAndalanMandiri</v>
      </c>
      <c r="H553" t="str">
        <f t="shared" si="94"/>
        <v>MCOL, PRIMA ANDALAN MANDIRI, PT Prima Andalan Mandiri, Prima Andalan Mandiri, Prima Andalan Mandiri Tbk, PrimaAndalanMandiri</v>
      </c>
      <c r="I553" t="str">
        <f t="shared" si="91"/>
        <v>PRIMA ANDALAN MANDIRI</v>
      </c>
      <c r="J553" t="str">
        <f t="shared" si="95"/>
        <v>MCOL, PT Prima Andalan Mandiri, Prima Andalan Mandiri, Prima Andalan Mandiri Tbk, PrimaAndalanMandiri</v>
      </c>
      <c r="K553" t="str">
        <f t="shared" si="96"/>
        <v>MCOL, PT Prima Andalan Mandiri, Prima Andalan Mandiri, Prima Andalan Mandiri Tbk, PrimaAndalanMandiri</v>
      </c>
      <c r="L553" t="str">
        <f t="shared" si="92"/>
        <v>PrimaAndalanMandiri</v>
      </c>
      <c r="M553" t="str">
        <f t="shared" si="97"/>
        <v>MCOL, PT Prima Andalan Mandiri, Prima Andalan Mandiri, Prima Andalan Mandiri Tbk</v>
      </c>
      <c r="N553" t="str">
        <f t="shared" si="98"/>
        <v>MCOL, PT Prima Andalan Mandiri, Prima Andalan Mandiri, Prima Andalan Mandiri Tbk</v>
      </c>
    </row>
    <row r="554" spans="1:14" x14ac:dyDescent="0.2">
      <c r="A554" t="s">
        <v>818</v>
      </c>
      <c r="B554" t="s">
        <v>3620</v>
      </c>
      <c r="C554" t="s">
        <v>8353</v>
      </c>
      <c r="D554" t="str">
        <f t="shared" si="88"/>
        <v>MCOR, BANK CHINA CONSTRUCTION BANK INDONESIA, Bank China Construction Bank Indonesia, Bank China Construction Bank Indonesia Tbk, BankChinaConstructionBankIndonesia, PT Bank China Construction Bank Indonesia, bank china construction bank indonesia</v>
      </c>
      <c r="E554" t="str">
        <f t="shared" si="89"/>
        <v>MCOR, BANK CHINA CONSTRUCTION BANK INDONESIA, Bank China Construction Bank Indonesia, Bank China Construction Bank Indonesia Tbk, BankChinaConstructionBankIndonesia, PT Bank China Construction Bank Indonesia, bank china construction bank indonesia</v>
      </c>
      <c r="F554" t="str">
        <f t="shared" si="90"/>
        <v>bank china construction bank indonesia</v>
      </c>
      <c r="G554" t="str">
        <f t="shared" si="93"/>
        <v>MCOR, BANK CHINA CONSTRUCTION BANK INDONESIA, Bank China Construction Bank Indonesia, Bank China Construction Bank Indonesia Tbk, BankChinaConstructionBankIndonesia, PT Bank China Construction Bank Indonesia</v>
      </c>
      <c r="H554" t="str">
        <f t="shared" si="94"/>
        <v>MCOR, BANK CHINA CONSTRUCTION BANK INDONESIA, Bank China Construction Bank Indonesia, Bank China Construction Bank Indonesia Tbk, BankChinaConstructionBankIndonesia, PT Bank China Construction Bank Indonesia</v>
      </c>
      <c r="I554" t="str">
        <f t="shared" si="91"/>
        <v>BANK CHINA CONSTRUCTION BANK INDONESIA</v>
      </c>
      <c r="J554" t="str">
        <f t="shared" si="95"/>
        <v>MCOR, Bank China Construction Bank Indonesia, Bank China Construction Bank Indonesia Tbk, BankChinaConstructionBankIndonesia, PT Bank China Construction Bank Indonesia</v>
      </c>
      <c r="K554" t="str">
        <f t="shared" si="96"/>
        <v>MCOR, Bank China Construction Bank Indonesia, Bank China Construction Bank Indonesia Tbk, BankChinaConstructionBankIndonesia, PT Bank China Construction Bank Indonesia</v>
      </c>
      <c r="L554" t="str">
        <f t="shared" si="92"/>
        <v>BankChinaConstructionBankIndonesia</v>
      </c>
      <c r="M554" t="str">
        <f t="shared" si="97"/>
        <v>MCOR, Bank China Construction Bank Indonesia, Bank China Construction Bank Indonesia Tbk, PT Bank China Construction Bank Indonesia</v>
      </c>
      <c r="N554" t="str">
        <f t="shared" si="98"/>
        <v>MCOR, Bank China Construction Bank Indonesia, Bank China Construction Bank Indonesia Tbk, PT Bank China Construction Bank Indonesia</v>
      </c>
    </row>
    <row r="555" spans="1:14" x14ac:dyDescent="0.2">
      <c r="A555" t="s">
        <v>820</v>
      </c>
      <c r="B555" t="s">
        <v>821</v>
      </c>
      <c r="C555" t="s">
        <v>8354</v>
      </c>
      <c r="D555" t="str">
        <f t="shared" si="88"/>
        <v>MDIA, INTERMEDIA CAPITAL, Intermedia Capital, Intermedia Capital Tbk, IntermediaCapital, PT Intermedia Capital, intermedia capital</v>
      </c>
      <c r="E555" t="str">
        <f t="shared" si="89"/>
        <v>MDIA, INTERMEDIA CAPITAL, Intermedia Capital, Intermedia Capital Tbk, IntermediaCapital, PT Intermedia Capital, intermedia capital</v>
      </c>
      <c r="F555" t="str">
        <f t="shared" si="90"/>
        <v>intermedia capital</v>
      </c>
      <c r="G555" t="str">
        <f t="shared" si="93"/>
        <v>MDIA, INTERMEDIA CAPITAL, Intermedia Capital, Intermedia Capital Tbk, IntermediaCapital, PT Intermedia Capital</v>
      </c>
      <c r="H555" t="str">
        <f t="shared" si="94"/>
        <v>MDIA, INTERMEDIA CAPITAL, Intermedia Capital, Intermedia Capital Tbk, IntermediaCapital, PT Intermedia Capital</v>
      </c>
      <c r="I555" t="str">
        <f t="shared" si="91"/>
        <v>INTERMEDIA CAPITAL</v>
      </c>
      <c r="J555" t="str">
        <f t="shared" si="95"/>
        <v>MDIA, Intermedia Capital, Intermedia Capital Tbk, IntermediaCapital, PT Intermedia Capital</v>
      </c>
      <c r="K555" t="str">
        <f t="shared" si="96"/>
        <v>MDIA, Intermedia Capital, Intermedia Capital Tbk, IntermediaCapital, PT Intermedia Capital</v>
      </c>
      <c r="L555" t="str">
        <f t="shared" si="92"/>
        <v>IntermediaCapital</v>
      </c>
      <c r="M555" t="str">
        <f t="shared" si="97"/>
        <v>MDIA, Intermedia Capital, Intermedia Capital Tbk, PT Intermedia Capital</v>
      </c>
      <c r="N555" t="str">
        <f t="shared" si="98"/>
        <v>MDIA, Intermedia Capital, Intermedia Capital Tbk, PT Intermedia Capital</v>
      </c>
    </row>
    <row r="556" spans="1:14" x14ac:dyDescent="0.2">
      <c r="A556" t="s">
        <v>2509</v>
      </c>
      <c r="B556" t="s">
        <v>2510</v>
      </c>
      <c r="C556" t="s">
        <v>8355</v>
      </c>
      <c r="D556" t="str">
        <f t="shared" si="88"/>
        <v>MDIY, DAYA INTIGUNA YASA, Daya Intiguna Yasa, Daya Intiguna Yasa Tbk, DayaIntigunaYasa, PT Daya Intiguna Yasa, daya intiguna yasa</v>
      </c>
      <c r="E556" t="str">
        <f t="shared" si="89"/>
        <v>MDIY, DAYA INTIGUNA YASA, Daya Intiguna Yasa, Daya Intiguna Yasa Tbk, DayaIntigunaYasa, PT Daya Intiguna Yasa, daya intiguna yasa</v>
      </c>
      <c r="F556" t="str">
        <f t="shared" si="90"/>
        <v>daya intiguna yasa</v>
      </c>
      <c r="G556" t="str">
        <f t="shared" si="93"/>
        <v>MDIY, DAYA INTIGUNA YASA, Daya Intiguna Yasa, Daya Intiguna Yasa Tbk, DayaIntigunaYasa, PT Daya Intiguna Yasa</v>
      </c>
      <c r="H556" t="str">
        <f t="shared" si="94"/>
        <v>MDIY, DAYA INTIGUNA YASA, Daya Intiguna Yasa, Daya Intiguna Yasa Tbk, DayaIntigunaYasa, PT Daya Intiguna Yasa</v>
      </c>
      <c r="I556" t="str">
        <f t="shared" si="91"/>
        <v>DAYA INTIGUNA YASA</v>
      </c>
      <c r="J556" t="str">
        <f t="shared" si="95"/>
        <v>MDIY, Daya Intiguna Yasa, Daya Intiguna Yasa Tbk, DayaIntigunaYasa, PT Daya Intiguna Yasa</v>
      </c>
      <c r="K556" t="str">
        <f t="shared" si="96"/>
        <v>MDIY, Daya Intiguna Yasa, Daya Intiguna Yasa Tbk, DayaIntigunaYasa, PT Daya Intiguna Yasa</v>
      </c>
      <c r="L556" t="str">
        <f t="shared" si="92"/>
        <v>DayaIntigunaYasa</v>
      </c>
      <c r="M556" t="str">
        <f t="shared" si="97"/>
        <v>MDIY, Daya Intiguna Yasa, Daya Intiguna Yasa Tbk, PT Daya Intiguna Yasa</v>
      </c>
      <c r="N556" t="str">
        <f t="shared" si="98"/>
        <v>MDIY, Daya Intiguna Yasa, Daya Intiguna Yasa Tbk, PT Daya Intiguna Yasa</v>
      </c>
    </row>
    <row r="557" spans="1:14" x14ac:dyDescent="0.2">
      <c r="A557" t="s">
        <v>823</v>
      </c>
      <c r="B557" t="s">
        <v>824</v>
      </c>
      <c r="C557" t="s">
        <v>8356</v>
      </c>
      <c r="D557" t="str">
        <f t="shared" si="88"/>
        <v>MDKA, MERDEKA COPPER GOLD, Merdeka Copper Gold, Merdeka Copper Gold Tbk, MerdekaCopperGold, PT Merdeka Copper Gold, merdeka copper gold</v>
      </c>
      <c r="E557" t="str">
        <f t="shared" si="89"/>
        <v>MDKA, MERDEKA COPPER GOLD, Merdeka Copper Gold, Merdeka Copper Gold Tbk, MerdekaCopperGold, PT Merdeka Copper Gold, merdeka copper gold</v>
      </c>
      <c r="F557" t="str">
        <f t="shared" si="90"/>
        <v>merdeka copper gold</v>
      </c>
      <c r="G557" t="str">
        <f t="shared" si="93"/>
        <v>MDKA, MERDEKA COPPER GOLD, Merdeka Copper Gold, Merdeka Copper Gold Tbk, MerdekaCopperGold, PT Merdeka Copper Gold</v>
      </c>
      <c r="H557" t="str">
        <f t="shared" si="94"/>
        <v>MDKA, MERDEKA COPPER GOLD, Merdeka Copper Gold, Merdeka Copper Gold Tbk, MerdekaCopperGold, PT Merdeka Copper Gold</v>
      </c>
      <c r="I557" t="str">
        <f t="shared" si="91"/>
        <v>MERDEKA COPPER GOLD</v>
      </c>
      <c r="J557" t="str">
        <f t="shared" si="95"/>
        <v>MDKA, Merdeka Copper Gold, Merdeka Copper Gold Tbk, MerdekaCopperGold, PT Merdeka Copper Gold</v>
      </c>
      <c r="K557" t="str">
        <f t="shared" si="96"/>
        <v>MDKA, Merdeka Copper Gold, Merdeka Copper Gold Tbk, MerdekaCopperGold, PT Merdeka Copper Gold</v>
      </c>
      <c r="L557" t="str">
        <f t="shared" si="92"/>
        <v>MerdekaCopperGold</v>
      </c>
      <c r="M557" t="str">
        <f t="shared" si="97"/>
        <v>MDKA, Merdeka Copper Gold, Merdeka Copper Gold Tbk, PT Merdeka Copper Gold</v>
      </c>
      <c r="N557" t="str">
        <f t="shared" si="98"/>
        <v>MDKA, Merdeka Copper Gold, Merdeka Copper Gold Tbk, PT Merdeka Copper Gold</v>
      </c>
    </row>
    <row r="558" spans="1:14" x14ac:dyDescent="0.2">
      <c r="A558" t="s">
        <v>1446</v>
      </c>
      <c r="B558" t="s">
        <v>1447</v>
      </c>
      <c r="C558" t="s">
        <v>8357</v>
      </c>
      <c r="D558" t="str">
        <f t="shared" si="88"/>
        <v>MDKI, EMDEKI UTAMA, Emdeki Utama, Emdeki Utama Tbk, EmdekiUtama, PT Emdeki Utama, emdeki utama</v>
      </c>
      <c r="E558" t="str">
        <f t="shared" si="89"/>
        <v>MDKI, EMDEKI UTAMA, Emdeki Utama, Emdeki Utama Tbk, EmdekiUtama, PT Emdeki Utama, emdeki utama</v>
      </c>
      <c r="F558" t="str">
        <f t="shared" si="90"/>
        <v>emdeki utama</v>
      </c>
      <c r="G558" t="str">
        <f t="shared" si="93"/>
        <v>MDKI, EMDEKI UTAMA, Emdeki Utama, Emdeki Utama Tbk, EmdekiUtama, PT Emdeki Utama</v>
      </c>
      <c r="H558" t="str">
        <f t="shared" si="94"/>
        <v>MDKI, EMDEKI UTAMA, Emdeki Utama, Emdeki Utama Tbk, EmdekiUtama, PT Emdeki Utama</v>
      </c>
      <c r="I558" t="str">
        <f t="shared" si="91"/>
        <v>EMDEKI UTAMA</v>
      </c>
      <c r="J558" t="str">
        <f t="shared" si="95"/>
        <v>MDKI, Emdeki Utama, Emdeki Utama Tbk, EmdekiUtama, PT Emdeki Utama</v>
      </c>
      <c r="K558" t="str">
        <f t="shared" si="96"/>
        <v>MDKI, Emdeki Utama, Emdeki Utama Tbk, EmdekiUtama, PT Emdeki Utama</v>
      </c>
      <c r="L558" t="str">
        <f t="shared" si="92"/>
        <v>EmdekiUtama</v>
      </c>
      <c r="M558" t="str">
        <f t="shared" si="97"/>
        <v>MDKI, Emdeki Utama, Emdeki Utama Tbk, PT Emdeki Utama</v>
      </c>
      <c r="N558" t="str">
        <f t="shared" si="98"/>
        <v>MDKI, Emdeki Utama, Emdeki Utama Tbk, PT Emdeki Utama</v>
      </c>
    </row>
    <row r="559" spans="1:14" x14ac:dyDescent="0.2">
      <c r="A559" t="s">
        <v>2578</v>
      </c>
      <c r="B559" t="s">
        <v>2579</v>
      </c>
      <c r="C559" t="s">
        <v>8358</v>
      </c>
      <c r="D559" t="str">
        <f t="shared" si="88"/>
        <v>MDLA, MEDELA POTENTIA, Medela Potentia, Medela Potentia Tbk, MedelaPotentia, PT Medela Potentia, medela potentia</v>
      </c>
      <c r="E559" t="str">
        <f t="shared" si="89"/>
        <v>MDLA, MEDELA POTENTIA, Medela Potentia, Medela Potentia Tbk, MedelaPotentia, PT Medela Potentia, medela potentia</v>
      </c>
      <c r="F559" t="str">
        <f t="shared" si="90"/>
        <v>medela potentia</v>
      </c>
      <c r="G559" t="str">
        <f t="shared" si="93"/>
        <v>MDLA, MEDELA POTENTIA, Medela Potentia, Medela Potentia Tbk, MedelaPotentia, PT Medela Potentia</v>
      </c>
      <c r="H559" t="str">
        <f t="shared" si="94"/>
        <v>MDLA, MEDELA POTENTIA, Medela Potentia, Medela Potentia Tbk, MedelaPotentia, PT Medela Potentia</v>
      </c>
      <c r="I559" t="str">
        <f t="shared" si="91"/>
        <v>MEDELA POTENTIA</v>
      </c>
      <c r="J559" t="str">
        <f t="shared" si="95"/>
        <v>MDLA, Medela Potentia, Medela Potentia Tbk, MedelaPotentia, PT Medela Potentia</v>
      </c>
      <c r="K559" t="str">
        <f t="shared" si="96"/>
        <v>MDLA, Medela Potentia, Medela Potentia Tbk, MedelaPotentia, PT Medela Potentia</v>
      </c>
      <c r="L559" t="str">
        <f t="shared" si="92"/>
        <v>MedelaPotentia</v>
      </c>
      <c r="M559" t="str">
        <f t="shared" si="97"/>
        <v>MDLA, Medela Potentia, Medela Potentia Tbk, PT Medela Potentia</v>
      </c>
      <c r="N559" t="str">
        <f t="shared" si="98"/>
        <v>MDLA, Medela Potentia, Medela Potentia Tbk, PT Medela Potentia</v>
      </c>
    </row>
    <row r="560" spans="1:14" x14ac:dyDescent="0.2">
      <c r="A560" t="s">
        <v>826</v>
      </c>
      <c r="B560" t="s">
        <v>827</v>
      </c>
      <c r="C560" t="s">
        <v>8359</v>
      </c>
      <c r="D560" t="str">
        <f t="shared" si="88"/>
        <v>MDLN, MODERNLAND REALTY, Modernland Realty, Modernland Realty Tbk, ModernlandRealty, PT Modernland Realty, modernland realty</v>
      </c>
      <c r="E560" t="str">
        <f t="shared" si="89"/>
        <v>MDLN, MODERNLAND REALTY, Modernland Realty, Modernland Realty Tbk, ModernlandRealty, PT Modernland Realty, modernland realty</v>
      </c>
      <c r="F560" t="str">
        <f t="shared" si="90"/>
        <v>modernland realty</v>
      </c>
      <c r="G560" t="str">
        <f t="shared" si="93"/>
        <v>MDLN, MODERNLAND REALTY, Modernland Realty, Modernland Realty Tbk, ModernlandRealty, PT Modernland Realty</v>
      </c>
      <c r="H560" t="str">
        <f t="shared" si="94"/>
        <v>MDLN, MODERNLAND REALTY, Modernland Realty, Modernland Realty Tbk, ModernlandRealty, PT Modernland Realty</v>
      </c>
      <c r="I560" t="str">
        <f t="shared" si="91"/>
        <v>MODERNLAND REALTY</v>
      </c>
      <c r="J560" t="str">
        <f t="shared" si="95"/>
        <v>MDLN, Modernland Realty, Modernland Realty Tbk, ModernlandRealty, PT Modernland Realty</v>
      </c>
      <c r="K560" t="str">
        <f t="shared" si="96"/>
        <v>MDLN, Modernland Realty, Modernland Realty Tbk, ModernlandRealty, PT Modernland Realty</v>
      </c>
      <c r="L560" t="str">
        <f t="shared" si="92"/>
        <v>ModernlandRealty</v>
      </c>
      <c r="M560" t="str">
        <f t="shared" si="97"/>
        <v>MDLN, Modernland Realty, Modernland Realty Tbk, PT Modernland Realty</v>
      </c>
      <c r="N560" t="str">
        <f t="shared" si="98"/>
        <v>MDLN, Modernland Realty, Modernland Realty Tbk, PT Modernland Realty</v>
      </c>
    </row>
    <row r="561" spans="1:14" x14ac:dyDescent="0.2">
      <c r="A561" t="s">
        <v>829</v>
      </c>
      <c r="B561" t="s">
        <v>830</v>
      </c>
      <c r="C561" t="s">
        <v>8360</v>
      </c>
      <c r="D561" t="str">
        <f t="shared" si="88"/>
        <v>MDRN, MI, MODERN INTERNASIONAL, Modern Internasional, Modern Internasional Tbk, ModernInternasional, PT Modern Internasional, modern internasional</v>
      </c>
      <c r="E561" t="str">
        <f t="shared" si="89"/>
        <v>MDRN, MI, MODERN INTERNASIONAL, Modern Internasional, Modern Internasional Tbk, ModernInternasional, PT Modern Internasional, modern internasional</v>
      </c>
      <c r="F561" t="str">
        <f t="shared" si="90"/>
        <v>modern internasional</v>
      </c>
      <c r="G561" t="str">
        <f t="shared" si="93"/>
        <v>MDRN, MI, MODERN INTERNASIONAL, Modern Internasional, Modern Internasional Tbk, ModernInternasional, PT Modern Internasional</v>
      </c>
      <c r="H561" t="str">
        <f t="shared" si="94"/>
        <v>MDRN, MI, MODERN INTERNASIONAL, Modern Internasional, Modern Internasional Tbk, ModernInternasional, PT Modern Internasional</v>
      </c>
      <c r="I561" t="str">
        <f t="shared" si="91"/>
        <v>MODERN INTERNASIONAL</v>
      </c>
      <c r="J561" t="str">
        <f t="shared" si="95"/>
        <v>MDRN, MI, Modern Internasional, Modern Internasional Tbk, ModernInternasional, PT Modern Internasional</v>
      </c>
      <c r="K561" t="str">
        <f t="shared" si="96"/>
        <v>MDRN, MI, Modern Internasional, Modern Internasional Tbk, ModernInternasional, PT Modern Internasional</v>
      </c>
      <c r="L561" t="str">
        <f t="shared" si="92"/>
        <v>ModernInternasional</v>
      </c>
      <c r="M561" t="str">
        <f t="shared" si="97"/>
        <v>MDRN, MI, Modern Internasional, Modern Internasional Tbk, PT Modern Internasional</v>
      </c>
      <c r="N561" t="str">
        <f t="shared" si="98"/>
        <v>MDRN, MI, Modern Internasional, Modern Internasional Tbk, PT Modern Internasional</v>
      </c>
    </row>
    <row r="562" spans="1:14" x14ac:dyDescent="0.2">
      <c r="A562" t="s">
        <v>832</v>
      </c>
      <c r="B562" t="s">
        <v>3621</v>
      </c>
      <c r="C562" t="s">
        <v>8361</v>
      </c>
      <c r="D562" t="str">
        <f t="shared" si="88"/>
        <v>MEDC, MEDCO ENERGI INTERNASIONAL, Medco Energi Internasional, Medco Energi Internasional Tbk, MedcoEnergiInternasional, PT Medco Energi Internasional, medco energi internasional</v>
      </c>
      <c r="E562" t="str">
        <f t="shared" si="89"/>
        <v>MEDC, MEDCO ENERGI INTERNASIONAL, Medco Energi Internasional, Medco Energi Internasional Tbk, MedcoEnergiInternasional, PT Medco Energi Internasional, medco energi internasional</v>
      </c>
      <c r="F562" t="str">
        <f t="shared" si="90"/>
        <v>medco energi internasional</v>
      </c>
      <c r="G562" t="str">
        <f t="shared" si="93"/>
        <v>MEDC, MEDCO ENERGI INTERNASIONAL, Medco Energi Internasional, Medco Energi Internasional Tbk, MedcoEnergiInternasional, PT Medco Energi Internasional</v>
      </c>
      <c r="H562" t="str">
        <f t="shared" si="94"/>
        <v>MEDC, MEDCO ENERGI INTERNASIONAL, Medco Energi Internasional, Medco Energi Internasional Tbk, MedcoEnergiInternasional, PT Medco Energi Internasional</v>
      </c>
      <c r="I562" t="str">
        <f t="shared" si="91"/>
        <v>MEDCO ENERGI INTERNASIONAL</v>
      </c>
      <c r="J562" t="str">
        <f t="shared" si="95"/>
        <v>MEDC, Medco Energi Internasional, Medco Energi Internasional Tbk, MedcoEnergiInternasional, PT Medco Energi Internasional</v>
      </c>
      <c r="K562" t="str">
        <f t="shared" si="96"/>
        <v>MEDC, Medco Energi Internasional, Medco Energi Internasional Tbk, MedcoEnergiInternasional, PT Medco Energi Internasional</v>
      </c>
      <c r="L562" t="str">
        <f t="shared" si="92"/>
        <v>MedcoEnergiInternasional</v>
      </c>
      <c r="M562" t="str">
        <f t="shared" si="97"/>
        <v>MEDC, Medco Energi Internasional, Medco Energi Internasional Tbk, PT Medco Energi Internasional</v>
      </c>
      <c r="N562" t="str">
        <f t="shared" si="98"/>
        <v>MEDC, Medco Energi Internasional, Medco Energi Internasional Tbk, PT Medco Energi Internasional</v>
      </c>
    </row>
    <row r="563" spans="1:14" x14ac:dyDescent="0.2">
      <c r="A563" t="s">
        <v>2170</v>
      </c>
      <c r="B563" t="s">
        <v>2171</v>
      </c>
      <c r="C563" t="s">
        <v>8362</v>
      </c>
      <c r="D563" t="str">
        <f t="shared" si="88"/>
        <v>MEDS, HETZER MEDICAL INDONESIA, Hetzer Medical Indonesia, Hetzer Medical Indonesia Tbk, HetzerMedicalIndonesia, PT Hetzer Medical Indonesia, hetzer medical indonesia</v>
      </c>
      <c r="E563" t="str">
        <f t="shared" si="89"/>
        <v>MEDS, HETZER MEDICAL INDONESIA, Hetzer Medical Indonesia, Hetzer Medical Indonesia Tbk, HetzerMedicalIndonesia, PT Hetzer Medical Indonesia, hetzer medical indonesia</v>
      </c>
      <c r="F563" t="str">
        <f t="shared" si="90"/>
        <v>hetzer medical indonesia</v>
      </c>
      <c r="G563" t="str">
        <f t="shared" si="93"/>
        <v>MEDS, HETZER MEDICAL INDONESIA, Hetzer Medical Indonesia, Hetzer Medical Indonesia Tbk, HetzerMedicalIndonesia, PT Hetzer Medical Indonesia</v>
      </c>
      <c r="H563" t="str">
        <f t="shared" si="94"/>
        <v>MEDS, HETZER MEDICAL INDONESIA, Hetzer Medical Indonesia, Hetzer Medical Indonesia Tbk, HetzerMedicalIndonesia, PT Hetzer Medical Indonesia</v>
      </c>
      <c r="I563" t="str">
        <f t="shared" si="91"/>
        <v>HETZER MEDICAL INDONESIA</v>
      </c>
      <c r="J563" t="str">
        <f t="shared" si="95"/>
        <v>MEDS, Hetzer Medical Indonesia, Hetzer Medical Indonesia Tbk, HetzerMedicalIndonesia, PT Hetzer Medical Indonesia</v>
      </c>
      <c r="K563" t="str">
        <f t="shared" si="96"/>
        <v>MEDS, Hetzer Medical Indonesia, Hetzer Medical Indonesia Tbk, HetzerMedicalIndonesia, PT Hetzer Medical Indonesia</v>
      </c>
      <c r="L563" t="str">
        <f t="shared" si="92"/>
        <v>HetzerMedicalIndonesia</v>
      </c>
      <c r="M563" t="str">
        <f t="shared" si="97"/>
        <v>MEDS, Hetzer Medical Indonesia, Hetzer Medical Indonesia Tbk, PT Hetzer Medical Indonesia</v>
      </c>
      <c r="N563" t="str">
        <f t="shared" si="98"/>
        <v>MEDS, Hetzer Medical Indonesia, Hetzer Medical Indonesia Tbk, PT Hetzer Medical Indonesia</v>
      </c>
    </row>
    <row r="564" spans="1:14" x14ac:dyDescent="0.2">
      <c r="A564" t="s">
        <v>835</v>
      </c>
      <c r="B564" t="s">
        <v>836</v>
      </c>
      <c r="C564" t="s">
        <v>8363</v>
      </c>
      <c r="D564" t="str">
        <f t="shared" si="88"/>
        <v>MEGA, BANK MEGA, Bank Mega, Bank Mega Tbk, BankMega, Mega, PT Bank Mega, bank mega</v>
      </c>
      <c r="E564" t="str">
        <f t="shared" si="89"/>
        <v>MEGA, BANK MEGA, Bank Mega, Bank Mega Tbk, BankMega, Mega, PT Bank Mega, bank mega</v>
      </c>
      <c r="F564" t="str">
        <f t="shared" si="90"/>
        <v>bank mega</v>
      </c>
      <c r="G564" t="str">
        <f t="shared" si="93"/>
        <v>MEGA, BANK MEGA, Bank Mega, Bank Mega Tbk, BankMega, Mega, PT Bank Mega</v>
      </c>
      <c r="H564" t="str">
        <f t="shared" si="94"/>
        <v>MEGA, BANK MEGA, Bank Mega, Bank Mega Tbk, BankMega, Mega, PT Bank Mega</v>
      </c>
      <c r="I564" t="str">
        <f t="shared" si="91"/>
        <v>BANK MEGA</v>
      </c>
      <c r="J564" t="str">
        <f t="shared" si="95"/>
        <v>MEGA, Bank Mega, Bank Mega Tbk, BankMega, Mega, PT Bank Mega</v>
      </c>
      <c r="K564" t="str">
        <f t="shared" si="96"/>
        <v>MEGA, Bank Mega, Bank Mega Tbk, BankMega, Mega, PT Bank Mega</v>
      </c>
      <c r="L564" t="str">
        <f t="shared" si="92"/>
        <v>BankMega</v>
      </c>
      <c r="M564" t="str">
        <f t="shared" si="97"/>
        <v>MEGA, Bank Mega, Bank Mega Tbk, Mega, PT Bank Mega</v>
      </c>
      <c r="N564" t="str">
        <f t="shared" si="98"/>
        <v>MEGA, Bank Mega, Bank Mega Tbk, Mega, PT Bank Mega</v>
      </c>
    </row>
    <row r="565" spans="1:14" x14ac:dyDescent="0.2">
      <c r="A565" t="s">
        <v>2435</v>
      </c>
      <c r="B565" t="s">
        <v>2436</v>
      </c>
      <c r="C565" t="s">
        <v>8364</v>
      </c>
      <c r="D565" t="str">
        <f t="shared" si="88"/>
        <v>MEJA, HARTA DJAYA KARYA, Harta Djaya Karya, Harta Djaya Karya Tbk, HartaDjayaKarya, PT Harta Djaya Karya, harta djaya karya</v>
      </c>
      <c r="E565" t="str">
        <f t="shared" si="89"/>
        <v>MEJA, HARTA DJAYA KARYA, Harta Djaya Karya, Harta Djaya Karya Tbk, HartaDjayaKarya, PT Harta Djaya Karya, harta djaya karya</v>
      </c>
      <c r="F565" t="str">
        <f t="shared" si="90"/>
        <v>harta djaya karya</v>
      </c>
      <c r="G565" t="str">
        <f t="shared" si="93"/>
        <v>MEJA, HARTA DJAYA KARYA, Harta Djaya Karya, Harta Djaya Karya Tbk, HartaDjayaKarya, PT Harta Djaya Karya</v>
      </c>
      <c r="H565" t="str">
        <f t="shared" si="94"/>
        <v>MEJA, HARTA DJAYA KARYA, Harta Djaya Karya, Harta Djaya Karya Tbk, HartaDjayaKarya, PT Harta Djaya Karya</v>
      </c>
      <c r="I565" t="str">
        <f t="shared" si="91"/>
        <v>HARTA DJAYA KARYA</v>
      </c>
      <c r="J565" t="str">
        <f t="shared" si="95"/>
        <v>MEJA, Harta Djaya Karya, Harta Djaya Karya Tbk, HartaDjayaKarya, PT Harta Djaya Karya</v>
      </c>
      <c r="K565" t="str">
        <f t="shared" si="96"/>
        <v>MEJA, Harta Djaya Karya, Harta Djaya Karya Tbk, HartaDjayaKarya, PT Harta Djaya Karya</v>
      </c>
      <c r="L565" t="str">
        <f t="shared" si="92"/>
        <v>HartaDjayaKarya</v>
      </c>
      <c r="M565" t="str">
        <f t="shared" si="97"/>
        <v>MEJA, Harta Djaya Karya, Harta Djaya Karya Tbk, PT Harta Djaya Karya</v>
      </c>
      <c r="N565" t="str">
        <f t="shared" si="98"/>
        <v>MEJA, Harta Djaya Karya, Harta Djaya Karya Tbk, PT Harta Djaya Karya</v>
      </c>
    </row>
    <row r="566" spans="1:14" x14ac:dyDescent="0.2">
      <c r="A566" t="s">
        <v>2610</v>
      </c>
      <c r="B566" t="s">
        <v>2611</v>
      </c>
      <c r="C566" t="s">
        <v>8365</v>
      </c>
      <c r="D566" t="str">
        <f t="shared" si="88"/>
        <v>MENN, MENN TEKNOLOGI INDONESIA, Menn Teknologi Indonesia, Menn Teknologi Indonesia Tbk, MennTeknologiIndonesia, PT Menn Teknologi Indonesia, menn teknologi indonesia</v>
      </c>
      <c r="E566" t="str">
        <f t="shared" si="89"/>
        <v>MENN, MENN TEKNOLOGI INDONESIA, Menn Teknologi Indonesia, Menn Teknologi Indonesia Tbk, MennTeknologiIndonesia, PT Menn Teknologi Indonesia, menn teknologi indonesia</v>
      </c>
      <c r="F566" t="str">
        <f t="shared" si="90"/>
        <v>menn teknologi indonesia</v>
      </c>
      <c r="G566" t="str">
        <f t="shared" si="93"/>
        <v>MENN, MENN TEKNOLOGI INDONESIA, Menn Teknologi Indonesia, Menn Teknologi Indonesia Tbk, MennTeknologiIndonesia, PT Menn Teknologi Indonesia</v>
      </c>
      <c r="H566" t="str">
        <f t="shared" si="94"/>
        <v>MENN, MENN TEKNOLOGI INDONESIA, Menn Teknologi Indonesia, Menn Teknologi Indonesia Tbk, MennTeknologiIndonesia, PT Menn Teknologi Indonesia</v>
      </c>
      <c r="I566" t="str">
        <f t="shared" si="91"/>
        <v>MENN TEKNOLOGI INDONESIA</v>
      </c>
      <c r="J566" t="str">
        <f t="shared" si="95"/>
        <v>MENN, Menn Teknologi Indonesia, Menn Teknologi Indonesia Tbk, MennTeknologiIndonesia, PT Menn Teknologi Indonesia</v>
      </c>
      <c r="K566" t="str">
        <f t="shared" si="96"/>
        <v>MENN, Menn Teknologi Indonesia, Menn Teknologi Indonesia Tbk, MennTeknologiIndonesia, PT Menn Teknologi Indonesia</v>
      </c>
      <c r="L566" t="str">
        <f t="shared" si="92"/>
        <v>MennTeknologiIndonesia</v>
      </c>
      <c r="M566" t="str">
        <f t="shared" si="97"/>
        <v>MENN, Menn Teknologi Indonesia, Menn Teknologi Indonesia Tbk, PT Menn Teknologi Indonesia</v>
      </c>
      <c r="N566" t="str">
        <f t="shared" si="98"/>
        <v>MENN, Menn Teknologi Indonesia, Menn Teknologi Indonesia Tbk, PT Menn Teknologi Indonesia</v>
      </c>
    </row>
    <row r="567" spans="1:14" x14ac:dyDescent="0.2">
      <c r="A567" t="s">
        <v>2550</v>
      </c>
      <c r="B567" t="s">
        <v>2551</v>
      </c>
      <c r="C567" t="s">
        <v>8366</v>
      </c>
      <c r="D567" t="str">
        <f t="shared" si="88"/>
        <v>MERI, MERRY RIANA EDUKASI, Merry Riana Edukasi, Merry Riana Edukasi Tbk, MerryRianaEdukasi, PT Merry Riana Edukasi, merry riana edukasi</v>
      </c>
      <c r="E567" t="str">
        <f t="shared" si="89"/>
        <v>MERI, MERRY RIANA EDUKASI, Merry Riana Edukasi, Merry Riana Edukasi Tbk, MerryRianaEdukasi, PT Merry Riana Edukasi, merry riana edukasi</v>
      </c>
      <c r="F567" t="str">
        <f t="shared" si="90"/>
        <v>merry riana edukasi</v>
      </c>
      <c r="G567" t="str">
        <f t="shared" si="93"/>
        <v>MERI, MERRY RIANA EDUKASI, Merry Riana Edukasi, Merry Riana Edukasi Tbk, MerryRianaEdukasi, PT Merry Riana Edukasi</v>
      </c>
      <c r="H567" t="str">
        <f t="shared" si="94"/>
        <v>MERI, MERRY RIANA EDUKASI, Merry Riana Edukasi, Merry Riana Edukasi Tbk, MerryRianaEdukasi, PT Merry Riana Edukasi</v>
      </c>
      <c r="I567" t="str">
        <f t="shared" si="91"/>
        <v>MERRY RIANA EDUKASI</v>
      </c>
      <c r="J567" t="str">
        <f t="shared" si="95"/>
        <v>MERI, Merry Riana Edukasi, Merry Riana Edukasi Tbk, MerryRianaEdukasi, PT Merry Riana Edukasi</v>
      </c>
      <c r="K567" t="str">
        <f t="shared" si="96"/>
        <v>MERI, Merry Riana Edukasi, Merry Riana Edukasi Tbk, MerryRianaEdukasi, PT Merry Riana Edukasi</v>
      </c>
      <c r="L567" t="str">
        <f t="shared" si="92"/>
        <v>MerryRianaEdukasi</v>
      </c>
      <c r="M567" t="str">
        <f t="shared" si="97"/>
        <v>MERI, Merry Riana Edukasi, Merry Riana Edukasi Tbk, PT Merry Riana Edukasi</v>
      </c>
      <c r="N567" t="str">
        <f t="shared" si="98"/>
        <v>MERI, Merry Riana Edukasi, Merry Riana Edukasi Tbk, PT Merry Riana Edukasi</v>
      </c>
    </row>
    <row r="568" spans="1:14" x14ac:dyDescent="0.2">
      <c r="A568" t="s">
        <v>838</v>
      </c>
      <c r="B568" t="s">
        <v>839</v>
      </c>
      <c r="C568" t="s">
        <v>8367</v>
      </c>
      <c r="D568" t="str">
        <f t="shared" si="88"/>
        <v>MERK, Merck, Merck Tbk, PT Merck, merck</v>
      </c>
      <c r="E568" t="str">
        <f t="shared" si="89"/>
        <v>MERK, Merck, Merck Tbk, PT Merck, merck</v>
      </c>
      <c r="F568" t="str">
        <f t="shared" si="90"/>
        <v>merck</v>
      </c>
      <c r="G568" t="str">
        <f t="shared" si="93"/>
        <v>MERK, Merck, Merck Tbk, PT Merck</v>
      </c>
      <c r="H568" t="str">
        <f t="shared" si="94"/>
        <v>MERK, Merck, Merck Tbk, PT Merck</v>
      </c>
      <c r="I568" t="str">
        <f t="shared" si="91"/>
        <v>MERCK</v>
      </c>
      <c r="J568" t="str">
        <f t="shared" si="95"/>
        <v>MERK, Merck, Merck Tbk, PT Merck</v>
      </c>
      <c r="K568" t="str">
        <f t="shared" si="96"/>
        <v>MERK, Merck, Merck Tbk, PT Merck</v>
      </c>
      <c r="L568" t="str">
        <f t="shared" si="92"/>
        <v>Merck</v>
      </c>
      <c r="M568" t="str">
        <f t="shared" si="97"/>
        <v>MERK Tbk, PT Merck</v>
      </c>
      <c r="N568" t="str">
        <f t="shared" si="98"/>
        <v>MERK Tbk, PT Merck</v>
      </c>
    </row>
    <row r="569" spans="1:14" x14ac:dyDescent="0.2">
      <c r="A569" t="s">
        <v>841</v>
      </c>
      <c r="B569" t="s">
        <v>842</v>
      </c>
      <c r="C569" t="s">
        <v>8368</v>
      </c>
      <c r="D569" t="str">
        <f t="shared" si="88"/>
        <v>META, NUSANTARA INFRASTRUCTURE, Nusantara Infrastructure, Nusantara Infrastructure Tbk, NusantaraInfrastructure, PT Nusantara Infrastructure, nusantara infrastructure</v>
      </c>
      <c r="E569" t="str">
        <f t="shared" si="89"/>
        <v>META, NUSANTARA INFRASTRUCTURE, Nusantara Infrastructure, Nusantara Infrastructure Tbk, NusantaraInfrastructure, PT Nusantara Infrastructure, nusantara infrastructure</v>
      </c>
      <c r="F569" t="str">
        <f t="shared" si="90"/>
        <v>nusantara infrastructure</v>
      </c>
      <c r="G569" t="str">
        <f t="shared" si="93"/>
        <v>META, NUSANTARA INFRASTRUCTURE, Nusantara Infrastructure, Nusantara Infrastructure Tbk, NusantaraInfrastructure, PT Nusantara Infrastructure</v>
      </c>
      <c r="H569" t="str">
        <f t="shared" si="94"/>
        <v>META, NUSANTARA INFRASTRUCTURE, Nusantara Infrastructure, Nusantara Infrastructure Tbk, NusantaraInfrastructure, PT Nusantara Infrastructure</v>
      </c>
      <c r="I569" t="str">
        <f t="shared" si="91"/>
        <v>NUSANTARA INFRASTRUCTURE</v>
      </c>
      <c r="J569" t="str">
        <f t="shared" si="95"/>
        <v>META, Nusantara Infrastructure, Nusantara Infrastructure Tbk, NusantaraInfrastructure, PT Nusantara Infrastructure</v>
      </c>
      <c r="K569" t="str">
        <f t="shared" si="96"/>
        <v>META, Nusantara Infrastructure, Nusantara Infrastructure Tbk, NusantaraInfrastructure, PT Nusantara Infrastructure</v>
      </c>
      <c r="L569" t="str">
        <f t="shared" si="92"/>
        <v>NusantaraInfrastructure</v>
      </c>
      <c r="M569" t="str">
        <f t="shared" si="97"/>
        <v>META, Nusantara Infrastructure, Nusantara Infrastructure Tbk, PT Nusantara Infrastructure</v>
      </c>
      <c r="N569" t="str">
        <f t="shared" si="98"/>
        <v>META, Nusantara Infrastructure, Nusantara Infrastructure Tbk, PT Nusantara Infrastructure</v>
      </c>
    </row>
    <row r="570" spans="1:14" x14ac:dyDescent="0.2">
      <c r="A570" t="s">
        <v>844</v>
      </c>
      <c r="B570" t="s">
        <v>3622</v>
      </c>
      <c r="C570" t="s">
        <v>8369</v>
      </c>
      <c r="D570" t="str">
        <f t="shared" si="88"/>
        <v>MFMI, MULTIFILING MITRA INDONESIA, Multifiling Mitra Indonesia, Multifiling Mitra Indonesia Tbk, MultifilingMitraIndonesia, PT Multifiling Mitra Indonesia, multifiling mitra indonesia</v>
      </c>
      <c r="E570" t="str">
        <f t="shared" si="89"/>
        <v>MFMI, MULTIFILING MITRA INDONESIA, Multifiling Mitra Indonesia, Multifiling Mitra Indonesia Tbk, MultifilingMitraIndonesia, PT Multifiling Mitra Indonesia, multifiling mitra indonesia</v>
      </c>
      <c r="F570" t="str">
        <f t="shared" si="90"/>
        <v>multifiling mitra indonesia</v>
      </c>
      <c r="G570" t="str">
        <f t="shared" si="93"/>
        <v>MFMI, MULTIFILING MITRA INDONESIA, Multifiling Mitra Indonesia, Multifiling Mitra Indonesia Tbk, MultifilingMitraIndonesia, PT Multifiling Mitra Indonesia</v>
      </c>
      <c r="H570" t="str">
        <f t="shared" si="94"/>
        <v>MFMI, MULTIFILING MITRA INDONESIA, Multifiling Mitra Indonesia, Multifiling Mitra Indonesia Tbk, MultifilingMitraIndonesia, PT Multifiling Mitra Indonesia</v>
      </c>
      <c r="I570" t="str">
        <f t="shared" si="91"/>
        <v>MULTIFILING MITRA INDONESIA</v>
      </c>
      <c r="J570" t="str">
        <f t="shared" si="95"/>
        <v>MFMI, Multifiling Mitra Indonesia, Multifiling Mitra Indonesia Tbk, MultifilingMitraIndonesia, PT Multifiling Mitra Indonesia</v>
      </c>
      <c r="K570" t="str">
        <f t="shared" si="96"/>
        <v>MFMI, Multifiling Mitra Indonesia, Multifiling Mitra Indonesia Tbk, MultifilingMitraIndonesia, PT Multifiling Mitra Indonesia</v>
      </c>
      <c r="L570" t="str">
        <f t="shared" si="92"/>
        <v>MultifilingMitraIndonesia</v>
      </c>
      <c r="M570" t="str">
        <f t="shared" si="97"/>
        <v>MFMI, Multifiling Mitra Indonesia, Multifiling Mitra Indonesia Tbk, PT Multifiling Mitra Indonesia</v>
      </c>
      <c r="N570" t="str">
        <f t="shared" si="98"/>
        <v>MFMI, Multifiling Mitra Indonesia, Multifiling Mitra Indonesia Tbk, PT Multifiling Mitra Indonesia</v>
      </c>
    </row>
    <row r="571" spans="1:14" x14ac:dyDescent="0.2">
      <c r="A571" t="s">
        <v>1951</v>
      </c>
      <c r="B571" t="s">
        <v>1952</v>
      </c>
      <c r="C571" t="s">
        <v>8370</v>
      </c>
      <c r="D571" t="str">
        <f t="shared" si="88"/>
        <v>MGLV, PANCA ANUGRAH WISESA, PT Panca Anugrah Wisesa, Panca Anugrah Wisesa, Panca Anugrah Wisesa Tbk, PancaAnugrahWisesa, panca anugrah wisesa</v>
      </c>
      <c r="E571" t="str">
        <f t="shared" si="89"/>
        <v>MGLV, PANCA ANUGRAH WISESA, PT Panca Anugrah Wisesa, Panca Anugrah Wisesa, Panca Anugrah Wisesa Tbk, PancaAnugrahWisesa, panca anugrah wisesa</v>
      </c>
      <c r="F571" t="str">
        <f t="shared" si="90"/>
        <v>panca anugrah wisesa</v>
      </c>
      <c r="G571" t="str">
        <f t="shared" si="93"/>
        <v>MGLV, PANCA ANUGRAH WISESA, PT Panca Anugrah Wisesa, Panca Anugrah Wisesa, Panca Anugrah Wisesa Tbk, PancaAnugrahWisesa</v>
      </c>
      <c r="H571" t="str">
        <f t="shared" si="94"/>
        <v>MGLV, PANCA ANUGRAH WISESA, PT Panca Anugrah Wisesa, Panca Anugrah Wisesa, Panca Anugrah Wisesa Tbk, PancaAnugrahWisesa</v>
      </c>
      <c r="I571" t="str">
        <f t="shared" si="91"/>
        <v>PANCA ANUGRAH WISESA</v>
      </c>
      <c r="J571" t="str">
        <f t="shared" si="95"/>
        <v>MGLV, PT Panca Anugrah Wisesa, Panca Anugrah Wisesa, Panca Anugrah Wisesa Tbk, PancaAnugrahWisesa</v>
      </c>
      <c r="K571" t="str">
        <f t="shared" si="96"/>
        <v>MGLV, PT Panca Anugrah Wisesa, Panca Anugrah Wisesa, Panca Anugrah Wisesa Tbk, PancaAnugrahWisesa</v>
      </c>
      <c r="L571" t="str">
        <f t="shared" si="92"/>
        <v>PancaAnugrahWisesa</v>
      </c>
      <c r="M571" t="str">
        <f t="shared" si="97"/>
        <v>MGLV, PT Panca Anugrah Wisesa, Panca Anugrah Wisesa, Panca Anugrah Wisesa Tbk</v>
      </c>
      <c r="N571" t="str">
        <f t="shared" si="98"/>
        <v>MGLV, PT Panca Anugrah Wisesa, Panca Anugrah Wisesa, Panca Anugrah Wisesa Tbk</v>
      </c>
    </row>
    <row r="572" spans="1:14" x14ac:dyDescent="0.2">
      <c r="A572" t="s">
        <v>846</v>
      </c>
      <c r="B572" t="s">
        <v>847</v>
      </c>
      <c r="C572" t="s">
        <v>8371</v>
      </c>
      <c r="D572" t="str">
        <f t="shared" si="88"/>
        <v>MGNA, MAGNA INVESTAMA MANDIRI, Magna Investama Mandiri, Magna Investama Mandiri Tbk, MagnaInvestamaMandiri, PT Magna Investama Mandiri, magna investama mandiri</v>
      </c>
      <c r="E572" t="str">
        <f t="shared" si="89"/>
        <v>MGNA, MAGNA INVESTAMA MANDIRI, Magna Investama Mandiri, Magna Investama Mandiri Tbk, MagnaInvestamaMandiri, PT Magna Investama Mandiri, magna investama mandiri</v>
      </c>
      <c r="F572" t="str">
        <f t="shared" si="90"/>
        <v>magna investama mandiri</v>
      </c>
      <c r="G572" t="str">
        <f t="shared" si="93"/>
        <v>MGNA, MAGNA INVESTAMA MANDIRI, Magna Investama Mandiri, Magna Investama Mandiri Tbk, MagnaInvestamaMandiri, PT Magna Investama Mandiri</v>
      </c>
      <c r="H572" t="str">
        <f t="shared" si="94"/>
        <v>MGNA, MAGNA INVESTAMA MANDIRI, Magna Investama Mandiri, Magna Investama Mandiri Tbk, MagnaInvestamaMandiri, PT Magna Investama Mandiri</v>
      </c>
      <c r="I572" t="str">
        <f t="shared" si="91"/>
        <v>MAGNA INVESTAMA MANDIRI</v>
      </c>
      <c r="J572" t="str">
        <f t="shared" si="95"/>
        <v>MGNA, Magna Investama Mandiri, Magna Investama Mandiri Tbk, MagnaInvestamaMandiri, PT Magna Investama Mandiri</v>
      </c>
      <c r="K572" t="str">
        <f t="shared" si="96"/>
        <v>MGNA, Magna Investama Mandiri, Magna Investama Mandiri Tbk, MagnaInvestamaMandiri, PT Magna Investama Mandiri</v>
      </c>
      <c r="L572" t="str">
        <f t="shared" si="92"/>
        <v>MagnaInvestamaMandiri</v>
      </c>
      <c r="M572" t="str">
        <f t="shared" si="97"/>
        <v>MGNA, Magna Investama Mandiri, Magna Investama Mandiri Tbk, PT Magna Investama Mandiri</v>
      </c>
      <c r="N572" t="str">
        <f t="shared" si="98"/>
        <v>MGNA, Magna Investama Mandiri, Magna Investama Mandiri Tbk, PT Magna Investama Mandiri</v>
      </c>
    </row>
    <row r="573" spans="1:14" x14ac:dyDescent="0.2">
      <c r="A573" t="s">
        <v>1562</v>
      </c>
      <c r="B573" t="s">
        <v>1563</v>
      </c>
      <c r="C573" t="s">
        <v>8372</v>
      </c>
      <c r="D573" t="str">
        <f t="shared" si="88"/>
        <v>MGRO, MAHKOTA GROUP, Mahkota Group, Mahkota Group Tbk, MahkotaGroup, PT Mahkota Group, mahkota group</v>
      </c>
      <c r="E573" t="str">
        <f t="shared" si="89"/>
        <v>MGRO, MAHKOTA GROUP, Mahkota Group, Mahkota Group Tbk, MahkotaGroup, PT Mahkota Group, mahkota group</v>
      </c>
      <c r="F573" t="str">
        <f t="shared" si="90"/>
        <v>mahkota group</v>
      </c>
      <c r="G573" t="str">
        <f t="shared" si="93"/>
        <v>MGRO, MAHKOTA GROUP, Mahkota Group, Mahkota Group Tbk, MahkotaGroup, PT Mahkota Group</v>
      </c>
      <c r="H573" t="str">
        <f t="shared" si="94"/>
        <v>MGRO, MAHKOTA GROUP, Mahkota Group, Mahkota Group Tbk, MahkotaGroup, PT Mahkota Group</v>
      </c>
      <c r="I573" t="str">
        <f t="shared" si="91"/>
        <v>MAHKOTA GROUP</v>
      </c>
      <c r="J573" t="str">
        <f t="shared" si="95"/>
        <v>MGRO, Mahkota Group, Mahkota Group Tbk, MahkotaGroup, PT Mahkota Group</v>
      </c>
      <c r="K573" t="str">
        <f t="shared" si="96"/>
        <v>MGRO, Mahkota Group, Mahkota Group Tbk, MahkotaGroup, PT Mahkota Group</v>
      </c>
      <c r="L573" t="str">
        <f t="shared" si="92"/>
        <v>MahkotaGroup</v>
      </c>
      <c r="M573" t="str">
        <f t="shared" si="97"/>
        <v>MGRO, Mahkota Group, Mahkota Group Tbk, PT Mahkota Group</v>
      </c>
      <c r="N573" t="str">
        <f t="shared" si="98"/>
        <v>MGRO, Mahkota Group, Mahkota Group Tbk, PT Mahkota Group</v>
      </c>
    </row>
    <row r="574" spans="1:14" x14ac:dyDescent="0.2">
      <c r="A574" t="s">
        <v>2453</v>
      </c>
      <c r="B574" t="s">
        <v>2454</v>
      </c>
      <c r="C574" t="s">
        <v>8373</v>
      </c>
      <c r="D574" t="str">
        <f t="shared" si="88"/>
        <v>MHKI, MULTI HANNA KREASINDO, Multi Hanna Kreasindo, Multi Hanna Kreasindo Tbk, MultiHannaKreasindo, PT Multi Hanna Kreasindo, multi hanna kreasindo</v>
      </c>
      <c r="E574" t="str">
        <f t="shared" si="89"/>
        <v>MHKI, MULTI HANNA KREASINDO, Multi Hanna Kreasindo, Multi Hanna Kreasindo Tbk, MultiHannaKreasindo, PT Multi Hanna Kreasindo, multi hanna kreasindo</v>
      </c>
      <c r="F574" t="str">
        <f t="shared" si="90"/>
        <v>multi hanna kreasindo</v>
      </c>
      <c r="G574" t="str">
        <f t="shared" si="93"/>
        <v>MHKI, MULTI HANNA KREASINDO, Multi Hanna Kreasindo, Multi Hanna Kreasindo Tbk, MultiHannaKreasindo, PT Multi Hanna Kreasindo</v>
      </c>
      <c r="H574" t="str">
        <f t="shared" si="94"/>
        <v>MHKI, MULTI HANNA KREASINDO, Multi Hanna Kreasindo, Multi Hanna Kreasindo Tbk, MultiHannaKreasindo, PT Multi Hanna Kreasindo</v>
      </c>
      <c r="I574" t="str">
        <f t="shared" si="91"/>
        <v>MULTI HANNA KREASINDO</v>
      </c>
      <c r="J574" t="str">
        <f t="shared" si="95"/>
        <v>MHKI, Multi Hanna Kreasindo, Multi Hanna Kreasindo Tbk, MultiHannaKreasindo, PT Multi Hanna Kreasindo</v>
      </c>
      <c r="K574" t="str">
        <f t="shared" si="96"/>
        <v>MHKI, Multi Hanna Kreasindo, Multi Hanna Kreasindo Tbk, MultiHannaKreasindo, PT Multi Hanna Kreasindo</v>
      </c>
      <c r="L574" t="str">
        <f t="shared" si="92"/>
        <v>MultiHannaKreasindo</v>
      </c>
      <c r="M574" t="str">
        <f t="shared" si="97"/>
        <v>MHKI, Multi Hanna Kreasindo, Multi Hanna Kreasindo Tbk, PT Multi Hanna Kreasindo</v>
      </c>
      <c r="N574" t="str">
        <f t="shared" si="98"/>
        <v>MHKI, Multi Hanna Kreasindo, Multi Hanna Kreasindo Tbk, PT Multi Hanna Kreasindo</v>
      </c>
    </row>
    <row r="575" spans="1:14" x14ac:dyDescent="0.2">
      <c r="A575" t="s">
        <v>849</v>
      </c>
      <c r="B575" t="s">
        <v>850</v>
      </c>
      <c r="C575" t="s">
        <v>8374</v>
      </c>
      <c r="D575" t="str">
        <f t="shared" si="88"/>
        <v>MICE, MULTI INDOCITRA, Multi Indocitra, Multi Indocitra Tbk, MultiIndocitra, PT Multi Indocitra, multi indocitra</v>
      </c>
      <c r="E575" t="str">
        <f t="shared" si="89"/>
        <v>MICE, MULTI INDOCITRA, Multi Indocitra, Multi Indocitra Tbk, MultiIndocitra, PT Multi Indocitra, multi indocitra</v>
      </c>
      <c r="F575" t="str">
        <f t="shared" si="90"/>
        <v>multi indocitra</v>
      </c>
      <c r="G575" t="str">
        <f t="shared" si="93"/>
        <v>MICE, MULTI INDOCITRA, Multi Indocitra, Multi Indocitra Tbk, MultiIndocitra, PT Multi Indocitra</v>
      </c>
      <c r="H575" t="str">
        <f t="shared" si="94"/>
        <v>MICE, MULTI INDOCITRA, Multi Indocitra, Multi Indocitra Tbk, MultiIndocitra, PT Multi Indocitra</v>
      </c>
      <c r="I575" t="str">
        <f t="shared" si="91"/>
        <v>MULTI INDOCITRA</v>
      </c>
      <c r="J575" t="str">
        <f t="shared" si="95"/>
        <v>MICE, Multi Indocitra, Multi Indocitra Tbk, MultiIndocitra, PT Multi Indocitra</v>
      </c>
      <c r="K575" t="str">
        <f t="shared" si="96"/>
        <v>MICE, Multi Indocitra, Multi Indocitra Tbk, MultiIndocitra, PT Multi Indocitra</v>
      </c>
      <c r="L575" t="str">
        <f t="shared" si="92"/>
        <v>MultiIndocitra</v>
      </c>
      <c r="M575" t="str">
        <f t="shared" si="97"/>
        <v>MICE, Multi Indocitra, Multi Indocitra Tbk, PT Multi Indocitra</v>
      </c>
      <c r="N575" t="str">
        <f t="shared" si="98"/>
        <v>MICE, Multi Indocitra, Multi Indocitra Tbk, PT Multi Indocitra</v>
      </c>
    </row>
    <row r="576" spans="1:14" x14ac:dyDescent="0.2">
      <c r="A576" t="s">
        <v>852</v>
      </c>
      <c r="B576" t="s">
        <v>853</v>
      </c>
      <c r="C576" t="s">
        <v>8375</v>
      </c>
      <c r="D576" t="str">
        <f t="shared" si="88"/>
        <v>MIDI, MIDI UTAMA INDONESIA, Midi Utama Indonesia, Midi Utama Indonesia Tbk, MidiUtamaIndonesia, PT Midi Utama Indonesia, midi utama indonesia</v>
      </c>
      <c r="E576" t="str">
        <f t="shared" si="89"/>
        <v>MIDI, MIDI UTAMA INDONESIA, Midi Utama Indonesia, Midi Utama Indonesia Tbk, MidiUtamaIndonesia, PT Midi Utama Indonesia, midi utama indonesia</v>
      </c>
      <c r="F576" t="str">
        <f t="shared" si="90"/>
        <v>midi utama indonesia</v>
      </c>
      <c r="G576" t="str">
        <f t="shared" si="93"/>
        <v>MIDI, MIDI UTAMA INDONESIA, Midi Utama Indonesia, Midi Utama Indonesia Tbk, MidiUtamaIndonesia, PT Midi Utama Indonesia</v>
      </c>
      <c r="H576" t="str">
        <f t="shared" si="94"/>
        <v>MIDI, MIDI UTAMA INDONESIA, Midi Utama Indonesia, Midi Utama Indonesia Tbk, MidiUtamaIndonesia, PT Midi Utama Indonesia</v>
      </c>
      <c r="I576" t="str">
        <f t="shared" si="91"/>
        <v>MIDI UTAMA INDONESIA</v>
      </c>
      <c r="J576" t="str">
        <f t="shared" si="95"/>
        <v>MIDI, Midi Utama Indonesia, Midi Utama Indonesia Tbk, MidiUtamaIndonesia, PT Midi Utama Indonesia</v>
      </c>
      <c r="K576" t="str">
        <f t="shared" si="96"/>
        <v>MIDI, Midi Utama Indonesia, Midi Utama Indonesia Tbk, MidiUtamaIndonesia, PT Midi Utama Indonesia</v>
      </c>
      <c r="L576" t="str">
        <f t="shared" si="92"/>
        <v>MidiUtamaIndonesia</v>
      </c>
      <c r="M576" t="str">
        <f t="shared" si="97"/>
        <v>MIDI, Midi Utama Indonesia, Midi Utama Indonesia Tbk, PT Midi Utama Indonesia</v>
      </c>
      <c r="N576" t="str">
        <f t="shared" si="98"/>
        <v>MIDI, Midi Utama Indonesia, Midi Utama Indonesia Tbk, PT Midi Utama Indonesia</v>
      </c>
    </row>
    <row r="577" spans="1:14" x14ac:dyDescent="0.2">
      <c r="A577" t="s">
        <v>855</v>
      </c>
      <c r="B577" t="s">
        <v>856</v>
      </c>
      <c r="C577" t="s">
        <v>8376</v>
      </c>
      <c r="D577" t="str">
        <f t="shared" si="88"/>
        <v>MIKA, MITRA KELUARGA KARYASEHAT, Mitra Keluarga Karyasehat, Mitra Keluarga Karyasehat Tbk, MitraKeluargaKaryasehat, PT Mitra Keluarga Karyasehat, mitra keluarga karyasehat</v>
      </c>
      <c r="E577" t="str">
        <f t="shared" si="89"/>
        <v>MIKA, MITRA KELUARGA KARYASEHAT, Mitra Keluarga Karyasehat, Mitra Keluarga Karyasehat Tbk, MitraKeluargaKaryasehat, PT Mitra Keluarga Karyasehat, mitra keluarga karyasehat</v>
      </c>
      <c r="F577" t="str">
        <f t="shared" si="90"/>
        <v>mitra keluarga karyasehat</v>
      </c>
      <c r="G577" t="str">
        <f t="shared" si="93"/>
        <v>MIKA, MITRA KELUARGA KARYASEHAT, Mitra Keluarga Karyasehat, Mitra Keluarga Karyasehat Tbk, MitraKeluargaKaryasehat, PT Mitra Keluarga Karyasehat</v>
      </c>
      <c r="H577" t="str">
        <f t="shared" si="94"/>
        <v>MIKA, MITRA KELUARGA KARYASEHAT, Mitra Keluarga Karyasehat, Mitra Keluarga Karyasehat Tbk, MitraKeluargaKaryasehat, PT Mitra Keluarga Karyasehat</v>
      </c>
      <c r="I577" t="str">
        <f t="shared" si="91"/>
        <v>MITRA KELUARGA KARYASEHAT</v>
      </c>
      <c r="J577" t="str">
        <f t="shared" si="95"/>
        <v>MIKA, Mitra Keluarga Karyasehat, Mitra Keluarga Karyasehat Tbk, MitraKeluargaKaryasehat, PT Mitra Keluarga Karyasehat</v>
      </c>
      <c r="K577" t="str">
        <f t="shared" si="96"/>
        <v>MIKA, Mitra Keluarga Karyasehat, Mitra Keluarga Karyasehat Tbk, MitraKeluargaKaryasehat, PT Mitra Keluarga Karyasehat</v>
      </c>
      <c r="L577" t="str">
        <f t="shared" si="92"/>
        <v>MitraKeluargaKaryasehat</v>
      </c>
      <c r="M577" t="str">
        <f t="shared" si="97"/>
        <v>MIKA, Mitra Keluarga Karyasehat, Mitra Keluarga Karyasehat Tbk, PT Mitra Keluarga Karyasehat</v>
      </c>
      <c r="N577" t="str">
        <f t="shared" si="98"/>
        <v>MIKA, Mitra Keluarga Karyasehat, Mitra Keluarga Karyasehat Tbk, PT Mitra Keluarga Karyasehat</v>
      </c>
    </row>
    <row r="578" spans="1:14" x14ac:dyDescent="0.2">
      <c r="A578" t="s">
        <v>1396</v>
      </c>
      <c r="B578" t="s">
        <v>1397</v>
      </c>
      <c r="C578" t="s">
        <v>8377</v>
      </c>
      <c r="D578" t="str">
        <f t="shared" ref="D578:D641" si="99">SUBSTITUTE(C578, _xlfn.CONCAT(", ", B578), "")</f>
        <v>MINA, PT Sanurhasta Mitra, SANURHASTA MITRA, Sanurhasta Mitra, Sanurhasta Mitra Tbk, SanurhastaMitra, sanurhasta mitra</v>
      </c>
      <c r="E578" t="str">
        <f t="shared" ref="E578:E641" si="100">SUBSTITUTE(D578, _xlfn.CONCAT(B578, ", "), "")</f>
        <v>MINA, PT Sanurhasta Mitra, SANURHASTA MITRA, Sanurhasta Mitra, Sanurhasta Mitra Tbk, SanurhastaMitra, sanurhasta mitra</v>
      </c>
      <c r="F578" t="str">
        <f t="shared" ref="F578:F641" si="101">LOWER(MID(B578, 1, FIND(" Tbk.", B578)-1))</f>
        <v>sanurhasta mitra</v>
      </c>
      <c r="G578" t="str">
        <f t="shared" si="93"/>
        <v>MINA, PT Sanurhasta Mitra, SANURHASTA MITRA, Sanurhasta Mitra, Sanurhasta Mitra Tbk, SanurhastaMitra</v>
      </c>
      <c r="H578" t="str">
        <f t="shared" si="94"/>
        <v>MINA, PT Sanurhasta Mitra, SANURHASTA MITRA, Sanurhasta Mitra, Sanurhasta Mitra Tbk, SanurhastaMitra</v>
      </c>
      <c r="I578" t="str">
        <f t="shared" ref="I578:I641" si="102">UPPER(MID(B578, 1, FIND(" Tbk.", B578)-1))</f>
        <v>SANURHASTA MITRA</v>
      </c>
      <c r="J578" t="str">
        <f t="shared" si="95"/>
        <v>MINA, PT Sanurhasta Mitra, Sanurhasta Mitra, Sanurhasta Mitra Tbk, SanurhastaMitra</v>
      </c>
      <c r="K578" t="str">
        <f t="shared" si="96"/>
        <v>MINA, PT Sanurhasta Mitra, Sanurhasta Mitra, Sanurhasta Mitra Tbk, SanurhastaMitra</v>
      </c>
      <c r="L578" t="str">
        <f t="shared" ref="L578:L641" si="103">SUBSTITUTE(MID(B578, 1, FIND(" Tbk.", B578)-1), " ", "")</f>
        <v>SanurhastaMitra</v>
      </c>
      <c r="M578" t="str">
        <f t="shared" si="97"/>
        <v>MINA, PT Sanurhasta Mitra, Sanurhasta Mitra, Sanurhasta Mitra Tbk</v>
      </c>
      <c r="N578" t="str">
        <f t="shared" si="98"/>
        <v>MINA, PT Sanurhasta Mitra, Sanurhasta Mitra, Sanurhasta Mitra Tbk</v>
      </c>
    </row>
    <row r="579" spans="1:14" x14ac:dyDescent="0.2">
      <c r="A579" t="s">
        <v>2533</v>
      </c>
      <c r="B579" t="s">
        <v>2534</v>
      </c>
      <c r="C579" t="s">
        <v>8378</v>
      </c>
      <c r="D579" t="str">
        <f t="shared" si="99"/>
        <v>MINE, PT Sinar Terang Mandiri, SINAR TERANG MANDIRI, Sinar Terang Mandiri, Sinar Terang Mandiri Tbk, SinarTerangMandiri, sinar terang mandiri</v>
      </c>
      <c r="E579" t="str">
        <f t="shared" si="100"/>
        <v>MINE, PT Sinar Terang Mandiri, SINAR TERANG MANDIRI, Sinar Terang Mandiri, Sinar Terang Mandiri Tbk, SinarTerangMandiri, sinar terang mandiri</v>
      </c>
      <c r="F579" t="str">
        <f t="shared" si="101"/>
        <v>sinar terang mandiri</v>
      </c>
      <c r="G579" t="str">
        <f t="shared" ref="G579:G642" si="104">SUBSTITUTE(E579, _xlfn.CONCAT(", ", F579), "")</f>
        <v>MINE, PT Sinar Terang Mandiri, SINAR TERANG MANDIRI, Sinar Terang Mandiri, Sinar Terang Mandiri Tbk, SinarTerangMandiri</v>
      </c>
      <c r="H579" t="str">
        <f t="shared" ref="H579:H642" si="105">SUBSTITUTE(G579, _xlfn.CONCAT(F579, ", "), "")</f>
        <v>MINE, PT Sinar Terang Mandiri, SINAR TERANG MANDIRI, Sinar Terang Mandiri, Sinar Terang Mandiri Tbk, SinarTerangMandiri</v>
      </c>
      <c r="I579" t="str">
        <f t="shared" si="102"/>
        <v>SINAR TERANG MANDIRI</v>
      </c>
      <c r="J579" t="str">
        <f t="shared" ref="J579:J642" si="106">SUBSTITUTE(H579, _xlfn.CONCAT(", ", I579), "")</f>
        <v>MINE, PT Sinar Terang Mandiri, Sinar Terang Mandiri, Sinar Terang Mandiri Tbk, SinarTerangMandiri</v>
      </c>
      <c r="K579" t="str">
        <f t="shared" ref="K579:K642" si="107">SUBSTITUTE(J579, _xlfn.CONCAT(I579, ", "), "")</f>
        <v>MINE, PT Sinar Terang Mandiri, Sinar Terang Mandiri, Sinar Terang Mandiri Tbk, SinarTerangMandiri</v>
      </c>
      <c r="L579" t="str">
        <f t="shared" si="103"/>
        <v>SinarTerangMandiri</v>
      </c>
      <c r="M579" t="str">
        <f t="shared" ref="M579:M642" si="108">SUBSTITUTE(K579, _xlfn.CONCAT(", ", L579), "")</f>
        <v>MINE, PT Sinar Terang Mandiri, Sinar Terang Mandiri, Sinar Terang Mandiri Tbk</v>
      </c>
      <c r="N579" t="str">
        <f t="shared" ref="N579:N642" si="109">SUBSTITUTE(M579, _xlfn.CONCAT(L579, ", "), "")</f>
        <v>MINE, PT Sinar Terang Mandiri, Sinar Terang Mandiri, Sinar Terang Mandiri Tbk</v>
      </c>
    </row>
    <row r="580" spans="1:14" x14ac:dyDescent="0.2">
      <c r="A580" t="s">
        <v>858</v>
      </c>
      <c r="B580" t="s">
        <v>3623</v>
      </c>
      <c r="C580" t="s">
        <v>8379</v>
      </c>
      <c r="D580" t="str">
        <f t="shared" si="99"/>
        <v>MIRA, MITRA INTERNATIONAL RESOURCES, Mitra International Resources, Mitra International Resources Tbk, MitraInternationalResources, PT Mitra International Resources, mitra international resources</v>
      </c>
      <c r="E580" t="str">
        <f t="shared" si="100"/>
        <v>MIRA, MITRA INTERNATIONAL RESOURCES, Mitra International Resources, Mitra International Resources Tbk, MitraInternationalResources, PT Mitra International Resources, mitra international resources</v>
      </c>
      <c r="F580" t="str">
        <f t="shared" si="101"/>
        <v>mitra international resources</v>
      </c>
      <c r="G580" t="str">
        <f t="shared" si="104"/>
        <v>MIRA, MITRA INTERNATIONAL RESOURCES, Mitra International Resources, Mitra International Resources Tbk, MitraInternationalResources, PT Mitra International Resources</v>
      </c>
      <c r="H580" t="str">
        <f t="shared" si="105"/>
        <v>MIRA, MITRA INTERNATIONAL RESOURCES, Mitra International Resources, Mitra International Resources Tbk, MitraInternationalResources, PT Mitra International Resources</v>
      </c>
      <c r="I580" t="str">
        <f t="shared" si="102"/>
        <v>MITRA INTERNATIONAL RESOURCES</v>
      </c>
      <c r="J580" t="str">
        <f t="shared" si="106"/>
        <v>MIRA, Mitra International Resources, Mitra International Resources Tbk, MitraInternationalResources, PT Mitra International Resources</v>
      </c>
      <c r="K580" t="str">
        <f t="shared" si="107"/>
        <v>MIRA, Mitra International Resources, Mitra International Resources Tbk, MitraInternationalResources, PT Mitra International Resources</v>
      </c>
      <c r="L580" t="str">
        <f t="shared" si="103"/>
        <v>MitraInternationalResources</v>
      </c>
      <c r="M580" t="str">
        <f t="shared" si="108"/>
        <v>MIRA, Mitra International Resources, Mitra International Resources Tbk, PT Mitra International Resources</v>
      </c>
      <c r="N580" t="str">
        <f t="shared" si="109"/>
        <v>MIRA, Mitra International Resources, Mitra International Resources Tbk, PT Mitra International Resources</v>
      </c>
    </row>
    <row r="581" spans="1:14" x14ac:dyDescent="0.2">
      <c r="A581" t="s">
        <v>860</v>
      </c>
      <c r="B581" t="s">
        <v>861</v>
      </c>
      <c r="C581" t="s">
        <v>8380</v>
      </c>
      <c r="D581" t="str">
        <f t="shared" si="99"/>
        <v>MITI, MITRA INVESTINDO, Mitra Investindo, Mitra Investindo Tbk, MitraInvestindo, PT Mitra Investindo, mitra investindo</v>
      </c>
      <c r="E581" t="str">
        <f t="shared" si="100"/>
        <v>MITI, MITRA INVESTINDO, Mitra Investindo, Mitra Investindo Tbk, MitraInvestindo, PT Mitra Investindo, mitra investindo</v>
      </c>
      <c r="F581" t="str">
        <f t="shared" si="101"/>
        <v>mitra investindo</v>
      </c>
      <c r="G581" t="str">
        <f t="shared" si="104"/>
        <v>MITI, MITRA INVESTINDO, Mitra Investindo, Mitra Investindo Tbk, MitraInvestindo, PT Mitra Investindo</v>
      </c>
      <c r="H581" t="str">
        <f t="shared" si="105"/>
        <v>MITI, MITRA INVESTINDO, Mitra Investindo, Mitra Investindo Tbk, MitraInvestindo, PT Mitra Investindo</v>
      </c>
      <c r="I581" t="str">
        <f t="shared" si="102"/>
        <v>MITRA INVESTINDO</v>
      </c>
      <c r="J581" t="str">
        <f t="shared" si="106"/>
        <v>MITI, Mitra Investindo, Mitra Investindo Tbk, MitraInvestindo, PT Mitra Investindo</v>
      </c>
      <c r="K581" t="str">
        <f t="shared" si="107"/>
        <v>MITI, Mitra Investindo, Mitra Investindo Tbk, MitraInvestindo, PT Mitra Investindo</v>
      </c>
      <c r="L581" t="str">
        <f t="shared" si="103"/>
        <v>MitraInvestindo</v>
      </c>
      <c r="M581" t="str">
        <f t="shared" si="108"/>
        <v>MITI, Mitra Investindo, Mitra Investindo Tbk, PT Mitra Investindo</v>
      </c>
      <c r="N581" t="str">
        <f t="shared" si="109"/>
        <v>MITI, Mitra Investindo, Mitra Investindo Tbk, PT Mitra Investindo</v>
      </c>
    </row>
    <row r="582" spans="1:14" x14ac:dyDescent="0.2">
      <c r="A582" t="s">
        <v>2433</v>
      </c>
      <c r="B582" t="s">
        <v>3624</v>
      </c>
      <c r="C582" t="s">
        <v>8381</v>
      </c>
      <c r="D582" t="str">
        <f t="shared" si="99"/>
        <v>MKAP, MULTIKARYA ASIA PASIFIK RAYA, Multikarya Asia Pasifik Raya, Multikarya Asia Pasifik Raya Tbk, MultikaryaAsiaPasifikRaya, PT Multikarya Asia Pasifik Raya, multikarya asia pasifik raya</v>
      </c>
      <c r="E582" t="str">
        <f t="shared" si="100"/>
        <v>MKAP, MULTIKARYA ASIA PASIFIK RAYA, Multikarya Asia Pasifik Raya, Multikarya Asia Pasifik Raya Tbk, MultikaryaAsiaPasifikRaya, PT Multikarya Asia Pasifik Raya, multikarya asia pasifik raya</v>
      </c>
      <c r="F582" t="str">
        <f t="shared" si="101"/>
        <v>multikarya asia pasifik raya</v>
      </c>
      <c r="G582" t="str">
        <f t="shared" si="104"/>
        <v>MKAP, MULTIKARYA ASIA PASIFIK RAYA, Multikarya Asia Pasifik Raya, Multikarya Asia Pasifik Raya Tbk, MultikaryaAsiaPasifikRaya, PT Multikarya Asia Pasifik Raya</v>
      </c>
      <c r="H582" t="str">
        <f t="shared" si="105"/>
        <v>MKAP, MULTIKARYA ASIA PASIFIK RAYA, Multikarya Asia Pasifik Raya, Multikarya Asia Pasifik Raya Tbk, MultikaryaAsiaPasifikRaya, PT Multikarya Asia Pasifik Raya</v>
      </c>
      <c r="I582" t="str">
        <f t="shared" si="102"/>
        <v>MULTIKARYA ASIA PASIFIK RAYA</v>
      </c>
      <c r="J582" t="str">
        <f t="shared" si="106"/>
        <v>MKAP, Multikarya Asia Pasifik Raya, Multikarya Asia Pasifik Raya Tbk, MultikaryaAsiaPasifikRaya, PT Multikarya Asia Pasifik Raya</v>
      </c>
      <c r="K582" t="str">
        <f t="shared" si="107"/>
        <v>MKAP, Multikarya Asia Pasifik Raya, Multikarya Asia Pasifik Raya Tbk, MultikaryaAsiaPasifikRaya, PT Multikarya Asia Pasifik Raya</v>
      </c>
      <c r="L582" t="str">
        <f t="shared" si="103"/>
        <v>MultikaryaAsiaPasifikRaya</v>
      </c>
      <c r="M582" t="str">
        <f t="shared" si="108"/>
        <v>MKAP, Multikarya Asia Pasifik Raya, Multikarya Asia Pasifik Raya Tbk, PT Multikarya Asia Pasifik Raya</v>
      </c>
      <c r="N582" t="str">
        <f t="shared" si="109"/>
        <v>MKAP, Multikarya Asia Pasifik Raya, Multikarya Asia Pasifik Raya Tbk, PT Multikarya Asia Pasifik Raya</v>
      </c>
    </row>
    <row r="583" spans="1:14" x14ac:dyDescent="0.2">
      <c r="A583" t="s">
        <v>1364</v>
      </c>
      <c r="B583" t="s">
        <v>3625</v>
      </c>
      <c r="C583" t="s">
        <v>8382</v>
      </c>
      <c r="D583" t="str">
        <f t="shared" si="99"/>
        <v>MKNT, MITRA KOMUNIKASI NUSANTARA, Mitra Komunikasi Nusantara, Mitra Komunikasi Nusantara Tbk, MitraKomunikasiNusantara, PT Mitra Komunikasi Nusantara, mitra komunikasi nusantara</v>
      </c>
      <c r="E583" t="str">
        <f t="shared" si="100"/>
        <v>MKNT, MITRA KOMUNIKASI NUSANTARA, Mitra Komunikasi Nusantara, Mitra Komunikasi Nusantara Tbk, MitraKomunikasiNusantara, PT Mitra Komunikasi Nusantara, mitra komunikasi nusantara</v>
      </c>
      <c r="F583" t="str">
        <f t="shared" si="101"/>
        <v>mitra komunikasi nusantara</v>
      </c>
      <c r="G583" t="str">
        <f t="shared" si="104"/>
        <v>MKNT, MITRA KOMUNIKASI NUSANTARA, Mitra Komunikasi Nusantara, Mitra Komunikasi Nusantara Tbk, MitraKomunikasiNusantara, PT Mitra Komunikasi Nusantara</v>
      </c>
      <c r="H583" t="str">
        <f t="shared" si="105"/>
        <v>MKNT, MITRA KOMUNIKASI NUSANTARA, Mitra Komunikasi Nusantara, Mitra Komunikasi Nusantara Tbk, MitraKomunikasiNusantara, PT Mitra Komunikasi Nusantara</v>
      </c>
      <c r="I583" t="str">
        <f t="shared" si="102"/>
        <v>MITRA KOMUNIKASI NUSANTARA</v>
      </c>
      <c r="J583" t="str">
        <f t="shared" si="106"/>
        <v>MKNT, Mitra Komunikasi Nusantara, Mitra Komunikasi Nusantara Tbk, MitraKomunikasiNusantara, PT Mitra Komunikasi Nusantara</v>
      </c>
      <c r="K583" t="str">
        <f t="shared" si="107"/>
        <v>MKNT, Mitra Komunikasi Nusantara, Mitra Komunikasi Nusantara Tbk, MitraKomunikasiNusantara, PT Mitra Komunikasi Nusantara</v>
      </c>
      <c r="L583" t="str">
        <f t="shared" si="103"/>
        <v>MitraKomunikasiNusantara</v>
      </c>
      <c r="M583" t="str">
        <f t="shared" si="108"/>
        <v>MKNT, Mitra Komunikasi Nusantara, Mitra Komunikasi Nusantara Tbk, PT Mitra Komunikasi Nusantara</v>
      </c>
      <c r="N583" t="str">
        <f t="shared" si="109"/>
        <v>MKNT, Mitra Komunikasi Nusantara, Mitra Komunikasi Nusantara Tbk, PT Mitra Komunikasi Nusantara</v>
      </c>
    </row>
    <row r="584" spans="1:14" x14ac:dyDescent="0.2">
      <c r="A584" t="s">
        <v>863</v>
      </c>
      <c r="B584" t="s">
        <v>864</v>
      </c>
      <c r="C584" t="s">
        <v>8383</v>
      </c>
      <c r="D584" t="str">
        <f t="shared" si="99"/>
        <v>MKPI, METROPOLITAN KENTJANA, Metropolitan Kentjana, Metropolitan Kentjana Tbk, MetropolitanKentjana, PT Metropolitan Kentjana, metropolitan kentjana</v>
      </c>
      <c r="E584" t="str">
        <f t="shared" si="100"/>
        <v>MKPI, METROPOLITAN KENTJANA, Metropolitan Kentjana, Metropolitan Kentjana Tbk, MetropolitanKentjana, PT Metropolitan Kentjana, metropolitan kentjana</v>
      </c>
      <c r="F584" t="str">
        <f t="shared" si="101"/>
        <v>metropolitan kentjana</v>
      </c>
      <c r="G584" t="str">
        <f t="shared" si="104"/>
        <v>MKPI, METROPOLITAN KENTJANA, Metropolitan Kentjana, Metropolitan Kentjana Tbk, MetropolitanKentjana, PT Metropolitan Kentjana</v>
      </c>
      <c r="H584" t="str">
        <f t="shared" si="105"/>
        <v>MKPI, METROPOLITAN KENTJANA, Metropolitan Kentjana, Metropolitan Kentjana Tbk, MetropolitanKentjana, PT Metropolitan Kentjana</v>
      </c>
      <c r="I584" t="str">
        <f t="shared" si="102"/>
        <v>METROPOLITAN KENTJANA</v>
      </c>
      <c r="J584" t="str">
        <f t="shared" si="106"/>
        <v>MKPI, Metropolitan Kentjana, Metropolitan Kentjana Tbk, MetropolitanKentjana, PT Metropolitan Kentjana</v>
      </c>
      <c r="K584" t="str">
        <f t="shared" si="107"/>
        <v>MKPI, Metropolitan Kentjana, Metropolitan Kentjana Tbk, MetropolitanKentjana, PT Metropolitan Kentjana</v>
      </c>
      <c r="L584" t="str">
        <f t="shared" si="103"/>
        <v>MetropolitanKentjana</v>
      </c>
      <c r="M584" t="str">
        <f t="shared" si="108"/>
        <v>MKPI, Metropolitan Kentjana, Metropolitan Kentjana Tbk, PT Metropolitan Kentjana</v>
      </c>
      <c r="N584" t="str">
        <f t="shared" si="109"/>
        <v>MKPI, Metropolitan Kentjana, Metropolitan Kentjana Tbk, PT Metropolitan Kentjana</v>
      </c>
    </row>
    <row r="585" spans="1:14" x14ac:dyDescent="0.2">
      <c r="A585" t="s">
        <v>2184</v>
      </c>
      <c r="B585" t="s">
        <v>2185</v>
      </c>
      <c r="C585" t="s">
        <v>8384</v>
      </c>
      <c r="D585" t="str">
        <f t="shared" si="99"/>
        <v>MKTR, MENTHOBI KARYATAMA RAYA, Menthobi Karyatama Raya, Menthobi Karyatama Raya Tbk, MenthobiKaryatamaRaya, PT Menthobi Karyatama Raya, menthobi karyatama raya</v>
      </c>
      <c r="E585" t="str">
        <f t="shared" si="100"/>
        <v>MKTR, MENTHOBI KARYATAMA RAYA, Menthobi Karyatama Raya, Menthobi Karyatama Raya Tbk, MenthobiKaryatamaRaya, PT Menthobi Karyatama Raya, menthobi karyatama raya</v>
      </c>
      <c r="F585" t="str">
        <f t="shared" si="101"/>
        <v>menthobi karyatama raya</v>
      </c>
      <c r="G585" t="str">
        <f t="shared" si="104"/>
        <v>MKTR, MENTHOBI KARYATAMA RAYA, Menthobi Karyatama Raya, Menthobi Karyatama Raya Tbk, MenthobiKaryatamaRaya, PT Menthobi Karyatama Raya</v>
      </c>
      <c r="H585" t="str">
        <f t="shared" si="105"/>
        <v>MKTR, MENTHOBI KARYATAMA RAYA, Menthobi Karyatama Raya, Menthobi Karyatama Raya Tbk, MenthobiKaryatamaRaya, PT Menthobi Karyatama Raya</v>
      </c>
      <c r="I585" t="str">
        <f t="shared" si="102"/>
        <v>MENTHOBI KARYATAMA RAYA</v>
      </c>
      <c r="J585" t="str">
        <f t="shared" si="106"/>
        <v>MKTR, Menthobi Karyatama Raya, Menthobi Karyatama Raya Tbk, MenthobiKaryatamaRaya, PT Menthobi Karyatama Raya</v>
      </c>
      <c r="K585" t="str">
        <f t="shared" si="107"/>
        <v>MKTR, Menthobi Karyatama Raya, Menthobi Karyatama Raya Tbk, MenthobiKaryatamaRaya, PT Menthobi Karyatama Raya</v>
      </c>
      <c r="L585" t="str">
        <f t="shared" si="103"/>
        <v>MenthobiKaryatamaRaya</v>
      </c>
      <c r="M585" t="str">
        <f t="shared" si="108"/>
        <v>MKTR, Menthobi Karyatama Raya, Menthobi Karyatama Raya Tbk, PT Menthobi Karyatama Raya</v>
      </c>
      <c r="N585" t="str">
        <f t="shared" si="109"/>
        <v>MKTR, Menthobi Karyatama Raya, Menthobi Karyatama Raya Tbk, PT Menthobi Karyatama Raya</v>
      </c>
    </row>
    <row r="586" spans="1:14" x14ac:dyDescent="0.2">
      <c r="A586" t="s">
        <v>866</v>
      </c>
      <c r="B586" t="s">
        <v>867</v>
      </c>
      <c r="C586" t="s">
        <v>8385</v>
      </c>
      <c r="D586" t="str">
        <f t="shared" si="99"/>
        <v>MLBI, MULTI BINTANG INDONESIA, Multi Bintang Indonesia, Multi Bintang Indonesia Tbk, MultiBintangIndonesia, PT Multi Bintang Indonesia, multi bintang indonesia</v>
      </c>
      <c r="E586" t="str">
        <f t="shared" si="100"/>
        <v>MLBI, MULTI BINTANG INDONESIA, Multi Bintang Indonesia, Multi Bintang Indonesia Tbk, MultiBintangIndonesia, PT Multi Bintang Indonesia, multi bintang indonesia</v>
      </c>
      <c r="F586" t="str">
        <f t="shared" si="101"/>
        <v>multi bintang indonesia</v>
      </c>
      <c r="G586" t="str">
        <f t="shared" si="104"/>
        <v>MLBI, MULTI BINTANG INDONESIA, Multi Bintang Indonesia, Multi Bintang Indonesia Tbk, MultiBintangIndonesia, PT Multi Bintang Indonesia</v>
      </c>
      <c r="H586" t="str">
        <f t="shared" si="105"/>
        <v>MLBI, MULTI BINTANG INDONESIA, Multi Bintang Indonesia, Multi Bintang Indonesia Tbk, MultiBintangIndonesia, PT Multi Bintang Indonesia</v>
      </c>
      <c r="I586" t="str">
        <f t="shared" si="102"/>
        <v>MULTI BINTANG INDONESIA</v>
      </c>
      <c r="J586" t="str">
        <f t="shared" si="106"/>
        <v>MLBI, Multi Bintang Indonesia, Multi Bintang Indonesia Tbk, MultiBintangIndonesia, PT Multi Bintang Indonesia</v>
      </c>
      <c r="K586" t="str">
        <f t="shared" si="107"/>
        <v>MLBI, Multi Bintang Indonesia, Multi Bintang Indonesia Tbk, MultiBintangIndonesia, PT Multi Bintang Indonesia</v>
      </c>
      <c r="L586" t="str">
        <f t="shared" si="103"/>
        <v>MultiBintangIndonesia</v>
      </c>
      <c r="M586" t="str">
        <f t="shared" si="108"/>
        <v>MLBI, Multi Bintang Indonesia, Multi Bintang Indonesia Tbk, PT Multi Bintang Indonesia</v>
      </c>
      <c r="N586" t="str">
        <f t="shared" si="109"/>
        <v>MLBI, Multi Bintang Indonesia, Multi Bintang Indonesia Tbk, PT Multi Bintang Indonesia</v>
      </c>
    </row>
    <row r="587" spans="1:14" x14ac:dyDescent="0.2">
      <c r="A587" t="s">
        <v>869</v>
      </c>
      <c r="B587" t="s">
        <v>3626</v>
      </c>
      <c r="C587" t="s">
        <v>8386</v>
      </c>
      <c r="D587" t="str">
        <f t="shared" si="99"/>
        <v>MLIA, MULIA INDUSTRINDO, Mulia Industrindo, Mulia Industrindo Tbk, MuliaIndustrindo, PT Mulia Industrindo, mulia industrindo</v>
      </c>
      <c r="E587" t="str">
        <f t="shared" si="100"/>
        <v>MLIA, MULIA INDUSTRINDO, Mulia Industrindo, Mulia Industrindo Tbk, MuliaIndustrindo, PT Mulia Industrindo, mulia industrindo</v>
      </c>
      <c r="F587" t="str">
        <f t="shared" si="101"/>
        <v>mulia industrindo</v>
      </c>
      <c r="G587" t="str">
        <f t="shared" si="104"/>
        <v>MLIA, MULIA INDUSTRINDO, Mulia Industrindo, Mulia Industrindo Tbk, MuliaIndustrindo, PT Mulia Industrindo</v>
      </c>
      <c r="H587" t="str">
        <f t="shared" si="105"/>
        <v>MLIA, MULIA INDUSTRINDO, Mulia Industrindo, Mulia Industrindo Tbk, MuliaIndustrindo, PT Mulia Industrindo</v>
      </c>
      <c r="I587" t="str">
        <f t="shared" si="102"/>
        <v>MULIA INDUSTRINDO</v>
      </c>
      <c r="J587" t="str">
        <f t="shared" si="106"/>
        <v>MLIA, Mulia Industrindo, Mulia Industrindo Tbk, MuliaIndustrindo, PT Mulia Industrindo</v>
      </c>
      <c r="K587" t="str">
        <f t="shared" si="107"/>
        <v>MLIA, Mulia Industrindo, Mulia Industrindo Tbk, MuliaIndustrindo, PT Mulia Industrindo</v>
      </c>
      <c r="L587" t="str">
        <f t="shared" si="103"/>
        <v>MuliaIndustrindo</v>
      </c>
      <c r="M587" t="str">
        <f t="shared" si="108"/>
        <v>MLIA, Mulia Industrindo, Mulia Industrindo Tbk, PT Mulia Industrindo</v>
      </c>
      <c r="N587" t="str">
        <f t="shared" si="109"/>
        <v>MLIA, Mulia Industrindo, Mulia Industrindo Tbk, PT Mulia Industrindo</v>
      </c>
    </row>
    <row r="588" spans="1:14" x14ac:dyDescent="0.2">
      <c r="A588" t="s">
        <v>872</v>
      </c>
      <c r="B588" t="s">
        <v>873</v>
      </c>
      <c r="C588" t="s">
        <v>8387</v>
      </c>
      <c r="D588" t="str">
        <f t="shared" si="99"/>
        <v>MLPL, MULTIPOLAR, Multipolar, Multipolar Tbk, PT Multipolar, multipolar</v>
      </c>
      <c r="E588" t="str">
        <f t="shared" si="100"/>
        <v>MLPL, MULTIPOLAR, Multipolar, Multipolar Tbk, PT Multipolar, multipolar</v>
      </c>
      <c r="F588" t="str">
        <f t="shared" si="101"/>
        <v>multipolar</v>
      </c>
      <c r="G588" t="str">
        <f t="shared" si="104"/>
        <v>MLPL, MULTIPOLAR, Multipolar, Multipolar Tbk, PT Multipolar</v>
      </c>
      <c r="H588" t="str">
        <f t="shared" si="105"/>
        <v>MLPL, MULTIPOLAR, Multipolar, Multipolar Tbk, PT Multipolar</v>
      </c>
      <c r="I588" t="str">
        <f t="shared" si="102"/>
        <v>MULTIPOLAR</v>
      </c>
      <c r="J588" t="str">
        <f t="shared" si="106"/>
        <v>MLPL, Multipolar, Multipolar Tbk, PT Multipolar</v>
      </c>
      <c r="K588" t="str">
        <f t="shared" si="107"/>
        <v>MLPL, Multipolar, Multipolar Tbk, PT Multipolar</v>
      </c>
      <c r="L588" t="str">
        <f t="shared" si="103"/>
        <v>Multipolar</v>
      </c>
      <c r="M588" t="str">
        <f t="shared" si="108"/>
        <v>MLPL Tbk, PT Multipolar</v>
      </c>
      <c r="N588" t="str">
        <f t="shared" si="109"/>
        <v>MLPL Tbk, PT Multipolar</v>
      </c>
    </row>
    <row r="589" spans="1:14" x14ac:dyDescent="0.2">
      <c r="A589" t="s">
        <v>875</v>
      </c>
      <c r="B589" t="s">
        <v>876</v>
      </c>
      <c r="C589" t="s">
        <v>8388</v>
      </c>
      <c r="D589" t="str">
        <f t="shared" si="99"/>
        <v>MLPT, MULTIPOLAR TECHNOLOGY, Multipolar Technology, Multipolar Technology Tbk, MultipolarTechnology, PT Multipolar Technology, multipolar technology</v>
      </c>
      <c r="E589" t="str">
        <f t="shared" si="100"/>
        <v>MLPT, MULTIPOLAR TECHNOLOGY, Multipolar Technology, Multipolar Technology Tbk, MultipolarTechnology, PT Multipolar Technology, multipolar technology</v>
      </c>
      <c r="F589" t="str">
        <f t="shared" si="101"/>
        <v>multipolar technology</v>
      </c>
      <c r="G589" t="str">
        <f t="shared" si="104"/>
        <v>MLPT, MULTIPOLAR TECHNOLOGY, Multipolar Technology, Multipolar Technology Tbk, MultipolarTechnology, PT Multipolar Technology</v>
      </c>
      <c r="H589" t="str">
        <f t="shared" si="105"/>
        <v>MLPT, MULTIPOLAR TECHNOLOGY, Multipolar Technology, Multipolar Technology Tbk, MultipolarTechnology, PT Multipolar Technology</v>
      </c>
      <c r="I589" t="str">
        <f t="shared" si="102"/>
        <v>MULTIPOLAR TECHNOLOGY</v>
      </c>
      <c r="J589" t="str">
        <f t="shared" si="106"/>
        <v>MLPT, Multipolar Technology, Multipolar Technology Tbk, MultipolarTechnology, PT Multipolar Technology</v>
      </c>
      <c r="K589" t="str">
        <f t="shared" si="107"/>
        <v>MLPT, Multipolar Technology, Multipolar Technology Tbk, MultipolarTechnology, PT Multipolar Technology</v>
      </c>
      <c r="L589" t="str">
        <f t="shared" si="103"/>
        <v>MultipolarTechnology</v>
      </c>
      <c r="M589" t="str">
        <f t="shared" si="108"/>
        <v>MLPT, Multipolar Technology, Multipolar Technology Tbk, PT Multipolar Technology</v>
      </c>
      <c r="N589" t="str">
        <f t="shared" si="109"/>
        <v>MLPT, Multipolar Technology, Multipolar Technology Tbk, PT Multipolar Technology</v>
      </c>
    </row>
    <row r="590" spans="1:14" x14ac:dyDescent="0.2">
      <c r="A590" t="s">
        <v>2205</v>
      </c>
      <c r="B590" t="s">
        <v>3627</v>
      </c>
      <c r="C590" t="s">
        <v>8389</v>
      </c>
      <c r="D590" t="str">
        <f t="shared" si="99"/>
        <v>MMIX, MULTI MEDIKA INTERNASIONAL, Multi Medika Internasional, Multi Medika Internasional Tbk, MultiMedikaInternasional, PT Multi Medika Internasional, multi medika internasional</v>
      </c>
      <c r="E590" t="str">
        <f t="shared" si="100"/>
        <v>MMIX, MULTI MEDIKA INTERNASIONAL, Multi Medika Internasional, Multi Medika Internasional Tbk, MultiMedikaInternasional, PT Multi Medika Internasional, multi medika internasional</v>
      </c>
      <c r="F590" t="str">
        <f t="shared" si="101"/>
        <v>multi medika internasional</v>
      </c>
      <c r="G590" t="str">
        <f t="shared" si="104"/>
        <v>MMIX, MULTI MEDIKA INTERNASIONAL, Multi Medika Internasional, Multi Medika Internasional Tbk, MultiMedikaInternasional, PT Multi Medika Internasional</v>
      </c>
      <c r="H590" t="str">
        <f t="shared" si="105"/>
        <v>MMIX, MULTI MEDIKA INTERNASIONAL, Multi Medika Internasional, Multi Medika Internasional Tbk, MultiMedikaInternasional, PT Multi Medika Internasional</v>
      </c>
      <c r="I590" t="str">
        <f t="shared" si="102"/>
        <v>MULTI MEDIKA INTERNASIONAL</v>
      </c>
      <c r="J590" t="str">
        <f t="shared" si="106"/>
        <v>MMIX, Multi Medika Internasional, Multi Medika Internasional Tbk, MultiMedikaInternasional, PT Multi Medika Internasional</v>
      </c>
      <c r="K590" t="str">
        <f t="shared" si="107"/>
        <v>MMIX, Multi Medika Internasional, Multi Medika Internasional Tbk, MultiMedikaInternasional, PT Multi Medika Internasional</v>
      </c>
      <c r="L590" t="str">
        <f t="shared" si="103"/>
        <v>MultiMedikaInternasional</v>
      </c>
      <c r="M590" t="str">
        <f t="shared" si="108"/>
        <v>MMIX, Multi Medika Internasional, Multi Medika Internasional Tbk, PT Multi Medika Internasional</v>
      </c>
      <c r="N590" t="str">
        <f t="shared" si="109"/>
        <v>MMIX, Multi Medika Internasional, Multi Medika Internasional Tbk, PT Multi Medika Internasional</v>
      </c>
    </row>
    <row r="591" spans="1:14" x14ac:dyDescent="0.2">
      <c r="A591" t="s">
        <v>878</v>
      </c>
      <c r="B591" t="s">
        <v>879</v>
      </c>
      <c r="C591" t="s">
        <v>8390</v>
      </c>
      <c r="D591" t="str">
        <f t="shared" si="99"/>
        <v>MMLP, MEGA MANUNGGAL PROPERTY, Mega Manunggal Property, Mega Manunggal Property Tbk, MegaManunggalProperty, PT Mega Manunggal Property, mega manunggal property</v>
      </c>
      <c r="E591" t="str">
        <f t="shared" si="100"/>
        <v>MMLP, MEGA MANUNGGAL PROPERTY, Mega Manunggal Property, Mega Manunggal Property Tbk, MegaManunggalProperty, PT Mega Manunggal Property, mega manunggal property</v>
      </c>
      <c r="F591" t="str">
        <f t="shared" si="101"/>
        <v>mega manunggal property</v>
      </c>
      <c r="G591" t="str">
        <f t="shared" si="104"/>
        <v>MMLP, MEGA MANUNGGAL PROPERTY, Mega Manunggal Property, Mega Manunggal Property Tbk, MegaManunggalProperty, PT Mega Manunggal Property</v>
      </c>
      <c r="H591" t="str">
        <f t="shared" si="105"/>
        <v>MMLP, MEGA MANUNGGAL PROPERTY, Mega Manunggal Property, Mega Manunggal Property Tbk, MegaManunggalProperty, PT Mega Manunggal Property</v>
      </c>
      <c r="I591" t="str">
        <f t="shared" si="102"/>
        <v>MEGA MANUNGGAL PROPERTY</v>
      </c>
      <c r="J591" t="str">
        <f t="shared" si="106"/>
        <v>MMLP, Mega Manunggal Property, Mega Manunggal Property Tbk, MegaManunggalProperty, PT Mega Manunggal Property</v>
      </c>
      <c r="K591" t="str">
        <f t="shared" si="107"/>
        <v>MMLP, Mega Manunggal Property, Mega Manunggal Property Tbk, MegaManunggalProperty, PT Mega Manunggal Property</v>
      </c>
      <c r="L591" t="str">
        <f t="shared" si="103"/>
        <v>MegaManunggalProperty</v>
      </c>
      <c r="M591" t="str">
        <f t="shared" si="108"/>
        <v>MMLP, Mega Manunggal Property, Mega Manunggal Property Tbk, PT Mega Manunggal Property</v>
      </c>
      <c r="N591" t="str">
        <f t="shared" si="109"/>
        <v>MMLP, Mega Manunggal Property, Mega Manunggal Property Tbk, PT Mega Manunggal Property</v>
      </c>
    </row>
    <row r="592" spans="1:14" x14ac:dyDescent="0.2">
      <c r="A592" t="s">
        <v>881</v>
      </c>
      <c r="B592" t="s">
        <v>882</v>
      </c>
      <c r="C592" t="s">
        <v>8391</v>
      </c>
      <c r="D592" t="str">
        <f t="shared" si="99"/>
        <v>MNCN, MEDIA NUSANTARA CITRA, Media Nusantara Citra, Media Nusantara Citra Tbk, MediaNusantaraCitra, PT Media Nusantara Citra, media nusantara citra</v>
      </c>
      <c r="E592" t="str">
        <f t="shared" si="100"/>
        <v>MNCN, MEDIA NUSANTARA CITRA, Media Nusantara Citra, Media Nusantara Citra Tbk, MediaNusantaraCitra, PT Media Nusantara Citra, media nusantara citra</v>
      </c>
      <c r="F592" t="str">
        <f t="shared" si="101"/>
        <v>media nusantara citra</v>
      </c>
      <c r="G592" t="str">
        <f t="shared" si="104"/>
        <v>MNCN, MEDIA NUSANTARA CITRA, Media Nusantara Citra, Media Nusantara Citra Tbk, MediaNusantaraCitra, PT Media Nusantara Citra</v>
      </c>
      <c r="H592" t="str">
        <f t="shared" si="105"/>
        <v>MNCN, MEDIA NUSANTARA CITRA, Media Nusantara Citra, Media Nusantara Citra Tbk, MediaNusantaraCitra, PT Media Nusantara Citra</v>
      </c>
      <c r="I592" t="str">
        <f t="shared" si="102"/>
        <v>MEDIA NUSANTARA CITRA</v>
      </c>
      <c r="J592" t="str">
        <f t="shared" si="106"/>
        <v>MNCN, Media Nusantara Citra, Media Nusantara Citra Tbk, MediaNusantaraCitra, PT Media Nusantara Citra</v>
      </c>
      <c r="K592" t="str">
        <f t="shared" si="107"/>
        <v>MNCN, Media Nusantara Citra, Media Nusantara Citra Tbk, MediaNusantaraCitra, PT Media Nusantara Citra</v>
      </c>
      <c r="L592" t="str">
        <f t="shared" si="103"/>
        <v>MediaNusantaraCitra</v>
      </c>
      <c r="M592" t="str">
        <f t="shared" si="108"/>
        <v>MNCN, Media Nusantara Citra, Media Nusantara Citra Tbk, PT Media Nusantara Citra</v>
      </c>
      <c r="N592" t="str">
        <f t="shared" si="109"/>
        <v>MNCN, Media Nusantara Citra, Media Nusantara Citra Tbk, PT Media Nusantara Citra</v>
      </c>
    </row>
    <row r="593" spans="1:14" x14ac:dyDescent="0.2">
      <c r="A593" t="s">
        <v>1577</v>
      </c>
      <c r="B593" t="s">
        <v>1578</v>
      </c>
      <c r="C593" t="s">
        <v>8392</v>
      </c>
      <c r="D593" t="str">
        <f t="shared" si="99"/>
        <v>MOLI, MADUSARI MURNI INDAH, Madusari Murni Indah, Madusari Murni Indah Tbk, MadusariMurniIndah, PT Madusari Murni Indah, madusari murni indah</v>
      </c>
      <c r="E593" t="str">
        <f t="shared" si="100"/>
        <v>MOLI, MADUSARI MURNI INDAH, Madusari Murni Indah, Madusari Murni Indah Tbk, MadusariMurniIndah, PT Madusari Murni Indah, madusari murni indah</v>
      </c>
      <c r="F593" t="str">
        <f t="shared" si="101"/>
        <v>madusari murni indah</v>
      </c>
      <c r="G593" t="str">
        <f t="shared" si="104"/>
        <v>MOLI, MADUSARI MURNI INDAH, Madusari Murni Indah, Madusari Murni Indah Tbk, MadusariMurniIndah, PT Madusari Murni Indah</v>
      </c>
      <c r="H593" t="str">
        <f t="shared" si="105"/>
        <v>MOLI, MADUSARI MURNI INDAH, Madusari Murni Indah, Madusari Murni Indah Tbk, MadusariMurniIndah, PT Madusari Murni Indah</v>
      </c>
      <c r="I593" t="str">
        <f t="shared" si="102"/>
        <v>MADUSARI MURNI INDAH</v>
      </c>
      <c r="J593" t="str">
        <f t="shared" si="106"/>
        <v>MOLI, Madusari Murni Indah, Madusari Murni Indah Tbk, MadusariMurniIndah, PT Madusari Murni Indah</v>
      </c>
      <c r="K593" t="str">
        <f t="shared" si="107"/>
        <v>MOLI, Madusari Murni Indah, Madusari Murni Indah Tbk, MadusariMurniIndah, PT Madusari Murni Indah</v>
      </c>
      <c r="L593" t="str">
        <f t="shared" si="103"/>
        <v>MadusariMurniIndah</v>
      </c>
      <c r="M593" t="str">
        <f t="shared" si="108"/>
        <v>MOLI, Madusari Murni Indah, Madusari Murni Indah Tbk, PT Madusari Murni Indah</v>
      </c>
      <c r="N593" t="str">
        <f t="shared" si="109"/>
        <v>MOLI, Madusari Murni Indah, Madusari Murni Indah Tbk, PT Madusari Murni Indah</v>
      </c>
    </row>
    <row r="594" spans="1:14" x14ac:dyDescent="0.2">
      <c r="A594" t="s">
        <v>1473</v>
      </c>
      <c r="B594" t="s">
        <v>1474</v>
      </c>
      <c r="C594" t="s">
        <v>8393</v>
      </c>
      <c r="D594" t="str">
        <f t="shared" si="99"/>
        <v>MORA, MORA TELEMATIKA INDONESIA, Mora Telematika Indonesia, Mora Telematika Indonesia Tbk, MoraTelematikaIndonesia, PT Mora Telematika Indonesia, mora telematika indonesia</v>
      </c>
      <c r="E594" t="str">
        <f t="shared" si="100"/>
        <v>MORA, MORA TELEMATIKA INDONESIA, Mora Telematika Indonesia, Mora Telematika Indonesia Tbk, MoraTelematikaIndonesia, PT Mora Telematika Indonesia, mora telematika indonesia</v>
      </c>
      <c r="F594" t="str">
        <f t="shared" si="101"/>
        <v>mora telematika indonesia</v>
      </c>
      <c r="G594" t="str">
        <f t="shared" si="104"/>
        <v>MORA, MORA TELEMATIKA INDONESIA, Mora Telematika Indonesia, Mora Telematika Indonesia Tbk, MoraTelematikaIndonesia, PT Mora Telematika Indonesia</v>
      </c>
      <c r="H594" t="str">
        <f t="shared" si="105"/>
        <v>MORA, MORA TELEMATIKA INDONESIA, Mora Telematika Indonesia, Mora Telematika Indonesia Tbk, MoraTelematikaIndonesia, PT Mora Telematika Indonesia</v>
      </c>
      <c r="I594" t="str">
        <f t="shared" si="102"/>
        <v>MORA TELEMATIKA INDONESIA</v>
      </c>
      <c r="J594" t="str">
        <f t="shared" si="106"/>
        <v>MORA, Mora Telematika Indonesia, Mora Telematika Indonesia Tbk, MoraTelematikaIndonesia, PT Mora Telematika Indonesia</v>
      </c>
      <c r="K594" t="str">
        <f t="shared" si="107"/>
        <v>MORA, Mora Telematika Indonesia, Mora Telematika Indonesia Tbk, MoraTelematikaIndonesia, PT Mora Telematika Indonesia</v>
      </c>
      <c r="L594" t="str">
        <f t="shared" si="103"/>
        <v>MoraTelematikaIndonesia</v>
      </c>
      <c r="M594" t="str">
        <f t="shared" si="108"/>
        <v>MORA, Mora Telematika Indonesia, Mora Telematika Indonesia Tbk, PT Mora Telematika Indonesia</v>
      </c>
      <c r="N594" t="str">
        <f t="shared" si="109"/>
        <v>MORA, Mora Telematika Indonesia, Mora Telematika Indonesia Tbk, PT Mora Telematika Indonesia</v>
      </c>
    </row>
    <row r="595" spans="1:14" x14ac:dyDescent="0.2">
      <c r="A595" t="s">
        <v>2427</v>
      </c>
      <c r="B595" t="s">
        <v>2428</v>
      </c>
      <c r="C595" t="s">
        <v>8394</v>
      </c>
      <c r="D595" t="str">
        <f t="shared" si="99"/>
        <v>MPIX, MITRA PEDAGANG INDONESIA, Mitra Pedagang Indonesia, Mitra Pedagang Indonesia Tbk, MitraPedagangIndonesia, PT Mitra Pedagang Indonesia, mitra pedagang indonesia</v>
      </c>
      <c r="E595" t="str">
        <f t="shared" si="100"/>
        <v>MPIX, MITRA PEDAGANG INDONESIA, Mitra Pedagang Indonesia, Mitra Pedagang Indonesia Tbk, MitraPedagangIndonesia, PT Mitra Pedagang Indonesia, mitra pedagang indonesia</v>
      </c>
      <c r="F595" t="str">
        <f t="shared" si="101"/>
        <v>mitra pedagang indonesia</v>
      </c>
      <c r="G595" t="str">
        <f t="shared" si="104"/>
        <v>MPIX, MITRA PEDAGANG INDONESIA, Mitra Pedagang Indonesia, Mitra Pedagang Indonesia Tbk, MitraPedagangIndonesia, PT Mitra Pedagang Indonesia</v>
      </c>
      <c r="H595" t="str">
        <f t="shared" si="105"/>
        <v>MPIX, MITRA PEDAGANG INDONESIA, Mitra Pedagang Indonesia, Mitra Pedagang Indonesia Tbk, MitraPedagangIndonesia, PT Mitra Pedagang Indonesia</v>
      </c>
      <c r="I595" t="str">
        <f t="shared" si="102"/>
        <v>MITRA PEDAGANG INDONESIA</v>
      </c>
      <c r="J595" t="str">
        <f t="shared" si="106"/>
        <v>MPIX, Mitra Pedagang Indonesia, Mitra Pedagang Indonesia Tbk, MitraPedagangIndonesia, PT Mitra Pedagang Indonesia</v>
      </c>
      <c r="K595" t="str">
        <f t="shared" si="107"/>
        <v>MPIX, Mitra Pedagang Indonesia, Mitra Pedagang Indonesia Tbk, MitraPedagangIndonesia, PT Mitra Pedagang Indonesia</v>
      </c>
      <c r="L595" t="str">
        <f t="shared" si="103"/>
        <v>MitraPedagangIndonesia</v>
      </c>
      <c r="M595" t="str">
        <f t="shared" si="108"/>
        <v>MPIX, Mitra Pedagang Indonesia, Mitra Pedagang Indonesia Tbk, PT Mitra Pedagang Indonesia</v>
      </c>
      <c r="N595" t="str">
        <f t="shared" si="109"/>
        <v>MPIX, Mitra Pedagang Indonesia, Mitra Pedagang Indonesia Tbk, PT Mitra Pedagang Indonesia</v>
      </c>
    </row>
    <row r="596" spans="1:14" x14ac:dyDescent="0.2">
      <c r="A596" t="s">
        <v>884</v>
      </c>
      <c r="B596" t="s">
        <v>885</v>
      </c>
      <c r="C596" t="s">
        <v>8395</v>
      </c>
      <c r="D596" t="str">
        <f t="shared" si="99"/>
        <v>MPMX, MPM, MITRA PINASTHIKA MUSTIKA, Mitra Pinasthika Mustika, Mitra Pinasthika Mustika Tbk, MitraPinasthikaMustika, PT Mitra Pinasthika Mustika, mitra pinasthika mustika</v>
      </c>
      <c r="E596" t="str">
        <f t="shared" si="100"/>
        <v>MPMX, MPM, MITRA PINASTHIKA MUSTIKA, Mitra Pinasthika Mustika, Mitra Pinasthika Mustika Tbk, MitraPinasthikaMustika, PT Mitra Pinasthika Mustika, mitra pinasthika mustika</v>
      </c>
      <c r="F596" t="str">
        <f t="shared" si="101"/>
        <v>mitra pinasthika mustika</v>
      </c>
      <c r="G596" t="str">
        <f t="shared" si="104"/>
        <v>MPMX, MPM, MITRA PINASTHIKA MUSTIKA, Mitra Pinasthika Mustika, Mitra Pinasthika Mustika Tbk, MitraPinasthikaMustika, PT Mitra Pinasthika Mustika</v>
      </c>
      <c r="H596" t="str">
        <f t="shared" si="105"/>
        <v>MPMX, MPM, MITRA PINASTHIKA MUSTIKA, Mitra Pinasthika Mustika, Mitra Pinasthika Mustika Tbk, MitraPinasthikaMustika, PT Mitra Pinasthika Mustika</v>
      </c>
      <c r="I596" t="str">
        <f t="shared" si="102"/>
        <v>MITRA PINASTHIKA MUSTIKA</v>
      </c>
      <c r="J596" t="str">
        <f t="shared" si="106"/>
        <v>MPMX, MPM, Mitra Pinasthika Mustika, Mitra Pinasthika Mustika Tbk, MitraPinasthikaMustika, PT Mitra Pinasthika Mustika</v>
      </c>
      <c r="K596" t="str">
        <f t="shared" si="107"/>
        <v>MPMX, MPM, Mitra Pinasthika Mustika, Mitra Pinasthika Mustika Tbk, MitraPinasthikaMustika, PT Mitra Pinasthika Mustika</v>
      </c>
      <c r="L596" t="str">
        <f t="shared" si="103"/>
        <v>MitraPinasthikaMustika</v>
      </c>
      <c r="M596" t="str">
        <f t="shared" si="108"/>
        <v>MPMX, MPM, Mitra Pinasthika Mustika, Mitra Pinasthika Mustika Tbk, PT Mitra Pinasthika Mustika</v>
      </c>
      <c r="N596" t="str">
        <f t="shared" si="109"/>
        <v>MPMX, MPM, Mitra Pinasthika Mustika, Mitra Pinasthika Mustika Tbk, PT Mitra Pinasthika Mustika</v>
      </c>
    </row>
    <row r="597" spans="1:14" x14ac:dyDescent="0.2">
      <c r="A597" t="s">
        <v>1437</v>
      </c>
      <c r="B597" t="s">
        <v>1438</v>
      </c>
      <c r="C597" t="s">
        <v>8396</v>
      </c>
      <c r="D597" t="str">
        <f t="shared" si="99"/>
        <v>MPOW, MEGAPOWER MAKMUR, Megapower Makmur, Megapower Makmur Tbk, MegapowerMakmur, PT Megapower Makmur, megapower makmur</v>
      </c>
      <c r="E597" t="str">
        <f t="shared" si="100"/>
        <v>MPOW, MEGAPOWER MAKMUR, Megapower Makmur, Megapower Makmur Tbk, MegapowerMakmur, PT Megapower Makmur, megapower makmur</v>
      </c>
      <c r="F597" t="str">
        <f t="shared" si="101"/>
        <v>megapower makmur</v>
      </c>
      <c r="G597" t="str">
        <f t="shared" si="104"/>
        <v>MPOW, MEGAPOWER MAKMUR, Megapower Makmur, Megapower Makmur Tbk, MegapowerMakmur, PT Megapower Makmur</v>
      </c>
      <c r="H597" t="str">
        <f t="shared" si="105"/>
        <v>MPOW, MEGAPOWER MAKMUR, Megapower Makmur, Megapower Makmur Tbk, MegapowerMakmur, PT Megapower Makmur</v>
      </c>
      <c r="I597" t="str">
        <f t="shared" si="102"/>
        <v>MEGAPOWER MAKMUR</v>
      </c>
      <c r="J597" t="str">
        <f t="shared" si="106"/>
        <v>MPOW, Megapower Makmur, Megapower Makmur Tbk, MegapowerMakmur, PT Megapower Makmur</v>
      </c>
      <c r="K597" t="str">
        <f t="shared" si="107"/>
        <v>MPOW, Megapower Makmur, Megapower Makmur Tbk, MegapowerMakmur, PT Megapower Makmur</v>
      </c>
      <c r="L597" t="str">
        <f t="shared" si="103"/>
        <v>MegapowerMakmur</v>
      </c>
      <c r="M597" t="str">
        <f t="shared" si="108"/>
        <v>MPOW, Megapower Makmur, Megapower Makmur Tbk, PT Megapower Makmur</v>
      </c>
      <c r="N597" t="str">
        <f t="shared" si="109"/>
        <v>MPOW, Megapower Makmur, Megapower Makmur Tbk, PT Megapower Makmur</v>
      </c>
    </row>
    <row r="598" spans="1:14" x14ac:dyDescent="0.2">
      <c r="A598" t="s">
        <v>887</v>
      </c>
      <c r="B598" t="s">
        <v>888</v>
      </c>
      <c r="C598" t="s">
        <v>8397</v>
      </c>
      <c r="D598" t="str">
        <f t="shared" si="99"/>
        <v>MPPA, MATAHARI PUTRA PRIMA, Matahari Putra Prima, Matahari Putra Prima Tbk, MatahariPutraPrima, PT Matahari Putra Prima, matahari putra prima</v>
      </c>
      <c r="E598" t="str">
        <f t="shared" si="100"/>
        <v>MPPA, MATAHARI PUTRA PRIMA, Matahari Putra Prima, Matahari Putra Prima Tbk, MatahariPutraPrima, PT Matahari Putra Prima, matahari putra prima</v>
      </c>
      <c r="F598" t="str">
        <f t="shared" si="101"/>
        <v>matahari putra prima</v>
      </c>
      <c r="G598" t="str">
        <f t="shared" si="104"/>
        <v>MPPA, MATAHARI PUTRA PRIMA, Matahari Putra Prima, Matahari Putra Prima Tbk, MatahariPutraPrima, PT Matahari Putra Prima</v>
      </c>
      <c r="H598" t="str">
        <f t="shared" si="105"/>
        <v>MPPA, MATAHARI PUTRA PRIMA, Matahari Putra Prima, Matahari Putra Prima Tbk, MatahariPutraPrima, PT Matahari Putra Prima</v>
      </c>
      <c r="I598" t="str">
        <f t="shared" si="102"/>
        <v>MATAHARI PUTRA PRIMA</v>
      </c>
      <c r="J598" t="str">
        <f t="shared" si="106"/>
        <v>MPPA, Matahari Putra Prima, Matahari Putra Prima Tbk, MatahariPutraPrima, PT Matahari Putra Prima</v>
      </c>
      <c r="K598" t="str">
        <f t="shared" si="107"/>
        <v>MPPA, Matahari Putra Prima, Matahari Putra Prima Tbk, MatahariPutraPrima, PT Matahari Putra Prima</v>
      </c>
      <c r="L598" t="str">
        <f t="shared" si="103"/>
        <v>MatahariPutraPrima</v>
      </c>
      <c r="M598" t="str">
        <f t="shared" si="108"/>
        <v>MPPA, Matahari Putra Prima, Matahari Putra Prima Tbk, PT Matahari Putra Prima</v>
      </c>
      <c r="N598" t="str">
        <f t="shared" si="109"/>
        <v>MPPA, Matahari Putra Prima, Matahari Putra Prima Tbk, PT Matahari Putra Prima</v>
      </c>
    </row>
    <row r="599" spans="1:14" x14ac:dyDescent="0.2">
      <c r="A599" t="s">
        <v>1598</v>
      </c>
      <c r="B599" t="s">
        <v>1599</v>
      </c>
      <c r="C599" t="s">
        <v>8398</v>
      </c>
      <c r="D599" t="str">
        <f t="shared" si="99"/>
        <v>MPRO, MAHA PROPERTI INDONESIA, Maha Properti Indonesia, Maha Properti Indonesia Tbk, MahaPropertiIndonesia, PT Maha Properti Indonesia, maha properti indonesia</v>
      </c>
      <c r="E599" t="str">
        <f t="shared" si="100"/>
        <v>MPRO, MAHA PROPERTI INDONESIA, Maha Properti Indonesia, Maha Properti Indonesia Tbk, MahaPropertiIndonesia, PT Maha Properti Indonesia, maha properti indonesia</v>
      </c>
      <c r="F599" t="str">
        <f t="shared" si="101"/>
        <v>maha properti indonesia</v>
      </c>
      <c r="G599" t="str">
        <f t="shared" si="104"/>
        <v>MPRO, MAHA PROPERTI INDONESIA, Maha Properti Indonesia, Maha Properti Indonesia Tbk, MahaPropertiIndonesia, PT Maha Properti Indonesia</v>
      </c>
      <c r="H599" t="str">
        <f t="shared" si="105"/>
        <v>MPRO, MAHA PROPERTI INDONESIA, Maha Properti Indonesia, Maha Properti Indonesia Tbk, MahaPropertiIndonesia, PT Maha Properti Indonesia</v>
      </c>
      <c r="I599" t="str">
        <f t="shared" si="102"/>
        <v>MAHA PROPERTI INDONESIA</v>
      </c>
      <c r="J599" t="str">
        <f t="shared" si="106"/>
        <v>MPRO, Maha Properti Indonesia, Maha Properti Indonesia Tbk, MahaPropertiIndonesia, PT Maha Properti Indonesia</v>
      </c>
      <c r="K599" t="str">
        <f t="shared" si="107"/>
        <v>MPRO, Maha Properti Indonesia, Maha Properti Indonesia Tbk, MahaPropertiIndonesia, PT Maha Properti Indonesia</v>
      </c>
      <c r="L599" t="str">
        <f t="shared" si="103"/>
        <v>MahaPropertiIndonesia</v>
      </c>
      <c r="M599" t="str">
        <f t="shared" si="108"/>
        <v>MPRO, Maha Properti Indonesia, Maha Properti Indonesia Tbk, PT Maha Properti Indonesia</v>
      </c>
      <c r="N599" t="str">
        <f t="shared" si="109"/>
        <v>MPRO, Maha Properti Indonesia, Maha Properti Indonesia Tbk, PT Maha Properti Indonesia</v>
      </c>
    </row>
    <row r="600" spans="1:14" x14ac:dyDescent="0.2">
      <c r="A600" t="s">
        <v>2303</v>
      </c>
      <c r="B600" t="s">
        <v>3628</v>
      </c>
      <c r="C600" t="s">
        <v>8399</v>
      </c>
      <c r="D600" t="str">
        <f t="shared" si="99"/>
        <v>MPXL, MPX LOGISTICS INTERNATIONAL, MPX Logistics International, MPX Logistics International Tbk, MPXLogisticsInternational, PT MPX Logistics International, mpx logistics international</v>
      </c>
      <c r="E600" t="str">
        <f t="shared" si="100"/>
        <v>MPXL, MPX LOGISTICS INTERNATIONAL, MPX Logistics International, MPX Logistics International Tbk, MPXLogisticsInternational, PT MPX Logistics International, mpx logistics international</v>
      </c>
      <c r="F600" t="str">
        <f t="shared" si="101"/>
        <v>mpx logistics international</v>
      </c>
      <c r="G600" t="str">
        <f t="shared" si="104"/>
        <v>MPXL, MPX LOGISTICS INTERNATIONAL, MPX Logistics International, MPX Logistics International Tbk, MPXLogisticsInternational, PT MPX Logistics International</v>
      </c>
      <c r="H600" t="str">
        <f t="shared" si="105"/>
        <v>MPXL, MPX LOGISTICS INTERNATIONAL, MPX Logistics International, MPX Logistics International Tbk, MPXLogisticsInternational, PT MPX Logistics International</v>
      </c>
      <c r="I600" t="str">
        <f t="shared" si="102"/>
        <v>MPX LOGISTICS INTERNATIONAL</v>
      </c>
      <c r="J600" t="str">
        <f t="shared" si="106"/>
        <v>MPXL, MPX Logistics International, MPX Logistics International Tbk, MPXLogisticsInternational, PT MPX Logistics International</v>
      </c>
      <c r="K600" t="str">
        <f t="shared" si="107"/>
        <v>MPXL, MPX Logistics International, MPX Logistics International Tbk, MPXLogisticsInternational, PT MPX Logistics International</v>
      </c>
      <c r="L600" t="str">
        <f t="shared" si="103"/>
        <v>MPXLogisticsInternational</v>
      </c>
      <c r="M600" t="str">
        <f t="shared" si="108"/>
        <v>MPXL, MPX Logistics International, MPX Logistics International Tbk, PT MPX Logistics International</v>
      </c>
      <c r="N600" t="str">
        <f t="shared" si="109"/>
        <v>MPXL, MPX Logistics International, MPX Logistics International Tbk, PT MPX Logistics International</v>
      </c>
    </row>
    <row r="601" spans="1:14" x14ac:dyDescent="0.2">
      <c r="A601" t="s">
        <v>890</v>
      </c>
      <c r="B601" t="s">
        <v>891</v>
      </c>
      <c r="C601" t="s">
        <v>8400</v>
      </c>
      <c r="D601" t="str">
        <f t="shared" si="99"/>
        <v>MRAT, MUSTIKA RATU, Mustika Ratu, Mustika Ratu Tbk, MustikaRatu, PT Mustika Ratu, mustika ratu</v>
      </c>
      <c r="E601" t="str">
        <f t="shared" si="100"/>
        <v>MRAT, MUSTIKA RATU, Mustika Ratu, Mustika Ratu Tbk, MustikaRatu, PT Mustika Ratu, mustika ratu</v>
      </c>
      <c r="F601" t="str">
        <f t="shared" si="101"/>
        <v>mustika ratu</v>
      </c>
      <c r="G601" t="str">
        <f t="shared" si="104"/>
        <v>MRAT, MUSTIKA RATU, Mustika Ratu, Mustika Ratu Tbk, MustikaRatu, PT Mustika Ratu</v>
      </c>
      <c r="H601" t="str">
        <f t="shared" si="105"/>
        <v>MRAT, MUSTIKA RATU, Mustika Ratu, Mustika Ratu Tbk, MustikaRatu, PT Mustika Ratu</v>
      </c>
      <c r="I601" t="str">
        <f t="shared" si="102"/>
        <v>MUSTIKA RATU</v>
      </c>
      <c r="J601" t="str">
        <f t="shared" si="106"/>
        <v>MRAT, Mustika Ratu, Mustika Ratu Tbk, MustikaRatu, PT Mustika Ratu</v>
      </c>
      <c r="K601" t="str">
        <f t="shared" si="107"/>
        <v>MRAT, Mustika Ratu, Mustika Ratu Tbk, MustikaRatu, PT Mustika Ratu</v>
      </c>
      <c r="L601" t="str">
        <f t="shared" si="103"/>
        <v>MustikaRatu</v>
      </c>
      <c r="M601" t="str">
        <f t="shared" si="108"/>
        <v>MRAT, Mustika Ratu, Mustika Ratu Tbk, PT Mustika Ratu</v>
      </c>
      <c r="N601" t="str">
        <f t="shared" si="109"/>
        <v>MRAT, Mustika Ratu, Mustika Ratu Tbk, PT Mustika Ratu</v>
      </c>
    </row>
    <row r="602" spans="1:14" x14ac:dyDescent="0.2">
      <c r="A602" t="s">
        <v>893</v>
      </c>
      <c r="B602" t="s">
        <v>3629</v>
      </c>
      <c r="C602" t="s">
        <v>8401</v>
      </c>
      <c r="D602" t="str">
        <f t="shared" si="99"/>
        <v>MREI, MASKAPAI REASURANSI INDONESIA, Maskapai Reasuransi Indonesia, Maskapai Reasuransi Indonesia Tbk, MaskapaiReasuransiIndonesia, PT Maskapai Reasuransi Indonesia, maskapai reasuransi indonesia</v>
      </c>
      <c r="E602" t="str">
        <f t="shared" si="100"/>
        <v>MREI, MASKAPAI REASURANSI INDONESIA, Maskapai Reasuransi Indonesia, Maskapai Reasuransi Indonesia Tbk, MaskapaiReasuransiIndonesia, PT Maskapai Reasuransi Indonesia, maskapai reasuransi indonesia</v>
      </c>
      <c r="F602" t="str">
        <f t="shared" si="101"/>
        <v>maskapai reasuransi indonesia</v>
      </c>
      <c r="G602" t="str">
        <f t="shared" si="104"/>
        <v>MREI, MASKAPAI REASURANSI INDONESIA, Maskapai Reasuransi Indonesia, Maskapai Reasuransi Indonesia Tbk, MaskapaiReasuransiIndonesia, PT Maskapai Reasuransi Indonesia</v>
      </c>
      <c r="H602" t="str">
        <f t="shared" si="105"/>
        <v>MREI, MASKAPAI REASURANSI INDONESIA, Maskapai Reasuransi Indonesia, Maskapai Reasuransi Indonesia Tbk, MaskapaiReasuransiIndonesia, PT Maskapai Reasuransi Indonesia</v>
      </c>
      <c r="I602" t="str">
        <f t="shared" si="102"/>
        <v>MASKAPAI REASURANSI INDONESIA</v>
      </c>
      <c r="J602" t="str">
        <f t="shared" si="106"/>
        <v>MREI, Maskapai Reasuransi Indonesia, Maskapai Reasuransi Indonesia Tbk, MaskapaiReasuransiIndonesia, PT Maskapai Reasuransi Indonesia</v>
      </c>
      <c r="K602" t="str">
        <f t="shared" si="107"/>
        <v>MREI, Maskapai Reasuransi Indonesia, Maskapai Reasuransi Indonesia Tbk, MaskapaiReasuransiIndonesia, PT Maskapai Reasuransi Indonesia</v>
      </c>
      <c r="L602" t="str">
        <f t="shared" si="103"/>
        <v>MaskapaiReasuransiIndonesia</v>
      </c>
      <c r="M602" t="str">
        <f t="shared" si="108"/>
        <v>MREI, Maskapai Reasuransi Indonesia, Maskapai Reasuransi Indonesia Tbk, PT Maskapai Reasuransi Indonesia</v>
      </c>
      <c r="N602" t="str">
        <f t="shared" si="109"/>
        <v>MREI, Maskapai Reasuransi Indonesia, Maskapai Reasuransi Indonesia Tbk, PT Maskapai Reasuransi Indonesia</v>
      </c>
    </row>
    <row r="603" spans="1:14" x14ac:dyDescent="0.2">
      <c r="A603" t="s">
        <v>2367</v>
      </c>
      <c r="B603" t="s">
        <v>2368</v>
      </c>
      <c r="C603" t="s">
        <v>8402</v>
      </c>
      <c r="D603" t="str">
        <f t="shared" si="99"/>
        <v>MSIE, MULTISARANA INTAN EDUKA, Multisarana Intan Eduka, Multisarana Intan Eduka Tbk, MultisaranaIntanEduka, PT Multisarana Intan Eduka, multisarana intan eduka</v>
      </c>
      <c r="E603" t="str">
        <f t="shared" si="100"/>
        <v>MSIE, MULTISARANA INTAN EDUKA, Multisarana Intan Eduka, Multisarana Intan Eduka Tbk, MultisaranaIntanEduka, PT Multisarana Intan Eduka, multisarana intan eduka</v>
      </c>
      <c r="F603" t="str">
        <f t="shared" si="101"/>
        <v>multisarana intan eduka</v>
      </c>
      <c r="G603" t="str">
        <f t="shared" si="104"/>
        <v>MSIE, MULTISARANA INTAN EDUKA, Multisarana Intan Eduka, Multisarana Intan Eduka Tbk, MultisaranaIntanEduka, PT Multisarana Intan Eduka</v>
      </c>
      <c r="H603" t="str">
        <f t="shared" si="105"/>
        <v>MSIE, MULTISARANA INTAN EDUKA, Multisarana Intan Eduka, Multisarana Intan Eduka Tbk, MultisaranaIntanEduka, PT Multisarana Intan Eduka</v>
      </c>
      <c r="I603" t="str">
        <f t="shared" si="102"/>
        <v>MULTISARANA INTAN EDUKA</v>
      </c>
      <c r="J603" t="str">
        <f t="shared" si="106"/>
        <v>MSIE, Multisarana Intan Eduka, Multisarana Intan Eduka Tbk, MultisaranaIntanEduka, PT Multisarana Intan Eduka</v>
      </c>
      <c r="K603" t="str">
        <f t="shared" si="107"/>
        <v>MSIE, Multisarana Intan Eduka, Multisarana Intan Eduka Tbk, MultisaranaIntanEduka, PT Multisarana Intan Eduka</v>
      </c>
      <c r="L603" t="str">
        <f t="shared" si="103"/>
        <v>MultisaranaIntanEduka</v>
      </c>
      <c r="M603" t="str">
        <f t="shared" si="108"/>
        <v>MSIE, Multisarana Intan Eduka, Multisarana Intan Eduka Tbk, PT Multisarana Intan Eduka</v>
      </c>
      <c r="N603" t="str">
        <f t="shared" si="109"/>
        <v>MSIE, Multisarana Intan Eduka, Multisarana Intan Eduka Tbk, PT Multisarana Intan Eduka</v>
      </c>
    </row>
    <row r="604" spans="1:14" x14ac:dyDescent="0.2">
      <c r="A604" t="s">
        <v>1535</v>
      </c>
      <c r="B604" t="s">
        <v>1536</v>
      </c>
      <c r="C604" t="s">
        <v>8403</v>
      </c>
      <c r="D604" t="str">
        <f t="shared" si="99"/>
        <v>MSIN, MNC DIGITAL ENTERTAINMENT, MNC Digital Entertainment, MNC Digital Entertainment Tbk, MNCDigitalEntertainment, PT MNC Digital Entertainment, mnc digital entertainment</v>
      </c>
      <c r="E604" t="str">
        <f t="shared" si="100"/>
        <v>MSIN, MNC DIGITAL ENTERTAINMENT, MNC Digital Entertainment, MNC Digital Entertainment Tbk, MNCDigitalEntertainment, PT MNC Digital Entertainment, mnc digital entertainment</v>
      </c>
      <c r="F604" t="str">
        <f t="shared" si="101"/>
        <v>mnc digital entertainment</v>
      </c>
      <c r="G604" t="str">
        <f t="shared" si="104"/>
        <v>MSIN, MNC DIGITAL ENTERTAINMENT, MNC Digital Entertainment, MNC Digital Entertainment Tbk, MNCDigitalEntertainment, PT MNC Digital Entertainment</v>
      </c>
      <c r="H604" t="str">
        <f t="shared" si="105"/>
        <v>MSIN, MNC DIGITAL ENTERTAINMENT, MNC Digital Entertainment, MNC Digital Entertainment Tbk, MNCDigitalEntertainment, PT MNC Digital Entertainment</v>
      </c>
      <c r="I604" t="str">
        <f t="shared" si="102"/>
        <v>MNC DIGITAL ENTERTAINMENT</v>
      </c>
      <c r="J604" t="str">
        <f t="shared" si="106"/>
        <v>MSIN, MNC Digital Entertainment, MNC Digital Entertainment Tbk, MNCDigitalEntertainment, PT MNC Digital Entertainment</v>
      </c>
      <c r="K604" t="str">
        <f t="shared" si="107"/>
        <v>MSIN, MNC Digital Entertainment, MNC Digital Entertainment Tbk, MNCDigitalEntertainment, PT MNC Digital Entertainment</v>
      </c>
      <c r="L604" t="str">
        <f t="shared" si="103"/>
        <v>MNCDigitalEntertainment</v>
      </c>
      <c r="M604" t="str">
        <f t="shared" si="108"/>
        <v>MSIN, MNC Digital Entertainment, MNC Digital Entertainment Tbk, PT MNC Digital Entertainment</v>
      </c>
      <c r="N604" t="str">
        <f t="shared" si="109"/>
        <v>MSIN, MNC Digital Entertainment, MNC Digital Entertainment Tbk, PT MNC Digital Entertainment</v>
      </c>
    </row>
    <row r="605" spans="1:14" x14ac:dyDescent="0.2">
      <c r="A605" t="s">
        <v>2631</v>
      </c>
      <c r="B605" t="s">
        <v>2632</v>
      </c>
      <c r="C605" t="s">
        <v>8404</v>
      </c>
      <c r="D605" t="str">
        <f t="shared" si="99"/>
        <v>MSJA, MULTI SPUNINDO JAYA, Multi Spunindo Jaya, Multi Spunindo Jaya Tbk, MultiSpunindoJaya, PT Multi Spunindo Jaya, multi spunindo jaya</v>
      </c>
      <c r="E605" t="str">
        <f t="shared" si="100"/>
        <v>MSJA, MULTI SPUNINDO JAYA, Multi Spunindo Jaya, Multi Spunindo Jaya Tbk, MultiSpunindoJaya, PT Multi Spunindo Jaya, multi spunindo jaya</v>
      </c>
      <c r="F605" t="str">
        <f t="shared" si="101"/>
        <v>multi spunindo jaya</v>
      </c>
      <c r="G605" t="str">
        <f t="shared" si="104"/>
        <v>MSJA, MULTI SPUNINDO JAYA, Multi Spunindo Jaya, Multi Spunindo Jaya Tbk, MultiSpunindoJaya, PT Multi Spunindo Jaya</v>
      </c>
      <c r="H605" t="str">
        <f t="shared" si="105"/>
        <v>MSJA, MULTI SPUNINDO JAYA, Multi Spunindo Jaya, Multi Spunindo Jaya Tbk, MultiSpunindoJaya, PT Multi Spunindo Jaya</v>
      </c>
      <c r="I605" t="str">
        <f t="shared" si="102"/>
        <v>MULTI SPUNINDO JAYA</v>
      </c>
      <c r="J605" t="str">
        <f t="shared" si="106"/>
        <v>MSJA, Multi Spunindo Jaya, Multi Spunindo Jaya Tbk, MultiSpunindoJaya, PT Multi Spunindo Jaya</v>
      </c>
      <c r="K605" t="str">
        <f t="shared" si="107"/>
        <v>MSJA, Multi Spunindo Jaya, Multi Spunindo Jaya Tbk, MultiSpunindoJaya, PT Multi Spunindo Jaya</v>
      </c>
      <c r="L605" t="str">
        <f t="shared" si="103"/>
        <v>MultiSpunindoJaya</v>
      </c>
      <c r="M605" t="str">
        <f t="shared" si="108"/>
        <v>MSJA, Multi Spunindo Jaya, Multi Spunindo Jaya Tbk, PT Multi Spunindo Jaya</v>
      </c>
      <c r="N605" t="str">
        <f t="shared" si="109"/>
        <v>MSJA, Multi Spunindo Jaya, Multi Spunindo Jaya Tbk, PT Multi Spunindo Jaya</v>
      </c>
    </row>
    <row r="606" spans="1:14" x14ac:dyDescent="0.2">
      <c r="A606" t="s">
        <v>895</v>
      </c>
      <c r="B606" t="s">
        <v>896</v>
      </c>
      <c r="C606" t="s">
        <v>8405</v>
      </c>
      <c r="D606" t="str">
        <f t="shared" si="99"/>
        <v>MSKY, MNC SKY VISION, MNC Sky Vision, MNC Sky Vision Tbk, MNCSkyVision, PT MNC Sky Vision, mnc sky vision</v>
      </c>
      <c r="E606" t="str">
        <f t="shared" si="100"/>
        <v>MSKY, MNC SKY VISION, MNC Sky Vision, MNC Sky Vision Tbk, MNCSkyVision, PT MNC Sky Vision, mnc sky vision</v>
      </c>
      <c r="F606" t="str">
        <f t="shared" si="101"/>
        <v>mnc sky vision</v>
      </c>
      <c r="G606" t="str">
        <f t="shared" si="104"/>
        <v>MSKY, MNC SKY VISION, MNC Sky Vision, MNC Sky Vision Tbk, MNCSkyVision, PT MNC Sky Vision</v>
      </c>
      <c r="H606" t="str">
        <f t="shared" si="105"/>
        <v>MSKY, MNC SKY VISION, MNC Sky Vision, MNC Sky Vision Tbk, MNCSkyVision, PT MNC Sky Vision</v>
      </c>
      <c r="I606" t="str">
        <f t="shared" si="102"/>
        <v>MNC SKY VISION</v>
      </c>
      <c r="J606" t="str">
        <f t="shared" si="106"/>
        <v>MSKY, MNC Sky Vision, MNC Sky Vision Tbk, MNCSkyVision, PT MNC Sky Vision</v>
      </c>
      <c r="K606" t="str">
        <f t="shared" si="107"/>
        <v>MSKY, MNC Sky Vision, MNC Sky Vision Tbk, MNCSkyVision, PT MNC Sky Vision</v>
      </c>
      <c r="L606" t="str">
        <f t="shared" si="103"/>
        <v>MNCSkyVision</v>
      </c>
      <c r="M606" t="str">
        <f t="shared" si="108"/>
        <v>MSKY, MNC Sky Vision, MNC Sky Vision Tbk, PT MNC Sky Vision</v>
      </c>
      <c r="N606" t="str">
        <f t="shared" si="109"/>
        <v>MSKY, MNC Sky Vision, MNC Sky Vision Tbk, PT MNC Sky Vision</v>
      </c>
    </row>
    <row r="607" spans="1:14" x14ac:dyDescent="0.2">
      <c r="A607" t="s">
        <v>2404</v>
      </c>
      <c r="B607" t="s">
        <v>2405</v>
      </c>
      <c r="C607" t="s">
        <v>8406</v>
      </c>
      <c r="D607" t="str">
        <f t="shared" si="99"/>
        <v>MSTI, MASTERSYSTEM INFOTAMA, Mastersystem Infotama, Mastersystem Infotama Tbk, MastersystemInfotama, PT Mastersystem Infotama, mastersystem infotama</v>
      </c>
      <c r="E607" t="str">
        <f t="shared" si="100"/>
        <v>MSTI, MASTERSYSTEM INFOTAMA, Mastersystem Infotama, Mastersystem Infotama Tbk, MastersystemInfotama, PT Mastersystem Infotama, mastersystem infotama</v>
      </c>
      <c r="F607" t="str">
        <f t="shared" si="101"/>
        <v>mastersystem infotama</v>
      </c>
      <c r="G607" t="str">
        <f t="shared" si="104"/>
        <v>MSTI, MASTERSYSTEM INFOTAMA, Mastersystem Infotama, Mastersystem Infotama Tbk, MastersystemInfotama, PT Mastersystem Infotama</v>
      </c>
      <c r="H607" t="str">
        <f t="shared" si="105"/>
        <v>MSTI, MASTERSYSTEM INFOTAMA, Mastersystem Infotama, Mastersystem Infotama Tbk, MastersystemInfotama, PT Mastersystem Infotama</v>
      </c>
      <c r="I607" t="str">
        <f t="shared" si="102"/>
        <v>MASTERSYSTEM INFOTAMA</v>
      </c>
      <c r="J607" t="str">
        <f t="shared" si="106"/>
        <v>MSTI, Mastersystem Infotama, Mastersystem Infotama Tbk, MastersystemInfotama, PT Mastersystem Infotama</v>
      </c>
      <c r="K607" t="str">
        <f t="shared" si="107"/>
        <v>MSTI, Mastersystem Infotama, Mastersystem Infotama Tbk, MastersystemInfotama, PT Mastersystem Infotama</v>
      </c>
      <c r="L607" t="str">
        <f t="shared" si="103"/>
        <v>MastersystemInfotama</v>
      </c>
      <c r="M607" t="str">
        <f t="shared" si="108"/>
        <v>MSTI, Mastersystem Infotama, Mastersystem Infotama Tbk, PT Mastersystem Infotama</v>
      </c>
      <c r="N607" t="str">
        <f t="shared" si="109"/>
        <v>MSTI, Mastersystem Infotama, Mastersystem Infotama Tbk, PT Mastersystem Infotama</v>
      </c>
    </row>
    <row r="608" spans="1:14" x14ac:dyDescent="0.2">
      <c r="A608" t="s">
        <v>898</v>
      </c>
      <c r="B608" t="s">
        <v>899</v>
      </c>
      <c r="C608" t="s">
        <v>8407</v>
      </c>
      <c r="D608" t="str">
        <f t="shared" si="99"/>
        <v>MTDL, METRODATA ELECTRONICS, Metrodata Electronics, Metrodata Electronics Tbk, MetrodataElectronics, PT Metrodata Electronics, metrodata electronics</v>
      </c>
      <c r="E608" t="str">
        <f t="shared" si="100"/>
        <v>MTDL, METRODATA ELECTRONICS, Metrodata Electronics, Metrodata Electronics Tbk, MetrodataElectronics, PT Metrodata Electronics, metrodata electronics</v>
      </c>
      <c r="F608" t="str">
        <f t="shared" si="101"/>
        <v>metrodata electronics</v>
      </c>
      <c r="G608" t="str">
        <f t="shared" si="104"/>
        <v>MTDL, METRODATA ELECTRONICS, Metrodata Electronics, Metrodata Electronics Tbk, MetrodataElectronics, PT Metrodata Electronics</v>
      </c>
      <c r="H608" t="str">
        <f t="shared" si="105"/>
        <v>MTDL, METRODATA ELECTRONICS, Metrodata Electronics, Metrodata Electronics Tbk, MetrodataElectronics, PT Metrodata Electronics</v>
      </c>
      <c r="I608" t="str">
        <f t="shared" si="102"/>
        <v>METRODATA ELECTRONICS</v>
      </c>
      <c r="J608" t="str">
        <f t="shared" si="106"/>
        <v>MTDL, Metrodata Electronics, Metrodata Electronics Tbk, MetrodataElectronics, PT Metrodata Electronics</v>
      </c>
      <c r="K608" t="str">
        <f t="shared" si="107"/>
        <v>MTDL, Metrodata Electronics, Metrodata Electronics Tbk, MetrodataElectronics, PT Metrodata Electronics</v>
      </c>
      <c r="L608" t="str">
        <f t="shared" si="103"/>
        <v>MetrodataElectronics</v>
      </c>
      <c r="M608" t="str">
        <f t="shared" si="108"/>
        <v>MTDL, Metrodata Electronics, Metrodata Electronics Tbk, PT Metrodata Electronics</v>
      </c>
      <c r="N608" t="str">
        <f t="shared" si="109"/>
        <v>MTDL, Metrodata Electronics, Metrodata Electronics Tbk, PT Metrodata Electronics</v>
      </c>
    </row>
    <row r="609" spans="1:14" x14ac:dyDescent="0.2">
      <c r="A609" t="s">
        <v>2019</v>
      </c>
      <c r="B609" t="s">
        <v>2020</v>
      </c>
      <c r="C609" t="s">
        <v>8408</v>
      </c>
      <c r="D609" t="str">
        <f t="shared" si="99"/>
        <v>MTEL, DAYAMITRA TELEKOMUNIKASI, Dayamitra Telekomunikasi, Dayamitra Telekomunikasi Tbk, DayamitraTelekomunikasi, PT Dayamitra Telekomunikasi, dayamitra telekomunikasi</v>
      </c>
      <c r="E609" t="str">
        <f t="shared" si="100"/>
        <v>MTEL, DAYAMITRA TELEKOMUNIKASI, Dayamitra Telekomunikasi, Dayamitra Telekomunikasi Tbk, DayamitraTelekomunikasi, PT Dayamitra Telekomunikasi, dayamitra telekomunikasi</v>
      </c>
      <c r="F609" t="str">
        <f t="shared" si="101"/>
        <v>dayamitra telekomunikasi</v>
      </c>
      <c r="G609" t="str">
        <f t="shared" si="104"/>
        <v>MTEL, DAYAMITRA TELEKOMUNIKASI, Dayamitra Telekomunikasi, Dayamitra Telekomunikasi Tbk, DayamitraTelekomunikasi, PT Dayamitra Telekomunikasi</v>
      </c>
      <c r="H609" t="str">
        <f t="shared" si="105"/>
        <v>MTEL, DAYAMITRA TELEKOMUNIKASI, Dayamitra Telekomunikasi, Dayamitra Telekomunikasi Tbk, DayamitraTelekomunikasi, PT Dayamitra Telekomunikasi</v>
      </c>
      <c r="I609" t="str">
        <f t="shared" si="102"/>
        <v>DAYAMITRA TELEKOMUNIKASI</v>
      </c>
      <c r="J609" t="str">
        <f t="shared" si="106"/>
        <v>MTEL, Dayamitra Telekomunikasi, Dayamitra Telekomunikasi Tbk, DayamitraTelekomunikasi, PT Dayamitra Telekomunikasi</v>
      </c>
      <c r="K609" t="str">
        <f t="shared" si="107"/>
        <v>MTEL, Dayamitra Telekomunikasi, Dayamitra Telekomunikasi Tbk, DayamitraTelekomunikasi, PT Dayamitra Telekomunikasi</v>
      </c>
      <c r="L609" t="str">
        <f t="shared" si="103"/>
        <v>DayamitraTelekomunikasi</v>
      </c>
      <c r="M609" t="str">
        <f t="shared" si="108"/>
        <v>MTEL, Dayamitra Telekomunikasi, Dayamitra Telekomunikasi Tbk, PT Dayamitra Telekomunikasi</v>
      </c>
      <c r="N609" t="str">
        <f t="shared" si="109"/>
        <v>MTEL, Dayamitra Telekomunikasi, Dayamitra Telekomunikasi Tbk, PT Dayamitra Telekomunikasi</v>
      </c>
    </row>
    <row r="610" spans="1:14" x14ac:dyDescent="0.2">
      <c r="A610" t="s">
        <v>901</v>
      </c>
      <c r="B610" t="s">
        <v>902</v>
      </c>
      <c r="C610" t="s">
        <v>8409</v>
      </c>
      <c r="D610" t="str">
        <f t="shared" si="99"/>
        <v>MTFN, CAPITALINC INVESTMENT, Capitalinc Investment, Capitalinc Investment Tbk, CapitalincInvestment, PT Capitalinc Investment, capitalinc investment</v>
      </c>
      <c r="E610" t="str">
        <f t="shared" si="100"/>
        <v>MTFN, CAPITALINC INVESTMENT, Capitalinc Investment, Capitalinc Investment Tbk, CapitalincInvestment, PT Capitalinc Investment, capitalinc investment</v>
      </c>
      <c r="F610" t="str">
        <f t="shared" si="101"/>
        <v>capitalinc investment</v>
      </c>
      <c r="G610" t="str">
        <f t="shared" si="104"/>
        <v>MTFN, CAPITALINC INVESTMENT, Capitalinc Investment, Capitalinc Investment Tbk, CapitalincInvestment, PT Capitalinc Investment</v>
      </c>
      <c r="H610" t="str">
        <f t="shared" si="105"/>
        <v>MTFN, CAPITALINC INVESTMENT, Capitalinc Investment, Capitalinc Investment Tbk, CapitalincInvestment, PT Capitalinc Investment</v>
      </c>
      <c r="I610" t="str">
        <f t="shared" si="102"/>
        <v>CAPITALINC INVESTMENT</v>
      </c>
      <c r="J610" t="str">
        <f t="shared" si="106"/>
        <v>MTFN, Capitalinc Investment, Capitalinc Investment Tbk, CapitalincInvestment, PT Capitalinc Investment</v>
      </c>
      <c r="K610" t="str">
        <f t="shared" si="107"/>
        <v>MTFN, Capitalinc Investment, Capitalinc Investment Tbk, CapitalincInvestment, PT Capitalinc Investment</v>
      </c>
      <c r="L610" t="str">
        <f t="shared" si="103"/>
        <v>CapitalincInvestment</v>
      </c>
      <c r="M610" t="str">
        <f t="shared" si="108"/>
        <v>MTFN, Capitalinc Investment, Capitalinc Investment Tbk, PT Capitalinc Investment</v>
      </c>
      <c r="N610" t="str">
        <f t="shared" si="109"/>
        <v>MTFN, Capitalinc Investment, Capitalinc Investment Tbk, PT Capitalinc Investment</v>
      </c>
    </row>
    <row r="611" spans="1:14" x14ac:dyDescent="0.2">
      <c r="A611" t="s">
        <v>904</v>
      </c>
      <c r="B611" t="s">
        <v>905</v>
      </c>
      <c r="C611" t="s">
        <v>8410</v>
      </c>
      <c r="D611" t="str">
        <f t="shared" si="99"/>
        <v>MTLA, METROPOLITAN LAND, Metropolitan Land, Metropolitan Land Tbk, MetropolitanLand, PT Metropolitan Land, metropolitan land</v>
      </c>
      <c r="E611" t="str">
        <f t="shared" si="100"/>
        <v>MTLA, METROPOLITAN LAND, Metropolitan Land, Metropolitan Land Tbk, MetropolitanLand, PT Metropolitan Land, metropolitan land</v>
      </c>
      <c r="F611" t="str">
        <f t="shared" si="101"/>
        <v>metropolitan land</v>
      </c>
      <c r="G611" t="str">
        <f t="shared" si="104"/>
        <v>MTLA, METROPOLITAN LAND, Metropolitan Land, Metropolitan Land Tbk, MetropolitanLand, PT Metropolitan Land</v>
      </c>
      <c r="H611" t="str">
        <f t="shared" si="105"/>
        <v>MTLA, METROPOLITAN LAND, Metropolitan Land, Metropolitan Land Tbk, MetropolitanLand, PT Metropolitan Land</v>
      </c>
      <c r="I611" t="str">
        <f t="shared" si="102"/>
        <v>METROPOLITAN LAND</v>
      </c>
      <c r="J611" t="str">
        <f t="shared" si="106"/>
        <v>MTLA, Metropolitan Land, Metropolitan Land Tbk, MetropolitanLand, PT Metropolitan Land</v>
      </c>
      <c r="K611" t="str">
        <f t="shared" si="107"/>
        <v>MTLA, Metropolitan Land, Metropolitan Land Tbk, MetropolitanLand, PT Metropolitan Land</v>
      </c>
      <c r="L611" t="str">
        <f t="shared" si="103"/>
        <v>MetropolitanLand</v>
      </c>
      <c r="M611" t="str">
        <f t="shared" si="108"/>
        <v>MTLA, Metropolitan Land, Metropolitan Land Tbk, PT Metropolitan Land</v>
      </c>
      <c r="N611" t="str">
        <f t="shared" si="109"/>
        <v>MTLA, Metropolitan Land, Metropolitan Land Tbk, PT Metropolitan Land</v>
      </c>
    </row>
    <row r="612" spans="1:14" x14ac:dyDescent="0.2">
      <c r="A612" t="s">
        <v>2103</v>
      </c>
      <c r="B612" t="s">
        <v>2104</v>
      </c>
      <c r="C612" t="s">
        <v>8411</v>
      </c>
      <c r="D612" t="str">
        <f t="shared" si="99"/>
        <v>MTMH, MURNI SADAR, Murni Sadar, Murni Sadar Tbk, MurniSadar, PT Murni Sadar, murni sadar</v>
      </c>
      <c r="E612" t="str">
        <f t="shared" si="100"/>
        <v>MTMH, MURNI SADAR, Murni Sadar, Murni Sadar Tbk, MurniSadar, PT Murni Sadar, murni sadar</v>
      </c>
      <c r="F612" t="str">
        <f t="shared" si="101"/>
        <v>murni sadar</v>
      </c>
      <c r="G612" t="str">
        <f t="shared" si="104"/>
        <v>MTMH, MURNI SADAR, Murni Sadar, Murni Sadar Tbk, MurniSadar, PT Murni Sadar</v>
      </c>
      <c r="H612" t="str">
        <f t="shared" si="105"/>
        <v>MTMH, MURNI SADAR, Murni Sadar, Murni Sadar Tbk, MurniSadar, PT Murni Sadar</v>
      </c>
      <c r="I612" t="str">
        <f t="shared" si="102"/>
        <v>MURNI SADAR</v>
      </c>
      <c r="J612" t="str">
        <f t="shared" si="106"/>
        <v>MTMH, Murni Sadar, Murni Sadar Tbk, MurniSadar, PT Murni Sadar</v>
      </c>
      <c r="K612" t="str">
        <f t="shared" si="107"/>
        <v>MTMH, Murni Sadar, Murni Sadar Tbk, MurniSadar, PT Murni Sadar</v>
      </c>
      <c r="L612" t="str">
        <f t="shared" si="103"/>
        <v>MurniSadar</v>
      </c>
      <c r="M612" t="str">
        <f t="shared" si="108"/>
        <v>MTMH, Murni Sadar, Murni Sadar Tbk, PT Murni Sadar</v>
      </c>
      <c r="N612" t="str">
        <f t="shared" si="109"/>
        <v>MTMH, Murni Sadar, Murni Sadar Tbk, PT Murni Sadar</v>
      </c>
    </row>
    <row r="613" spans="1:14" x14ac:dyDescent="0.2">
      <c r="A613" t="s">
        <v>1660</v>
      </c>
      <c r="B613" t="s">
        <v>1661</v>
      </c>
      <c r="C613" t="s">
        <v>8412</v>
      </c>
      <c r="D613" t="str">
        <f t="shared" si="99"/>
        <v>MTPS, META EPSI, Meta Epsi, Meta Epsi Tbk, MetaEpsi, PT Meta Epsi, meta epsi</v>
      </c>
      <c r="E613" t="str">
        <f t="shared" si="100"/>
        <v>MTPS, META EPSI, Meta Epsi, Meta Epsi Tbk, MetaEpsi, PT Meta Epsi, meta epsi</v>
      </c>
      <c r="F613" t="str">
        <f t="shared" si="101"/>
        <v>meta epsi</v>
      </c>
      <c r="G613" t="str">
        <f t="shared" si="104"/>
        <v>MTPS, META EPSI, Meta Epsi, Meta Epsi Tbk, MetaEpsi, PT Meta Epsi</v>
      </c>
      <c r="H613" t="str">
        <f t="shared" si="105"/>
        <v>MTPS, META EPSI, Meta Epsi, Meta Epsi Tbk, MetaEpsi, PT Meta Epsi</v>
      </c>
      <c r="I613" t="str">
        <f t="shared" si="102"/>
        <v>META EPSI</v>
      </c>
      <c r="J613" t="str">
        <f t="shared" si="106"/>
        <v>MTPS, Meta Epsi, Meta Epsi Tbk, MetaEpsi, PT Meta Epsi</v>
      </c>
      <c r="K613" t="str">
        <f t="shared" si="107"/>
        <v>MTPS, Meta Epsi, Meta Epsi Tbk, MetaEpsi, PT Meta Epsi</v>
      </c>
      <c r="L613" t="str">
        <f t="shared" si="103"/>
        <v>MetaEpsi</v>
      </c>
      <c r="M613" t="str">
        <f t="shared" si="108"/>
        <v>MTPS, Meta Epsi, Meta Epsi Tbk, PT Meta Epsi</v>
      </c>
      <c r="N613" t="str">
        <f t="shared" si="109"/>
        <v>MTPS, Meta Epsi, Meta Epsi Tbk, PT Meta Epsi</v>
      </c>
    </row>
    <row r="614" spans="1:14" x14ac:dyDescent="0.2">
      <c r="A614" t="s">
        <v>1367</v>
      </c>
      <c r="B614" t="s">
        <v>1368</v>
      </c>
      <c r="C614" t="s">
        <v>8413</v>
      </c>
      <c r="D614" t="str">
        <f t="shared" si="99"/>
        <v>MTRA, MITRA PEMUDA, Mitra Pemuda, Mitra Pemuda Tbk, MitraPemuda, PT Mitra Pemuda, mitra pemuda</v>
      </c>
      <c r="E614" t="str">
        <f t="shared" si="100"/>
        <v>MTRA, MITRA PEMUDA, Mitra Pemuda, Mitra Pemuda Tbk, MitraPemuda, PT Mitra Pemuda, mitra pemuda</v>
      </c>
      <c r="F614" t="str">
        <f t="shared" si="101"/>
        <v>mitra pemuda</v>
      </c>
      <c r="G614" t="str">
        <f t="shared" si="104"/>
        <v>MTRA, MITRA PEMUDA, Mitra Pemuda, Mitra Pemuda Tbk, MitraPemuda, PT Mitra Pemuda</v>
      </c>
      <c r="H614" t="str">
        <f t="shared" si="105"/>
        <v>MTRA, MITRA PEMUDA, Mitra Pemuda, Mitra Pemuda Tbk, MitraPemuda, PT Mitra Pemuda</v>
      </c>
      <c r="I614" t="str">
        <f t="shared" si="102"/>
        <v>MITRA PEMUDA</v>
      </c>
      <c r="J614" t="str">
        <f t="shared" si="106"/>
        <v>MTRA, Mitra Pemuda, Mitra Pemuda Tbk, MitraPemuda, PT Mitra Pemuda</v>
      </c>
      <c r="K614" t="str">
        <f t="shared" si="107"/>
        <v>MTRA, Mitra Pemuda, Mitra Pemuda Tbk, MitraPemuda, PT Mitra Pemuda</v>
      </c>
      <c r="L614" t="str">
        <f t="shared" si="103"/>
        <v>MitraPemuda</v>
      </c>
      <c r="M614" t="str">
        <f t="shared" si="108"/>
        <v>MTRA, Mitra Pemuda, Mitra Pemuda Tbk, PT Mitra Pemuda</v>
      </c>
      <c r="N614" t="str">
        <f t="shared" si="109"/>
        <v>MTRA, Mitra Pemuda, Mitra Pemuda Tbk, PT Mitra Pemuda</v>
      </c>
    </row>
    <row r="615" spans="1:14" x14ac:dyDescent="0.2">
      <c r="A615" t="s">
        <v>907</v>
      </c>
      <c r="B615" t="s">
        <v>908</v>
      </c>
      <c r="C615" t="s">
        <v>8414</v>
      </c>
      <c r="D615" t="str">
        <f t="shared" si="99"/>
        <v>MTSM, METRO REALTY, Metro Realty, Metro Realty Tbk, MetroRealty, PT Metro Realty, metro realty</v>
      </c>
      <c r="E615" t="str">
        <f t="shared" si="100"/>
        <v>MTSM, METRO REALTY, Metro Realty, Metro Realty Tbk, MetroRealty, PT Metro Realty, metro realty</v>
      </c>
      <c r="F615" t="str">
        <f t="shared" si="101"/>
        <v>metro realty</v>
      </c>
      <c r="G615" t="str">
        <f t="shared" si="104"/>
        <v>MTSM, METRO REALTY, Metro Realty, Metro Realty Tbk, MetroRealty, PT Metro Realty</v>
      </c>
      <c r="H615" t="str">
        <f t="shared" si="105"/>
        <v>MTSM, METRO REALTY, Metro Realty, Metro Realty Tbk, MetroRealty, PT Metro Realty</v>
      </c>
      <c r="I615" t="str">
        <f t="shared" si="102"/>
        <v>METRO REALTY</v>
      </c>
      <c r="J615" t="str">
        <f t="shared" si="106"/>
        <v>MTSM, Metro Realty, Metro Realty Tbk, MetroRealty, PT Metro Realty</v>
      </c>
      <c r="K615" t="str">
        <f t="shared" si="107"/>
        <v>MTSM, Metro Realty, Metro Realty Tbk, MetroRealty, PT Metro Realty</v>
      </c>
      <c r="L615" t="str">
        <f t="shared" si="103"/>
        <v>MetroRealty</v>
      </c>
      <c r="M615" t="str">
        <f t="shared" si="108"/>
        <v>MTSM, Metro Realty, Metro Realty Tbk, PT Metro Realty</v>
      </c>
      <c r="N615" t="str">
        <f t="shared" si="109"/>
        <v>MTSM, Metro Realty, Metro Realty Tbk, PT Metro Realty</v>
      </c>
    </row>
    <row r="616" spans="1:14" x14ac:dyDescent="0.2">
      <c r="A616" t="s">
        <v>1457</v>
      </c>
      <c r="B616" t="s">
        <v>3630</v>
      </c>
      <c r="C616" t="s">
        <v>8415</v>
      </c>
      <c r="D616" t="str">
        <f t="shared" si="99"/>
        <v>MTWI, MALACCA TRUST WUWUNGAN INSURANCE, Malacca Trust Wuwungan Insurance, Malacca Trust Wuwungan Insurance Tbk, MalaccaTrustWuwunganInsurance, PT Malacca Trust Wuwungan Insurance, malacca trust wuwungan insurance</v>
      </c>
      <c r="E616" t="str">
        <f t="shared" si="100"/>
        <v>MTWI, MALACCA TRUST WUWUNGAN INSURANCE, Malacca Trust Wuwungan Insurance, Malacca Trust Wuwungan Insurance Tbk, MalaccaTrustWuwunganInsurance, PT Malacca Trust Wuwungan Insurance, malacca trust wuwungan insurance</v>
      </c>
      <c r="F616" t="str">
        <f t="shared" si="101"/>
        <v>malacca trust wuwungan insurance</v>
      </c>
      <c r="G616" t="str">
        <f t="shared" si="104"/>
        <v>MTWI, MALACCA TRUST WUWUNGAN INSURANCE, Malacca Trust Wuwungan Insurance, Malacca Trust Wuwungan Insurance Tbk, MalaccaTrustWuwunganInsurance, PT Malacca Trust Wuwungan Insurance</v>
      </c>
      <c r="H616" t="str">
        <f t="shared" si="105"/>
        <v>MTWI, MALACCA TRUST WUWUNGAN INSURANCE, Malacca Trust Wuwungan Insurance, Malacca Trust Wuwungan Insurance Tbk, MalaccaTrustWuwunganInsurance, PT Malacca Trust Wuwungan Insurance</v>
      </c>
      <c r="I616" t="str">
        <f t="shared" si="102"/>
        <v>MALACCA TRUST WUWUNGAN INSURANCE</v>
      </c>
      <c r="J616" t="str">
        <f t="shared" si="106"/>
        <v>MTWI, Malacca Trust Wuwungan Insurance, Malacca Trust Wuwungan Insurance Tbk, MalaccaTrustWuwunganInsurance, PT Malacca Trust Wuwungan Insurance</v>
      </c>
      <c r="K616" t="str">
        <f t="shared" si="107"/>
        <v>MTWI, Malacca Trust Wuwungan Insurance, Malacca Trust Wuwungan Insurance Tbk, MalaccaTrustWuwunganInsurance, PT Malacca Trust Wuwungan Insurance</v>
      </c>
      <c r="L616" t="str">
        <f t="shared" si="103"/>
        <v>MalaccaTrustWuwunganInsurance</v>
      </c>
      <c r="M616" t="str">
        <f t="shared" si="108"/>
        <v>MTWI, Malacca Trust Wuwungan Insurance, Malacca Trust Wuwungan Insurance Tbk, PT Malacca Trust Wuwungan Insurance</v>
      </c>
      <c r="N616" t="str">
        <f t="shared" si="109"/>
        <v>MTWI, Malacca Trust Wuwungan Insurance, Malacca Trust Wuwungan Insurance Tbk, PT Malacca Trust Wuwungan Insurance</v>
      </c>
    </row>
    <row r="617" spans="1:14" x14ac:dyDescent="0.2">
      <c r="A617" t="s">
        <v>2360</v>
      </c>
      <c r="B617" t="s">
        <v>2361</v>
      </c>
      <c r="C617" t="s">
        <v>8416</v>
      </c>
      <c r="D617" t="str">
        <f t="shared" si="99"/>
        <v>MUTU, MUTUAGUNG LESTARI, Mutuagung Lestari, Mutuagung Lestari Tbk, MutuagungLestari, PT Mutuagung Lestari, mutuagung lestari</v>
      </c>
      <c r="E617" t="str">
        <f t="shared" si="100"/>
        <v>MUTU, MUTUAGUNG LESTARI, Mutuagung Lestari, Mutuagung Lestari Tbk, MutuagungLestari, PT Mutuagung Lestari, mutuagung lestari</v>
      </c>
      <c r="F617" t="str">
        <f t="shared" si="101"/>
        <v>mutuagung lestari</v>
      </c>
      <c r="G617" t="str">
        <f t="shared" si="104"/>
        <v>MUTU, MUTUAGUNG LESTARI, Mutuagung Lestari, Mutuagung Lestari Tbk, MutuagungLestari, PT Mutuagung Lestari</v>
      </c>
      <c r="H617" t="str">
        <f t="shared" si="105"/>
        <v>MUTU, MUTUAGUNG LESTARI, Mutuagung Lestari, Mutuagung Lestari Tbk, MutuagungLestari, PT Mutuagung Lestari</v>
      </c>
      <c r="I617" t="str">
        <f t="shared" si="102"/>
        <v>MUTUAGUNG LESTARI</v>
      </c>
      <c r="J617" t="str">
        <f t="shared" si="106"/>
        <v>MUTU, Mutuagung Lestari, Mutuagung Lestari Tbk, MutuagungLestari, PT Mutuagung Lestari</v>
      </c>
      <c r="K617" t="str">
        <f t="shared" si="107"/>
        <v>MUTU, Mutuagung Lestari, Mutuagung Lestari Tbk, MutuagungLestari, PT Mutuagung Lestari</v>
      </c>
      <c r="L617" t="str">
        <f t="shared" si="103"/>
        <v>MutuagungLestari</v>
      </c>
      <c r="M617" t="str">
        <f t="shared" si="108"/>
        <v>MUTU, Mutuagung Lestari, Mutuagung Lestari Tbk, PT Mutuagung Lestari</v>
      </c>
      <c r="N617" t="str">
        <f t="shared" si="109"/>
        <v>MUTU, Mutuagung Lestari, Mutuagung Lestari Tbk, PT Mutuagung Lestari</v>
      </c>
    </row>
    <row r="618" spans="1:14" x14ac:dyDescent="0.2">
      <c r="A618" t="s">
        <v>910</v>
      </c>
      <c r="B618" t="s">
        <v>911</v>
      </c>
      <c r="C618" t="s">
        <v>8417</v>
      </c>
      <c r="D618" t="str">
        <f t="shared" si="99"/>
        <v>MYOH, PT Samindo Resources, SAMINDO RESOURCES, Samindo Resources, Samindo Resources Tbk, SamindoResources, samindo resources</v>
      </c>
      <c r="E618" t="str">
        <f t="shared" si="100"/>
        <v>MYOH, PT Samindo Resources, SAMINDO RESOURCES, Samindo Resources, Samindo Resources Tbk, SamindoResources, samindo resources</v>
      </c>
      <c r="F618" t="str">
        <f t="shared" si="101"/>
        <v>samindo resources</v>
      </c>
      <c r="G618" t="str">
        <f t="shared" si="104"/>
        <v>MYOH, PT Samindo Resources, SAMINDO RESOURCES, Samindo Resources, Samindo Resources Tbk, SamindoResources</v>
      </c>
      <c r="H618" t="str">
        <f t="shared" si="105"/>
        <v>MYOH, PT Samindo Resources, SAMINDO RESOURCES, Samindo Resources, Samindo Resources Tbk, SamindoResources</v>
      </c>
      <c r="I618" t="str">
        <f t="shared" si="102"/>
        <v>SAMINDO RESOURCES</v>
      </c>
      <c r="J618" t="str">
        <f t="shared" si="106"/>
        <v>MYOH, PT Samindo Resources, Samindo Resources, Samindo Resources Tbk, SamindoResources</v>
      </c>
      <c r="K618" t="str">
        <f t="shared" si="107"/>
        <v>MYOH, PT Samindo Resources, Samindo Resources, Samindo Resources Tbk, SamindoResources</v>
      </c>
      <c r="L618" t="str">
        <f t="shared" si="103"/>
        <v>SamindoResources</v>
      </c>
      <c r="M618" t="str">
        <f t="shared" si="108"/>
        <v>MYOH, PT Samindo Resources, Samindo Resources, Samindo Resources Tbk</v>
      </c>
      <c r="N618" t="str">
        <f t="shared" si="109"/>
        <v>MYOH, PT Samindo Resources, Samindo Resources, Samindo Resources Tbk</v>
      </c>
    </row>
    <row r="619" spans="1:14" x14ac:dyDescent="0.2">
      <c r="A619" t="s">
        <v>913</v>
      </c>
      <c r="B619" t="s">
        <v>914</v>
      </c>
      <c r="C619" t="s">
        <v>8418</v>
      </c>
      <c r="D619" t="str">
        <f t="shared" si="99"/>
        <v>MYOR, MAYORA INDAH, Mayora Indah, Mayora Indah Tbk, MayoraIndah, PT Mayora Indah, mayora indah</v>
      </c>
      <c r="E619" t="str">
        <f t="shared" si="100"/>
        <v>MYOR, MAYORA INDAH, Mayora Indah, Mayora Indah Tbk, MayoraIndah, PT Mayora Indah, mayora indah</v>
      </c>
      <c r="F619" t="str">
        <f t="shared" si="101"/>
        <v>mayora indah</v>
      </c>
      <c r="G619" t="str">
        <f t="shared" si="104"/>
        <v>MYOR, MAYORA INDAH, Mayora Indah, Mayora Indah Tbk, MayoraIndah, PT Mayora Indah</v>
      </c>
      <c r="H619" t="str">
        <f t="shared" si="105"/>
        <v>MYOR, MAYORA INDAH, Mayora Indah, Mayora Indah Tbk, MayoraIndah, PT Mayora Indah</v>
      </c>
      <c r="I619" t="str">
        <f t="shared" si="102"/>
        <v>MAYORA INDAH</v>
      </c>
      <c r="J619" t="str">
        <f t="shared" si="106"/>
        <v>MYOR, Mayora Indah, Mayora Indah Tbk, MayoraIndah, PT Mayora Indah</v>
      </c>
      <c r="K619" t="str">
        <f t="shared" si="107"/>
        <v>MYOR, Mayora Indah, Mayora Indah Tbk, MayoraIndah, PT Mayora Indah</v>
      </c>
      <c r="L619" t="str">
        <f t="shared" si="103"/>
        <v>MayoraIndah</v>
      </c>
      <c r="M619" t="str">
        <f t="shared" si="108"/>
        <v>MYOR, Mayora Indah, Mayora Indah Tbk, PT Mayora Indah</v>
      </c>
      <c r="N619" t="str">
        <f t="shared" si="109"/>
        <v>MYOR, Mayora Indah, Mayora Indah Tbk, PT Mayora Indah</v>
      </c>
    </row>
    <row r="620" spans="1:14" x14ac:dyDescent="0.2">
      <c r="A620" t="s">
        <v>916</v>
      </c>
      <c r="B620" t="s">
        <v>917</v>
      </c>
      <c r="C620" t="s">
        <v>8419</v>
      </c>
      <c r="D620" t="str">
        <f t="shared" si="99"/>
        <v>MYTX, ASIA PACIFIC INVESTAMA, Asia Pacific Investama, Asia Pacific Investama Tbk, AsiaPacificInvestama, PT Asia Pacific Investama, asia pacific investama</v>
      </c>
      <c r="E620" t="str">
        <f t="shared" si="100"/>
        <v>MYTX, ASIA PACIFIC INVESTAMA, Asia Pacific Investama, Asia Pacific Investama Tbk, AsiaPacificInvestama, PT Asia Pacific Investama, asia pacific investama</v>
      </c>
      <c r="F620" t="str">
        <f t="shared" si="101"/>
        <v>asia pacific investama</v>
      </c>
      <c r="G620" t="str">
        <f t="shared" si="104"/>
        <v>MYTX, ASIA PACIFIC INVESTAMA, Asia Pacific Investama, Asia Pacific Investama Tbk, AsiaPacificInvestama, PT Asia Pacific Investama</v>
      </c>
      <c r="H620" t="str">
        <f t="shared" si="105"/>
        <v>MYTX, ASIA PACIFIC INVESTAMA, Asia Pacific Investama, Asia Pacific Investama Tbk, AsiaPacificInvestama, PT Asia Pacific Investama</v>
      </c>
      <c r="I620" t="str">
        <f t="shared" si="102"/>
        <v>ASIA PACIFIC INVESTAMA</v>
      </c>
      <c r="J620" t="str">
        <f t="shared" si="106"/>
        <v>MYTX, Asia Pacific Investama, Asia Pacific Investama Tbk, AsiaPacificInvestama, PT Asia Pacific Investama</v>
      </c>
      <c r="K620" t="str">
        <f t="shared" si="107"/>
        <v>MYTX, Asia Pacific Investama, Asia Pacific Investama Tbk, AsiaPacificInvestama, PT Asia Pacific Investama</v>
      </c>
      <c r="L620" t="str">
        <f t="shared" si="103"/>
        <v>AsiaPacificInvestama</v>
      </c>
      <c r="M620" t="str">
        <f t="shared" si="108"/>
        <v>MYTX, Asia Pacific Investama, Asia Pacific Investama Tbk, PT Asia Pacific Investama</v>
      </c>
      <c r="N620" t="str">
        <f t="shared" si="109"/>
        <v>MYTX, Asia Pacific Investama, Asia Pacific Investama Tbk, PT Asia Pacific Investama</v>
      </c>
    </row>
    <row r="621" spans="1:14" x14ac:dyDescent="0.2">
      <c r="A621" t="s">
        <v>2503</v>
      </c>
      <c r="B621" t="s">
        <v>2504</v>
      </c>
      <c r="C621" t="s">
        <v>8420</v>
      </c>
      <c r="D621" t="str">
        <f t="shared" si="99"/>
        <v>NAIK, ADIWARNA ANUGERAH ABADI, Adiwarna Anugerah Abadi, Adiwarna Anugerah Abadi Tbk, AdiwarnaAnugerahAbadi, PT Adiwarna Anugerah Abadi, adiwarna anugerah abadi</v>
      </c>
      <c r="E621" t="str">
        <f t="shared" si="100"/>
        <v>NAIK, ADIWARNA ANUGERAH ABADI, Adiwarna Anugerah Abadi, Adiwarna Anugerah Abadi Tbk, AdiwarnaAnugerahAbadi, PT Adiwarna Anugerah Abadi, adiwarna anugerah abadi</v>
      </c>
      <c r="F621" t="str">
        <f t="shared" si="101"/>
        <v>adiwarna anugerah abadi</v>
      </c>
      <c r="G621" t="str">
        <f t="shared" si="104"/>
        <v>NAIK, ADIWARNA ANUGERAH ABADI, Adiwarna Anugerah Abadi, Adiwarna Anugerah Abadi Tbk, AdiwarnaAnugerahAbadi, PT Adiwarna Anugerah Abadi</v>
      </c>
      <c r="H621" t="str">
        <f t="shared" si="105"/>
        <v>NAIK, ADIWARNA ANUGERAH ABADI, Adiwarna Anugerah Abadi, Adiwarna Anugerah Abadi Tbk, AdiwarnaAnugerahAbadi, PT Adiwarna Anugerah Abadi</v>
      </c>
      <c r="I621" t="str">
        <f t="shared" si="102"/>
        <v>ADIWARNA ANUGERAH ABADI</v>
      </c>
      <c r="J621" t="str">
        <f t="shared" si="106"/>
        <v>NAIK, Adiwarna Anugerah Abadi, Adiwarna Anugerah Abadi Tbk, AdiwarnaAnugerahAbadi, PT Adiwarna Anugerah Abadi</v>
      </c>
      <c r="K621" t="str">
        <f t="shared" si="107"/>
        <v>NAIK, Adiwarna Anugerah Abadi, Adiwarna Anugerah Abadi Tbk, AdiwarnaAnugerahAbadi, PT Adiwarna Anugerah Abadi</v>
      </c>
      <c r="L621" t="str">
        <f t="shared" si="103"/>
        <v>AdiwarnaAnugerahAbadi</v>
      </c>
      <c r="M621" t="str">
        <f t="shared" si="108"/>
        <v>NAIK, Adiwarna Anugerah Abadi, Adiwarna Anugerah Abadi Tbk, PT Adiwarna Anugerah Abadi</v>
      </c>
      <c r="N621" t="str">
        <f t="shared" si="109"/>
        <v>NAIK, Adiwarna Anugerah Abadi, Adiwarna Anugerah Abadi Tbk, PT Adiwarna Anugerah Abadi</v>
      </c>
    </row>
    <row r="622" spans="1:14" x14ac:dyDescent="0.2">
      <c r="A622" t="s">
        <v>2085</v>
      </c>
      <c r="B622" t="s">
        <v>2086</v>
      </c>
      <c r="C622" t="s">
        <v>8421</v>
      </c>
      <c r="D622" t="str">
        <f t="shared" si="99"/>
        <v>NANO, NANOTECH INDONESIA GLOBAL, Nanotech Indonesia Global, Nanotech Indonesia Global Tbk, NanotechIndonesiaGlobal, PT Nanotech Indonesia Global, nanotech indonesia global</v>
      </c>
      <c r="E622" t="str">
        <f t="shared" si="100"/>
        <v>NANO, NANOTECH INDONESIA GLOBAL, Nanotech Indonesia Global, Nanotech Indonesia Global Tbk, NanotechIndonesiaGlobal, PT Nanotech Indonesia Global, nanotech indonesia global</v>
      </c>
      <c r="F622" t="str">
        <f t="shared" si="101"/>
        <v>nanotech indonesia global</v>
      </c>
      <c r="G622" t="str">
        <f t="shared" si="104"/>
        <v>NANO, NANOTECH INDONESIA GLOBAL, Nanotech Indonesia Global, Nanotech Indonesia Global Tbk, NanotechIndonesiaGlobal, PT Nanotech Indonesia Global</v>
      </c>
      <c r="H622" t="str">
        <f t="shared" si="105"/>
        <v>NANO, NANOTECH INDONESIA GLOBAL, Nanotech Indonesia Global, Nanotech Indonesia Global Tbk, NanotechIndonesiaGlobal, PT Nanotech Indonesia Global</v>
      </c>
      <c r="I622" t="str">
        <f t="shared" si="102"/>
        <v>NANOTECH INDONESIA GLOBAL</v>
      </c>
      <c r="J622" t="str">
        <f t="shared" si="106"/>
        <v>NANO, Nanotech Indonesia Global, Nanotech Indonesia Global Tbk, NanotechIndonesiaGlobal, PT Nanotech Indonesia Global</v>
      </c>
      <c r="K622" t="str">
        <f t="shared" si="107"/>
        <v>NANO, Nanotech Indonesia Global, Nanotech Indonesia Global Tbk, NanotechIndonesiaGlobal, PT Nanotech Indonesia Global</v>
      </c>
      <c r="L622" t="str">
        <f t="shared" si="103"/>
        <v>NanotechIndonesiaGlobal</v>
      </c>
      <c r="M622" t="str">
        <f t="shared" si="108"/>
        <v>NANO, Nanotech Indonesia Global, Nanotech Indonesia Global Tbk, PT Nanotech Indonesia Global</v>
      </c>
      <c r="N622" t="str">
        <f t="shared" si="109"/>
        <v>NANO, Nanotech Indonesia Global, Nanotech Indonesia Global Tbk, PT Nanotech Indonesia Global</v>
      </c>
    </row>
    <row r="623" spans="1:14" x14ac:dyDescent="0.2">
      <c r="A623" t="s">
        <v>1443</v>
      </c>
      <c r="B623" t="s">
        <v>1444</v>
      </c>
      <c r="C623" t="s">
        <v>8422</v>
      </c>
      <c r="D623" t="str">
        <f t="shared" si="99"/>
        <v>NASA, ANDALAN PERKASA ABADI, Andalan Perkasa Abadi, Andalan Perkasa Abadi Tbk, AndalanPerkasaAbadi, PT Andalan Perkasa Abadi, andalan perkasa abadi</v>
      </c>
      <c r="E623" t="str">
        <f t="shared" si="100"/>
        <v>NASA, ANDALAN PERKASA ABADI, Andalan Perkasa Abadi, Andalan Perkasa Abadi Tbk, AndalanPerkasaAbadi, PT Andalan Perkasa Abadi, andalan perkasa abadi</v>
      </c>
      <c r="F623" t="str">
        <f t="shared" si="101"/>
        <v>andalan perkasa abadi</v>
      </c>
      <c r="G623" t="str">
        <f t="shared" si="104"/>
        <v>NASA, ANDALAN PERKASA ABADI, Andalan Perkasa Abadi, Andalan Perkasa Abadi Tbk, AndalanPerkasaAbadi, PT Andalan Perkasa Abadi</v>
      </c>
      <c r="H623" t="str">
        <f t="shared" si="105"/>
        <v>NASA, ANDALAN PERKASA ABADI, Andalan Perkasa Abadi, Andalan Perkasa Abadi Tbk, AndalanPerkasaAbadi, PT Andalan Perkasa Abadi</v>
      </c>
      <c r="I623" t="str">
        <f t="shared" si="102"/>
        <v>ANDALAN PERKASA ABADI</v>
      </c>
      <c r="J623" t="str">
        <f t="shared" si="106"/>
        <v>NASA, Andalan Perkasa Abadi, Andalan Perkasa Abadi Tbk, AndalanPerkasaAbadi, PT Andalan Perkasa Abadi</v>
      </c>
      <c r="K623" t="str">
        <f t="shared" si="107"/>
        <v>NASA, Andalan Perkasa Abadi, Andalan Perkasa Abadi Tbk, AndalanPerkasaAbadi, PT Andalan Perkasa Abadi</v>
      </c>
      <c r="L623" t="str">
        <f t="shared" si="103"/>
        <v>AndalanPerkasaAbadi</v>
      </c>
      <c r="M623" t="str">
        <f t="shared" si="108"/>
        <v>NASA, Andalan Perkasa Abadi, Andalan Perkasa Abadi Tbk, PT Andalan Perkasa Abadi</v>
      </c>
      <c r="N623" t="str">
        <f t="shared" si="109"/>
        <v>NASA, Andalan Perkasa Abadi, Andalan Perkasa Abadi Tbk, PT Andalan Perkasa Abadi</v>
      </c>
    </row>
    <row r="624" spans="1:14" x14ac:dyDescent="0.2">
      <c r="A624" t="s">
        <v>2052</v>
      </c>
      <c r="B624" t="s">
        <v>2053</v>
      </c>
      <c r="C624" t="s">
        <v>8423</v>
      </c>
      <c r="D624" t="str">
        <f t="shared" si="99"/>
        <v>NASI, PT Wahana Inti Makmur, WAHANA INTI MAKMUR, Wahana Inti Makmur, Wahana Inti Makmur Tbk, WahanaIntiMakmur, wahana inti makmur</v>
      </c>
      <c r="E624" t="str">
        <f t="shared" si="100"/>
        <v>NASI, PT Wahana Inti Makmur, WAHANA INTI MAKMUR, Wahana Inti Makmur, Wahana Inti Makmur Tbk, WahanaIntiMakmur, wahana inti makmur</v>
      </c>
      <c r="F624" t="str">
        <f t="shared" si="101"/>
        <v>wahana inti makmur</v>
      </c>
      <c r="G624" t="str">
        <f t="shared" si="104"/>
        <v>NASI, PT Wahana Inti Makmur, WAHANA INTI MAKMUR, Wahana Inti Makmur, Wahana Inti Makmur Tbk, WahanaIntiMakmur</v>
      </c>
      <c r="H624" t="str">
        <f t="shared" si="105"/>
        <v>NASI, PT Wahana Inti Makmur, WAHANA INTI MAKMUR, Wahana Inti Makmur, Wahana Inti Makmur Tbk, WahanaIntiMakmur</v>
      </c>
      <c r="I624" t="str">
        <f t="shared" si="102"/>
        <v>WAHANA INTI MAKMUR</v>
      </c>
      <c r="J624" t="str">
        <f t="shared" si="106"/>
        <v>NASI, PT Wahana Inti Makmur, Wahana Inti Makmur, Wahana Inti Makmur Tbk, WahanaIntiMakmur</v>
      </c>
      <c r="K624" t="str">
        <f t="shared" si="107"/>
        <v>NASI, PT Wahana Inti Makmur, Wahana Inti Makmur, Wahana Inti Makmur Tbk, WahanaIntiMakmur</v>
      </c>
      <c r="L624" t="str">
        <f t="shared" si="103"/>
        <v>WahanaIntiMakmur</v>
      </c>
      <c r="M624" t="str">
        <f t="shared" si="108"/>
        <v>NASI, PT Wahana Inti Makmur, Wahana Inti Makmur, Wahana Inti Makmur Tbk</v>
      </c>
      <c r="N624" t="str">
        <f t="shared" si="109"/>
        <v>NASI, PT Wahana Inti Makmur, Wahana Inti Makmur, Wahana Inti Makmur Tbk</v>
      </c>
    </row>
    <row r="625" spans="1:14" x14ac:dyDescent="0.2">
      <c r="A625" t="s">
        <v>1652</v>
      </c>
      <c r="B625" t="s">
        <v>3631</v>
      </c>
      <c r="C625" t="s">
        <v>8424</v>
      </c>
      <c r="D625" t="str">
        <f t="shared" si="99"/>
        <v>NATO, OLYMPUS STRATEGIC INDONESIA, Olympus Strategic Indonesia, Olympus Strategic Indonesia Tbk, OlympusStrategicIndonesia, PT Olympus Strategic Indonesia, olympus strategic indonesia</v>
      </c>
      <c r="E625" t="str">
        <f t="shared" si="100"/>
        <v>NATO, OLYMPUS STRATEGIC INDONESIA, Olympus Strategic Indonesia, Olympus Strategic Indonesia Tbk, OlympusStrategicIndonesia, PT Olympus Strategic Indonesia, olympus strategic indonesia</v>
      </c>
      <c r="F625" t="str">
        <f t="shared" si="101"/>
        <v>olympus strategic indonesia</v>
      </c>
      <c r="G625" t="str">
        <f t="shared" si="104"/>
        <v>NATO, OLYMPUS STRATEGIC INDONESIA, Olympus Strategic Indonesia, Olympus Strategic Indonesia Tbk, OlympusStrategicIndonesia, PT Olympus Strategic Indonesia</v>
      </c>
      <c r="H625" t="str">
        <f t="shared" si="105"/>
        <v>NATO, OLYMPUS STRATEGIC INDONESIA, Olympus Strategic Indonesia, Olympus Strategic Indonesia Tbk, OlympusStrategicIndonesia, PT Olympus Strategic Indonesia</v>
      </c>
      <c r="I625" t="str">
        <f t="shared" si="102"/>
        <v>OLYMPUS STRATEGIC INDONESIA</v>
      </c>
      <c r="J625" t="str">
        <f t="shared" si="106"/>
        <v>NATO, Olympus Strategic Indonesia, Olympus Strategic Indonesia Tbk, OlympusStrategicIndonesia, PT Olympus Strategic Indonesia</v>
      </c>
      <c r="K625" t="str">
        <f t="shared" si="107"/>
        <v>NATO, Olympus Strategic Indonesia, Olympus Strategic Indonesia Tbk, OlympusStrategicIndonesia, PT Olympus Strategic Indonesia</v>
      </c>
      <c r="L625" t="str">
        <f t="shared" si="103"/>
        <v>OlympusStrategicIndonesia</v>
      </c>
      <c r="M625" t="str">
        <f t="shared" si="108"/>
        <v>NATO, Olympus Strategic Indonesia, Olympus Strategic Indonesia Tbk, PT Olympus Strategic Indonesia</v>
      </c>
      <c r="N625" t="str">
        <f t="shared" si="109"/>
        <v>NATO, Olympus Strategic Indonesia, Olympus Strategic Indonesia Tbk, PT Olympus Strategic Indonesia</v>
      </c>
    </row>
    <row r="626" spans="1:14" x14ac:dyDescent="0.2">
      <c r="A626" t="s">
        <v>2247</v>
      </c>
      <c r="B626" t="s">
        <v>2248</v>
      </c>
      <c r="C626" t="s">
        <v>8425</v>
      </c>
      <c r="D626" t="str">
        <f t="shared" si="99"/>
        <v>NAYZ, HASSANA BOGA SEJAHTERA, Hassana Boga Sejahtera, Hassana Boga Sejahtera Tbk, HassanaBogaSejahtera, PT Hassana Boga Sejahtera, hassana boga sejahtera</v>
      </c>
      <c r="E626" t="str">
        <f t="shared" si="100"/>
        <v>NAYZ, HASSANA BOGA SEJAHTERA, Hassana Boga Sejahtera, Hassana Boga Sejahtera Tbk, HassanaBogaSejahtera, PT Hassana Boga Sejahtera, hassana boga sejahtera</v>
      </c>
      <c r="F626" t="str">
        <f t="shared" si="101"/>
        <v>hassana boga sejahtera</v>
      </c>
      <c r="G626" t="str">
        <f t="shared" si="104"/>
        <v>NAYZ, HASSANA BOGA SEJAHTERA, Hassana Boga Sejahtera, Hassana Boga Sejahtera Tbk, HassanaBogaSejahtera, PT Hassana Boga Sejahtera</v>
      </c>
      <c r="H626" t="str">
        <f t="shared" si="105"/>
        <v>NAYZ, HASSANA BOGA SEJAHTERA, Hassana Boga Sejahtera, Hassana Boga Sejahtera Tbk, HassanaBogaSejahtera, PT Hassana Boga Sejahtera</v>
      </c>
      <c r="I626" t="str">
        <f t="shared" si="102"/>
        <v>HASSANA BOGA SEJAHTERA</v>
      </c>
      <c r="J626" t="str">
        <f t="shared" si="106"/>
        <v>NAYZ, Hassana Boga Sejahtera, Hassana Boga Sejahtera Tbk, HassanaBogaSejahtera, PT Hassana Boga Sejahtera</v>
      </c>
      <c r="K626" t="str">
        <f t="shared" si="107"/>
        <v>NAYZ, Hassana Boga Sejahtera, Hassana Boga Sejahtera Tbk, HassanaBogaSejahtera, PT Hassana Boga Sejahtera</v>
      </c>
      <c r="L626" t="str">
        <f t="shared" si="103"/>
        <v>HassanaBogaSejahtera</v>
      </c>
      <c r="M626" t="str">
        <f t="shared" si="108"/>
        <v>NAYZ, Hassana Boga Sejahtera, Hassana Boga Sejahtera Tbk, PT Hassana Boga Sejahtera</v>
      </c>
      <c r="N626" t="str">
        <f t="shared" si="109"/>
        <v>NAYZ, Hassana Boga Sejahtera, Hassana Boga Sejahtera Tbk, PT Hassana Boga Sejahtera</v>
      </c>
    </row>
    <row r="627" spans="1:14" x14ac:dyDescent="0.2">
      <c r="A627" t="s">
        <v>2607</v>
      </c>
      <c r="B627" t="s">
        <v>2608</v>
      </c>
      <c r="C627" t="s">
        <v>8426</v>
      </c>
      <c r="D627" t="str">
        <f t="shared" si="99"/>
        <v>NCKL, PT Trimegah Bangun Persada, TRIMEGAH BANGUN PERSADA, Trimegah Bangun Persada, Trimegah Bangun Persada Tbk, TrimegahBangunPersada, trimegah bangun persada</v>
      </c>
      <c r="E627" t="str">
        <f t="shared" si="100"/>
        <v>NCKL, PT Trimegah Bangun Persada, TRIMEGAH BANGUN PERSADA, Trimegah Bangun Persada, Trimegah Bangun Persada Tbk, TrimegahBangunPersada, trimegah bangun persada</v>
      </c>
      <c r="F627" t="str">
        <f t="shared" si="101"/>
        <v>trimegah bangun persada</v>
      </c>
      <c r="G627" t="str">
        <f t="shared" si="104"/>
        <v>NCKL, PT Trimegah Bangun Persada, TRIMEGAH BANGUN PERSADA, Trimegah Bangun Persada, Trimegah Bangun Persada Tbk, TrimegahBangunPersada</v>
      </c>
      <c r="H627" t="str">
        <f t="shared" si="105"/>
        <v>NCKL, PT Trimegah Bangun Persada, TRIMEGAH BANGUN PERSADA, Trimegah Bangun Persada, Trimegah Bangun Persada Tbk, TrimegahBangunPersada</v>
      </c>
      <c r="I627" t="str">
        <f t="shared" si="102"/>
        <v>TRIMEGAH BANGUN PERSADA</v>
      </c>
      <c r="J627" t="str">
        <f t="shared" si="106"/>
        <v>NCKL, PT Trimegah Bangun Persada, Trimegah Bangun Persada, Trimegah Bangun Persada Tbk, TrimegahBangunPersada</v>
      </c>
      <c r="K627" t="str">
        <f t="shared" si="107"/>
        <v>NCKL, PT Trimegah Bangun Persada, Trimegah Bangun Persada, Trimegah Bangun Persada Tbk, TrimegahBangunPersada</v>
      </c>
      <c r="L627" t="str">
        <f t="shared" si="103"/>
        <v>TrimegahBangunPersada</v>
      </c>
      <c r="M627" t="str">
        <f t="shared" si="108"/>
        <v>NCKL, PT Trimegah Bangun Persada, Trimegah Bangun Persada, Trimegah Bangun Persada Tbk</v>
      </c>
      <c r="N627" t="str">
        <f t="shared" si="109"/>
        <v>NCKL, PT Trimegah Bangun Persada, Trimegah Bangun Persada, Trimegah Bangun Persada Tbk</v>
      </c>
    </row>
    <row r="628" spans="1:14" x14ac:dyDescent="0.2">
      <c r="A628" t="s">
        <v>919</v>
      </c>
      <c r="B628" t="s">
        <v>920</v>
      </c>
      <c r="C628" t="s">
        <v>8427</v>
      </c>
      <c r="D628" t="str">
        <f t="shared" si="99"/>
        <v>NELY, PELAYARAN NELLY DWI PUTRI, PT Pelayaran Nelly Dwi Putri, Pelayaran Nelly Dwi Putri, Pelayaran Nelly Dwi Putri Tbk, PelayaranNellyDwiPutri, pelayaran nelly dwi putri</v>
      </c>
      <c r="E628" t="str">
        <f t="shared" si="100"/>
        <v>NELY, PELAYARAN NELLY DWI PUTRI, PT Pelayaran Nelly Dwi Putri, Pelayaran Nelly Dwi Putri, Pelayaran Nelly Dwi Putri Tbk, PelayaranNellyDwiPutri, pelayaran nelly dwi putri</v>
      </c>
      <c r="F628" t="str">
        <f t="shared" si="101"/>
        <v>pelayaran nelly dwi putri</v>
      </c>
      <c r="G628" t="str">
        <f t="shared" si="104"/>
        <v>NELY, PELAYARAN NELLY DWI PUTRI, PT Pelayaran Nelly Dwi Putri, Pelayaran Nelly Dwi Putri, Pelayaran Nelly Dwi Putri Tbk, PelayaranNellyDwiPutri</v>
      </c>
      <c r="H628" t="str">
        <f t="shared" si="105"/>
        <v>NELY, PELAYARAN NELLY DWI PUTRI, PT Pelayaran Nelly Dwi Putri, Pelayaran Nelly Dwi Putri, Pelayaran Nelly Dwi Putri Tbk, PelayaranNellyDwiPutri</v>
      </c>
      <c r="I628" t="str">
        <f t="shared" si="102"/>
        <v>PELAYARAN NELLY DWI PUTRI</v>
      </c>
      <c r="J628" t="str">
        <f t="shared" si="106"/>
        <v>NELY, PT Pelayaran Nelly Dwi Putri, Pelayaran Nelly Dwi Putri, Pelayaran Nelly Dwi Putri Tbk, PelayaranNellyDwiPutri</v>
      </c>
      <c r="K628" t="str">
        <f t="shared" si="107"/>
        <v>NELY, PT Pelayaran Nelly Dwi Putri, Pelayaran Nelly Dwi Putri, Pelayaran Nelly Dwi Putri Tbk, PelayaranNellyDwiPutri</v>
      </c>
      <c r="L628" t="str">
        <f t="shared" si="103"/>
        <v>PelayaranNellyDwiPutri</v>
      </c>
      <c r="M628" t="str">
        <f t="shared" si="108"/>
        <v>NELY, PT Pelayaran Nelly Dwi Putri, Pelayaran Nelly Dwi Putri, Pelayaran Nelly Dwi Putri Tbk</v>
      </c>
      <c r="N628" t="str">
        <f t="shared" si="109"/>
        <v>NELY, PT Pelayaran Nelly Dwi Putri, Pelayaran Nelly Dwi Putri, Pelayaran Nelly Dwi Putri Tbk</v>
      </c>
    </row>
    <row r="629" spans="1:14" x14ac:dyDescent="0.2">
      <c r="A629" t="s">
        <v>2488</v>
      </c>
      <c r="B629" t="s">
        <v>2489</v>
      </c>
      <c r="C629" t="s">
        <v>8428</v>
      </c>
      <c r="D629" t="str">
        <f t="shared" si="99"/>
        <v>NEST, ESTA INDONESIA, Esta Indonesia, Esta Indonesia Tbk, EstaIndonesia, PT Esta Indonesia, esta indonesia</v>
      </c>
      <c r="E629" t="str">
        <f t="shared" si="100"/>
        <v>NEST, ESTA INDONESIA, Esta Indonesia, Esta Indonesia Tbk, EstaIndonesia, PT Esta Indonesia, esta indonesia</v>
      </c>
      <c r="F629" t="str">
        <f t="shared" si="101"/>
        <v>esta indonesia</v>
      </c>
      <c r="G629" t="str">
        <f t="shared" si="104"/>
        <v>NEST, ESTA INDONESIA, Esta Indonesia, Esta Indonesia Tbk, EstaIndonesia, PT Esta Indonesia</v>
      </c>
      <c r="H629" t="str">
        <f t="shared" si="105"/>
        <v>NEST, ESTA INDONESIA, Esta Indonesia, Esta Indonesia Tbk, EstaIndonesia, PT Esta Indonesia</v>
      </c>
      <c r="I629" t="str">
        <f t="shared" si="102"/>
        <v>ESTA INDONESIA</v>
      </c>
      <c r="J629" t="str">
        <f t="shared" si="106"/>
        <v>NEST, Esta Indonesia, Esta Indonesia Tbk, EstaIndonesia, PT Esta Indonesia</v>
      </c>
      <c r="K629" t="str">
        <f t="shared" si="107"/>
        <v>NEST, Esta Indonesia, Esta Indonesia Tbk, EstaIndonesia, PT Esta Indonesia</v>
      </c>
      <c r="L629" t="str">
        <f t="shared" si="103"/>
        <v>EstaIndonesia</v>
      </c>
      <c r="M629" t="str">
        <f t="shared" si="108"/>
        <v>NEST, Esta Indonesia, Esta Indonesia Tbk, PT Esta Indonesia</v>
      </c>
      <c r="N629" t="str">
        <f t="shared" si="109"/>
        <v>NEST, Esta Indonesia, Esta Indonesia Tbk, PT Esta Indonesia</v>
      </c>
    </row>
    <row r="630" spans="1:14" x14ac:dyDescent="0.2">
      <c r="A630" t="s">
        <v>2068</v>
      </c>
      <c r="B630" t="s">
        <v>2069</v>
      </c>
      <c r="C630" t="s">
        <v>8429</v>
      </c>
      <c r="D630" t="str">
        <f t="shared" si="99"/>
        <v>NETV, MDTV MEDIA TECHNOLOGIES, MDTV Media Technologies, MDTV Media Technologies Tbk, MDTVMediaTechnologies, PT MDTV Media Technologies, mdtv media technologies</v>
      </c>
      <c r="E630" t="str">
        <f t="shared" si="100"/>
        <v>NETV, MDTV MEDIA TECHNOLOGIES, MDTV Media Technologies, MDTV Media Technologies Tbk, MDTVMediaTechnologies, PT MDTV Media Technologies, mdtv media technologies</v>
      </c>
      <c r="F630" t="str">
        <f t="shared" si="101"/>
        <v>mdtv media technologies</v>
      </c>
      <c r="G630" t="str">
        <f t="shared" si="104"/>
        <v>NETV, MDTV MEDIA TECHNOLOGIES, MDTV Media Technologies, MDTV Media Technologies Tbk, MDTVMediaTechnologies, PT MDTV Media Technologies</v>
      </c>
      <c r="H630" t="str">
        <f t="shared" si="105"/>
        <v>NETV, MDTV MEDIA TECHNOLOGIES, MDTV Media Technologies, MDTV Media Technologies Tbk, MDTVMediaTechnologies, PT MDTV Media Technologies</v>
      </c>
      <c r="I630" t="str">
        <f t="shared" si="102"/>
        <v>MDTV MEDIA TECHNOLOGIES</v>
      </c>
      <c r="J630" t="str">
        <f t="shared" si="106"/>
        <v>NETV, MDTV Media Technologies, MDTV Media Technologies Tbk, MDTVMediaTechnologies, PT MDTV Media Technologies</v>
      </c>
      <c r="K630" t="str">
        <f t="shared" si="107"/>
        <v>NETV, MDTV Media Technologies, MDTV Media Technologies Tbk, MDTVMediaTechnologies, PT MDTV Media Technologies</v>
      </c>
      <c r="L630" t="str">
        <f t="shared" si="103"/>
        <v>MDTVMediaTechnologies</v>
      </c>
      <c r="M630" t="str">
        <f t="shared" si="108"/>
        <v>NETV, MDTV Media Technologies, MDTV Media Technologies Tbk, PT MDTV Media Technologies</v>
      </c>
      <c r="N630" t="str">
        <f t="shared" si="109"/>
        <v>NETV, MDTV Media Technologies, MDTV Media Technologies Tbk, PT MDTV Media Technologies</v>
      </c>
    </row>
    <row r="631" spans="1:14" x14ac:dyDescent="0.2">
      <c r="A631" t="s">
        <v>1559</v>
      </c>
      <c r="B631" t="s">
        <v>1560</v>
      </c>
      <c r="C631" t="s">
        <v>8430</v>
      </c>
      <c r="D631" t="str">
        <f t="shared" si="99"/>
        <v>NFCX, NFC INDONESIA, NFC Indonesia, NFC Indonesia Tbk, NFCIndonesia, PT NFC Indonesia, nfc indonesia</v>
      </c>
      <c r="E631" t="str">
        <f t="shared" si="100"/>
        <v>NFCX, NFC INDONESIA, NFC Indonesia, NFC Indonesia Tbk, NFCIndonesia, PT NFC Indonesia, nfc indonesia</v>
      </c>
      <c r="F631" t="str">
        <f t="shared" si="101"/>
        <v>nfc indonesia</v>
      </c>
      <c r="G631" t="str">
        <f t="shared" si="104"/>
        <v>NFCX, NFC INDONESIA, NFC Indonesia, NFC Indonesia Tbk, NFCIndonesia, PT NFC Indonesia</v>
      </c>
      <c r="H631" t="str">
        <f t="shared" si="105"/>
        <v>NFCX, NFC INDONESIA, NFC Indonesia, NFC Indonesia Tbk, NFCIndonesia, PT NFC Indonesia</v>
      </c>
      <c r="I631" t="str">
        <f t="shared" si="102"/>
        <v>NFC INDONESIA</v>
      </c>
      <c r="J631" t="str">
        <f t="shared" si="106"/>
        <v>NFCX, NFC Indonesia, NFC Indonesia Tbk, NFCIndonesia, PT NFC Indonesia</v>
      </c>
      <c r="K631" t="str">
        <f t="shared" si="107"/>
        <v>NFCX, NFC Indonesia, NFC Indonesia Tbk, NFCIndonesia, PT NFC Indonesia</v>
      </c>
      <c r="L631" t="str">
        <f t="shared" si="103"/>
        <v>NFCIndonesia</v>
      </c>
      <c r="M631" t="str">
        <f t="shared" si="108"/>
        <v>NFCX, NFC Indonesia, NFC Indonesia Tbk, PT NFC Indonesia</v>
      </c>
      <c r="N631" t="str">
        <f t="shared" si="109"/>
        <v>NFCX, NFC Indonesia, NFC Indonesia Tbk, PT NFC Indonesia</v>
      </c>
    </row>
    <row r="632" spans="1:14" x14ac:dyDescent="0.2">
      <c r="A632" t="s">
        <v>2628</v>
      </c>
      <c r="B632" t="s">
        <v>2629</v>
      </c>
      <c r="C632" t="s">
        <v>8431</v>
      </c>
      <c r="D632" t="str">
        <f t="shared" si="99"/>
        <v>NICE, ADHI KARTIKO PRATAMA, Adhi Kartiko Pratama, Adhi Kartiko Pratama Tbk, AdhiKartikoPratama, PT Adhi Kartiko Pratama, adhi kartiko pratama</v>
      </c>
      <c r="E632" t="str">
        <f t="shared" si="100"/>
        <v>NICE, ADHI KARTIKO PRATAMA, Adhi Kartiko Pratama, Adhi Kartiko Pratama Tbk, AdhiKartikoPratama, PT Adhi Kartiko Pratama, adhi kartiko pratama</v>
      </c>
      <c r="F632" t="str">
        <f t="shared" si="101"/>
        <v>adhi kartiko pratama</v>
      </c>
      <c r="G632" t="str">
        <f t="shared" si="104"/>
        <v>NICE, ADHI KARTIKO PRATAMA, Adhi Kartiko Pratama, Adhi Kartiko Pratama Tbk, AdhiKartikoPratama, PT Adhi Kartiko Pratama</v>
      </c>
      <c r="H632" t="str">
        <f t="shared" si="105"/>
        <v>NICE, ADHI KARTIKO PRATAMA, Adhi Kartiko Pratama, Adhi Kartiko Pratama Tbk, AdhiKartikoPratama, PT Adhi Kartiko Pratama</v>
      </c>
      <c r="I632" t="str">
        <f t="shared" si="102"/>
        <v>ADHI KARTIKO PRATAMA</v>
      </c>
      <c r="J632" t="str">
        <f t="shared" si="106"/>
        <v>NICE, Adhi Kartiko Pratama, Adhi Kartiko Pratama Tbk, AdhiKartikoPratama, PT Adhi Kartiko Pratama</v>
      </c>
      <c r="K632" t="str">
        <f t="shared" si="107"/>
        <v>NICE, Adhi Kartiko Pratama, Adhi Kartiko Pratama Tbk, AdhiKartikoPratama, PT Adhi Kartiko Pratama</v>
      </c>
      <c r="L632" t="str">
        <f t="shared" si="103"/>
        <v>AdhiKartikoPratama</v>
      </c>
      <c r="M632" t="str">
        <f t="shared" si="108"/>
        <v>NICE, Adhi Kartiko Pratama, Adhi Kartiko Pratama Tbk, PT Adhi Kartiko Pratama</v>
      </c>
      <c r="N632" t="str">
        <f t="shared" si="109"/>
        <v>NICE, Adhi Kartiko Pratama, Adhi Kartiko Pratama Tbk, PT Adhi Kartiko Pratama</v>
      </c>
    </row>
    <row r="633" spans="1:14" x14ac:dyDescent="0.2">
      <c r="A633" t="s">
        <v>1512</v>
      </c>
      <c r="B633" t="s">
        <v>1513</v>
      </c>
      <c r="C633" t="s">
        <v>8432</v>
      </c>
      <c r="D633" t="str">
        <f t="shared" si="99"/>
        <v>NICK, CHARNIC CAPITAL, Charnic Capital, Charnic Capital Tbk, CharnicCapital, PT Charnic Capital, charnic capital</v>
      </c>
      <c r="E633" t="str">
        <f t="shared" si="100"/>
        <v>NICK, CHARNIC CAPITAL, Charnic Capital, Charnic Capital Tbk, CharnicCapital, PT Charnic Capital, charnic capital</v>
      </c>
      <c r="F633" t="str">
        <f t="shared" si="101"/>
        <v>charnic capital</v>
      </c>
      <c r="G633" t="str">
        <f t="shared" si="104"/>
        <v>NICK, CHARNIC CAPITAL, Charnic Capital, Charnic Capital Tbk, CharnicCapital, PT Charnic Capital</v>
      </c>
      <c r="H633" t="str">
        <f t="shared" si="105"/>
        <v>NICK, CHARNIC CAPITAL, Charnic Capital, Charnic Capital Tbk, CharnicCapital, PT Charnic Capital</v>
      </c>
      <c r="I633" t="str">
        <f t="shared" si="102"/>
        <v>CHARNIC CAPITAL</v>
      </c>
      <c r="J633" t="str">
        <f t="shared" si="106"/>
        <v>NICK, Charnic Capital, Charnic Capital Tbk, CharnicCapital, PT Charnic Capital</v>
      </c>
      <c r="K633" t="str">
        <f t="shared" si="107"/>
        <v>NICK, Charnic Capital, Charnic Capital Tbk, CharnicCapital, PT Charnic Capital</v>
      </c>
      <c r="L633" t="str">
        <f t="shared" si="103"/>
        <v>CharnicCapital</v>
      </c>
      <c r="M633" t="str">
        <f t="shared" si="108"/>
        <v>NICK, Charnic Capital, Charnic Capital Tbk, PT Charnic Capital</v>
      </c>
      <c r="N633" t="str">
        <f t="shared" si="109"/>
        <v>NICK, Charnic Capital, Charnic Capital Tbk, PT Charnic Capital</v>
      </c>
    </row>
    <row r="634" spans="1:14" x14ac:dyDescent="0.2">
      <c r="A634" t="s">
        <v>1974</v>
      </c>
      <c r="B634" t="s">
        <v>1975</v>
      </c>
      <c r="C634" t="s">
        <v>8433</v>
      </c>
      <c r="D634" t="str">
        <f t="shared" si="99"/>
        <v>NICL, PAM MINERAL, PAM Mineral, PAM Mineral Tbk, PAMMineral, PT PAM Mineral, pam mineral</v>
      </c>
      <c r="E634" t="str">
        <f t="shared" si="100"/>
        <v>NICL, PAM MINERAL, PAM Mineral, PAM Mineral Tbk, PAMMineral, PT PAM Mineral, pam mineral</v>
      </c>
      <c r="F634" t="str">
        <f t="shared" si="101"/>
        <v>pam mineral</v>
      </c>
      <c r="G634" t="str">
        <f t="shared" si="104"/>
        <v>NICL, PAM MINERAL, PAM Mineral, PAM Mineral Tbk, PAMMineral, PT PAM Mineral</v>
      </c>
      <c r="H634" t="str">
        <f t="shared" si="105"/>
        <v>NICL, PAM MINERAL, PAM Mineral, PAM Mineral Tbk, PAMMineral, PT PAM Mineral</v>
      </c>
      <c r="I634" t="str">
        <f t="shared" si="102"/>
        <v>PAM MINERAL</v>
      </c>
      <c r="J634" t="str">
        <f t="shared" si="106"/>
        <v>NICL, PAM Mineral, PAM Mineral Tbk, PAMMineral, PT PAM Mineral</v>
      </c>
      <c r="K634" t="str">
        <f t="shared" si="107"/>
        <v>NICL, PAM Mineral, PAM Mineral Tbk, PAMMineral, PT PAM Mineral</v>
      </c>
      <c r="L634" t="str">
        <f t="shared" si="103"/>
        <v>PAMMineral</v>
      </c>
      <c r="M634" t="str">
        <f t="shared" si="108"/>
        <v>NICL, PAM Mineral, PAM Mineral Tbk, PT PAM Mineral</v>
      </c>
      <c r="N634" t="str">
        <f t="shared" si="109"/>
        <v>NICL, PAM Mineral, PAM Mineral Tbk, PT PAM Mineral</v>
      </c>
    </row>
    <row r="635" spans="1:14" x14ac:dyDescent="0.2">
      <c r="A635" t="s">
        <v>922</v>
      </c>
      <c r="B635" t="s">
        <v>923</v>
      </c>
      <c r="C635" t="s">
        <v>8434</v>
      </c>
      <c r="D635" t="str">
        <f t="shared" si="99"/>
        <v>NIKL, PELAT TIMAH NUSANTARA, PT Pelat Timah Nusantara, Pelat Timah Nusantara, Pelat Timah Nusantara Tbk, PelatTimahNusantara, pelat timah nusantara</v>
      </c>
      <c r="E635" t="str">
        <f t="shared" si="100"/>
        <v>NIKL, PELAT TIMAH NUSANTARA, PT Pelat Timah Nusantara, Pelat Timah Nusantara, Pelat Timah Nusantara Tbk, PelatTimahNusantara, pelat timah nusantara</v>
      </c>
      <c r="F635" t="str">
        <f t="shared" si="101"/>
        <v>pelat timah nusantara</v>
      </c>
      <c r="G635" t="str">
        <f t="shared" si="104"/>
        <v>NIKL, PELAT TIMAH NUSANTARA, PT Pelat Timah Nusantara, Pelat Timah Nusantara, Pelat Timah Nusantara Tbk, PelatTimahNusantara</v>
      </c>
      <c r="H635" t="str">
        <f t="shared" si="105"/>
        <v>NIKL, PELAT TIMAH NUSANTARA, PT Pelat Timah Nusantara, Pelat Timah Nusantara, Pelat Timah Nusantara Tbk, PelatTimahNusantara</v>
      </c>
      <c r="I635" t="str">
        <f t="shared" si="102"/>
        <v>PELAT TIMAH NUSANTARA</v>
      </c>
      <c r="J635" t="str">
        <f t="shared" si="106"/>
        <v>NIKL, PT Pelat Timah Nusantara, Pelat Timah Nusantara, Pelat Timah Nusantara Tbk, PelatTimahNusantara</v>
      </c>
      <c r="K635" t="str">
        <f t="shared" si="107"/>
        <v>NIKL, PT Pelat Timah Nusantara, Pelat Timah Nusantara, Pelat Timah Nusantara Tbk, PelatTimahNusantara</v>
      </c>
      <c r="L635" t="str">
        <f t="shared" si="103"/>
        <v>PelatTimahNusantara</v>
      </c>
      <c r="M635" t="str">
        <f t="shared" si="108"/>
        <v>NIKL, PT Pelat Timah Nusantara, Pelat Timah Nusantara, Pelat Timah Nusantara Tbk</v>
      </c>
      <c r="N635" t="str">
        <f t="shared" si="109"/>
        <v>NIKL, PT Pelat Timah Nusantara, Pelat Timah Nusantara, Pelat Timah Nusantara Tbk</v>
      </c>
    </row>
    <row r="636" spans="1:14" x14ac:dyDescent="0.2">
      <c r="A636" t="s">
        <v>2202</v>
      </c>
      <c r="B636" t="s">
        <v>2203</v>
      </c>
      <c r="C636" t="s">
        <v>8435</v>
      </c>
      <c r="D636" t="str">
        <f t="shared" si="99"/>
        <v>NINE, PT Techno9 Indonesia, TECHNO9 INDONESIA, Techno9 Indonesia, Techno9 Indonesia Tbk, Techno9Indonesia, techno9 indonesia</v>
      </c>
      <c r="E636" t="str">
        <f t="shared" si="100"/>
        <v>NINE, PT Techno9 Indonesia, TECHNO9 INDONESIA, Techno9 Indonesia, Techno9 Indonesia Tbk, Techno9Indonesia, techno9 indonesia</v>
      </c>
      <c r="F636" t="str">
        <f t="shared" si="101"/>
        <v>techno9 indonesia</v>
      </c>
      <c r="G636" t="str">
        <f t="shared" si="104"/>
        <v>NINE, PT Techno9 Indonesia, TECHNO9 INDONESIA, Techno9 Indonesia, Techno9 Indonesia Tbk, Techno9Indonesia</v>
      </c>
      <c r="H636" t="str">
        <f t="shared" si="105"/>
        <v>NINE, PT Techno9 Indonesia, TECHNO9 INDONESIA, Techno9 Indonesia, Techno9 Indonesia Tbk, Techno9Indonesia</v>
      </c>
      <c r="I636" t="str">
        <f t="shared" si="102"/>
        <v>TECHNO9 INDONESIA</v>
      </c>
      <c r="J636" t="str">
        <f t="shared" si="106"/>
        <v>NINE, PT Techno9 Indonesia, Techno9 Indonesia, Techno9 Indonesia Tbk, Techno9Indonesia</v>
      </c>
      <c r="K636" t="str">
        <f t="shared" si="107"/>
        <v>NINE, PT Techno9 Indonesia, Techno9 Indonesia, Techno9 Indonesia Tbk, Techno9Indonesia</v>
      </c>
      <c r="L636" t="str">
        <f t="shared" si="103"/>
        <v>Techno9Indonesia</v>
      </c>
      <c r="M636" t="str">
        <f t="shared" si="108"/>
        <v>NINE, PT Techno9 Indonesia, Techno9 Indonesia, Techno9 Indonesia Tbk</v>
      </c>
      <c r="N636" t="str">
        <f t="shared" si="109"/>
        <v>NINE, PT Techno9 Indonesia, Techno9 Indonesia, Techno9 Indonesia Tbk</v>
      </c>
    </row>
    <row r="637" spans="1:14" x14ac:dyDescent="0.2">
      <c r="A637" t="s">
        <v>925</v>
      </c>
      <c r="B637" t="s">
        <v>926</v>
      </c>
      <c r="C637" t="s">
        <v>8436</v>
      </c>
      <c r="D637" t="str">
        <f t="shared" si="99"/>
        <v>NIRO, CITY RETAIL DEVELOPMENTS, City Retail Developments, City Retail Developments Tbk, CityRetailDevelopments, PT City Retail Developments, city retail developments</v>
      </c>
      <c r="E637" t="str">
        <f t="shared" si="100"/>
        <v>NIRO, CITY RETAIL DEVELOPMENTS, City Retail Developments, City Retail Developments Tbk, CityRetailDevelopments, PT City Retail Developments, city retail developments</v>
      </c>
      <c r="F637" t="str">
        <f t="shared" si="101"/>
        <v>city retail developments</v>
      </c>
      <c r="G637" t="str">
        <f t="shared" si="104"/>
        <v>NIRO, CITY RETAIL DEVELOPMENTS, City Retail Developments, City Retail Developments Tbk, CityRetailDevelopments, PT City Retail Developments</v>
      </c>
      <c r="H637" t="str">
        <f t="shared" si="105"/>
        <v>NIRO, CITY RETAIL DEVELOPMENTS, City Retail Developments, City Retail Developments Tbk, CityRetailDevelopments, PT City Retail Developments</v>
      </c>
      <c r="I637" t="str">
        <f t="shared" si="102"/>
        <v>CITY RETAIL DEVELOPMENTS</v>
      </c>
      <c r="J637" t="str">
        <f t="shared" si="106"/>
        <v>NIRO, City Retail Developments, City Retail Developments Tbk, CityRetailDevelopments, PT City Retail Developments</v>
      </c>
      <c r="K637" t="str">
        <f t="shared" si="107"/>
        <v>NIRO, City Retail Developments, City Retail Developments Tbk, CityRetailDevelopments, PT City Retail Developments</v>
      </c>
      <c r="L637" t="str">
        <f t="shared" si="103"/>
        <v>CityRetailDevelopments</v>
      </c>
      <c r="M637" t="str">
        <f t="shared" si="108"/>
        <v>NIRO, City Retail Developments, City Retail Developments Tbk, PT City Retail Developments</v>
      </c>
      <c r="N637" t="str">
        <f t="shared" si="109"/>
        <v>NIRO, City Retail Developments, City Retail Developments Tbk, PT City Retail Developments</v>
      </c>
    </row>
    <row r="638" spans="1:14" x14ac:dyDescent="0.2">
      <c r="A638" t="s">
        <v>928</v>
      </c>
      <c r="B638" t="s">
        <v>929</v>
      </c>
      <c r="C638" t="s">
        <v>8437</v>
      </c>
      <c r="D638" t="str">
        <f t="shared" si="99"/>
        <v>NISP, BANK OCBC NISP, Bank NISP, Bank OCBC NISP, Bank OCBC NISP Tbk, BankOCBCNISP, PT Bank OCBC NISP, bank ocbc nisp</v>
      </c>
      <c r="E638" t="str">
        <f t="shared" si="100"/>
        <v>NISP, BANK OCBC NISP, Bank NISP, Bank OCBC NISP, Bank OCBC NISP Tbk, BankOCBCNISP, PT Bank OCBC NISP, bank ocbc nisp</v>
      </c>
      <c r="F638" t="str">
        <f t="shared" si="101"/>
        <v>bank ocbc nisp</v>
      </c>
      <c r="G638" t="str">
        <f t="shared" si="104"/>
        <v>NISP, BANK OCBC NISP, Bank NISP, Bank OCBC NISP, Bank OCBC NISP Tbk, BankOCBCNISP, PT Bank OCBC NISP</v>
      </c>
      <c r="H638" t="str">
        <f t="shared" si="105"/>
        <v>NISP, BANK OCBC NISP, Bank NISP, Bank OCBC NISP, Bank OCBC NISP Tbk, BankOCBCNISP, PT Bank OCBC NISP</v>
      </c>
      <c r="I638" t="str">
        <f t="shared" si="102"/>
        <v>BANK OCBC NISP</v>
      </c>
      <c r="J638" t="str">
        <f t="shared" si="106"/>
        <v>NISP, Bank NISP, Bank OCBC NISP, Bank OCBC NISP Tbk, BankOCBCNISP, PT Bank OCBC NISP</v>
      </c>
      <c r="K638" t="str">
        <f t="shared" si="107"/>
        <v>NISP, Bank NISP, Bank OCBC NISP, Bank OCBC NISP Tbk, BankOCBCNISP, PT Bank OCBC NISP</v>
      </c>
      <c r="L638" t="str">
        <f t="shared" si="103"/>
        <v>BankOCBCNISP</v>
      </c>
      <c r="M638" t="str">
        <f t="shared" si="108"/>
        <v>NISP, Bank NISP, Bank OCBC NISP, Bank OCBC NISP Tbk, PT Bank OCBC NISP</v>
      </c>
      <c r="N638" t="str">
        <f t="shared" si="109"/>
        <v>NISP, Bank NISP, Bank OCBC NISP, Bank OCBC NISP Tbk, PT Bank OCBC NISP</v>
      </c>
    </row>
    <row r="639" spans="1:14" x14ac:dyDescent="0.2">
      <c r="A639" t="s">
        <v>931</v>
      </c>
      <c r="B639" t="s">
        <v>932</v>
      </c>
      <c r="C639" t="s">
        <v>8438</v>
      </c>
      <c r="D639" t="str">
        <f t="shared" si="99"/>
        <v>NOBU, BANK NATIONALNOBU, Bank Nationalnobu, Bank Nationalnobu Tbk, BankNationalnobu, Nationalnobu, PT Bank Nationalnobu, bank nationalnobu</v>
      </c>
      <c r="E639" t="str">
        <f t="shared" si="100"/>
        <v>NOBU, BANK NATIONALNOBU, Bank Nationalnobu, Bank Nationalnobu Tbk, BankNationalnobu, Nationalnobu, PT Bank Nationalnobu, bank nationalnobu</v>
      </c>
      <c r="F639" t="str">
        <f t="shared" si="101"/>
        <v>bank nationalnobu</v>
      </c>
      <c r="G639" t="str">
        <f t="shared" si="104"/>
        <v>NOBU, BANK NATIONALNOBU, Bank Nationalnobu, Bank Nationalnobu Tbk, BankNationalnobu, Nationalnobu, PT Bank Nationalnobu</v>
      </c>
      <c r="H639" t="str">
        <f t="shared" si="105"/>
        <v>NOBU, BANK NATIONALNOBU, Bank Nationalnobu, Bank Nationalnobu Tbk, BankNationalnobu, Nationalnobu, PT Bank Nationalnobu</v>
      </c>
      <c r="I639" t="str">
        <f t="shared" si="102"/>
        <v>BANK NATIONALNOBU</v>
      </c>
      <c r="J639" t="str">
        <f t="shared" si="106"/>
        <v>NOBU, Bank Nationalnobu, Bank Nationalnobu Tbk, BankNationalnobu, Nationalnobu, PT Bank Nationalnobu</v>
      </c>
      <c r="K639" t="str">
        <f t="shared" si="107"/>
        <v>NOBU, Bank Nationalnobu, Bank Nationalnobu Tbk, BankNationalnobu, Nationalnobu, PT Bank Nationalnobu</v>
      </c>
      <c r="L639" t="str">
        <f t="shared" si="103"/>
        <v>BankNationalnobu</v>
      </c>
      <c r="M639" t="str">
        <f t="shared" si="108"/>
        <v>NOBU, Bank Nationalnobu, Bank Nationalnobu Tbk, Nationalnobu, PT Bank Nationalnobu</v>
      </c>
      <c r="N639" t="str">
        <f t="shared" si="109"/>
        <v>NOBU, Bank Nationalnobu, Bank Nationalnobu Tbk, Nationalnobu, PT Bank Nationalnobu</v>
      </c>
    </row>
    <row r="640" spans="1:14" x14ac:dyDescent="0.2">
      <c r="A640" t="s">
        <v>1939</v>
      </c>
      <c r="B640" t="s">
        <v>1940</v>
      </c>
      <c r="C640" t="s">
        <v>8439</v>
      </c>
      <c r="D640" t="str">
        <f t="shared" si="99"/>
        <v>NPGF, NUSA PALAPA GEMILANG, Nusa Palapa Gemilang, Nusa Palapa Gemilang Tbk, NusaPalapaGemilang, PT Nusa Palapa Gemilang, nusa palapa gemilang</v>
      </c>
      <c r="E640" t="str">
        <f t="shared" si="100"/>
        <v>NPGF, NUSA PALAPA GEMILANG, Nusa Palapa Gemilang, Nusa Palapa Gemilang Tbk, NusaPalapaGemilang, PT Nusa Palapa Gemilang, nusa palapa gemilang</v>
      </c>
      <c r="F640" t="str">
        <f t="shared" si="101"/>
        <v>nusa palapa gemilang</v>
      </c>
      <c r="G640" t="str">
        <f t="shared" si="104"/>
        <v>NPGF, NUSA PALAPA GEMILANG, Nusa Palapa Gemilang, Nusa Palapa Gemilang Tbk, NusaPalapaGemilang, PT Nusa Palapa Gemilang</v>
      </c>
      <c r="H640" t="str">
        <f t="shared" si="105"/>
        <v>NPGF, NUSA PALAPA GEMILANG, Nusa Palapa Gemilang, Nusa Palapa Gemilang Tbk, NusaPalapaGemilang, PT Nusa Palapa Gemilang</v>
      </c>
      <c r="I640" t="str">
        <f t="shared" si="102"/>
        <v>NUSA PALAPA GEMILANG</v>
      </c>
      <c r="J640" t="str">
        <f t="shared" si="106"/>
        <v>NPGF, Nusa Palapa Gemilang, Nusa Palapa Gemilang Tbk, NusaPalapaGemilang, PT Nusa Palapa Gemilang</v>
      </c>
      <c r="K640" t="str">
        <f t="shared" si="107"/>
        <v>NPGF, Nusa Palapa Gemilang, Nusa Palapa Gemilang Tbk, NusaPalapaGemilang, PT Nusa Palapa Gemilang</v>
      </c>
      <c r="L640" t="str">
        <f t="shared" si="103"/>
        <v>NusaPalapaGemilang</v>
      </c>
      <c r="M640" t="str">
        <f t="shared" si="108"/>
        <v>NPGF, Nusa Palapa Gemilang, Nusa Palapa Gemilang Tbk, PT Nusa Palapa Gemilang</v>
      </c>
      <c r="N640" t="str">
        <f t="shared" si="109"/>
        <v>NPGF, Nusa Palapa Gemilang, Nusa Palapa Gemilang Tbk, PT Nusa Palapa Gemilang</v>
      </c>
    </row>
    <row r="641" spans="1:14" x14ac:dyDescent="0.2">
      <c r="A641" t="s">
        <v>934</v>
      </c>
      <c r="B641" t="s">
        <v>935</v>
      </c>
      <c r="C641" t="s">
        <v>8440</v>
      </c>
      <c r="D641" t="str">
        <f t="shared" si="99"/>
        <v>NRCA, NUSA RAYA CIA, Nusa Raya Cia, Nusa Raya Cia Tbk, NusaRayaCia, PT Nusa Raya Cia, nusa raya cia</v>
      </c>
      <c r="E641" t="str">
        <f t="shared" si="100"/>
        <v>NRCA, NUSA RAYA CIA, Nusa Raya Cia, Nusa Raya Cia Tbk, NusaRayaCia, PT Nusa Raya Cia, nusa raya cia</v>
      </c>
      <c r="F641" t="str">
        <f t="shared" si="101"/>
        <v>nusa raya cipta</v>
      </c>
      <c r="G641" t="str">
        <f t="shared" si="104"/>
        <v>NRCA, NUSA RAYA CIA, Nusa Raya Cia, Nusa Raya Cia Tbk, NusaRayaCia, PT Nusa Raya Cia, nusa raya cia</v>
      </c>
      <c r="H641" t="str">
        <f t="shared" si="105"/>
        <v>NRCA, NUSA RAYA CIA, Nusa Raya Cia, Nusa Raya Cia Tbk, NusaRayaCia, PT Nusa Raya Cia, nusa raya cia</v>
      </c>
      <c r="I641" t="str">
        <f t="shared" si="102"/>
        <v>NUSA RAYA CIPTA</v>
      </c>
      <c r="J641" t="str">
        <f t="shared" si="106"/>
        <v>NRCA, NUSA RAYA CIA, Nusa Raya Cia, Nusa Raya Cia Tbk, NusaRayaCia, PT Nusa Raya Cia, nusa raya cia</v>
      </c>
      <c r="K641" t="str">
        <f t="shared" si="107"/>
        <v>NRCA, NUSA RAYA CIA, Nusa Raya Cia, Nusa Raya Cia Tbk, NusaRayaCia, PT Nusa Raya Cia, nusa raya cia</v>
      </c>
      <c r="L641" t="str">
        <f t="shared" si="103"/>
        <v>NusaRayaCipta</v>
      </c>
      <c r="M641" t="str">
        <f t="shared" si="108"/>
        <v>NRCA, NUSA RAYA CIA, Nusa Raya Cia, Nusa Raya Cia Tbk, NusaRayaCia, PT Nusa Raya Cia, nusa raya cia</v>
      </c>
      <c r="N641" t="str">
        <f t="shared" si="109"/>
        <v>NRCA, NUSA RAYA CIA, Nusa Raya Cia, Nusa Raya Cia Tbk, NusaRayaCia, PT Nusa Raya Cia, nusa raya cia</v>
      </c>
    </row>
    <row r="642" spans="1:14" x14ac:dyDescent="0.2">
      <c r="A642" t="s">
        <v>2289</v>
      </c>
      <c r="B642" t="s">
        <v>2290</v>
      </c>
      <c r="C642" t="s">
        <v>8441</v>
      </c>
      <c r="D642" t="str">
        <f t="shared" ref="D642:D705" si="110">SUBSTITUTE(C642, _xlfn.CONCAT(", ", B642), "")</f>
        <v>NSSS, NUSANTARA SAWIT SEJAHTERA, Nusantara Sawit Sejahtera, Nusantara Sawit Sejahtera Tbk, NusantaraSawitSejahtera, PT Nusantara Sawit Sejahtera, nusantara sawit sejahtera</v>
      </c>
      <c r="E642" t="str">
        <f t="shared" ref="E642:E705" si="111">SUBSTITUTE(D642, _xlfn.CONCAT(B642, ", "), "")</f>
        <v>NSSS, NUSANTARA SAWIT SEJAHTERA, Nusantara Sawit Sejahtera, Nusantara Sawit Sejahtera Tbk, NusantaraSawitSejahtera, PT Nusantara Sawit Sejahtera, nusantara sawit sejahtera</v>
      </c>
      <c r="F642" t="str">
        <f t="shared" ref="F642:F705" si="112">LOWER(MID(B642, 1, FIND(" Tbk.", B642)-1))</f>
        <v>nusantara sawit sejahtera</v>
      </c>
      <c r="G642" t="str">
        <f t="shared" si="104"/>
        <v>NSSS, NUSANTARA SAWIT SEJAHTERA, Nusantara Sawit Sejahtera, Nusantara Sawit Sejahtera Tbk, NusantaraSawitSejahtera, PT Nusantara Sawit Sejahtera</v>
      </c>
      <c r="H642" t="str">
        <f t="shared" si="105"/>
        <v>NSSS, NUSANTARA SAWIT SEJAHTERA, Nusantara Sawit Sejahtera, Nusantara Sawit Sejahtera Tbk, NusantaraSawitSejahtera, PT Nusantara Sawit Sejahtera</v>
      </c>
      <c r="I642" t="str">
        <f t="shared" ref="I642:I705" si="113">UPPER(MID(B642, 1, FIND(" Tbk.", B642)-1))</f>
        <v>NUSANTARA SAWIT SEJAHTERA</v>
      </c>
      <c r="J642" t="str">
        <f t="shared" si="106"/>
        <v>NSSS, Nusantara Sawit Sejahtera, Nusantara Sawit Sejahtera Tbk, NusantaraSawitSejahtera, PT Nusantara Sawit Sejahtera</v>
      </c>
      <c r="K642" t="str">
        <f t="shared" si="107"/>
        <v>NSSS, Nusantara Sawit Sejahtera, Nusantara Sawit Sejahtera Tbk, NusantaraSawitSejahtera, PT Nusantara Sawit Sejahtera</v>
      </c>
      <c r="L642" t="str">
        <f t="shared" ref="L642:L705" si="114">SUBSTITUTE(MID(B642, 1, FIND(" Tbk.", B642)-1), " ", "")</f>
        <v>NusantaraSawitSejahtera</v>
      </c>
      <c r="M642" t="str">
        <f t="shared" si="108"/>
        <v>NSSS, Nusantara Sawit Sejahtera, Nusantara Sawit Sejahtera Tbk, PT Nusantara Sawit Sejahtera</v>
      </c>
      <c r="N642" t="str">
        <f t="shared" si="109"/>
        <v>NSSS, Nusantara Sawit Sejahtera, Nusantara Sawit Sejahtera Tbk, PT Nusantara Sawit Sejahtera</v>
      </c>
    </row>
    <row r="643" spans="1:14" x14ac:dyDescent="0.2">
      <c r="A643" t="s">
        <v>2077</v>
      </c>
      <c r="B643" t="s">
        <v>2078</v>
      </c>
      <c r="C643" t="s">
        <v>8442</v>
      </c>
      <c r="D643" t="str">
        <f t="shared" si="110"/>
        <v>NTBK, NUSATAMA BERKAH, Nusatama Berkah, Nusatama Berkah Tbk, NusatamaBerkah, PT Nusatama Berkah, nusatama berkah</v>
      </c>
      <c r="E643" t="str">
        <f t="shared" si="111"/>
        <v>NTBK, NUSATAMA BERKAH, Nusatama Berkah, Nusatama Berkah Tbk, NusatamaBerkah, PT Nusatama Berkah, nusatama berkah</v>
      </c>
      <c r="F643" t="str">
        <f t="shared" si="112"/>
        <v>nusatama berkah</v>
      </c>
      <c r="G643" t="str">
        <f t="shared" ref="G643:G706" si="115">SUBSTITUTE(E643, _xlfn.CONCAT(", ", F643), "")</f>
        <v>NTBK, NUSATAMA BERKAH, Nusatama Berkah, Nusatama Berkah Tbk, NusatamaBerkah, PT Nusatama Berkah</v>
      </c>
      <c r="H643" t="str">
        <f t="shared" ref="H643:H706" si="116">SUBSTITUTE(G643, _xlfn.CONCAT(F643, ", "), "")</f>
        <v>NTBK, NUSATAMA BERKAH, Nusatama Berkah, Nusatama Berkah Tbk, NusatamaBerkah, PT Nusatama Berkah</v>
      </c>
      <c r="I643" t="str">
        <f t="shared" si="113"/>
        <v>NUSATAMA BERKAH</v>
      </c>
      <c r="J643" t="str">
        <f t="shared" ref="J643:J706" si="117">SUBSTITUTE(H643, _xlfn.CONCAT(", ", I643), "")</f>
        <v>NTBK, Nusatama Berkah, Nusatama Berkah Tbk, NusatamaBerkah, PT Nusatama Berkah</v>
      </c>
      <c r="K643" t="str">
        <f t="shared" ref="K643:K706" si="118">SUBSTITUTE(J643, _xlfn.CONCAT(I643, ", "), "")</f>
        <v>NTBK, Nusatama Berkah, Nusatama Berkah Tbk, NusatamaBerkah, PT Nusatama Berkah</v>
      </c>
      <c r="L643" t="str">
        <f t="shared" si="114"/>
        <v>NusatamaBerkah</v>
      </c>
      <c r="M643" t="str">
        <f t="shared" ref="M643:M706" si="119">SUBSTITUTE(K643, _xlfn.CONCAT(", ", L643), "")</f>
        <v>NTBK, Nusatama Berkah, Nusatama Berkah Tbk, PT Nusatama Berkah</v>
      </c>
      <c r="N643" t="str">
        <f t="shared" ref="N643:N706" si="120">SUBSTITUTE(M643, _xlfn.CONCAT(L643, ", "), "")</f>
        <v>NTBK, Nusatama Berkah, Nusatama Berkah Tbk, PT Nusatama Berkah</v>
      </c>
    </row>
    <row r="644" spans="1:14" x14ac:dyDescent="0.2">
      <c r="A644" t="s">
        <v>1565</v>
      </c>
      <c r="B644" t="s">
        <v>1566</v>
      </c>
      <c r="C644" t="s">
        <v>8443</v>
      </c>
      <c r="D644" t="str">
        <f t="shared" si="110"/>
        <v>NUSA, PT Sinergi Megah Internusa, SINERGI MEGAH INTERNUSA, Sinergi Megah Internusa, Sinergi Megah Internusa Tbk, SinergiMegahInternusa, sinergi megah internusa</v>
      </c>
      <c r="E644" t="str">
        <f t="shared" si="111"/>
        <v>NUSA, PT Sinergi Megah Internusa, SINERGI MEGAH INTERNUSA, Sinergi Megah Internusa, Sinergi Megah Internusa Tbk, SinergiMegahInternusa, sinergi megah internusa</v>
      </c>
      <c r="F644" t="str">
        <f t="shared" si="112"/>
        <v>sinergi megah internusa</v>
      </c>
      <c r="G644" t="str">
        <f t="shared" si="115"/>
        <v>NUSA, PT Sinergi Megah Internusa, SINERGI MEGAH INTERNUSA, Sinergi Megah Internusa, Sinergi Megah Internusa Tbk, SinergiMegahInternusa</v>
      </c>
      <c r="H644" t="str">
        <f t="shared" si="116"/>
        <v>NUSA, PT Sinergi Megah Internusa, SINERGI MEGAH INTERNUSA, Sinergi Megah Internusa, Sinergi Megah Internusa Tbk, SinergiMegahInternusa</v>
      </c>
      <c r="I644" t="str">
        <f t="shared" si="113"/>
        <v>SINERGI MEGAH INTERNUSA</v>
      </c>
      <c r="J644" t="str">
        <f t="shared" si="117"/>
        <v>NUSA, PT Sinergi Megah Internusa, Sinergi Megah Internusa, Sinergi Megah Internusa Tbk, SinergiMegahInternusa</v>
      </c>
      <c r="K644" t="str">
        <f t="shared" si="118"/>
        <v>NUSA, PT Sinergi Megah Internusa, Sinergi Megah Internusa, Sinergi Megah Internusa Tbk, SinergiMegahInternusa</v>
      </c>
      <c r="L644" t="str">
        <f t="shared" si="114"/>
        <v>SinergiMegahInternusa</v>
      </c>
      <c r="M644" t="str">
        <f t="shared" si="119"/>
        <v>NUSA, PT Sinergi Megah Internusa, Sinergi Megah Internusa, Sinergi Megah Internusa Tbk</v>
      </c>
      <c r="N644" t="str">
        <f t="shared" si="120"/>
        <v>NUSA, PT Sinergi Megah Internusa, Sinergi Megah Internusa, Sinergi Megah Internusa Tbk</v>
      </c>
    </row>
    <row r="645" spans="1:14" x14ac:dyDescent="0.2">
      <c r="A645" t="s">
        <v>1743</v>
      </c>
      <c r="B645" t="s">
        <v>1744</v>
      </c>
      <c r="C645" t="s">
        <v>8444</v>
      </c>
      <c r="D645" t="str">
        <f t="shared" si="110"/>
        <v>NZIA, NUSANTARA ALMAZIA, Nusantara Almazia, Nusantara Almazia Tbk, NusantaraAlmazia, PT Nusantara Almazia, nusantara almazia</v>
      </c>
      <c r="E645" t="str">
        <f t="shared" si="111"/>
        <v>NZIA, NUSANTARA ALMAZIA, Nusantara Almazia, Nusantara Almazia Tbk, NusantaraAlmazia, PT Nusantara Almazia, nusantara almazia</v>
      </c>
      <c r="F645" t="str">
        <f t="shared" si="112"/>
        <v>nusantara almazia</v>
      </c>
      <c r="G645" t="str">
        <f t="shared" si="115"/>
        <v>NZIA, NUSANTARA ALMAZIA, Nusantara Almazia, Nusantara Almazia Tbk, NusantaraAlmazia, PT Nusantara Almazia</v>
      </c>
      <c r="H645" t="str">
        <f t="shared" si="116"/>
        <v>NZIA, NUSANTARA ALMAZIA, Nusantara Almazia, Nusantara Almazia Tbk, NusantaraAlmazia, PT Nusantara Almazia</v>
      </c>
      <c r="I645" t="str">
        <f t="shared" si="113"/>
        <v>NUSANTARA ALMAZIA</v>
      </c>
      <c r="J645" t="str">
        <f t="shared" si="117"/>
        <v>NZIA, Nusantara Almazia, Nusantara Almazia Tbk, NusantaraAlmazia, PT Nusantara Almazia</v>
      </c>
      <c r="K645" t="str">
        <f t="shared" si="118"/>
        <v>NZIA, Nusantara Almazia, Nusantara Almazia Tbk, NusantaraAlmazia, PT Nusantara Almazia</v>
      </c>
      <c r="L645" t="str">
        <f t="shared" si="114"/>
        <v>NusantaraAlmazia</v>
      </c>
      <c r="M645" t="str">
        <f t="shared" si="119"/>
        <v>NZIA, Nusantara Almazia, Nusantara Almazia Tbk, PT Nusantara Almazia</v>
      </c>
      <c r="N645" t="str">
        <f t="shared" si="120"/>
        <v>NZIA, Nusantara Almazia, Nusantara Almazia Tbk, PT Nusantara Almazia</v>
      </c>
    </row>
    <row r="646" spans="1:14" x14ac:dyDescent="0.2">
      <c r="A646" t="s">
        <v>1369</v>
      </c>
      <c r="B646" t="s">
        <v>1370</v>
      </c>
      <c r="C646" t="s">
        <v>8445</v>
      </c>
      <c r="D646" t="str">
        <f t="shared" si="110"/>
        <v>OASA, MAHARAKSA BIRU ENERGI, Maharaksa Biru Energi, Maharaksa Biru Energi Tbk, MaharaksaBiruEnergi, PT Maharaksa Biru Energi, maharaksa biru energi</v>
      </c>
      <c r="E646" t="str">
        <f t="shared" si="111"/>
        <v>OASA, MAHARAKSA BIRU ENERGI, Maharaksa Biru Energi, Maharaksa Biru Energi Tbk, MaharaksaBiruEnergi, PT Maharaksa Biru Energi, maharaksa biru energi</v>
      </c>
      <c r="F646" t="str">
        <f t="shared" si="112"/>
        <v>maharaksa biru energi</v>
      </c>
      <c r="G646" t="str">
        <f t="shared" si="115"/>
        <v>OASA, MAHARAKSA BIRU ENERGI, Maharaksa Biru Energi, Maharaksa Biru Energi Tbk, MaharaksaBiruEnergi, PT Maharaksa Biru Energi</v>
      </c>
      <c r="H646" t="str">
        <f t="shared" si="116"/>
        <v>OASA, MAHARAKSA BIRU ENERGI, Maharaksa Biru Energi, Maharaksa Biru Energi Tbk, MaharaksaBiruEnergi, PT Maharaksa Biru Energi</v>
      </c>
      <c r="I646" t="str">
        <f t="shared" si="113"/>
        <v>MAHARAKSA BIRU ENERGI</v>
      </c>
      <c r="J646" t="str">
        <f t="shared" si="117"/>
        <v>OASA, Maharaksa Biru Energi, Maharaksa Biru Energi Tbk, MaharaksaBiruEnergi, PT Maharaksa Biru Energi</v>
      </c>
      <c r="K646" t="str">
        <f t="shared" si="118"/>
        <v>OASA, Maharaksa Biru Energi, Maharaksa Biru Energi Tbk, MaharaksaBiruEnergi, PT Maharaksa Biru Energi</v>
      </c>
      <c r="L646" t="str">
        <f t="shared" si="114"/>
        <v>MaharaksaBiruEnergi</v>
      </c>
      <c r="M646" t="str">
        <f t="shared" si="119"/>
        <v>OASA, Maharaksa Biru Energi, Maharaksa Biru Energi Tbk, PT Maharaksa Biru Energi</v>
      </c>
      <c r="N646" t="str">
        <f t="shared" si="120"/>
        <v>OASA, Maharaksa Biru Energi, Maharaksa Biru Energi Tbk, PT Maharaksa Biru Energi</v>
      </c>
    </row>
    <row r="647" spans="1:14" x14ac:dyDescent="0.2">
      <c r="A647" t="s">
        <v>2531</v>
      </c>
      <c r="B647" t="s">
        <v>3632</v>
      </c>
      <c r="C647" t="s">
        <v>8446</v>
      </c>
      <c r="D647" t="str">
        <f t="shared" si="110"/>
        <v>OBAT, BRIGIT BIOFARMAKA TEKNOLOGI, Brigit Biofarmaka Teknologi, Brigit Biofarmaka Teknologi Tbk, BrigitBiofarmakaTeknologi, PT Brigit Biofarmaka Teknologi, brigit biofarmaka teknologi</v>
      </c>
      <c r="E647" t="str">
        <f t="shared" si="111"/>
        <v>OBAT, BRIGIT BIOFARMAKA TEKNOLOGI, Brigit Biofarmaka Teknologi, Brigit Biofarmaka Teknologi Tbk, BrigitBiofarmakaTeknologi, PT Brigit Biofarmaka Teknologi, brigit biofarmaka teknologi</v>
      </c>
      <c r="F647" t="str">
        <f t="shared" si="112"/>
        <v>brigit biofarmaka teknologi</v>
      </c>
      <c r="G647" t="str">
        <f t="shared" si="115"/>
        <v>OBAT, BRIGIT BIOFARMAKA TEKNOLOGI, Brigit Biofarmaka Teknologi, Brigit Biofarmaka Teknologi Tbk, BrigitBiofarmakaTeknologi, PT Brigit Biofarmaka Teknologi</v>
      </c>
      <c r="H647" t="str">
        <f t="shared" si="116"/>
        <v>OBAT, BRIGIT BIOFARMAKA TEKNOLOGI, Brigit Biofarmaka Teknologi, Brigit Biofarmaka Teknologi Tbk, BrigitBiofarmakaTeknologi, PT Brigit Biofarmaka Teknologi</v>
      </c>
      <c r="I647" t="str">
        <f t="shared" si="113"/>
        <v>BRIGIT BIOFARMAKA TEKNOLOGI</v>
      </c>
      <c r="J647" t="str">
        <f t="shared" si="117"/>
        <v>OBAT, Brigit Biofarmaka Teknologi, Brigit Biofarmaka Teknologi Tbk, BrigitBiofarmakaTeknologi, PT Brigit Biofarmaka Teknologi</v>
      </c>
      <c r="K647" t="str">
        <f t="shared" si="118"/>
        <v>OBAT, Brigit Biofarmaka Teknologi, Brigit Biofarmaka Teknologi Tbk, BrigitBiofarmakaTeknologi, PT Brigit Biofarmaka Teknologi</v>
      </c>
      <c r="L647" t="str">
        <f t="shared" si="114"/>
        <v>BrigitBiofarmakaTeknologi</v>
      </c>
      <c r="M647" t="str">
        <f t="shared" si="119"/>
        <v>OBAT, Brigit Biofarmaka Teknologi, Brigit Biofarmaka Teknologi Tbk, PT Brigit Biofarmaka Teknologi</v>
      </c>
      <c r="N647" t="str">
        <f t="shared" si="120"/>
        <v>OBAT, Brigit Biofarmaka Teknologi, Brigit Biofarmaka Teknologi Tbk, PT Brigit Biofarmaka Teknologi</v>
      </c>
    </row>
    <row r="648" spans="1:14" x14ac:dyDescent="0.2">
      <c r="A648" t="s">
        <v>2043</v>
      </c>
      <c r="B648" t="s">
        <v>2044</v>
      </c>
      <c r="C648" t="s">
        <v>8447</v>
      </c>
      <c r="D648" t="str">
        <f t="shared" si="110"/>
        <v>OBMD, OBM DRILCHEM, OBM Drilchem, OBM Drilchem Tbk, OBMDrilchem, PT OBM Drilchem, obm drilchem</v>
      </c>
      <c r="E648" t="str">
        <f t="shared" si="111"/>
        <v>OBMD, OBM DRILCHEM, OBM Drilchem, OBM Drilchem Tbk, OBMDrilchem, PT OBM Drilchem, obm drilchem</v>
      </c>
      <c r="F648" t="str">
        <f t="shared" si="112"/>
        <v>obm drilchem</v>
      </c>
      <c r="G648" t="str">
        <f t="shared" si="115"/>
        <v>OBMD, OBM DRILCHEM, OBM Drilchem, OBM Drilchem Tbk, OBMDrilchem, PT OBM Drilchem</v>
      </c>
      <c r="H648" t="str">
        <f t="shared" si="116"/>
        <v>OBMD, OBM DRILCHEM, OBM Drilchem, OBM Drilchem Tbk, OBMDrilchem, PT OBM Drilchem</v>
      </c>
      <c r="I648" t="str">
        <f t="shared" si="113"/>
        <v>OBM DRILCHEM</v>
      </c>
      <c r="J648" t="str">
        <f t="shared" si="117"/>
        <v>OBMD, OBM Drilchem, OBM Drilchem Tbk, OBMDrilchem, PT OBM Drilchem</v>
      </c>
      <c r="K648" t="str">
        <f t="shared" si="118"/>
        <v>OBMD, OBM Drilchem, OBM Drilchem Tbk, OBMDrilchem, PT OBM Drilchem</v>
      </c>
      <c r="L648" t="str">
        <f t="shared" si="114"/>
        <v>OBMDrilchem</v>
      </c>
      <c r="M648" t="str">
        <f t="shared" si="119"/>
        <v>OBMD, OBM Drilchem, OBM Drilchem Tbk, PT OBM Drilchem</v>
      </c>
      <c r="N648" t="str">
        <f t="shared" si="120"/>
        <v>OBMD, OBM Drilchem, OBM Drilchem Tbk, PT OBM Drilchem</v>
      </c>
    </row>
    <row r="649" spans="1:14" x14ac:dyDescent="0.2">
      <c r="A649" t="s">
        <v>937</v>
      </c>
      <c r="B649" t="s">
        <v>938</v>
      </c>
      <c r="C649" t="s">
        <v>8448</v>
      </c>
      <c r="D649" t="str">
        <f t="shared" si="110"/>
        <v>OCAP, ONIX CAPITAL, Onix Capital, Onix Capital Tbk, OnixCapital, PT Onix Capital, onix capital</v>
      </c>
      <c r="E649" t="str">
        <f t="shared" si="111"/>
        <v>OCAP, ONIX CAPITAL, Onix Capital, Onix Capital Tbk, OnixCapital, PT Onix Capital, onix capital</v>
      </c>
      <c r="F649" t="str">
        <f t="shared" si="112"/>
        <v>onix capital</v>
      </c>
      <c r="G649" t="str">
        <f t="shared" si="115"/>
        <v>OCAP, ONIX CAPITAL, Onix Capital, Onix Capital Tbk, OnixCapital, PT Onix Capital</v>
      </c>
      <c r="H649" t="str">
        <f t="shared" si="116"/>
        <v>OCAP, ONIX CAPITAL, Onix Capital, Onix Capital Tbk, OnixCapital, PT Onix Capital</v>
      </c>
      <c r="I649" t="str">
        <f t="shared" si="113"/>
        <v>ONIX CAPITAL</v>
      </c>
      <c r="J649" t="str">
        <f t="shared" si="117"/>
        <v>OCAP, Onix Capital, Onix Capital Tbk, OnixCapital, PT Onix Capital</v>
      </c>
      <c r="K649" t="str">
        <f t="shared" si="118"/>
        <v>OCAP, Onix Capital, Onix Capital Tbk, OnixCapital, PT Onix Capital</v>
      </c>
      <c r="L649" t="str">
        <f t="shared" si="114"/>
        <v>OnixCapital</v>
      </c>
      <c r="M649" t="str">
        <f t="shared" si="119"/>
        <v>OCAP, Onix Capital, Onix Capital Tbk, PT Onix Capital</v>
      </c>
      <c r="N649" t="str">
        <f t="shared" si="120"/>
        <v>OCAP, Onix Capital, Onix Capital Tbk, PT Onix Capital</v>
      </c>
    </row>
    <row r="650" spans="1:14" x14ac:dyDescent="0.2">
      <c r="A650" t="s">
        <v>1986</v>
      </c>
      <c r="B650" t="s">
        <v>1987</v>
      </c>
      <c r="C650" t="s">
        <v>8449</v>
      </c>
      <c r="D650" t="str">
        <f t="shared" si="110"/>
        <v>OILS, INDO OIL PERKASA, Indo Oil Perkasa, Indo Oil Perkasa Tbk, IndoOilPerkasa, PT Indo Oil Perkasa, indo oil perkasa</v>
      </c>
      <c r="E650" t="str">
        <f t="shared" si="111"/>
        <v>OILS, INDO OIL PERKASA, Indo Oil Perkasa, Indo Oil Perkasa Tbk, IndoOilPerkasa, PT Indo Oil Perkasa, indo oil perkasa</v>
      </c>
      <c r="F650" t="str">
        <f t="shared" si="112"/>
        <v>indo oil perkasa</v>
      </c>
      <c r="G650" t="str">
        <f t="shared" si="115"/>
        <v>OILS, INDO OIL PERKASA, Indo Oil Perkasa, Indo Oil Perkasa Tbk, IndoOilPerkasa, PT Indo Oil Perkasa</v>
      </c>
      <c r="H650" t="str">
        <f t="shared" si="116"/>
        <v>OILS, INDO OIL PERKASA, Indo Oil Perkasa, Indo Oil Perkasa Tbk, IndoOilPerkasa, PT Indo Oil Perkasa</v>
      </c>
      <c r="I650" t="str">
        <f t="shared" si="113"/>
        <v>INDO OIL PERKASA</v>
      </c>
      <c r="J650" t="str">
        <f t="shared" si="117"/>
        <v>OILS, Indo Oil Perkasa, Indo Oil Perkasa Tbk, IndoOilPerkasa, PT Indo Oil Perkasa</v>
      </c>
      <c r="K650" t="str">
        <f t="shared" si="118"/>
        <v>OILS, Indo Oil Perkasa, Indo Oil Perkasa Tbk, IndoOilPerkasa, PT Indo Oil Perkasa</v>
      </c>
      <c r="L650" t="str">
        <f t="shared" si="114"/>
        <v>IndoOilPerkasa</v>
      </c>
      <c r="M650" t="str">
        <f t="shared" si="119"/>
        <v>OILS, Indo Oil Perkasa, Indo Oil Perkasa Tbk, PT Indo Oil Perkasa</v>
      </c>
      <c r="N650" t="str">
        <f t="shared" si="120"/>
        <v>OILS, Indo Oil Perkasa, Indo Oil Perkasa Tbk, PT Indo Oil Perkasa</v>
      </c>
    </row>
    <row r="651" spans="1:14" x14ac:dyDescent="0.2">
      <c r="A651" t="s">
        <v>940</v>
      </c>
      <c r="B651" t="s">
        <v>3633</v>
      </c>
      <c r="C651" t="s">
        <v>8450</v>
      </c>
      <c r="D651" t="str">
        <f t="shared" si="110"/>
        <v>OKAS, ANCORA INDONESIA RESOURCES, Ancora Indonesia Resources, Ancora Indonesia Resources Tbk, AncoraIndonesiaResources, PT Ancora Indonesia Resources, ancora indonesia resources</v>
      </c>
      <c r="E651" t="str">
        <f t="shared" si="111"/>
        <v>OKAS, ANCORA INDONESIA RESOURCES, Ancora Indonesia Resources, Ancora Indonesia Resources Tbk, AncoraIndonesiaResources, PT Ancora Indonesia Resources, ancora indonesia resources</v>
      </c>
      <c r="F651" t="str">
        <f t="shared" si="112"/>
        <v>ancora indonesia resources</v>
      </c>
      <c r="G651" t="str">
        <f t="shared" si="115"/>
        <v>OKAS, ANCORA INDONESIA RESOURCES, Ancora Indonesia Resources, Ancora Indonesia Resources Tbk, AncoraIndonesiaResources, PT Ancora Indonesia Resources</v>
      </c>
      <c r="H651" t="str">
        <f t="shared" si="116"/>
        <v>OKAS, ANCORA INDONESIA RESOURCES, Ancora Indonesia Resources, Ancora Indonesia Resources Tbk, AncoraIndonesiaResources, PT Ancora Indonesia Resources</v>
      </c>
      <c r="I651" t="str">
        <f t="shared" si="113"/>
        <v>ANCORA INDONESIA RESOURCES</v>
      </c>
      <c r="J651" t="str">
        <f t="shared" si="117"/>
        <v>OKAS, Ancora Indonesia Resources, Ancora Indonesia Resources Tbk, AncoraIndonesiaResources, PT Ancora Indonesia Resources</v>
      </c>
      <c r="K651" t="str">
        <f t="shared" si="118"/>
        <v>OKAS, Ancora Indonesia Resources, Ancora Indonesia Resources Tbk, AncoraIndonesiaResources, PT Ancora Indonesia Resources</v>
      </c>
      <c r="L651" t="str">
        <f t="shared" si="114"/>
        <v>AncoraIndonesiaResources</v>
      </c>
      <c r="M651" t="str">
        <f t="shared" si="119"/>
        <v>OKAS, Ancora Indonesia Resources, Ancora Indonesia Resources Tbk, PT Ancora Indonesia Resources</v>
      </c>
      <c r="N651" t="str">
        <f t="shared" si="120"/>
        <v>OKAS, Ancora Indonesia Resources, Ancora Indonesia Resources Tbk, PT Ancora Indonesia Resources</v>
      </c>
    </row>
    <row r="652" spans="1:14" x14ac:dyDescent="0.2">
      <c r="A652" t="s">
        <v>2112</v>
      </c>
      <c r="B652" t="s">
        <v>3634</v>
      </c>
      <c r="C652" t="s">
        <v>8451</v>
      </c>
      <c r="D652" t="str">
        <f t="shared" si="110"/>
        <v>OLIV, OSCAR MITRA SUKSES SEJAHTERA, Oscar Mitra Sukses Sejahtera, Oscar Mitra Sukses Sejahtera Tbk, OscarMitraSuksesSejahtera, PT Oscar Mitra Sukses Sejahtera, oscar mitra sukses sejahtera</v>
      </c>
      <c r="E652" t="str">
        <f t="shared" si="111"/>
        <v>OLIV, OSCAR MITRA SUKSES SEJAHTERA, Oscar Mitra Sukses Sejahtera, Oscar Mitra Sukses Sejahtera Tbk, OscarMitraSuksesSejahtera, PT Oscar Mitra Sukses Sejahtera, oscar mitra sukses sejahtera</v>
      </c>
      <c r="F652" t="str">
        <f t="shared" si="112"/>
        <v>oscar mitra sukses sejahtera</v>
      </c>
      <c r="G652" t="str">
        <f t="shared" si="115"/>
        <v>OLIV, OSCAR MITRA SUKSES SEJAHTERA, Oscar Mitra Sukses Sejahtera, Oscar Mitra Sukses Sejahtera Tbk, OscarMitraSuksesSejahtera, PT Oscar Mitra Sukses Sejahtera</v>
      </c>
      <c r="H652" t="str">
        <f t="shared" si="116"/>
        <v>OLIV, OSCAR MITRA SUKSES SEJAHTERA, Oscar Mitra Sukses Sejahtera, Oscar Mitra Sukses Sejahtera Tbk, OscarMitraSuksesSejahtera, PT Oscar Mitra Sukses Sejahtera</v>
      </c>
      <c r="I652" t="str">
        <f t="shared" si="113"/>
        <v>OSCAR MITRA SUKSES SEJAHTERA</v>
      </c>
      <c r="J652" t="str">
        <f t="shared" si="117"/>
        <v>OLIV, Oscar Mitra Sukses Sejahtera, Oscar Mitra Sukses Sejahtera Tbk, OscarMitraSuksesSejahtera, PT Oscar Mitra Sukses Sejahtera</v>
      </c>
      <c r="K652" t="str">
        <f t="shared" si="118"/>
        <v>OLIV, Oscar Mitra Sukses Sejahtera, Oscar Mitra Sukses Sejahtera Tbk, OscarMitraSuksesSejahtera, PT Oscar Mitra Sukses Sejahtera</v>
      </c>
      <c r="L652" t="str">
        <f t="shared" si="114"/>
        <v>OscarMitraSuksesSejahtera</v>
      </c>
      <c r="M652" t="str">
        <f t="shared" si="119"/>
        <v>OLIV, Oscar Mitra Sukses Sejahtera, Oscar Mitra Sukses Sejahtera Tbk, PT Oscar Mitra Sukses Sejahtera</v>
      </c>
      <c r="N652" t="str">
        <f t="shared" si="120"/>
        <v>OLIV, Oscar Mitra Sukses Sejahtera, Oscar Mitra Sukses Sejahtera Tbk, PT Oscar Mitra Sukses Sejahtera</v>
      </c>
    </row>
    <row r="653" spans="1:14" x14ac:dyDescent="0.2">
      <c r="A653" t="s">
        <v>2187</v>
      </c>
      <c r="B653" t="s">
        <v>2188</v>
      </c>
      <c r="C653" t="s">
        <v>8452</v>
      </c>
      <c r="D653" t="str">
        <f t="shared" si="110"/>
        <v>OMED, JAYAMAS MEDICA INDUSTRI, Jayamas Medica Industri, Jayamas Medica Industri Tbk, JayamasMedicaIndustri, PT Jayamas Medica Industri, jayamas medica industri</v>
      </c>
      <c r="E653" t="str">
        <f t="shared" si="111"/>
        <v>OMED, JAYAMAS MEDICA INDUSTRI, Jayamas Medica Industri, Jayamas Medica Industri Tbk, JayamasMedicaIndustri, PT Jayamas Medica Industri, jayamas medica industri</v>
      </c>
      <c r="F653" t="str">
        <f t="shared" si="112"/>
        <v>jayamas medica industri</v>
      </c>
      <c r="G653" t="str">
        <f t="shared" si="115"/>
        <v>OMED, JAYAMAS MEDICA INDUSTRI, Jayamas Medica Industri, Jayamas Medica Industri Tbk, JayamasMedicaIndustri, PT Jayamas Medica Industri</v>
      </c>
      <c r="H653" t="str">
        <f t="shared" si="116"/>
        <v>OMED, JAYAMAS MEDICA INDUSTRI, Jayamas Medica Industri, Jayamas Medica Industri Tbk, JayamasMedicaIndustri, PT Jayamas Medica Industri</v>
      </c>
      <c r="I653" t="str">
        <f t="shared" si="113"/>
        <v>JAYAMAS MEDICA INDUSTRI</v>
      </c>
      <c r="J653" t="str">
        <f t="shared" si="117"/>
        <v>OMED, Jayamas Medica Industri, Jayamas Medica Industri Tbk, JayamasMedicaIndustri, PT Jayamas Medica Industri</v>
      </c>
      <c r="K653" t="str">
        <f t="shared" si="118"/>
        <v>OMED, Jayamas Medica Industri, Jayamas Medica Industri Tbk, JayamasMedicaIndustri, PT Jayamas Medica Industri</v>
      </c>
      <c r="L653" t="str">
        <f t="shared" si="114"/>
        <v>JayamasMedicaIndustri</v>
      </c>
      <c r="M653" t="str">
        <f t="shared" si="119"/>
        <v>OMED, Jayamas Medica Industri, Jayamas Medica Industri Tbk, PT Jayamas Medica Industri</v>
      </c>
      <c r="N653" t="str">
        <f t="shared" si="120"/>
        <v>OMED, Jayamas Medica Industri, Jayamas Medica Industri Tbk, PT Jayamas Medica Industri</v>
      </c>
    </row>
    <row r="654" spans="1:14" x14ac:dyDescent="0.2">
      <c r="A654" t="s">
        <v>943</v>
      </c>
      <c r="B654" t="s">
        <v>3635</v>
      </c>
      <c r="C654" t="s">
        <v>8453</v>
      </c>
      <c r="D654" t="str">
        <f t="shared" si="110"/>
        <v>OMRE, INDONESIA PRIMA PROPERTY, Indonesia Prima Property, Indonesia Prima Property Tbk, IndonesiaPrimaProperty, PT Indonesia Prima Property, indonesia prima property</v>
      </c>
      <c r="E654" t="str">
        <f t="shared" si="111"/>
        <v>OMRE, INDONESIA PRIMA PROPERTY, Indonesia Prima Property, Indonesia Prima Property Tbk, IndonesiaPrimaProperty, PT Indonesia Prima Property, indonesia prima property</v>
      </c>
      <c r="F654" t="str">
        <f t="shared" si="112"/>
        <v>indonesia prima property</v>
      </c>
      <c r="G654" t="str">
        <f t="shared" si="115"/>
        <v>OMRE, INDONESIA PRIMA PROPERTY, Indonesia Prima Property, Indonesia Prima Property Tbk, IndonesiaPrimaProperty, PT Indonesia Prima Property</v>
      </c>
      <c r="H654" t="str">
        <f t="shared" si="116"/>
        <v>OMRE, INDONESIA PRIMA PROPERTY, Indonesia Prima Property, Indonesia Prima Property Tbk, IndonesiaPrimaProperty, PT Indonesia Prima Property</v>
      </c>
      <c r="I654" t="str">
        <f t="shared" si="113"/>
        <v>INDONESIA PRIMA PROPERTY</v>
      </c>
      <c r="J654" t="str">
        <f t="shared" si="117"/>
        <v>OMRE, Indonesia Prima Property, Indonesia Prima Property Tbk, IndonesiaPrimaProperty, PT Indonesia Prima Property</v>
      </c>
      <c r="K654" t="str">
        <f t="shared" si="118"/>
        <v>OMRE, Indonesia Prima Property, Indonesia Prima Property Tbk, IndonesiaPrimaProperty, PT Indonesia Prima Property</v>
      </c>
      <c r="L654" t="str">
        <f t="shared" si="114"/>
        <v>IndonesiaPrimaProperty</v>
      </c>
      <c r="M654" t="str">
        <f t="shared" si="119"/>
        <v>OMRE, Indonesia Prima Property, Indonesia Prima Property Tbk, PT Indonesia Prima Property</v>
      </c>
      <c r="N654" t="str">
        <f t="shared" si="120"/>
        <v>OMRE, Indonesia Prima Property, Indonesia Prima Property Tbk, PT Indonesia Prima Property</v>
      </c>
    </row>
    <row r="655" spans="1:14" x14ac:dyDescent="0.2">
      <c r="A655" t="s">
        <v>1741</v>
      </c>
      <c r="B655" t="s">
        <v>3636</v>
      </c>
      <c r="C655" t="s">
        <v>8454</v>
      </c>
      <c r="D655" t="str">
        <f t="shared" si="110"/>
        <v>OPMS, OIMA PRIMA METAL SINERGI, Oima Prima Metal Sinergi, Oima Prima Metal Sinergi Tbk, OimaPrimaMetalSinergi, PT Oima Prima Metal Sinergi, oima prima metal sinergi</v>
      </c>
      <c r="E655" t="str">
        <f t="shared" si="111"/>
        <v>OPMS, OIMA PRIMA METAL SINERGI, Oima Prima Metal Sinergi, Oima Prima Metal Sinergi Tbk, OimaPrimaMetalSinergi, PT Oima Prima Metal Sinergi, oima prima metal sinergi</v>
      </c>
      <c r="F655" t="str">
        <f t="shared" si="112"/>
        <v>optima prima metal sinergi</v>
      </c>
      <c r="G655" t="str">
        <f t="shared" si="115"/>
        <v>OPMS, OIMA PRIMA METAL SINERGI, Oima Prima Metal Sinergi, Oima Prima Metal Sinergi Tbk, OimaPrimaMetalSinergi, PT Oima Prima Metal Sinergi, oima prima metal sinergi</v>
      </c>
      <c r="H655" t="str">
        <f t="shared" si="116"/>
        <v>OPMS, OIMA PRIMA METAL SINERGI, Oima Prima Metal Sinergi, Oima Prima Metal Sinergi Tbk, OimaPrimaMetalSinergi, PT Oima Prima Metal Sinergi, oima prima metal sinergi</v>
      </c>
      <c r="I655" t="str">
        <f t="shared" si="113"/>
        <v>OPTIMA PRIMA METAL SINERGI</v>
      </c>
      <c r="J655" t="str">
        <f t="shared" si="117"/>
        <v>OPMS, OIMA PRIMA METAL SINERGI, Oima Prima Metal Sinergi, Oima Prima Metal Sinergi Tbk, OimaPrimaMetalSinergi, PT Oima Prima Metal Sinergi, oima prima metal sinergi</v>
      </c>
      <c r="K655" t="str">
        <f t="shared" si="118"/>
        <v>OPMS, OIMA PRIMA METAL SINERGI, Oima Prima Metal Sinergi, Oima Prima Metal Sinergi Tbk, OimaPrimaMetalSinergi, PT Oima Prima Metal Sinergi, oima prima metal sinergi</v>
      </c>
      <c r="L655" t="str">
        <f t="shared" si="114"/>
        <v>OptimaPrimaMetalSinergi</v>
      </c>
      <c r="M655" t="str">
        <f t="shared" si="119"/>
        <v>OPMS, OIMA PRIMA METAL SINERGI, Oima Prima Metal Sinergi, Oima Prima Metal Sinergi Tbk, OimaPrimaMetalSinergi, PT Oima Prima Metal Sinergi, oima prima metal sinergi</v>
      </c>
      <c r="N655" t="str">
        <f t="shared" si="120"/>
        <v>OPMS, OIMA PRIMA METAL SINERGI, Oima Prima Metal Sinergi, Oima Prima Metal Sinergi Tbk, OimaPrimaMetalSinergi, PT Oima Prima Metal Sinergi, oima prima metal sinergi</v>
      </c>
    </row>
    <row r="656" spans="1:14" x14ac:dyDescent="0.2">
      <c r="A656" t="s">
        <v>2253</v>
      </c>
      <c r="B656" t="s">
        <v>3637</v>
      </c>
      <c r="C656" t="s">
        <v>8455</v>
      </c>
      <c r="D656" t="str">
        <f t="shared" si="110"/>
        <v>PACK, ABADI NUSANTARA HIJAU INVESTAMA, Abadi Nusantara Hijau Investama, Abadi Nusantara Hijau Investama Tbk, AbadiNusantaraHijauInvestama, PT Abadi Nusantara Hijau Investama, abadi nusantara hijau investama</v>
      </c>
      <c r="E656" t="str">
        <f t="shared" si="111"/>
        <v>PACK, ABADI NUSANTARA HIJAU INVESTAMA, Abadi Nusantara Hijau Investama, Abadi Nusantara Hijau Investama Tbk, AbadiNusantaraHijauInvestama, PT Abadi Nusantara Hijau Investama, abadi nusantara hijau investama</v>
      </c>
      <c r="F656" t="str">
        <f t="shared" si="112"/>
        <v>abadi nusantara hijau investama</v>
      </c>
      <c r="G656" t="str">
        <f t="shared" si="115"/>
        <v>PACK, ABADI NUSANTARA HIJAU INVESTAMA, Abadi Nusantara Hijau Investama, Abadi Nusantara Hijau Investama Tbk, AbadiNusantaraHijauInvestama, PT Abadi Nusantara Hijau Investama</v>
      </c>
      <c r="H656" t="str">
        <f t="shared" si="116"/>
        <v>PACK, ABADI NUSANTARA HIJAU INVESTAMA, Abadi Nusantara Hijau Investama, Abadi Nusantara Hijau Investama Tbk, AbadiNusantaraHijauInvestama, PT Abadi Nusantara Hijau Investama</v>
      </c>
      <c r="I656" t="str">
        <f t="shared" si="113"/>
        <v>ABADI NUSANTARA HIJAU INVESTAMA</v>
      </c>
      <c r="J656" t="str">
        <f t="shared" si="117"/>
        <v>PACK, Abadi Nusantara Hijau Investama, Abadi Nusantara Hijau Investama Tbk, AbadiNusantaraHijauInvestama, PT Abadi Nusantara Hijau Investama</v>
      </c>
      <c r="K656" t="str">
        <f t="shared" si="118"/>
        <v>PACK, Abadi Nusantara Hijau Investama, Abadi Nusantara Hijau Investama Tbk, AbadiNusantaraHijauInvestama, PT Abadi Nusantara Hijau Investama</v>
      </c>
      <c r="L656" t="str">
        <f t="shared" si="114"/>
        <v>AbadiNusantaraHijauInvestama</v>
      </c>
      <c r="M656" t="str">
        <f t="shared" si="119"/>
        <v>PACK, Abadi Nusantara Hijau Investama, Abadi Nusantara Hijau Investama Tbk, PT Abadi Nusantara Hijau Investama</v>
      </c>
      <c r="N656" t="str">
        <f t="shared" si="120"/>
        <v>PACK, Abadi Nusantara Hijau Investama, Abadi Nusantara Hijau Investama Tbk, PT Abadi Nusantara Hijau Investama</v>
      </c>
    </row>
    <row r="657" spans="1:14" x14ac:dyDescent="0.2">
      <c r="A657" t="s">
        <v>2208</v>
      </c>
      <c r="B657" t="s">
        <v>2209</v>
      </c>
      <c r="C657" t="s">
        <v>8456</v>
      </c>
      <c r="D657" t="str">
        <f t="shared" si="110"/>
        <v>PADA, PERSONEL ALIH DAYA, PT Personel Alih Daya, Personel Alih Daya, Personel Alih Daya Tbk, PersonelAlihDaya, personel alih daya</v>
      </c>
      <c r="E657" t="str">
        <f t="shared" si="111"/>
        <v>PADA, PERSONEL ALIH DAYA, PT Personel Alih Daya, Personel Alih Daya, Personel Alih Daya Tbk, PersonelAlihDaya, personel alih daya</v>
      </c>
      <c r="F657" t="str">
        <f t="shared" si="112"/>
        <v>personel alih daya</v>
      </c>
      <c r="G657" t="str">
        <f t="shared" si="115"/>
        <v>PADA, PERSONEL ALIH DAYA, PT Personel Alih Daya, Personel Alih Daya, Personel Alih Daya Tbk, PersonelAlihDaya</v>
      </c>
      <c r="H657" t="str">
        <f t="shared" si="116"/>
        <v>PADA, PERSONEL ALIH DAYA, PT Personel Alih Daya, Personel Alih Daya, Personel Alih Daya Tbk, PersonelAlihDaya</v>
      </c>
      <c r="I657" t="str">
        <f t="shared" si="113"/>
        <v>PERSONEL ALIH DAYA</v>
      </c>
      <c r="J657" t="str">
        <f t="shared" si="117"/>
        <v>PADA, PT Personel Alih Daya, Personel Alih Daya, Personel Alih Daya Tbk, PersonelAlihDaya</v>
      </c>
      <c r="K657" t="str">
        <f t="shared" si="118"/>
        <v>PADA, PT Personel Alih Daya, Personel Alih Daya, Personel Alih Daya Tbk, PersonelAlihDaya</v>
      </c>
      <c r="L657" t="str">
        <f t="shared" si="114"/>
        <v>PersonelAlihDaya</v>
      </c>
      <c r="M657" t="str">
        <f t="shared" si="119"/>
        <v>PADA, PT Personel Alih Daya, Personel Alih Daya, Personel Alih Daya Tbk</v>
      </c>
      <c r="N657" t="str">
        <f t="shared" si="120"/>
        <v>PADA, PT Personel Alih Daya, Personel Alih Daya, Personel Alih Daya Tbk</v>
      </c>
    </row>
    <row r="658" spans="1:14" x14ac:dyDescent="0.2">
      <c r="A658" t="s">
        <v>946</v>
      </c>
      <c r="B658" t="s">
        <v>3638</v>
      </c>
      <c r="C658" t="s">
        <v>8457</v>
      </c>
      <c r="D658" t="str">
        <f t="shared" si="110"/>
        <v>PADI, MINNA PADI INVESTAMA SEKURITAS, Minna Padi Investama Sekuritas, Minna Padi Investama Sekuritas Tbk, MinnaPadiInvestamaSekuritas, PT Minna Padi Investama Sekuritas, minna padi investama sekuritas</v>
      </c>
      <c r="E658" t="str">
        <f t="shared" si="111"/>
        <v>PADI, MINNA PADI INVESTAMA SEKURITAS, Minna Padi Investama Sekuritas, Minna Padi Investama Sekuritas Tbk, MinnaPadiInvestamaSekuritas, PT Minna Padi Investama Sekuritas, minna padi investama sekuritas</v>
      </c>
      <c r="F658" t="str">
        <f t="shared" si="112"/>
        <v>minna padi investama sekuritas</v>
      </c>
      <c r="G658" t="str">
        <f t="shared" si="115"/>
        <v>PADI, MINNA PADI INVESTAMA SEKURITAS, Minna Padi Investama Sekuritas, Minna Padi Investama Sekuritas Tbk, MinnaPadiInvestamaSekuritas, PT Minna Padi Investama Sekuritas</v>
      </c>
      <c r="H658" t="str">
        <f t="shared" si="116"/>
        <v>PADI, MINNA PADI INVESTAMA SEKURITAS, Minna Padi Investama Sekuritas, Minna Padi Investama Sekuritas Tbk, MinnaPadiInvestamaSekuritas, PT Minna Padi Investama Sekuritas</v>
      </c>
      <c r="I658" t="str">
        <f t="shared" si="113"/>
        <v>MINNA PADI INVESTAMA SEKURITAS</v>
      </c>
      <c r="J658" t="str">
        <f t="shared" si="117"/>
        <v>PADI, Minna Padi Investama Sekuritas, Minna Padi Investama Sekuritas Tbk, MinnaPadiInvestamaSekuritas, PT Minna Padi Investama Sekuritas</v>
      </c>
      <c r="K658" t="str">
        <f t="shared" si="118"/>
        <v>PADI, Minna Padi Investama Sekuritas, Minna Padi Investama Sekuritas Tbk, MinnaPadiInvestamaSekuritas, PT Minna Padi Investama Sekuritas</v>
      </c>
      <c r="L658" t="str">
        <f t="shared" si="114"/>
        <v>MinnaPadiInvestamaSekuritas</v>
      </c>
      <c r="M658" t="str">
        <f t="shared" si="119"/>
        <v>PADI, Minna Padi Investama Sekuritas, Minna Padi Investama Sekuritas Tbk, PT Minna Padi Investama Sekuritas</v>
      </c>
      <c r="N658" t="str">
        <f t="shared" si="120"/>
        <v>PADI, Minna Padi Investama Sekuritas, Minna Padi Investama Sekuritas Tbk, PT Minna Padi Investama Sekuritas</v>
      </c>
    </row>
    <row r="659" spans="1:14" x14ac:dyDescent="0.2">
      <c r="A659" t="s">
        <v>948</v>
      </c>
      <c r="B659" t="s">
        <v>3639</v>
      </c>
      <c r="C659" t="s">
        <v>8458</v>
      </c>
      <c r="D659" t="str">
        <f t="shared" si="110"/>
        <v>PALM, PROVIDENT INVESTASI BERSAMA, PT Provident Investasi Bersama, Provident Investasi Bersama, Provident Investasi Bersama Tbk, ProvidentInvestasiBersama, provident investasi bersama</v>
      </c>
      <c r="E659" t="str">
        <f t="shared" si="111"/>
        <v>PALM, PROVIDENT INVESTASI BERSAMA, PT Provident Investasi Bersama, Provident Investasi Bersama, Provident Investasi Bersama Tbk, ProvidentInvestasiBersama, provident investasi bersama</v>
      </c>
      <c r="F659" t="str">
        <f t="shared" si="112"/>
        <v>provident investasi bersama</v>
      </c>
      <c r="G659" t="str">
        <f t="shared" si="115"/>
        <v>PALM, PROVIDENT INVESTASI BERSAMA, PT Provident Investasi Bersama, Provident Investasi Bersama, Provident Investasi Bersama Tbk, ProvidentInvestasiBersama</v>
      </c>
      <c r="H659" t="str">
        <f t="shared" si="116"/>
        <v>PALM, PROVIDENT INVESTASI BERSAMA, PT Provident Investasi Bersama, Provident Investasi Bersama, Provident Investasi Bersama Tbk, ProvidentInvestasiBersama</v>
      </c>
      <c r="I659" t="str">
        <f t="shared" si="113"/>
        <v>PROVIDENT INVESTASI BERSAMA</v>
      </c>
      <c r="J659" t="str">
        <f t="shared" si="117"/>
        <v>PALM, PT Provident Investasi Bersama, Provident Investasi Bersama, Provident Investasi Bersama Tbk, ProvidentInvestasiBersama</v>
      </c>
      <c r="K659" t="str">
        <f t="shared" si="118"/>
        <v>PALM, PT Provident Investasi Bersama, Provident Investasi Bersama, Provident Investasi Bersama Tbk, ProvidentInvestasiBersama</v>
      </c>
      <c r="L659" t="str">
        <f t="shared" si="114"/>
        <v>ProvidentInvestasiBersama</v>
      </c>
      <c r="M659" t="str">
        <f t="shared" si="119"/>
        <v>PALM, PT Provident Investasi Bersama, Provident Investasi Bersama, Provident Investasi Bersama Tbk</v>
      </c>
      <c r="N659" t="str">
        <f t="shared" si="120"/>
        <v>PALM, PT Provident Investasi Bersama, Provident Investasi Bersama, Provident Investasi Bersama Tbk</v>
      </c>
    </row>
    <row r="660" spans="1:14" x14ac:dyDescent="0.2">
      <c r="A660" t="s">
        <v>1697</v>
      </c>
      <c r="B660" t="s">
        <v>1698</v>
      </c>
      <c r="C660" t="s">
        <v>8459</v>
      </c>
      <c r="D660" t="str">
        <f t="shared" si="110"/>
        <v>PAMG, BIMA SAKTI PERTIWI, Bima Sakti Pertiwi, Bima Sakti Pertiwi Tbk, BimaSaktiPertiwi, PT Bima Sakti Pertiwi, bima sakti pertiwi</v>
      </c>
      <c r="E660" t="str">
        <f t="shared" si="111"/>
        <v>PAMG, BIMA SAKTI PERTIWI, Bima Sakti Pertiwi, Bima Sakti Pertiwi Tbk, BimaSaktiPertiwi, PT Bima Sakti Pertiwi, bima sakti pertiwi</v>
      </c>
      <c r="F660" t="str">
        <f t="shared" si="112"/>
        <v>bima sakti pertiwi</v>
      </c>
      <c r="G660" t="str">
        <f t="shared" si="115"/>
        <v>PAMG, BIMA SAKTI PERTIWI, Bima Sakti Pertiwi, Bima Sakti Pertiwi Tbk, BimaSaktiPertiwi, PT Bima Sakti Pertiwi</v>
      </c>
      <c r="H660" t="str">
        <f t="shared" si="116"/>
        <v>PAMG, BIMA SAKTI PERTIWI, Bima Sakti Pertiwi, Bima Sakti Pertiwi Tbk, BimaSaktiPertiwi, PT Bima Sakti Pertiwi</v>
      </c>
      <c r="I660" t="str">
        <f t="shared" si="113"/>
        <v>BIMA SAKTI PERTIWI</v>
      </c>
      <c r="J660" t="str">
        <f t="shared" si="117"/>
        <v>PAMG, Bima Sakti Pertiwi, Bima Sakti Pertiwi Tbk, BimaSaktiPertiwi, PT Bima Sakti Pertiwi</v>
      </c>
      <c r="K660" t="str">
        <f t="shared" si="118"/>
        <v>PAMG, Bima Sakti Pertiwi, Bima Sakti Pertiwi Tbk, BimaSaktiPertiwi, PT Bima Sakti Pertiwi</v>
      </c>
      <c r="L660" t="str">
        <f t="shared" si="114"/>
        <v>BimaSaktiPertiwi</v>
      </c>
      <c r="M660" t="str">
        <f t="shared" si="119"/>
        <v>PAMG, Bima Sakti Pertiwi, Bima Sakti Pertiwi Tbk, PT Bima Sakti Pertiwi</v>
      </c>
      <c r="N660" t="str">
        <f t="shared" si="120"/>
        <v>PAMG, Bima Sakti Pertiwi, Bima Sakti Pertiwi Tbk, PT Bima Sakti Pertiwi</v>
      </c>
    </row>
    <row r="661" spans="1:14" x14ac:dyDescent="0.2">
      <c r="A661" t="s">
        <v>1580</v>
      </c>
      <c r="B661" t="s">
        <v>1581</v>
      </c>
      <c r="C661" t="s">
        <v>8460</v>
      </c>
      <c r="D661" t="str">
        <f t="shared" si="110"/>
        <v>PANI, PANTAI INDAH KAPUK DUA, PT Pantai Indah Kapuk Dua, Pantai Indah Kapuk Dua, Pantai Indah Kapuk Dua Tbk, PantaiIndahKapukDua, pantai indah kapuk dua</v>
      </c>
      <c r="E661" t="str">
        <f t="shared" si="111"/>
        <v>PANI, PANTAI INDAH KAPUK DUA, PT Pantai Indah Kapuk Dua, Pantai Indah Kapuk Dua, Pantai Indah Kapuk Dua Tbk, PantaiIndahKapukDua, pantai indah kapuk dua</v>
      </c>
      <c r="F661" t="str">
        <f t="shared" si="112"/>
        <v>pantai indah kapuk dua</v>
      </c>
      <c r="G661" t="str">
        <f t="shared" si="115"/>
        <v>PANI, PANTAI INDAH KAPUK DUA, PT Pantai Indah Kapuk Dua, Pantai Indah Kapuk Dua, Pantai Indah Kapuk Dua Tbk, PantaiIndahKapukDua</v>
      </c>
      <c r="H661" t="str">
        <f t="shared" si="116"/>
        <v>PANI, PANTAI INDAH KAPUK DUA, PT Pantai Indah Kapuk Dua, Pantai Indah Kapuk Dua, Pantai Indah Kapuk Dua Tbk, PantaiIndahKapukDua</v>
      </c>
      <c r="I661" t="str">
        <f t="shared" si="113"/>
        <v>PANTAI INDAH KAPUK DUA</v>
      </c>
      <c r="J661" t="str">
        <f t="shared" si="117"/>
        <v>PANI, PT Pantai Indah Kapuk Dua, Pantai Indah Kapuk Dua, Pantai Indah Kapuk Dua Tbk, PantaiIndahKapukDua</v>
      </c>
      <c r="K661" t="str">
        <f t="shared" si="118"/>
        <v>PANI, PT Pantai Indah Kapuk Dua, Pantai Indah Kapuk Dua, Pantai Indah Kapuk Dua Tbk, PantaiIndahKapukDua</v>
      </c>
      <c r="L661" t="str">
        <f t="shared" si="114"/>
        <v>PantaiIndahKapukDua</v>
      </c>
      <c r="M661" t="str">
        <f t="shared" si="119"/>
        <v>PANI, PT Pantai Indah Kapuk Dua, Pantai Indah Kapuk Dua, Pantai Indah Kapuk Dua Tbk</v>
      </c>
      <c r="N661" t="str">
        <f t="shared" si="120"/>
        <v>PANI, PT Pantai Indah Kapuk Dua, Pantai Indah Kapuk Dua, Pantai Indah Kapuk Dua Tbk</v>
      </c>
    </row>
    <row r="662" spans="1:14" x14ac:dyDescent="0.2">
      <c r="A662" t="s">
        <v>950</v>
      </c>
      <c r="B662" t="s">
        <v>951</v>
      </c>
      <c r="C662" t="s">
        <v>8461</v>
      </c>
      <c r="D662" t="str">
        <f t="shared" si="110"/>
        <v>PANR, PANORAMA SENTRAWISATA, PT Panorama Sentrawisata, Panorama Sentrawisata, Panorama Sentrawisata Tbk, PanoramaSentrawisata, panorama sentrawisata</v>
      </c>
      <c r="E662" t="str">
        <f t="shared" si="111"/>
        <v>PANR, PANORAMA SENTRAWISATA, PT Panorama Sentrawisata, Panorama Sentrawisata, Panorama Sentrawisata Tbk, PanoramaSentrawisata, panorama sentrawisata</v>
      </c>
      <c r="F662" t="str">
        <f t="shared" si="112"/>
        <v>panorama sentrawisata</v>
      </c>
      <c r="G662" t="str">
        <f t="shared" si="115"/>
        <v>PANR, PANORAMA SENTRAWISATA, PT Panorama Sentrawisata, Panorama Sentrawisata, Panorama Sentrawisata Tbk, PanoramaSentrawisata</v>
      </c>
      <c r="H662" t="str">
        <f t="shared" si="116"/>
        <v>PANR, PANORAMA SENTRAWISATA, PT Panorama Sentrawisata, Panorama Sentrawisata, Panorama Sentrawisata Tbk, PanoramaSentrawisata</v>
      </c>
      <c r="I662" t="str">
        <f t="shared" si="113"/>
        <v>PANORAMA SENTRAWISATA</v>
      </c>
      <c r="J662" t="str">
        <f t="shared" si="117"/>
        <v>PANR, PT Panorama Sentrawisata, Panorama Sentrawisata, Panorama Sentrawisata Tbk, PanoramaSentrawisata</v>
      </c>
      <c r="K662" t="str">
        <f t="shared" si="118"/>
        <v>PANR, PT Panorama Sentrawisata, Panorama Sentrawisata, Panorama Sentrawisata Tbk, PanoramaSentrawisata</v>
      </c>
      <c r="L662" t="str">
        <f t="shared" si="114"/>
        <v>PanoramaSentrawisata</v>
      </c>
      <c r="M662" t="str">
        <f t="shared" si="119"/>
        <v>PANR, PT Panorama Sentrawisata, Panorama Sentrawisata, Panorama Sentrawisata Tbk</v>
      </c>
      <c r="N662" t="str">
        <f t="shared" si="120"/>
        <v>PANR, PT Panorama Sentrawisata, Panorama Sentrawisata, Panorama Sentrawisata Tbk</v>
      </c>
    </row>
    <row r="663" spans="1:14" x14ac:dyDescent="0.2">
      <c r="A663" t="s">
        <v>953</v>
      </c>
      <c r="B663" t="s">
        <v>954</v>
      </c>
      <c r="C663" t="s">
        <v>8462</v>
      </c>
      <c r="D663" t="str">
        <f t="shared" si="110"/>
        <v>PANS, PANIN SEKURITAS, PT Panin Sekuritas, Panin Sekuritas, Panin Sekuritas Tbk, PaninSekuritas, panin sekuritas</v>
      </c>
      <c r="E663" t="str">
        <f t="shared" si="111"/>
        <v>PANS, PANIN SEKURITAS, PT Panin Sekuritas, Panin Sekuritas, Panin Sekuritas Tbk, PaninSekuritas, panin sekuritas</v>
      </c>
      <c r="F663" t="str">
        <f t="shared" si="112"/>
        <v>panin sekuritas</v>
      </c>
      <c r="G663" t="str">
        <f t="shared" si="115"/>
        <v>PANS, PANIN SEKURITAS, PT Panin Sekuritas, Panin Sekuritas, Panin Sekuritas Tbk, PaninSekuritas</v>
      </c>
      <c r="H663" t="str">
        <f t="shared" si="116"/>
        <v>PANS, PANIN SEKURITAS, PT Panin Sekuritas, Panin Sekuritas, Panin Sekuritas Tbk, PaninSekuritas</v>
      </c>
      <c r="I663" t="str">
        <f t="shared" si="113"/>
        <v>PANIN SEKURITAS</v>
      </c>
      <c r="J663" t="str">
        <f t="shared" si="117"/>
        <v>PANS, PT Panin Sekuritas, Panin Sekuritas, Panin Sekuritas Tbk, PaninSekuritas</v>
      </c>
      <c r="K663" t="str">
        <f t="shared" si="118"/>
        <v>PANS, PT Panin Sekuritas, Panin Sekuritas, Panin Sekuritas Tbk, PaninSekuritas</v>
      </c>
      <c r="L663" t="str">
        <f t="shared" si="114"/>
        <v>PaninSekuritas</v>
      </c>
      <c r="M663" t="str">
        <f t="shared" si="119"/>
        <v>PANS, PT Panin Sekuritas, Panin Sekuritas, Panin Sekuritas Tbk</v>
      </c>
      <c r="N663" t="str">
        <f t="shared" si="120"/>
        <v>PANS, PT Panin Sekuritas, Panin Sekuritas, Panin Sekuritas Tbk</v>
      </c>
    </row>
    <row r="664" spans="1:14" x14ac:dyDescent="0.2">
      <c r="A664" t="s">
        <v>2468</v>
      </c>
      <c r="B664" t="s">
        <v>2469</v>
      </c>
      <c r="C664" t="s">
        <v>8463</v>
      </c>
      <c r="D664" t="str">
        <f t="shared" si="110"/>
        <v>PART, CIPTA PERDANA LANCAR, Cipta Perdana Lancar, Cipta Perdana Lancar Tbk, CiptaPerdanaLancar, PT Cipta Perdana Lancar, cipta perdana lancar</v>
      </c>
      <c r="E664" t="str">
        <f t="shared" si="111"/>
        <v>PART, CIPTA PERDANA LANCAR, Cipta Perdana Lancar, Cipta Perdana Lancar Tbk, CiptaPerdanaLancar, PT Cipta Perdana Lancar, cipta perdana lancar</v>
      </c>
      <c r="F664" t="str">
        <f t="shared" si="112"/>
        <v>cipta perdana lancar</v>
      </c>
      <c r="G664" t="str">
        <f t="shared" si="115"/>
        <v>PART, CIPTA PERDANA LANCAR, Cipta Perdana Lancar, Cipta Perdana Lancar Tbk, CiptaPerdanaLancar, PT Cipta Perdana Lancar</v>
      </c>
      <c r="H664" t="str">
        <f t="shared" si="116"/>
        <v>PART, CIPTA PERDANA LANCAR, Cipta Perdana Lancar, Cipta Perdana Lancar Tbk, CiptaPerdanaLancar, PT Cipta Perdana Lancar</v>
      </c>
      <c r="I664" t="str">
        <f t="shared" si="113"/>
        <v>CIPTA PERDANA LANCAR</v>
      </c>
      <c r="J664" t="str">
        <f t="shared" si="117"/>
        <v>PART, Cipta Perdana Lancar, Cipta Perdana Lancar Tbk, CiptaPerdanaLancar, PT Cipta Perdana Lancar</v>
      </c>
      <c r="K664" t="str">
        <f t="shared" si="118"/>
        <v>PART, Cipta Perdana Lancar, Cipta Perdana Lancar Tbk, CiptaPerdanaLancar, PT Cipta Perdana Lancar</v>
      </c>
      <c r="L664" t="str">
        <f t="shared" si="114"/>
        <v>CiptaPerdanaLancar</v>
      </c>
      <c r="M664" t="str">
        <f t="shared" si="119"/>
        <v>PART, Cipta Perdana Lancar, Cipta Perdana Lancar Tbk, PT Cipta Perdana Lancar</v>
      </c>
      <c r="N664" t="str">
        <f t="shared" si="120"/>
        <v>PART, Cipta Perdana Lancar, Cipta Perdana Lancar Tbk, PT Cipta Perdana Lancar</v>
      </c>
    </row>
    <row r="665" spans="1:14" x14ac:dyDescent="0.2">
      <c r="A665" t="s">
        <v>1479</v>
      </c>
      <c r="B665" t="s">
        <v>1480</v>
      </c>
      <c r="C665" t="s">
        <v>8464</v>
      </c>
      <c r="D665" t="str">
        <f t="shared" si="110"/>
        <v>PBID, PANCA BUDI IDAMAN, PT Panca Budi Idaman, Panca Budi Idaman, Panca Budi Idaman Tbk, PancaBudiIdaman, panca budi idaman</v>
      </c>
      <c r="E665" t="str">
        <f t="shared" si="111"/>
        <v>PBID, PANCA BUDI IDAMAN, PT Panca Budi Idaman, Panca Budi Idaman, Panca Budi Idaman Tbk, PancaBudiIdaman, panca budi idaman</v>
      </c>
      <c r="F665" t="str">
        <f t="shared" si="112"/>
        <v>panca budi idaman</v>
      </c>
      <c r="G665" t="str">
        <f t="shared" si="115"/>
        <v>PBID, PANCA BUDI IDAMAN, PT Panca Budi Idaman, Panca Budi Idaman, Panca Budi Idaman Tbk, PancaBudiIdaman</v>
      </c>
      <c r="H665" t="str">
        <f t="shared" si="116"/>
        <v>PBID, PANCA BUDI IDAMAN, PT Panca Budi Idaman, Panca Budi Idaman, Panca Budi Idaman Tbk, PancaBudiIdaman</v>
      </c>
      <c r="I665" t="str">
        <f t="shared" si="113"/>
        <v>PANCA BUDI IDAMAN</v>
      </c>
      <c r="J665" t="str">
        <f t="shared" si="117"/>
        <v>PBID, PT Panca Budi Idaman, Panca Budi Idaman, Panca Budi Idaman Tbk, PancaBudiIdaman</v>
      </c>
      <c r="K665" t="str">
        <f t="shared" si="118"/>
        <v>PBID, PT Panca Budi Idaman, Panca Budi Idaman, Panca Budi Idaman Tbk, PancaBudiIdaman</v>
      </c>
      <c r="L665" t="str">
        <f t="shared" si="114"/>
        <v>PancaBudiIdaman</v>
      </c>
      <c r="M665" t="str">
        <f t="shared" si="119"/>
        <v>PBID, PT Panca Budi Idaman, Panca Budi Idaman, Panca Budi Idaman Tbk</v>
      </c>
      <c r="N665" t="str">
        <f t="shared" si="120"/>
        <v>PBID, PT Panca Budi Idaman, Panca Budi Idaman, Panca Budi Idaman Tbk</v>
      </c>
    </row>
    <row r="666" spans="1:14" x14ac:dyDescent="0.2">
      <c r="A666" t="s">
        <v>955</v>
      </c>
      <c r="B666" t="s">
        <v>956</v>
      </c>
      <c r="C666" t="s">
        <v>8465</v>
      </c>
      <c r="D666" t="str">
        <f t="shared" si="110"/>
        <v>PBRX, PAN BROTHERS, PT Pan Brothers, Pan Brothers, Pan Brothers Tbk, PanBrothers, pan brothers</v>
      </c>
      <c r="E666" t="str">
        <f t="shared" si="111"/>
        <v>PBRX, PAN BROTHERS, PT Pan Brothers, Pan Brothers, Pan Brothers Tbk, PanBrothers, pan brothers</v>
      </c>
      <c r="F666" t="str">
        <f t="shared" si="112"/>
        <v>pan brothers</v>
      </c>
      <c r="G666" t="str">
        <f t="shared" si="115"/>
        <v>PBRX, PAN BROTHERS, PT Pan Brothers, Pan Brothers, Pan Brothers Tbk, PanBrothers</v>
      </c>
      <c r="H666" t="str">
        <f t="shared" si="116"/>
        <v>PBRX, PAN BROTHERS, PT Pan Brothers, Pan Brothers, Pan Brothers Tbk, PanBrothers</v>
      </c>
      <c r="I666" t="str">
        <f t="shared" si="113"/>
        <v>PAN BROTHERS</v>
      </c>
      <c r="J666" t="str">
        <f t="shared" si="117"/>
        <v>PBRX, PT Pan Brothers, Pan Brothers, Pan Brothers Tbk, PanBrothers</v>
      </c>
      <c r="K666" t="str">
        <f t="shared" si="118"/>
        <v>PBRX, PT Pan Brothers, Pan Brothers, Pan Brothers Tbk, PanBrothers</v>
      </c>
      <c r="L666" t="str">
        <f t="shared" si="114"/>
        <v>PanBrothers</v>
      </c>
      <c r="M666" t="str">
        <f t="shared" si="119"/>
        <v>PBRX, PT Pan Brothers, Pan Brothers, Pan Brothers Tbk</v>
      </c>
      <c r="N666" t="str">
        <f t="shared" si="120"/>
        <v>PBRX, PT Pan Brothers, Pan Brothers, Pan Brothers Tbk</v>
      </c>
    </row>
    <row r="667" spans="1:14" x14ac:dyDescent="0.2">
      <c r="A667" t="s">
        <v>1381</v>
      </c>
      <c r="B667" t="s">
        <v>1382</v>
      </c>
      <c r="C667" t="s">
        <v>8466</v>
      </c>
      <c r="D667" t="str">
        <f t="shared" si="110"/>
        <v>PBSA, PARAMITA BANGUN SARANA, PT Paramita Bangun Sarana, Paramita Bangun Sarana, Paramita Bangun Sarana Tbk, ParamitaBangunSarana, paramita bangun sarana</v>
      </c>
      <c r="E667" t="str">
        <f t="shared" si="111"/>
        <v>PBSA, PARAMITA BANGUN SARANA, PT Paramita Bangun Sarana, Paramita Bangun Sarana, Paramita Bangun Sarana Tbk, ParamitaBangunSarana, paramita bangun sarana</v>
      </c>
      <c r="F667" t="str">
        <f t="shared" si="112"/>
        <v>paramita bangun sarana</v>
      </c>
      <c r="G667" t="str">
        <f t="shared" si="115"/>
        <v>PBSA, PARAMITA BANGUN SARANA, PT Paramita Bangun Sarana, Paramita Bangun Sarana, Paramita Bangun Sarana Tbk, ParamitaBangunSarana</v>
      </c>
      <c r="H667" t="str">
        <f t="shared" si="116"/>
        <v>PBSA, PARAMITA BANGUN SARANA, PT Paramita Bangun Sarana, Paramita Bangun Sarana, Paramita Bangun Sarana Tbk, ParamitaBangunSarana</v>
      </c>
      <c r="I667" t="str">
        <f t="shared" si="113"/>
        <v>PARAMITA BANGUN SARANA</v>
      </c>
      <c r="J667" t="str">
        <f t="shared" si="117"/>
        <v>PBSA, PT Paramita Bangun Sarana, Paramita Bangun Sarana, Paramita Bangun Sarana Tbk, ParamitaBangunSarana</v>
      </c>
      <c r="K667" t="str">
        <f t="shared" si="118"/>
        <v>PBSA, PT Paramita Bangun Sarana, Paramita Bangun Sarana, Paramita Bangun Sarana Tbk, ParamitaBangunSarana</v>
      </c>
      <c r="L667" t="str">
        <f t="shared" si="114"/>
        <v>ParamitaBangunSarana</v>
      </c>
      <c r="M667" t="str">
        <f t="shared" si="119"/>
        <v>PBSA, PT Paramita Bangun Sarana, Paramita Bangun Sarana, Paramita Bangun Sarana Tbk</v>
      </c>
      <c r="N667" t="str">
        <f t="shared" si="120"/>
        <v>PBSA, PT Paramita Bangun Sarana, Paramita Bangun Sarana, Paramita Bangun Sarana Tbk</v>
      </c>
    </row>
    <row r="668" spans="1:14" x14ac:dyDescent="0.2">
      <c r="A668" t="s">
        <v>1489</v>
      </c>
      <c r="B668" t="s">
        <v>1490</v>
      </c>
      <c r="C668" t="s">
        <v>8467</v>
      </c>
      <c r="D668" t="str">
        <f t="shared" si="110"/>
        <v>PCAR, PRIMA CAKRAWALA ABADI, PT Prima Cakrawala Abadi, Prima Cakrawala Abadi, Prima Cakrawala Abadi Tbk, PrimaCakrawalaAbadi, prima cakrawala abadi</v>
      </c>
      <c r="E668" t="str">
        <f t="shared" si="111"/>
        <v>PCAR, PRIMA CAKRAWALA ABADI, PT Prima Cakrawala Abadi, Prima Cakrawala Abadi, Prima Cakrawala Abadi Tbk, PrimaCakrawalaAbadi, prima cakrawala abadi</v>
      </c>
      <c r="F668" t="str">
        <f t="shared" si="112"/>
        <v>prima cakrawala abadi</v>
      </c>
      <c r="G668" t="str">
        <f t="shared" si="115"/>
        <v>PCAR, PRIMA CAKRAWALA ABADI, PT Prima Cakrawala Abadi, Prima Cakrawala Abadi, Prima Cakrawala Abadi Tbk, PrimaCakrawalaAbadi</v>
      </c>
      <c r="H668" t="str">
        <f t="shared" si="116"/>
        <v>PCAR, PRIMA CAKRAWALA ABADI, PT Prima Cakrawala Abadi, Prima Cakrawala Abadi, Prima Cakrawala Abadi Tbk, PrimaCakrawalaAbadi</v>
      </c>
      <c r="I668" t="str">
        <f t="shared" si="113"/>
        <v>PRIMA CAKRAWALA ABADI</v>
      </c>
      <c r="J668" t="str">
        <f t="shared" si="117"/>
        <v>PCAR, PT Prima Cakrawala Abadi, Prima Cakrawala Abadi, Prima Cakrawala Abadi Tbk, PrimaCakrawalaAbadi</v>
      </c>
      <c r="K668" t="str">
        <f t="shared" si="118"/>
        <v>PCAR, PT Prima Cakrawala Abadi, Prima Cakrawala Abadi, Prima Cakrawala Abadi Tbk, PrimaCakrawalaAbadi</v>
      </c>
      <c r="L668" t="str">
        <f t="shared" si="114"/>
        <v>PrimaCakrawalaAbadi</v>
      </c>
      <c r="M668" t="str">
        <f t="shared" si="119"/>
        <v>PCAR, PT Prima Cakrawala Abadi, Prima Cakrawala Abadi, Prima Cakrawala Abadi Tbk</v>
      </c>
      <c r="N668" t="str">
        <f t="shared" si="120"/>
        <v>PCAR, PT Prima Cakrawala Abadi, Prima Cakrawala Abadi, Prima Cakrawala Abadi Tbk</v>
      </c>
    </row>
    <row r="669" spans="1:14" x14ac:dyDescent="0.2">
      <c r="A669" t="s">
        <v>958</v>
      </c>
      <c r="B669" t="s">
        <v>3640</v>
      </c>
      <c r="C669" t="s">
        <v>8468</v>
      </c>
      <c r="D669" t="str">
        <f t="shared" si="110"/>
        <v>PDES, DESTINASI TIRTA NUSANTARA, Destinasi Tirta Nusantara, Destinasi Tirta Nusantara Tbk, DestinasiTirtaNusantara, PT Destinasi Tirta Nusantara, destinasi tirta nusantara</v>
      </c>
      <c r="E669" t="str">
        <f t="shared" si="111"/>
        <v>PDES, DESTINASI TIRTA NUSANTARA, Destinasi Tirta Nusantara, Destinasi Tirta Nusantara Tbk, DestinasiTirtaNusantara, PT Destinasi Tirta Nusantara, destinasi tirta nusantara</v>
      </c>
      <c r="F669" t="str">
        <f t="shared" si="112"/>
        <v>destinasi tirta nusantara</v>
      </c>
      <c r="G669" t="str">
        <f t="shared" si="115"/>
        <v>PDES, DESTINASI TIRTA NUSANTARA, Destinasi Tirta Nusantara, Destinasi Tirta Nusantara Tbk, DestinasiTirtaNusantara, PT Destinasi Tirta Nusantara</v>
      </c>
      <c r="H669" t="str">
        <f t="shared" si="116"/>
        <v>PDES, DESTINASI TIRTA NUSANTARA, Destinasi Tirta Nusantara, Destinasi Tirta Nusantara Tbk, DestinasiTirtaNusantara, PT Destinasi Tirta Nusantara</v>
      </c>
      <c r="I669" t="str">
        <f t="shared" si="113"/>
        <v>DESTINASI TIRTA NUSANTARA</v>
      </c>
      <c r="J669" t="str">
        <f t="shared" si="117"/>
        <v>PDES, Destinasi Tirta Nusantara, Destinasi Tirta Nusantara Tbk, DestinasiTirtaNusantara, PT Destinasi Tirta Nusantara</v>
      </c>
      <c r="K669" t="str">
        <f t="shared" si="118"/>
        <v>PDES, Destinasi Tirta Nusantara, Destinasi Tirta Nusantara Tbk, DestinasiTirtaNusantara, PT Destinasi Tirta Nusantara</v>
      </c>
      <c r="L669" t="str">
        <f t="shared" si="114"/>
        <v>DestinasiTirtaNusantara</v>
      </c>
      <c r="M669" t="str">
        <f t="shared" si="119"/>
        <v>PDES, Destinasi Tirta Nusantara, Destinasi Tirta Nusantara Tbk, PT Destinasi Tirta Nusantara</v>
      </c>
      <c r="N669" t="str">
        <f t="shared" si="120"/>
        <v>PDES, Destinasi Tirta Nusantara, Destinasi Tirta Nusantara Tbk, PT Destinasi Tirta Nusantara</v>
      </c>
    </row>
    <row r="670" spans="1:14" x14ac:dyDescent="0.2">
      <c r="A670" t="s">
        <v>2193</v>
      </c>
      <c r="B670" t="s">
        <v>2194</v>
      </c>
      <c r="C670" t="s">
        <v>8469</v>
      </c>
      <c r="D670" t="str">
        <f t="shared" si="110"/>
        <v>PDPP, PRIMADAYA PLASTISINDO, PT Primadaya Plastisindo, Primadaya Plastisindo, Primadaya Plastisindo Tbk, PrimadayaPlastisindo, primadaya plastisindo</v>
      </c>
      <c r="E670" t="str">
        <f t="shared" si="111"/>
        <v>PDPP, PRIMADAYA PLASTISINDO, PT Primadaya Plastisindo, Primadaya Plastisindo, Primadaya Plastisindo Tbk, PrimadayaPlastisindo, primadaya plastisindo</v>
      </c>
      <c r="F670" t="str">
        <f t="shared" si="112"/>
        <v>primadaya plastisindo</v>
      </c>
      <c r="G670" t="str">
        <f t="shared" si="115"/>
        <v>PDPP, PRIMADAYA PLASTISINDO, PT Primadaya Plastisindo, Primadaya Plastisindo, Primadaya Plastisindo Tbk, PrimadayaPlastisindo</v>
      </c>
      <c r="H670" t="str">
        <f t="shared" si="116"/>
        <v>PDPP, PRIMADAYA PLASTISINDO, PT Primadaya Plastisindo, Primadaya Plastisindo, Primadaya Plastisindo Tbk, PrimadayaPlastisindo</v>
      </c>
      <c r="I670" t="str">
        <f t="shared" si="113"/>
        <v>PRIMADAYA PLASTISINDO</v>
      </c>
      <c r="J670" t="str">
        <f t="shared" si="117"/>
        <v>PDPP, PT Primadaya Plastisindo, Primadaya Plastisindo, Primadaya Plastisindo Tbk, PrimadayaPlastisindo</v>
      </c>
      <c r="K670" t="str">
        <f t="shared" si="118"/>
        <v>PDPP, PT Primadaya Plastisindo, Primadaya Plastisindo, Primadaya Plastisindo Tbk, PrimadayaPlastisindo</v>
      </c>
      <c r="L670" t="str">
        <f t="shared" si="114"/>
        <v>PrimadayaPlastisindo</v>
      </c>
      <c r="M670" t="str">
        <f t="shared" si="119"/>
        <v>PDPP, PT Primadaya Plastisindo, Primadaya Plastisindo, Primadaya Plastisindo Tbk</v>
      </c>
      <c r="N670" t="str">
        <f t="shared" si="120"/>
        <v>PDPP, PT Primadaya Plastisindo, Primadaya Plastisindo, Primadaya Plastisindo Tbk</v>
      </c>
    </row>
    <row r="671" spans="1:14" x14ac:dyDescent="0.2">
      <c r="A671" t="s">
        <v>961</v>
      </c>
      <c r="B671" t="s">
        <v>962</v>
      </c>
      <c r="C671" t="s">
        <v>8470</v>
      </c>
      <c r="D671" t="str">
        <f t="shared" si="110"/>
        <v>PEGE, PANCA GLOBAL KAPITAL, PT Panca Global Kapital, Panca Global Kapital, Panca Global Kapital Tbk, PancaGlobalKapital, panca global kapital</v>
      </c>
      <c r="E671" t="str">
        <f t="shared" si="111"/>
        <v>PEGE, PANCA GLOBAL KAPITAL, PT Panca Global Kapital, Panca Global Kapital, Panca Global Kapital Tbk, PancaGlobalKapital, panca global kapital</v>
      </c>
      <c r="F671" t="str">
        <f t="shared" si="112"/>
        <v>panca global kapital</v>
      </c>
      <c r="G671" t="str">
        <f t="shared" si="115"/>
        <v>PEGE, PANCA GLOBAL KAPITAL, PT Panca Global Kapital, Panca Global Kapital, Panca Global Kapital Tbk, PancaGlobalKapital</v>
      </c>
      <c r="H671" t="str">
        <f t="shared" si="116"/>
        <v>PEGE, PANCA GLOBAL KAPITAL, PT Panca Global Kapital, Panca Global Kapital, Panca Global Kapital Tbk, PancaGlobalKapital</v>
      </c>
      <c r="I671" t="str">
        <f t="shared" si="113"/>
        <v>PANCA GLOBAL KAPITAL</v>
      </c>
      <c r="J671" t="str">
        <f t="shared" si="117"/>
        <v>PEGE, PT Panca Global Kapital, Panca Global Kapital, Panca Global Kapital Tbk, PancaGlobalKapital</v>
      </c>
      <c r="K671" t="str">
        <f t="shared" si="118"/>
        <v>PEGE, PT Panca Global Kapital, Panca Global Kapital, Panca Global Kapital Tbk, PancaGlobalKapital</v>
      </c>
      <c r="L671" t="str">
        <f t="shared" si="114"/>
        <v>PancaGlobalKapital</v>
      </c>
      <c r="M671" t="str">
        <f t="shared" si="119"/>
        <v>PEGE, PT Panca Global Kapital, Panca Global Kapital, Panca Global Kapital Tbk</v>
      </c>
      <c r="N671" t="str">
        <f t="shared" si="120"/>
        <v>PEGE, PT Panca Global Kapital, Panca Global Kapital, Panca Global Kapital Tbk</v>
      </c>
    </row>
    <row r="672" spans="1:14" x14ac:dyDescent="0.2">
      <c r="A672" t="s">
        <v>1639</v>
      </c>
      <c r="B672" t="s">
        <v>1640</v>
      </c>
      <c r="C672" t="s">
        <v>8471</v>
      </c>
      <c r="D672" t="str">
        <f t="shared" si="110"/>
        <v>PEHA, PHAPROS, PT Phapros, Phapros, Phapros Tbk, phapros</v>
      </c>
      <c r="E672" t="str">
        <f t="shared" si="111"/>
        <v>PEHA, PHAPROS, PT Phapros, Phapros, Phapros Tbk, phapros</v>
      </c>
      <c r="F672" t="str">
        <f t="shared" si="112"/>
        <v>phapros</v>
      </c>
      <c r="G672" t="str">
        <f t="shared" si="115"/>
        <v>PEHA, PHAPROS, PT Phapros, Phapros, Phapros Tbk</v>
      </c>
      <c r="H672" t="str">
        <f t="shared" si="116"/>
        <v>PEHA, PHAPROS, PT Phapros, Phapros, Phapros Tbk</v>
      </c>
      <c r="I672" t="str">
        <f t="shared" si="113"/>
        <v>PHAPROS</v>
      </c>
      <c r="J672" t="str">
        <f t="shared" si="117"/>
        <v>PEHA, PT Phapros, Phapros, Phapros Tbk</v>
      </c>
      <c r="K672" t="str">
        <f t="shared" si="118"/>
        <v>PEHA, PT Phapros, Phapros, Phapros Tbk</v>
      </c>
      <c r="L672" t="str">
        <f t="shared" si="114"/>
        <v>Phapros</v>
      </c>
      <c r="M672" t="str">
        <f t="shared" si="119"/>
        <v>PEHA, PT Phapros Tbk</v>
      </c>
      <c r="N672" t="str">
        <f t="shared" si="120"/>
        <v>PEHA, PT Phapros Tbk</v>
      </c>
    </row>
    <row r="673" spans="1:14" x14ac:dyDescent="0.2">
      <c r="A673" t="s">
        <v>2238</v>
      </c>
      <c r="B673" t="s">
        <v>2239</v>
      </c>
      <c r="C673" t="s">
        <v>8472</v>
      </c>
      <c r="D673" t="str">
        <f t="shared" si="110"/>
        <v>PEVE, PENTA VALENT, PT Penta Valent, Penta Valent, Penta Valent Tbk, PentaValent, penta valent</v>
      </c>
      <c r="E673" t="str">
        <f t="shared" si="111"/>
        <v>PEVE, PENTA VALENT, PT Penta Valent, Penta Valent, Penta Valent Tbk, PentaValent, penta valent</v>
      </c>
      <c r="F673" t="str">
        <f t="shared" si="112"/>
        <v>penta valent</v>
      </c>
      <c r="G673" t="str">
        <f t="shared" si="115"/>
        <v>PEVE, PENTA VALENT, PT Penta Valent, Penta Valent, Penta Valent Tbk, PentaValent</v>
      </c>
      <c r="H673" t="str">
        <f t="shared" si="116"/>
        <v>PEVE, PENTA VALENT, PT Penta Valent, Penta Valent, Penta Valent Tbk, PentaValent</v>
      </c>
      <c r="I673" t="str">
        <f t="shared" si="113"/>
        <v>PENTA VALENT</v>
      </c>
      <c r="J673" t="str">
        <f t="shared" si="117"/>
        <v>PEVE, PT Penta Valent, Penta Valent, Penta Valent Tbk, PentaValent</v>
      </c>
      <c r="K673" t="str">
        <f t="shared" si="118"/>
        <v>PEVE, PT Penta Valent, Penta Valent, Penta Valent Tbk, PentaValent</v>
      </c>
      <c r="L673" t="str">
        <f t="shared" si="114"/>
        <v>PentaValent</v>
      </c>
      <c r="M673" t="str">
        <f t="shared" si="119"/>
        <v>PEVE, PT Penta Valent, Penta Valent, Penta Valent Tbk</v>
      </c>
      <c r="N673" t="str">
        <f t="shared" si="120"/>
        <v>PEVE, PT Penta Valent, Penta Valent, Penta Valent Tbk</v>
      </c>
    </row>
    <row r="674" spans="1:14" x14ac:dyDescent="0.2">
      <c r="A674" t="s">
        <v>964</v>
      </c>
      <c r="B674" t="s">
        <v>3642</v>
      </c>
      <c r="C674" t="s">
        <v>8473</v>
      </c>
      <c r="D674" t="str">
        <f t="shared" si="110"/>
        <v>PGAS, PGN, PERUSAHAAN GAS NEGARA, PT Perusahaan Gas Negara, Perusahaan Gas Negara, Perusahaan Gas Negara Tbk, PerusahaanGasNegara, perusahaan gas negara</v>
      </c>
      <c r="E674" t="str">
        <f t="shared" si="111"/>
        <v>PGAS, PGN, PERUSAHAAN GAS NEGARA, PT Perusahaan Gas Negara, Perusahaan Gas Negara, Perusahaan Gas Negara Tbk, PerusahaanGasNegara, perusahaan gas negara</v>
      </c>
      <c r="F674" t="str">
        <f t="shared" si="112"/>
        <v>perusahaan gas negara</v>
      </c>
      <c r="G674" t="str">
        <f t="shared" si="115"/>
        <v>PGAS, PGN, PERUSAHAAN GAS NEGARA, PT Perusahaan Gas Negara, Perusahaan Gas Negara, Perusahaan Gas Negara Tbk, PerusahaanGasNegara</v>
      </c>
      <c r="H674" t="str">
        <f t="shared" si="116"/>
        <v>PGAS, PGN, PERUSAHAAN GAS NEGARA, PT Perusahaan Gas Negara, Perusahaan Gas Negara, Perusahaan Gas Negara Tbk, PerusahaanGasNegara</v>
      </c>
      <c r="I674" t="str">
        <f t="shared" si="113"/>
        <v>PERUSAHAAN GAS NEGARA</v>
      </c>
      <c r="J674" t="str">
        <f t="shared" si="117"/>
        <v>PGAS, PGN, PT Perusahaan Gas Negara, Perusahaan Gas Negara, Perusahaan Gas Negara Tbk, PerusahaanGasNegara</v>
      </c>
      <c r="K674" t="str">
        <f t="shared" si="118"/>
        <v>PGAS, PGN, PT Perusahaan Gas Negara, Perusahaan Gas Negara, Perusahaan Gas Negara Tbk, PerusahaanGasNegara</v>
      </c>
      <c r="L674" t="str">
        <f t="shared" si="114"/>
        <v>PerusahaanGasNegara</v>
      </c>
      <c r="M674" t="str">
        <f t="shared" si="119"/>
        <v>PGAS, PGN, PT Perusahaan Gas Negara, Perusahaan Gas Negara, Perusahaan Gas Negara Tbk</v>
      </c>
      <c r="N674" t="str">
        <f t="shared" si="120"/>
        <v>PGAS, PGN, PT Perusahaan Gas Negara, Perusahaan Gas Negara, Perusahaan Gas Negara Tbk</v>
      </c>
    </row>
    <row r="675" spans="1:14" x14ac:dyDescent="0.2">
      <c r="A675" t="s">
        <v>2267</v>
      </c>
      <c r="B675" t="s">
        <v>3641</v>
      </c>
      <c r="C675" t="s">
        <v>8474</v>
      </c>
      <c r="D675" t="str">
        <f t="shared" si="110"/>
        <v>PGEO, PERTAMINA GEOTHERMAL ENERGY, PT Pertamina Geothermal Energy, Pertamina Geothermal Energy, Pertamina Geothermal Energy Tbk, PertaminaGeothermalEnergy, pertamina geothermal energy</v>
      </c>
      <c r="E675" t="str">
        <f t="shared" si="111"/>
        <v>PGEO, PERTAMINA GEOTHERMAL ENERGY, PT Pertamina Geothermal Energy, Pertamina Geothermal Energy, Pertamina Geothermal Energy Tbk, PertaminaGeothermalEnergy, pertamina geothermal energy</v>
      </c>
      <c r="F675" t="str">
        <f t="shared" si="112"/>
        <v>pertamina geothermal energy</v>
      </c>
      <c r="G675" t="str">
        <f t="shared" si="115"/>
        <v>PGEO, PERTAMINA GEOTHERMAL ENERGY, PT Pertamina Geothermal Energy, Pertamina Geothermal Energy, Pertamina Geothermal Energy Tbk, PertaminaGeothermalEnergy</v>
      </c>
      <c r="H675" t="str">
        <f t="shared" si="116"/>
        <v>PGEO, PERTAMINA GEOTHERMAL ENERGY, PT Pertamina Geothermal Energy, Pertamina Geothermal Energy, Pertamina Geothermal Energy Tbk, PertaminaGeothermalEnergy</v>
      </c>
      <c r="I675" t="str">
        <f t="shared" si="113"/>
        <v>PERTAMINA GEOTHERMAL ENERGY</v>
      </c>
      <c r="J675" t="str">
        <f t="shared" si="117"/>
        <v>PGEO, PT Pertamina Geothermal Energy, Pertamina Geothermal Energy, Pertamina Geothermal Energy Tbk, PertaminaGeothermalEnergy</v>
      </c>
      <c r="K675" t="str">
        <f t="shared" si="118"/>
        <v>PGEO, PT Pertamina Geothermal Energy, Pertamina Geothermal Energy, Pertamina Geothermal Energy Tbk, PertaminaGeothermalEnergy</v>
      </c>
      <c r="L675" t="str">
        <f t="shared" si="114"/>
        <v>PertaminaGeothermalEnergy</v>
      </c>
      <c r="M675" t="str">
        <f t="shared" si="119"/>
        <v>PGEO, PT Pertamina Geothermal Energy, Pertamina Geothermal Energy, Pertamina Geothermal Energy Tbk</v>
      </c>
      <c r="N675" t="str">
        <f t="shared" si="120"/>
        <v>PGEO, PT Pertamina Geothermal Energy, Pertamina Geothermal Energy, Pertamina Geothermal Energy Tbk</v>
      </c>
    </row>
    <row r="676" spans="1:14" x14ac:dyDescent="0.2">
      <c r="A676" t="s">
        <v>1793</v>
      </c>
      <c r="B676" t="s">
        <v>1794</v>
      </c>
      <c r="C676" t="s">
        <v>8475</v>
      </c>
      <c r="D676" t="str">
        <f t="shared" si="110"/>
        <v>PGJO, BAHTERA BUMI RAYA, Bahtera Bumi Raya, Bahtera Bumi Raya Tbk, BahteraBumiRaya, PT Bahtera Bumi Raya, bahtera bumi raya</v>
      </c>
      <c r="E676" t="str">
        <f t="shared" si="111"/>
        <v>PGJO, BAHTERA BUMI RAYA, Bahtera Bumi Raya, Bahtera Bumi Raya Tbk, BahteraBumiRaya, PT Bahtera Bumi Raya, bahtera bumi raya</v>
      </c>
      <c r="F676" t="str">
        <f t="shared" si="112"/>
        <v>bahtera bumi raya</v>
      </c>
      <c r="G676" t="str">
        <f t="shared" si="115"/>
        <v>PGJO, BAHTERA BUMI RAYA, Bahtera Bumi Raya, Bahtera Bumi Raya Tbk, BahteraBumiRaya, PT Bahtera Bumi Raya</v>
      </c>
      <c r="H676" t="str">
        <f t="shared" si="116"/>
        <v>PGJO, BAHTERA BUMI RAYA, Bahtera Bumi Raya, Bahtera Bumi Raya Tbk, BahteraBumiRaya, PT Bahtera Bumi Raya</v>
      </c>
      <c r="I676" t="str">
        <f t="shared" si="113"/>
        <v>BAHTERA BUMI RAYA</v>
      </c>
      <c r="J676" t="str">
        <f t="shared" si="117"/>
        <v>PGJO, Bahtera Bumi Raya, Bahtera Bumi Raya Tbk, BahteraBumiRaya, PT Bahtera Bumi Raya</v>
      </c>
      <c r="K676" t="str">
        <f t="shared" si="118"/>
        <v>PGJO, Bahtera Bumi Raya, Bahtera Bumi Raya Tbk, BahteraBumiRaya, PT Bahtera Bumi Raya</v>
      </c>
      <c r="L676" t="str">
        <f t="shared" si="114"/>
        <v>BahteraBumiRaya</v>
      </c>
      <c r="M676" t="str">
        <f t="shared" si="119"/>
        <v>PGJO, Bahtera Bumi Raya, Bahtera Bumi Raya Tbk, PT Bahtera Bumi Raya</v>
      </c>
      <c r="N676" t="str">
        <f t="shared" si="120"/>
        <v>PGJO, Bahtera Bumi Raya, Bahtera Bumi Raya Tbk, PT Bahtera Bumi Raya</v>
      </c>
    </row>
    <row r="677" spans="1:14" x14ac:dyDescent="0.2">
      <c r="A677" t="s">
        <v>966</v>
      </c>
      <c r="B677" t="s">
        <v>3643</v>
      </c>
      <c r="C677" t="s">
        <v>8476</v>
      </c>
      <c r="D677" t="str">
        <f t="shared" si="110"/>
        <v>PGLI, PEMBANGUNAN GRAHA LESTARI INDAH, PT Pembangunan Graha Lestari Indah, Pembangunan Graha Lestari Indah, Pembangunan Graha Lestari Indah Tbk, PembangunanGrahaLestariIndah, pembangunan graha lestari indah</v>
      </c>
      <c r="E677" t="str">
        <f t="shared" si="111"/>
        <v>PGLI, PEMBANGUNAN GRAHA LESTARI INDAH, PT Pembangunan Graha Lestari Indah, Pembangunan Graha Lestari Indah, Pembangunan Graha Lestari Indah Tbk, PembangunanGrahaLestariIndah, pembangunan graha lestari indah</v>
      </c>
      <c r="F677" t="str">
        <f t="shared" si="112"/>
        <v>pembangunan graha lestari indah</v>
      </c>
      <c r="G677" t="str">
        <f t="shared" si="115"/>
        <v>PGLI, PEMBANGUNAN GRAHA LESTARI INDAH, PT Pembangunan Graha Lestari Indah, Pembangunan Graha Lestari Indah, Pembangunan Graha Lestari Indah Tbk, PembangunanGrahaLestariIndah</v>
      </c>
      <c r="H677" t="str">
        <f t="shared" si="116"/>
        <v>PGLI, PEMBANGUNAN GRAHA LESTARI INDAH, PT Pembangunan Graha Lestari Indah, Pembangunan Graha Lestari Indah, Pembangunan Graha Lestari Indah Tbk, PembangunanGrahaLestariIndah</v>
      </c>
      <c r="I677" t="str">
        <f t="shared" si="113"/>
        <v>PEMBANGUNAN GRAHA LESTARI INDAH</v>
      </c>
      <c r="J677" t="str">
        <f t="shared" si="117"/>
        <v>PGLI, PT Pembangunan Graha Lestari Indah, Pembangunan Graha Lestari Indah, Pembangunan Graha Lestari Indah Tbk, PembangunanGrahaLestariIndah</v>
      </c>
      <c r="K677" t="str">
        <f t="shared" si="118"/>
        <v>PGLI, PT Pembangunan Graha Lestari Indah, Pembangunan Graha Lestari Indah, Pembangunan Graha Lestari Indah Tbk, PembangunanGrahaLestariIndah</v>
      </c>
      <c r="L677" t="str">
        <f t="shared" si="114"/>
        <v>PembangunanGrahaLestariIndah</v>
      </c>
      <c r="M677" t="str">
        <f t="shared" si="119"/>
        <v>PGLI, PT Pembangunan Graha Lestari Indah, Pembangunan Graha Lestari Indah, Pembangunan Graha Lestari Indah Tbk</v>
      </c>
      <c r="N677" t="str">
        <f t="shared" si="120"/>
        <v>PGLI, PT Pembangunan Graha Lestari Indah, Pembangunan Graha Lestari Indah, Pembangunan Graha Lestari Indah Tbk</v>
      </c>
    </row>
    <row r="678" spans="1:14" x14ac:dyDescent="0.2">
      <c r="A678" t="s">
        <v>1856</v>
      </c>
      <c r="B678" t="s">
        <v>1857</v>
      </c>
      <c r="C678" t="s">
        <v>8477</v>
      </c>
      <c r="D678" t="str">
        <f t="shared" si="110"/>
        <v>PGUN, PRADIKSI GUNATAMA, PT Pradiksi Gunatama, Pradiksi Gunatama, Pradiksi Gunatama Tbk, PradiksiGunatama, pradiksi gunatama</v>
      </c>
      <c r="E678" t="str">
        <f t="shared" si="111"/>
        <v>PGUN, PRADIKSI GUNATAMA, PT Pradiksi Gunatama, Pradiksi Gunatama, Pradiksi Gunatama Tbk, PradiksiGunatama, pradiksi gunatama</v>
      </c>
      <c r="F678" t="str">
        <f t="shared" si="112"/>
        <v>pradiksi gunatama</v>
      </c>
      <c r="G678" t="str">
        <f t="shared" si="115"/>
        <v>PGUN, PRADIKSI GUNATAMA, PT Pradiksi Gunatama, Pradiksi Gunatama, Pradiksi Gunatama Tbk, PradiksiGunatama</v>
      </c>
      <c r="H678" t="str">
        <f t="shared" si="116"/>
        <v>PGUN, PRADIKSI GUNATAMA, PT Pradiksi Gunatama, Pradiksi Gunatama, Pradiksi Gunatama Tbk, PradiksiGunatama</v>
      </c>
      <c r="I678" t="str">
        <f t="shared" si="113"/>
        <v>PRADIKSI GUNATAMA</v>
      </c>
      <c r="J678" t="str">
        <f t="shared" si="117"/>
        <v>PGUN, PT Pradiksi Gunatama, Pradiksi Gunatama, Pradiksi Gunatama Tbk, PradiksiGunatama</v>
      </c>
      <c r="K678" t="str">
        <f t="shared" si="118"/>
        <v>PGUN, PT Pradiksi Gunatama, Pradiksi Gunatama, Pradiksi Gunatama Tbk, PradiksiGunatama</v>
      </c>
      <c r="L678" t="str">
        <f t="shared" si="114"/>
        <v>PradiksiGunatama</v>
      </c>
      <c r="M678" t="str">
        <f t="shared" si="119"/>
        <v>PGUN, PT Pradiksi Gunatama, Pradiksi Gunatama, Pradiksi Gunatama Tbk</v>
      </c>
      <c r="N678" t="str">
        <f t="shared" si="120"/>
        <v>PGUN, PT Pradiksi Gunatama, Pradiksi Gunatama, Pradiksi Gunatama Tbk</v>
      </c>
    </row>
    <row r="679" spans="1:14" x14ac:dyDescent="0.2">
      <c r="A679" t="s">
        <v>968</v>
      </c>
      <c r="B679" t="s">
        <v>3644</v>
      </c>
      <c r="C679" t="s">
        <v>8478</v>
      </c>
      <c r="D679" t="str">
        <f t="shared" si="110"/>
        <v>PICO, PELANGI INDAH CANINDO, PT Pelangi Indah Canindo, Pelangi Indah Canindo, Pelangi Indah Canindo Tbk, PelangiIndahCanindo, pelangi indah canindo</v>
      </c>
      <c r="E679" t="str">
        <f t="shared" si="111"/>
        <v>PICO, PELANGI INDAH CANINDO, PT Pelangi Indah Canindo, Pelangi Indah Canindo, Pelangi Indah Canindo Tbk, PelangiIndahCanindo, pelangi indah canindo</v>
      </c>
      <c r="F679" t="str">
        <f t="shared" si="112"/>
        <v>pelangi indah canindo</v>
      </c>
      <c r="G679" t="str">
        <f t="shared" si="115"/>
        <v>PICO, PELANGI INDAH CANINDO, PT Pelangi Indah Canindo, Pelangi Indah Canindo, Pelangi Indah Canindo Tbk, PelangiIndahCanindo</v>
      </c>
      <c r="H679" t="str">
        <f t="shared" si="116"/>
        <v>PICO, PELANGI INDAH CANINDO, PT Pelangi Indah Canindo, Pelangi Indah Canindo, Pelangi Indah Canindo Tbk, PelangiIndahCanindo</v>
      </c>
      <c r="I679" t="str">
        <f t="shared" si="113"/>
        <v>PELANGI INDAH CANINDO</v>
      </c>
      <c r="J679" t="str">
        <f t="shared" si="117"/>
        <v>PICO, PT Pelangi Indah Canindo, Pelangi Indah Canindo, Pelangi Indah Canindo Tbk, PelangiIndahCanindo</v>
      </c>
      <c r="K679" t="str">
        <f t="shared" si="118"/>
        <v>PICO, PT Pelangi Indah Canindo, Pelangi Indah Canindo, Pelangi Indah Canindo Tbk, PelangiIndahCanindo</v>
      </c>
      <c r="L679" t="str">
        <f t="shared" si="114"/>
        <v>PelangiIndahCanindo</v>
      </c>
      <c r="M679" t="str">
        <f t="shared" si="119"/>
        <v>PICO, PT Pelangi Indah Canindo, Pelangi Indah Canindo, Pelangi Indah Canindo Tbk</v>
      </c>
      <c r="N679" t="str">
        <f t="shared" si="120"/>
        <v>PICO, PT Pelangi Indah Canindo, Pelangi Indah Canindo, Pelangi Indah Canindo Tbk</v>
      </c>
    </row>
    <row r="680" spans="1:14" x14ac:dyDescent="0.2">
      <c r="A680" t="s">
        <v>2604</v>
      </c>
      <c r="B680" t="s">
        <v>2605</v>
      </c>
      <c r="C680" t="s">
        <v>8479</v>
      </c>
      <c r="D680" t="str">
        <f t="shared" si="110"/>
        <v>PIPA, MULTI MAKMUR LEMINDO, Multi Makmur Lemindo, Multi Makmur Lemindo Tbk, MultiMakmurLemindo, PT Multi Makmur Lemindo, multi makmur lemindo</v>
      </c>
      <c r="E680" t="str">
        <f t="shared" si="111"/>
        <v>PIPA, MULTI MAKMUR LEMINDO, Multi Makmur Lemindo, Multi Makmur Lemindo Tbk, MultiMakmurLemindo, PT Multi Makmur Lemindo, multi makmur lemindo</v>
      </c>
      <c r="F680" t="str">
        <f t="shared" si="112"/>
        <v>multi makmur lemindo</v>
      </c>
      <c r="G680" t="str">
        <f t="shared" si="115"/>
        <v>PIPA, MULTI MAKMUR LEMINDO, Multi Makmur Lemindo, Multi Makmur Lemindo Tbk, MultiMakmurLemindo, PT Multi Makmur Lemindo</v>
      </c>
      <c r="H680" t="str">
        <f t="shared" si="116"/>
        <v>PIPA, MULTI MAKMUR LEMINDO, Multi Makmur Lemindo, Multi Makmur Lemindo Tbk, MultiMakmurLemindo, PT Multi Makmur Lemindo</v>
      </c>
      <c r="I680" t="str">
        <f t="shared" si="113"/>
        <v>MULTI MAKMUR LEMINDO</v>
      </c>
      <c r="J680" t="str">
        <f t="shared" si="117"/>
        <v>PIPA, Multi Makmur Lemindo, Multi Makmur Lemindo Tbk, MultiMakmurLemindo, PT Multi Makmur Lemindo</v>
      </c>
      <c r="K680" t="str">
        <f t="shared" si="118"/>
        <v>PIPA, Multi Makmur Lemindo, Multi Makmur Lemindo Tbk, MultiMakmurLemindo, PT Multi Makmur Lemindo</v>
      </c>
      <c r="L680" t="str">
        <f t="shared" si="114"/>
        <v>MultiMakmurLemindo</v>
      </c>
      <c r="M680" t="str">
        <f t="shared" si="119"/>
        <v>PIPA, Multi Makmur Lemindo, Multi Makmur Lemindo Tbk, PT Multi Makmur Lemindo</v>
      </c>
      <c r="N680" t="str">
        <f t="shared" si="120"/>
        <v>PIPA, Multi Makmur Lemindo, Multi Makmur Lemindo Tbk, PT Multi Makmur Lemindo</v>
      </c>
    </row>
    <row r="681" spans="1:14" x14ac:dyDescent="0.2">
      <c r="A681" t="s">
        <v>971</v>
      </c>
      <c r="B681" t="s">
        <v>972</v>
      </c>
      <c r="C681" t="s">
        <v>8480</v>
      </c>
      <c r="D681" t="str">
        <f t="shared" si="110"/>
        <v>PJAA, PEMBANGUNAN JAYA ANCOL, PT Pembangunan Jaya Ancol, Pembangunan Jaya Ancol, Pembangunan Jaya Ancol Tbk, PembangunanJayaAncol, pembangunan jaya ancol</v>
      </c>
      <c r="E681" t="str">
        <f t="shared" si="111"/>
        <v>PJAA, PEMBANGUNAN JAYA ANCOL, PT Pembangunan Jaya Ancol, Pembangunan Jaya Ancol, Pembangunan Jaya Ancol Tbk, PembangunanJayaAncol, pembangunan jaya ancol</v>
      </c>
      <c r="F681" t="str">
        <f t="shared" si="112"/>
        <v>pembangunan jaya ancol</v>
      </c>
      <c r="G681" t="str">
        <f t="shared" si="115"/>
        <v>PJAA, PEMBANGUNAN JAYA ANCOL, PT Pembangunan Jaya Ancol, Pembangunan Jaya Ancol, Pembangunan Jaya Ancol Tbk, PembangunanJayaAncol</v>
      </c>
      <c r="H681" t="str">
        <f t="shared" si="116"/>
        <v>PJAA, PEMBANGUNAN JAYA ANCOL, PT Pembangunan Jaya Ancol, Pembangunan Jaya Ancol, Pembangunan Jaya Ancol Tbk, PembangunanJayaAncol</v>
      </c>
      <c r="I681" t="str">
        <f t="shared" si="113"/>
        <v>PEMBANGUNAN JAYA ANCOL</v>
      </c>
      <c r="J681" t="str">
        <f t="shared" si="117"/>
        <v>PJAA, PT Pembangunan Jaya Ancol, Pembangunan Jaya Ancol, Pembangunan Jaya Ancol Tbk, PembangunanJayaAncol</v>
      </c>
      <c r="K681" t="str">
        <f t="shared" si="118"/>
        <v>PJAA, PT Pembangunan Jaya Ancol, Pembangunan Jaya Ancol, Pembangunan Jaya Ancol Tbk, PembangunanJayaAncol</v>
      </c>
      <c r="L681" t="str">
        <f t="shared" si="114"/>
        <v>PembangunanJayaAncol</v>
      </c>
      <c r="M681" t="str">
        <f t="shared" si="119"/>
        <v>PJAA, PT Pembangunan Jaya Ancol, Pembangunan Jaya Ancol, Pembangunan Jaya Ancol Tbk</v>
      </c>
      <c r="N681" t="str">
        <f t="shared" si="120"/>
        <v>PJAA, PT Pembangunan Jaya Ancol, Pembangunan Jaya Ancol, Pembangunan Jaya Ancol Tbk</v>
      </c>
    </row>
    <row r="682" spans="1:14" x14ac:dyDescent="0.2">
      <c r="A682" t="s">
        <v>2561</v>
      </c>
      <c r="B682" t="s">
        <v>2562</v>
      </c>
      <c r="C682" t="s">
        <v>8481</v>
      </c>
      <c r="D682" t="str">
        <f t="shared" si="110"/>
        <v>PJHB, PELAYARAN JAYA HIDUP BARU, PT Pelayaran Jaya Hidup Baru, Pelayaran Jaya Hidup Baru, Pelayaran Jaya Hidup Baru Tbk, PelayaranJayaHidupBaru, pelayaran jaya hidup baru</v>
      </c>
      <c r="E682" t="str">
        <f t="shared" si="111"/>
        <v>PJHB, PELAYARAN JAYA HIDUP BARU, PT Pelayaran Jaya Hidup Baru, Pelayaran Jaya Hidup Baru, Pelayaran Jaya Hidup Baru Tbk, PelayaranJayaHidupBaru, pelayaran jaya hidup baru</v>
      </c>
      <c r="F682" t="str">
        <f t="shared" si="112"/>
        <v>pelayaran jaya hidup baru</v>
      </c>
      <c r="G682" t="str">
        <f t="shared" si="115"/>
        <v>PJHB, PELAYARAN JAYA HIDUP BARU, PT Pelayaran Jaya Hidup Baru, Pelayaran Jaya Hidup Baru, Pelayaran Jaya Hidup Baru Tbk, PelayaranJayaHidupBaru</v>
      </c>
      <c r="H682" t="str">
        <f t="shared" si="116"/>
        <v>PJHB, PELAYARAN JAYA HIDUP BARU, PT Pelayaran Jaya Hidup Baru, Pelayaran Jaya Hidup Baru, Pelayaran Jaya Hidup Baru Tbk, PelayaranJayaHidupBaru</v>
      </c>
      <c r="I682" t="str">
        <f t="shared" si="113"/>
        <v>PELAYARAN JAYA HIDUP BARU</v>
      </c>
      <c r="J682" t="str">
        <f t="shared" si="117"/>
        <v>PJHB, PT Pelayaran Jaya Hidup Baru, Pelayaran Jaya Hidup Baru, Pelayaran Jaya Hidup Baru Tbk, PelayaranJayaHidupBaru</v>
      </c>
      <c r="K682" t="str">
        <f t="shared" si="118"/>
        <v>PJHB, PT Pelayaran Jaya Hidup Baru, Pelayaran Jaya Hidup Baru, Pelayaran Jaya Hidup Baru Tbk, PelayaranJayaHidupBaru</v>
      </c>
      <c r="L682" t="str">
        <f t="shared" si="114"/>
        <v>PelayaranJayaHidupBaru</v>
      </c>
      <c r="M682" t="str">
        <f t="shared" si="119"/>
        <v>PJHB, PT Pelayaran Jaya Hidup Baru, Pelayaran Jaya Hidup Baru, Pelayaran Jaya Hidup Baru Tbk</v>
      </c>
      <c r="N682" t="str">
        <f t="shared" si="120"/>
        <v>PJHB, PT Pelayaran Jaya Hidup Baru, Pelayaran Jaya Hidup Baru, Pelayaran Jaya Hidup Baru Tbk</v>
      </c>
    </row>
    <row r="683" spans="1:14" x14ac:dyDescent="0.2">
      <c r="A683" t="s">
        <v>974</v>
      </c>
      <c r="B683" t="s">
        <v>975</v>
      </c>
      <c r="C683" t="s">
        <v>8482</v>
      </c>
      <c r="D683" t="str">
        <f t="shared" si="110"/>
        <v>PKPK, PARAGON KARYA PERKASA, PT Paragon Karya Perkasa, Paragon Karya Perkasa, Paragon Karya Perkasa Tbk, ParagonKaryaPerkasa, paragon karya perkasa</v>
      </c>
      <c r="E683" t="str">
        <f t="shared" si="111"/>
        <v>PKPK, PARAGON KARYA PERKASA, PT Paragon Karya Perkasa, Paragon Karya Perkasa, Paragon Karya Perkasa Tbk, ParagonKaryaPerkasa, paragon karya perkasa</v>
      </c>
      <c r="F683" t="str">
        <f t="shared" si="112"/>
        <v>paragon karya perkasa</v>
      </c>
      <c r="G683" t="str">
        <f t="shared" si="115"/>
        <v>PKPK, PARAGON KARYA PERKASA, PT Paragon Karya Perkasa, Paragon Karya Perkasa, Paragon Karya Perkasa Tbk, ParagonKaryaPerkasa</v>
      </c>
      <c r="H683" t="str">
        <f t="shared" si="116"/>
        <v>PKPK, PARAGON KARYA PERKASA, PT Paragon Karya Perkasa, Paragon Karya Perkasa, Paragon Karya Perkasa Tbk, ParagonKaryaPerkasa</v>
      </c>
      <c r="I683" t="str">
        <f t="shared" si="113"/>
        <v>PARAGON KARYA PERKASA</v>
      </c>
      <c r="J683" t="str">
        <f t="shared" si="117"/>
        <v>PKPK, PT Paragon Karya Perkasa, Paragon Karya Perkasa, Paragon Karya Perkasa Tbk, ParagonKaryaPerkasa</v>
      </c>
      <c r="K683" t="str">
        <f t="shared" si="118"/>
        <v>PKPK, PT Paragon Karya Perkasa, Paragon Karya Perkasa, Paragon Karya Perkasa Tbk, ParagonKaryaPerkasa</v>
      </c>
      <c r="L683" t="str">
        <f t="shared" si="114"/>
        <v>ParagonKaryaPerkasa</v>
      </c>
      <c r="M683" t="str">
        <f t="shared" si="119"/>
        <v>PKPK, PT Paragon Karya Perkasa, Paragon Karya Perkasa, Paragon Karya Perkasa Tbk</v>
      </c>
      <c r="N683" t="str">
        <f t="shared" si="120"/>
        <v>PKPK, PT Paragon Karya Perkasa, Paragon Karya Perkasa, Paragon Karya Perkasa Tbk</v>
      </c>
    </row>
    <row r="684" spans="1:14" x14ac:dyDescent="0.2">
      <c r="A684" t="s">
        <v>1896</v>
      </c>
      <c r="B684" t="s">
        <v>1897</v>
      </c>
      <c r="C684" t="s">
        <v>8483</v>
      </c>
      <c r="D684" t="str">
        <f t="shared" si="110"/>
        <v>PLAN, PLANET PROPERINDO JAYA, PT Planet Properindo Jaya, Planet Properindo Jaya, Planet Properindo Jaya Tbk, PlanetProperindoJaya, planet properindo jaya</v>
      </c>
      <c r="E684" t="str">
        <f t="shared" si="111"/>
        <v>PLAN, PLANET PROPERINDO JAYA, PT Planet Properindo Jaya, Planet Properindo Jaya, Planet Properindo Jaya Tbk, PlanetProperindoJaya, planet properindo jaya</v>
      </c>
      <c r="F684" t="str">
        <f t="shared" si="112"/>
        <v>planet properindo jaya</v>
      </c>
      <c r="G684" t="str">
        <f t="shared" si="115"/>
        <v>PLAN, PLANET PROPERINDO JAYA, PT Planet Properindo Jaya, Planet Properindo Jaya, Planet Properindo Jaya Tbk, PlanetProperindoJaya</v>
      </c>
      <c r="H684" t="str">
        <f t="shared" si="116"/>
        <v>PLAN, PLANET PROPERINDO JAYA, PT Planet Properindo Jaya, Planet Properindo Jaya, Planet Properindo Jaya Tbk, PlanetProperindoJaya</v>
      </c>
      <c r="I684" t="str">
        <f t="shared" si="113"/>
        <v>PLANET PROPERINDO JAYA</v>
      </c>
      <c r="J684" t="str">
        <f t="shared" si="117"/>
        <v>PLAN, PT Planet Properindo Jaya, Planet Properindo Jaya, Planet Properindo Jaya Tbk, PlanetProperindoJaya</v>
      </c>
      <c r="K684" t="str">
        <f t="shared" si="118"/>
        <v>PLAN, PT Planet Properindo Jaya, Planet Properindo Jaya, Planet Properindo Jaya Tbk, PlanetProperindoJaya</v>
      </c>
      <c r="L684" t="str">
        <f t="shared" si="114"/>
        <v>PlanetProperindoJaya</v>
      </c>
      <c r="M684" t="str">
        <f t="shared" si="119"/>
        <v>PLAN, PT Planet Properindo Jaya, Planet Properindo Jaya, Planet Properindo Jaya Tbk</v>
      </c>
      <c r="N684" t="str">
        <f t="shared" si="120"/>
        <v>PLAN, PT Planet Properindo Jaya, Planet Properindo Jaya, Planet Properindo Jaya Tbk</v>
      </c>
    </row>
    <row r="685" spans="1:14" x14ac:dyDescent="0.2">
      <c r="A685" t="s">
        <v>977</v>
      </c>
      <c r="B685" t="s">
        <v>3645</v>
      </c>
      <c r="C685" t="s">
        <v>8484</v>
      </c>
      <c r="D685" t="str">
        <f t="shared" si="110"/>
        <v>PLAS, POLARIS INVESTAMA, PT Polaris Investama, Polaris Investama, Polaris Investama Tbk, PolarisInvestama, polaris investama</v>
      </c>
      <c r="E685" t="str">
        <f t="shared" si="111"/>
        <v>PLAS, POLARIS INVESTAMA, PT Polaris Investama, Polaris Investama, Polaris Investama Tbk, PolarisInvestama, polaris investama</v>
      </c>
      <c r="F685" t="str">
        <f t="shared" si="112"/>
        <v>polaris investama</v>
      </c>
      <c r="G685" t="str">
        <f t="shared" si="115"/>
        <v>PLAS, POLARIS INVESTAMA, PT Polaris Investama, Polaris Investama, Polaris Investama Tbk, PolarisInvestama</v>
      </c>
      <c r="H685" t="str">
        <f t="shared" si="116"/>
        <v>PLAS, POLARIS INVESTAMA, PT Polaris Investama, Polaris Investama, Polaris Investama Tbk, PolarisInvestama</v>
      </c>
      <c r="I685" t="str">
        <f t="shared" si="113"/>
        <v>POLARIS INVESTAMA</v>
      </c>
      <c r="J685" t="str">
        <f t="shared" si="117"/>
        <v>PLAS, PT Polaris Investama, Polaris Investama, Polaris Investama Tbk, PolarisInvestama</v>
      </c>
      <c r="K685" t="str">
        <f t="shared" si="118"/>
        <v>PLAS, PT Polaris Investama, Polaris Investama, Polaris Investama Tbk, PolarisInvestama</v>
      </c>
      <c r="L685" t="str">
        <f t="shared" si="114"/>
        <v>PolarisInvestama</v>
      </c>
      <c r="M685" t="str">
        <f t="shared" si="119"/>
        <v>PLAS, PT Polaris Investama, Polaris Investama, Polaris Investama Tbk</v>
      </c>
      <c r="N685" t="str">
        <f t="shared" si="120"/>
        <v>PLAS, PT Polaris Investama, Polaris Investama, Polaris Investama Tbk</v>
      </c>
    </row>
    <row r="686" spans="1:14" x14ac:dyDescent="0.2">
      <c r="A686" t="s">
        <v>980</v>
      </c>
      <c r="B686" t="s">
        <v>981</v>
      </c>
      <c r="C686" t="s">
        <v>8485</v>
      </c>
      <c r="D686" t="str">
        <f t="shared" si="110"/>
        <v>PLAZA INDONESIA REALTY, PLIN, PT Plaza Indonesia Realty, Plaza Indonesia Realty, Plaza Indonesia Realty Tbk, PlazaIndonesiaRealty, plaza indonesia realty</v>
      </c>
      <c r="E686" t="str">
        <f t="shared" si="111"/>
        <v>PLAZA INDONESIA REALTY, PLIN, PT Plaza Indonesia Realty, Plaza Indonesia Realty, Plaza Indonesia Realty Tbk, PlazaIndonesiaRealty, plaza indonesia realty</v>
      </c>
      <c r="F686" t="str">
        <f t="shared" si="112"/>
        <v>plaza indonesia realty</v>
      </c>
      <c r="G686" t="str">
        <f t="shared" si="115"/>
        <v>PLAZA INDONESIA REALTY, PLIN, PT Plaza Indonesia Realty, Plaza Indonesia Realty, Plaza Indonesia Realty Tbk, PlazaIndonesiaRealty</v>
      </c>
      <c r="H686" t="str">
        <f t="shared" si="116"/>
        <v>PLAZA INDONESIA REALTY, PLIN, PT Plaza Indonesia Realty, Plaza Indonesia Realty, Plaza Indonesia Realty Tbk, PlazaIndonesiaRealty</v>
      </c>
      <c r="I686" t="str">
        <f t="shared" si="113"/>
        <v>PLAZA INDONESIA REALTY</v>
      </c>
      <c r="J686" t="str">
        <f t="shared" si="117"/>
        <v>PLAZA INDONESIA REALTY, PLIN, PT Plaza Indonesia Realty, Plaza Indonesia Realty, Plaza Indonesia Realty Tbk, PlazaIndonesiaRealty</v>
      </c>
      <c r="K686" t="str">
        <f t="shared" si="118"/>
        <v>PLIN, PT Plaza Indonesia Realty, Plaza Indonesia Realty, Plaza Indonesia Realty Tbk, PlazaIndonesiaRealty</v>
      </c>
      <c r="L686" t="str">
        <f t="shared" si="114"/>
        <v>PlazaIndonesiaRealty</v>
      </c>
      <c r="M686" t="str">
        <f t="shared" si="119"/>
        <v>PLIN, PT Plaza Indonesia Realty, Plaza Indonesia Realty, Plaza Indonesia Realty Tbk</v>
      </c>
      <c r="N686" t="str">
        <f t="shared" si="120"/>
        <v>PLIN, PT Plaza Indonesia Realty, Plaza Indonesia Realty, Plaza Indonesia Realty Tbk</v>
      </c>
    </row>
    <row r="687" spans="1:14" x14ac:dyDescent="0.2">
      <c r="A687" t="s">
        <v>1784</v>
      </c>
      <c r="B687" t="s">
        <v>1785</v>
      </c>
      <c r="C687" t="s">
        <v>8486</v>
      </c>
      <c r="D687" t="str">
        <f t="shared" si="110"/>
        <v>PMJS, PT Putra Mandiri Jembar, PUTRA MANDIRI JEMBAR, Putra Mandiri Jembar, Putra Mandiri Jembar Tbk, PutraMandiriJembar, putra mandiri jembar</v>
      </c>
      <c r="E687" t="str">
        <f t="shared" si="111"/>
        <v>PMJS, PT Putra Mandiri Jembar, PUTRA MANDIRI JEMBAR, Putra Mandiri Jembar, Putra Mandiri Jembar Tbk, PutraMandiriJembar, putra mandiri jembar</v>
      </c>
      <c r="F687" t="str">
        <f t="shared" si="112"/>
        <v>putra mandiri jembar</v>
      </c>
      <c r="G687" t="str">
        <f t="shared" si="115"/>
        <v>PMJS, PT Putra Mandiri Jembar, PUTRA MANDIRI JEMBAR, Putra Mandiri Jembar, Putra Mandiri Jembar Tbk, PutraMandiriJembar</v>
      </c>
      <c r="H687" t="str">
        <f t="shared" si="116"/>
        <v>PMJS, PT Putra Mandiri Jembar, PUTRA MANDIRI JEMBAR, Putra Mandiri Jembar, Putra Mandiri Jembar Tbk, PutraMandiriJembar</v>
      </c>
      <c r="I687" t="str">
        <f t="shared" si="113"/>
        <v>PUTRA MANDIRI JEMBAR</v>
      </c>
      <c r="J687" t="str">
        <f t="shared" si="117"/>
        <v>PMJS, PT Putra Mandiri Jembar, Putra Mandiri Jembar, Putra Mandiri Jembar Tbk, PutraMandiriJembar</v>
      </c>
      <c r="K687" t="str">
        <f t="shared" si="118"/>
        <v>PMJS, PT Putra Mandiri Jembar, Putra Mandiri Jembar, Putra Mandiri Jembar Tbk, PutraMandiriJembar</v>
      </c>
      <c r="L687" t="str">
        <f t="shared" si="114"/>
        <v>PutraMandiriJembar</v>
      </c>
      <c r="M687" t="str">
        <f t="shared" si="119"/>
        <v>PMJS, PT Putra Mandiri Jembar, Putra Mandiri Jembar, Putra Mandiri Jembar Tbk</v>
      </c>
      <c r="N687" t="str">
        <f t="shared" si="120"/>
        <v>PMJS, PT Putra Mandiri Jembar, Putra Mandiri Jembar, Putra Mandiri Jembar Tbk</v>
      </c>
    </row>
    <row r="688" spans="1:14" x14ac:dyDescent="0.2">
      <c r="A688" t="s">
        <v>1906</v>
      </c>
      <c r="B688" t="s">
        <v>1907</v>
      </c>
      <c r="C688" t="s">
        <v>8487</v>
      </c>
      <c r="D688" t="str">
        <f t="shared" si="110"/>
        <v>PMMP, PANCA MITRA MULTIPERDANA, PT Panca Mitra Multiperdana, Panca Mitra Multiperdana, Panca Mitra Multiperdana Tbk, PancaMitraMultiperdana, panca mitra multiperdana</v>
      </c>
      <c r="E688" t="str">
        <f t="shared" si="111"/>
        <v>PMMP, PANCA MITRA MULTIPERDANA, PT Panca Mitra Multiperdana, Panca Mitra Multiperdana, Panca Mitra Multiperdana Tbk, PancaMitraMultiperdana, panca mitra multiperdana</v>
      </c>
      <c r="F688" t="str">
        <f t="shared" si="112"/>
        <v>panca mitra multiperdana</v>
      </c>
      <c r="G688" t="str">
        <f t="shared" si="115"/>
        <v>PMMP, PANCA MITRA MULTIPERDANA, PT Panca Mitra Multiperdana, Panca Mitra Multiperdana, Panca Mitra Multiperdana Tbk, PancaMitraMultiperdana</v>
      </c>
      <c r="H688" t="str">
        <f t="shared" si="116"/>
        <v>PMMP, PANCA MITRA MULTIPERDANA, PT Panca Mitra Multiperdana, Panca Mitra Multiperdana, Panca Mitra Multiperdana Tbk, PancaMitraMultiperdana</v>
      </c>
      <c r="I688" t="str">
        <f t="shared" si="113"/>
        <v>PANCA MITRA MULTIPERDANA</v>
      </c>
      <c r="J688" t="str">
        <f t="shared" si="117"/>
        <v>PMMP, PT Panca Mitra Multiperdana, Panca Mitra Multiperdana, Panca Mitra Multiperdana Tbk, PancaMitraMultiperdana</v>
      </c>
      <c r="K688" t="str">
        <f t="shared" si="118"/>
        <v>PMMP, PT Panca Mitra Multiperdana, Panca Mitra Multiperdana, Panca Mitra Multiperdana Tbk, PancaMitraMultiperdana</v>
      </c>
      <c r="L688" t="str">
        <f t="shared" si="114"/>
        <v>PancaMitraMultiperdana</v>
      </c>
      <c r="M688" t="str">
        <f t="shared" si="119"/>
        <v>PMMP, PT Panca Mitra Multiperdana, Panca Mitra Multiperdana, Panca Mitra Multiperdana Tbk</v>
      </c>
      <c r="N688" t="str">
        <f t="shared" si="120"/>
        <v>PMMP, PT Panca Mitra Multiperdana, Panca Mitra Multiperdana, Panca Mitra Multiperdana Tbk</v>
      </c>
    </row>
    <row r="689" spans="1:14" x14ac:dyDescent="0.2">
      <c r="A689" t="s">
        <v>2556</v>
      </c>
      <c r="B689" t="s">
        <v>3646</v>
      </c>
      <c r="C689" t="s">
        <v>8488</v>
      </c>
      <c r="D689" t="str">
        <f t="shared" si="110"/>
        <v>PMUI, PRIMA MULTI USAHA INDONESIA, PT Prima Multi Usaha Indonesia, Prima Multi Usaha Indonesia, Prima Multi Usaha Indonesia Tbk, PrimaMultiUsahaIndonesia, prima multi usaha indonesia</v>
      </c>
      <c r="E689" t="str">
        <f t="shared" si="111"/>
        <v>PMUI, PRIMA MULTI USAHA INDONESIA, PT Prima Multi Usaha Indonesia, Prima Multi Usaha Indonesia, Prima Multi Usaha Indonesia Tbk, PrimaMultiUsahaIndonesia, prima multi usaha indonesia</v>
      </c>
      <c r="F689" t="str">
        <f t="shared" si="112"/>
        <v>prima multi usaha indonesia</v>
      </c>
      <c r="G689" t="str">
        <f t="shared" si="115"/>
        <v>PMUI, PRIMA MULTI USAHA INDONESIA, PT Prima Multi Usaha Indonesia, Prima Multi Usaha Indonesia, Prima Multi Usaha Indonesia Tbk, PrimaMultiUsahaIndonesia</v>
      </c>
      <c r="H689" t="str">
        <f t="shared" si="116"/>
        <v>PMUI, PRIMA MULTI USAHA INDONESIA, PT Prima Multi Usaha Indonesia, Prima Multi Usaha Indonesia, Prima Multi Usaha Indonesia Tbk, PrimaMultiUsahaIndonesia</v>
      </c>
      <c r="I689" t="str">
        <f t="shared" si="113"/>
        <v>PRIMA MULTI USAHA INDONESIA</v>
      </c>
      <c r="J689" t="str">
        <f t="shared" si="117"/>
        <v>PMUI, PT Prima Multi Usaha Indonesia, Prima Multi Usaha Indonesia, Prima Multi Usaha Indonesia Tbk, PrimaMultiUsahaIndonesia</v>
      </c>
      <c r="K689" t="str">
        <f t="shared" si="118"/>
        <v>PMUI, PT Prima Multi Usaha Indonesia, Prima Multi Usaha Indonesia, Prima Multi Usaha Indonesia Tbk, PrimaMultiUsahaIndonesia</v>
      </c>
      <c r="L689" t="str">
        <f t="shared" si="114"/>
        <v>PrimaMultiUsahaIndonesia</v>
      </c>
      <c r="M689" t="str">
        <f t="shared" si="119"/>
        <v>PMUI, PT Prima Multi Usaha Indonesia, Prima Multi Usaha Indonesia, Prima Multi Usaha Indonesia Tbk</v>
      </c>
      <c r="N689" t="str">
        <f t="shared" si="120"/>
        <v>PMUI, PT Prima Multi Usaha Indonesia, Prima Multi Usaha Indonesia, Prima Multi Usaha Indonesia Tbk</v>
      </c>
    </row>
    <row r="690" spans="1:14" x14ac:dyDescent="0.2">
      <c r="A690" t="s">
        <v>983</v>
      </c>
      <c r="B690" t="s">
        <v>3647</v>
      </c>
      <c r="C690" t="s">
        <v>8489</v>
      </c>
      <c r="D690" t="str">
        <f t="shared" si="110"/>
        <v>PNBN, BANK PAN INDONESIA, Bank Pan Indonesia, Bank Pan Indonesia Tbk, BankPanIndonesia, PT Bank Pan Indonesia, bank pan indonesia</v>
      </c>
      <c r="E690" t="str">
        <f t="shared" si="111"/>
        <v>PNBN, BANK PAN INDONESIA, Bank Pan Indonesia, Bank Pan Indonesia Tbk, BankPanIndonesia, PT Bank Pan Indonesia, bank pan indonesia</v>
      </c>
      <c r="F690" t="str">
        <f t="shared" si="112"/>
        <v>bank pan indonesia</v>
      </c>
      <c r="G690" t="str">
        <f t="shared" si="115"/>
        <v>PNBN, BANK PAN INDONESIA, Bank Pan Indonesia, Bank Pan Indonesia Tbk, BankPanIndonesia, PT Bank Pan Indonesia</v>
      </c>
      <c r="H690" t="str">
        <f t="shared" si="116"/>
        <v>PNBN, BANK PAN INDONESIA, Bank Pan Indonesia, Bank Pan Indonesia Tbk, BankPanIndonesia, PT Bank Pan Indonesia</v>
      </c>
      <c r="I690" t="str">
        <f t="shared" si="113"/>
        <v>BANK PAN INDONESIA</v>
      </c>
      <c r="J690" t="str">
        <f t="shared" si="117"/>
        <v>PNBN, Bank Pan Indonesia, Bank Pan Indonesia Tbk, BankPanIndonesia, PT Bank Pan Indonesia</v>
      </c>
      <c r="K690" t="str">
        <f t="shared" si="118"/>
        <v>PNBN, Bank Pan Indonesia, Bank Pan Indonesia Tbk, BankPanIndonesia, PT Bank Pan Indonesia</v>
      </c>
      <c r="L690" t="str">
        <f t="shared" si="114"/>
        <v>BankPanIndonesia</v>
      </c>
      <c r="M690" t="str">
        <f t="shared" si="119"/>
        <v>PNBN, Bank Pan Indonesia, Bank Pan Indonesia Tbk, PT Bank Pan Indonesia</v>
      </c>
      <c r="N690" t="str">
        <f t="shared" si="120"/>
        <v>PNBN, Bank Pan Indonesia, Bank Pan Indonesia Tbk, PT Bank Pan Indonesia</v>
      </c>
    </row>
    <row r="691" spans="1:14" x14ac:dyDescent="0.2">
      <c r="A691" t="s">
        <v>986</v>
      </c>
      <c r="B691" t="s">
        <v>987</v>
      </c>
      <c r="C691" t="s">
        <v>8490</v>
      </c>
      <c r="D691" t="str">
        <f t="shared" si="110"/>
        <v>PNBS, BANK PANIN DUBAI SYARIAH, Bank Panin Dubai Syariah, Bank Panin Dubai Syariah Tbk, Bank Syariah, BankPaninDubaiSyariah, PT Bank Panin Dubai Syariah, Syariah, bank panin dubai syariah</v>
      </c>
      <c r="E691" t="str">
        <f t="shared" si="111"/>
        <v>PNBS, BANK PANIN DUBAI SYARIAH, Bank Panin Dubai Syariah, Bank Panin Dubai Syariah Tbk, Bank Syariah, BankPaninDubaiSyariah, PT Bank Panin Dubai Syariah, Syariah, bank panin dubai syariah</v>
      </c>
      <c r="F691" t="str">
        <f t="shared" si="112"/>
        <v>bank panin dubai syariah</v>
      </c>
      <c r="G691" t="str">
        <f t="shared" si="115"/>
        <v>PNBS, BANK PANIN DUBAI SYARIAH, Bank Panin Dubai Syariah, Bank Panin Dubai Syariah Tbk, Bank Syariah, BankPaninDubaiSyariah, PT Bank Panin Dubai Syariah, Syariah</v>
      </c>
      <c r="H691" t="str">
        <f t="shared" si="116"/>
        <v>PNBS, BANK PANIN DUBAI SYARIAH, Bank Panin Dubai Syariah, Bank Panin Dubai Syariah Tbk, Bank Syariah, BankPaninDubaiSyariah, PT Bank Panin Dubai Syariah, Syariah</v>
      </c>
      <c r="I691" t="str">
        <f t="shared" si="113"/>
        <v>BANK PANIN DUBAI SYARIAH</v>
      </c>
      <c r="J691" t="str">
        <f t="shared" si="117"/>
        <v>PNBS, Bank Panin Dubai Syariah, Bank Panin Dubai Syariah Tbk, Bank Syariah, BankPaninDubaiSyariah, PT Bank Panin Dubai Syariah, Syariah</v>
      </c>
      <c r="K691" t="str">
        <f t="shared" si="118"/>
        <v>PNBS, Bank Panin Dubai Syariah, Bank Panin Dubai Syariah Tbk, Bank Syariah, BankPaninDubaiSyariah, PT Bank Panin Dubai Syariah, Syariah</v>
      </c>
      <c r="L691" t="str">
        <f t="shared" si="114"/>
        <v>BankPaninDubaiSyariah</v>
      </c>
      <c r="M691" t="str">
        <f t="shared" si="119"/>
        <v>PNBS, Bank Panin Dubai Syariah, Bank Panin Dubai Syariah Tbk, Bank Syariah, PT Bank Panin Dubai Syariah, Syariah</v>
      </c>
      <c r="N691" t="str">
        <f t="shared" si="120"/>
        <v>PNBS, Bank Panin Dubai Syariah, Bank Panin Dubai Syariah Tbk, Bank Syariah, PT Bank Panin Dubai Syariah, Syariah</v>
      </c>
    </row>
    <row r="692" spans="1:14" x14ac:dyDescent="0.2">
      <c r="A692" t="s">
        <v>1874</v>
      </c>
      <c r="B692" t="s">
        <v>1875</v>
      </c>
      <c r="C692" t="s">
        <v>8491</v>
      </c>
      <c r="D692" t="str">
        <f t="shared" si="110"/>
        <v>PNGO, PINAGO UTAMA, PT Pinago Utama, Pinago Utama, Pinago Utama Tbk, PinagoUtama, pinago utama</v>
      </c>
      <c r="E692" t="str">
        <f t="shared" si="111"/>
        <v>PNGO, PINAGO UTAMA, PT Pinago Utama, Pinago Utama, Pinago Utama Tbk, PinagoUtama, pinago utama</v>
      </c>
      <c r="F692" t="str">
        <f t="shared" si="112"/>
        <v>pinago utama</v>
      </c>
      <c r="G692" t="str">
        <f t="shared" si="115"/>
        <v>PNGO, PINAGO UTAMA, PT Pinago Utama, Pinago Utama, Pinago Utama Tbk, PinagoUtama</v>
      </c>
      <c r="H692" t="str">
        <f t="shared" si="116"/>
        <v>PNGO, PINAGO UTAMA, PT Pinago Utama, Pinago Utama, Pinago Utama Tbk, PinagoUtama</v>
      </c>
      <c r="I692" t="str">
        <f t="shared" si="113"/>
        <v>PINAGO UTAMA</v>
      </c>
      <c r="J692" t="str">
        <f t="shared" si="117"/>
        <v>PNGO, PT Pinago Utama, Pinago Utama, Pinago Utama Tbk, PinagoUtama</v>
      </c>
      <c r="K692" t="str">
        <f t="shared" si="118"/>
        <v>PNGO, PT Pinago Utama, Pinago Utama, Pinago Utama Tbk, PinagoUtama</v>
      </c>
      <c r="L692" t="str">
        <f t="shared" si="114"/>
        <v>PinagoUtama</v>
      </c>
      <c r="M692" t="str">
        <f t="shared" si="119"/>
        <v>PNGO, PT Pinago Utama, Pinago Utama, Pinago Utama Tbk</v>
      </c>
      <c r="N692" t="str">
        <f t="shared" si="120"/>
        <v>PNGO, PT Pinago Utama, Pinago Utama, Pinago Utama Tbk</v>
      </c>
    </row>
    <row r="693" spans="1:14" x14ac:dyDescent="0.2">
      <c r="A693" t="s">
        <v>989</v>
      </c>
      <c r="B693" t="s">
        <v>990</v>
      </c>
      <c r="C693" t="s">
        <v>8492</v>
      </c>
      <c r="D693" t="str">
        <f t="shared" si="110"/>
        <v>PNIN, PANINVEST, PT Paninvest, Paninvest, Paninvest Tbk, paninvest</v>
      </c>
      <c r="E693" t="str">
        <f t="shared" si="111"/>
        <v>PNIN, PANINVEST, PT Paninvest, Paninvest, Paninvest Tbk, paninvest</v>
      </c>
      <c r="F693" t="str">
        <f t="shared" si="112"/>
        <v>paninvest</v>
      </c>
      <c r="G693" t="str">
        <f t="shared" si="115"/>
        <v>PNIN, PANINVEST, PT Paninvest, Paninvest, Paninvest Tbk</v>
      </c>
      <c r="H693" t="str">
        <f t="shared" si="116"/>
        <v>PNIN, PANINVEST, PT Paninvest, Paninvest, Paninvest Tbk</v>
      </c>
      <c r="I693" t="str">
        <f t="shared" si="113"/>
        <v>PANINVEST</v>
      </c>
      <c r="J693" t="str">
        <f t="shared" si="117"/>
        <v>PNIN, PT Paninvest, Paninvest, Paninvest Tbk</v>
      </c>
      <c r="K693" t="str">
        <f t="shared" si="118"/>
        <v>PNIN, PT Paninvest, Paninvest, Paninvest Tbk</v>
      </c>
      <c r="L693" t="str">
        <f t="shared" si="114"/>
        <v>Paninvest</v>
      </c>
      <c r="M693" t="str">
        <f t="shared" si="119"/>
        <v>PNIN, PT Paninvest Tbk</v>
      </c>
      <c r="N693" t="str">
        <f t="shared" si="120"/>
        <v>PNIN, PT Paninvest Tbk</v>
      </c>
    </row>
    <row r="694" spans="1:14" x14ac:dyDescent="0.2">
      <c r="A694" t="s">
        <v>992</v>
      </c>
      <c r="B694" t="s">
        <v>993</v>
      </c>
      <c r="C694" t="s">
        <v>8493</v>
      </c>
      <c r="D694" t="str">
        <f t="shared" si="110"/>
        <v>PNLF, PANIN FINANCIAL, PT Panin Financial, Panin Financial, Panin Financial Tbk, PaninFinancial, panin financial</v>
      </c>
      <c r="E694" t="str">
        <f t="shared" si="111"/>
        <v>PNLF, PANIN FINANCIAL, PT Panin Financial, Panin Financial, Panin Financial Tbk, PaninFinancial, panin financial</v>
      </c>
      <c r="F694" t="str">
        <f t="shared" si="112"/>
        <v>panin financial</v>
      </c>
      <c r="G694" t="str">
        <f t="shared" si="115"/>
        <v>PNLF, PANIN FINANCIAL, PT Panin Financial, Panin Financial, Panin Financial Tbk, PaninFinancial</v>
      </c>
      <c r="H694" t="str">
        <f t="shared" si="116"/>
        <v>PNLF, PANIN FINANCIAL, PT Panin Financial, Panin Financial, Panin Financial Tbk, PaninFinancial</v>
      </c>
      <c r="I694" t="str">
        <f t="shared" si="113"/>
        <v>PANIN FINANCIAL</v>
      </c>
      <c r="J694" t="str">
        <f t="shared" si="117"/>
        <v>PNLF, PT Panin Financial, Panin Financial, Panin Financial Tbk, PaninFinancial</v>
      </c>
      <c r="K694" t="str">
        <f t="shared" si="118"/>
        <v>PNLF, PT Panin Financial, Panin Financial, Panin Financial Tbk, PaninFinancial</v>
      </c>
      <c r="L694" t="str">
        <f t="shared" si="114"/>
        <v>PaninFinancial</v>
      </c>
      <c r="M694" t="str">
        <f t="shared" si="119"/>
        <v>PNLF, PT Panin Financial, Panin Financial, Panin Financial Tbk</v>
      </c>
      <c r="N694" t="str">
        <f t="shared" si="120"/>
        <v>PNLF, PT Panin Financial, Panin Financial, Panin Financial Tbk</v>
      </c>
    </row>
    <row r="695" spans="1:14" x14ac:dyDescent="0.2">
      <c r="A695" t="s">
        <v>2681</v>
      </c>
      <c r="B695" t="s">
        <v>2682</v>
      </c>
      <c r="C695" t="s">
        <v>8494</v>
      </c>
      <c r="D695" t="str">
        <f t="shared" si="110"/>
        <v>PNSE, PT Pudjiadi &amp; Sons, PUDJIADI &amp; SONS, Pudjiadi &amp; Sons, Pudjiadi &amp; Sons Tbk, Pudjiadi&amp;Sons, pudjiadi &amp; sons</v>
      </c>
      <c r="E695" t="str">
        <f t="shared" si="111"/>
        <v>PNSE, PT Pudjiadi &amp; Sons, PUDJIADI &amp; SONS, Pudjiadi &amp; Sons, Pudjiadi &amp; Sons Tbk, Pudjiadi&amp;Sons, pudjiadi &amp; sons</v>
      </c>
      <c r="F695" t="str">
        <f t="shared" si="112"/>
        <v>pudjiadi &amp; sons</v>
      </c>
      <c r="G695" t="str">
        <f t="shared" si="115"/>
        <v>PNSE, PT Pudjiadi &amp; Sons, PUDJIADI &amp; SONS, Pudjiadi &amp; Sons, Pudjiadi &amp; Sons Tbk, Pudjiadi&amp;Sons</v>
      </c>
      <c r="H695" t="str">
        <f t="shared" si="116"/>
        <v>PNSE, PT Pudjiadi &amp; Sons, PUDJIADI &amp; SONS, Pudjiadi &amp; Sons, Pudjiadi &amp; Sons Tbk, Pudjiadi&amp;Sons</v>
      </c>
      <c r="I695" t="str">
        <f t="shared" si="113"/>
        <v>PUDJIADI &amp; SONS</v>
      </c>
      <c r="J695" t="str">
        <f t="shared" si="117"/>
        <v>PNSE, PT Pudjiadi &amp; Sons, Pudjiadi &amp; Sons, Pudjiadi &amp; Sons Tbk, Pudjiadi&amp;Sons</v>
      </c>
      <c r="K695" t="str">
        <f t="shared" si="118"/>
        <v>PNSE, PT Pudjiadi &amp; Sons, Pudjiadi &amp; Sons, Pudjiadi &amp; Sons Tbk, Pudjiadi&amp;Sons</v>
      </c>
      <c r="L695" t="str">
        <f t="shared" si="114"/>
        <v>Pudjiadi&amp;Sons</v>
      </c>
      <c r="M695" t="str">
        <f t="shared" si="119"/>
        <v>PNSE, PT Pudjiadi &amp; Sons, Pudjiadi &amp; Sons, Pudjiadi &amp; Sons Tbk</v>
      </c>
      <c r="N695" t="str">
        <f t="shared" si="120"/>
        <v>PNSE, PT Pudjiadi &amp; Sons, Pudjiadi &amp; Sons, Pudjiadi &amp; Sons Tbk</v>
      </c>
    </row>
    <row r="696" spans="1:14" x14ac:dyDescent="0.2">
      <c r="A696" t="s">
        <v>1622</v>
      </c>
      <c r="B696" t="s">
        <v>1623</v>
      </c>
      <c r="C696" t="s">
        <v>8495</v>
      </c>
      <c r="D696" t="str">
        <f t="shared" si="110"/>
        <v>POLA, POOL ADVISTA FINANCE, PT Pool Advista Finance, Pool Advista Finance, Pool Advista Finance Tbk, PoolAdvistaFinance, pool advista finance</v>
      </c>
      <c r="E696" t="str">
        <f t="shared" si="111"/>
        <v>POLA, POOL ADVISTA FINANCE, PT Pool Advista Finance, Pool Advista Finance, Pool Advista Finance Tbk, PoolAdvistaFinance, pool advista finance</v>
      </c>
      <c r="F696" t="str">
        <f t="shared" si="112"/>
        <v>pool advista finance</v>
      </c>
      <c r="G696" t="str">
        <f t="shared" si="115"/>
        <v>POLA, POOL ADVISTA FINANCE, PT Pool Advista Finance, Pool Advista Finance, Pool Advista Finance Tbk, PoolAdvistaFinance</v>
      </c>
      <c r="H696" t="str">
        <f t="shared" si="116"/>
        <v>POLA, POOL ADVISTA FINANCE, PT Pool Advista Finance, Pool Advista Finance, Pool Advista Finance Tbk, PoolAdvistaFinance</v>
      </c>
      <c r="I696" t="str">
        <f t="shared" si="113"/>
        <v>POOL ADVISTA FINANCE</v>
      </c>
      <c r="J696" t="str">
        <f t="shared" si="117"/>
        <v>POLA, PT Pool Advista Finance, Pool Advista Finance, Pool Advista Finance Tbk, PoolAdvistaFinance</v>
      </c>
      <c r="K696" t="str">
        <f t="shared" si="118"/>
        <v>POLA, PT Pool Advista Finance, Pool Advista Finance, Pool Advista Finance Tbk, PoolAdvistaFinance</v>
      </c>
      <c r="L696" t="str">
        <f t="shared" si="114"/>
        <v>PoolAdvistaFinance</v>
      </c>
      <c r="M696" t="str">
        <f t="shared" si="119"/>
        <v>POLA, PT Pool Advista Finance, Pool Advista Finance, Pool Advista Finance Tbk</v>
      </c>
      <c r="N696" t="str">
        <f t="shared" si="120"/>
        <v>POLA, PT Pool Advista Finance, Pool Advista Finance, Pool Advista Finance Tbk</v>
      </c>
    </row>
    <row r="697" spans="1:14" x14ac:dyDescent="0.2">
      <c r="A697" t="s">
        <v>1646</v>
      </c>
      <c r="B697" t="s">
        <v>1647</v>
      </c>
      <c r="C697" t="s">
        <v>8496</v>
      </c>
      <c r="D697" t="str">
        <f t="shared" si="110"/>
        <v>POLI, POLLUX HOTELS GROUP, PT Pollux Hotels Group, Pollux Hotels Group, Pollux Hotels Group Tbk, PolluxHotelsGroup, pollux hotels group</v>
      </c>
      <c r="E697" t="str">
        <f t="shared" si="111"/>
        <v>POLI, POLLUX HOTELS GROUP, PT Pollux Hotels Group, Pollux Hotels Group, Pollux Hotels Group Tbk, PolluxHotelsGroup, pollux hotels group</v>
      </c>
      <c r="F697" t="str">
        <f t="shared" si="112"/>
        <v>pollux hotels group</v>
      </c>
      <c r="G697" t="str">
        <f t="shared" si="115"/>
        <v>POLI, POLLUX HOTELS GROUP, PT Pollux Hotels Group, Pollux Hotels Group, Pollux Hotels Group Tbk, PolluxHotelsGroup</v>
      </c>
      <c r="H697" t="str">
        <f t="shared" si="116"/>
        <v>POLI, POLLUX HOTELS GROUP, PT Pollux Hotels Group, Pollux Hotels Group, Pollux Hotels Group Tbk, PolluxHotelsGroup</v>
      </c>
      <c r="I697" t="str">
        <f t="shared" si="113"/>
        <v>POLLUX HOTELS GROUP</v>
      </c>
      <c r="J697" t="str">
        <f t="shared" si="117"/>
        <v>POLI, PT Pollux Hotels Group, Pollux Hotels Group, Pollux Hotels Group Tbk, PolluxHotelsGroup</v>
      </c>
      <c r="K697" t="str">
        <f t="shared" si="118"/>
        <v>POLI, PT Pollux Hotels Group, Pollux Hotels Group, Pollux Hotels Group Tbk, PolluxHotelsGroup</v>
      </c>
      <c r="L697" t="str">
        <f t="shared" si="114"/>
        <v>PolluxHotelsGroup</v>
      </c>
      <c r="M697" t="str">
        <f t="shared" si="119"/>
        <v>POLI, PT Pollux Hotels Group, Pollux Hotels Group, Pollux Hotels Group Tbk</v>
      </c>
      <c r="N697" t="str">
        <f t="shared" si="120"/>
        <v>POLI, PT Pollux Hotels Group, Pollux Hotels Group, Pollux Hotels Group Tbk</v>
      </c>
    </row>
    <row r="698" spans="1:14" x14ac:dyDescent="0.2">
      <c r="A698" t="s">
        <v>1557</v>
      </c>
      <c r="B698" t="s">
        <v>3648</v>
      </c>
      <c r="C698" t="s">
        <v>8497</v>
      </c>
      <c r="D698" t="str">
        <f t="shared" si="110"/>
        <v>POLL, POLLUX PROPERTIES INDONESIA, PT Pollux Properties Indonesia, Pollux Properties Indonesia, Pollux Properties Indonesia Tbk, PolluxPropertiesIndonesia, pollux properties indonesia</v>
      </c>
      <c r="E698" t="str">
        <f t="shared" si="111"/>
        <v>POLL, POLLUX PROPERTIES INDONESIA, PT Pollux Properties Indonesia, Pollux Properties Indonesia, Pollux Properties Indonesia Tbk, PolluxPropertiesIndonesia, pollux properties indonesia</v>
      </c>
      <c r="F698" t="str">
        <f t="shared" si="112"/>
        <v>pollux properties indonesia</v>
      </c>
      <c r="G698" t="str">
        <f t="shared" si="115"/>
        <v>POLL, POLLUX PROPERTIES INDONESIA, PT Pollux Properties Indonesia, Pollux Properties Indonesia, Pollux Properties Indonesia Tbk, PolluxPropertiesIndonesia</v>
      </c>
      <c r="H698" t="str">
        <f t="shared" si="116"/>
        <v>POLL, POLLUX PROPERTIES INDONESIA, PT Pollux Properties Indonesia, Pollux Properties Indonesia, Pollux Properties Indonesia Tbk, PolluxPropertiesIndonesia</v>
      </c>
      <c r="I698" t="str">
        <f t="shared" si="113"/>
        <v>POLLUX PROPERTIES INDONESIA</v>
      </c>
      <c r="J698" t="str">
        <f t="shared" si="117"/>
        <v>POLL, PT Pollux Properties Indonesia, Pollux Properties Indonesia, Pollux Properties Indonesia Tbk, PolluxPropertiesIndonesia</v>
      </c>
      <c r="K698" t="str">
        <f t="shared" si="118"/>
        <v>POLL, PT Pollux Properties Indonesia, Pollux Properties Indonesia, Pollux Properties Indonesia Tbk, PolluxPropertiesIndonesia</v>
      </c>
      <c r="L698" t="str">
        <f t="shared" si="114"/>
        <v>PolluxPropertiesIndonesia</v>
      </c>
      <c r="M698" t="str">
        <f t="shared" si="119"/>
        <v>POLL, PT Pollux Properties Indonesia, Pollux Properties Indonesia, Pollux Properties Indonesia Tbk</v>
      </c>
      <c r="N698" t="str">
        <f t="shared" si="120"/>
        <v>POLL, PT Pollux Properties Indonesia, Pollux Properties Indonesia, Pollux Properties Indonesia Tbk</v>
      </c>
    </row>
    <row r="699" spans="1:14" x14ac:dyDescent="0.2">
      <c r="A699" t="s">
        <v>1685</v>
      </c>
      <c r="B699" t="s">
        <v>1686</v>
      </c>
      <c r="C699" t="s">
        <v>8498</v>
      </c>
      <c r="D699" t="str">
        <f t="shared" si="110"/>
        <v>POLU, GOLDEN FLOWER, Golden Flower, Golden Flower Tbk, GoldenFlower, PT Golden Flower, golden flower</v>
      </c>
      <c r="E699" t="str">
        <f t="shared" si="111"/>
        <v>POLU, GOLDEN FLOWER, Golden Flower, Golden Flower Tbk, GoldenFlower, PT Golden Flower, golden flower</v>
      </c>
      <c r="F699" t="str">
        <f t="shared" si="112"/>
        <v>golden flower</v>
      </c>
      <c r="G699" t="str">
        <f t="shared" si="115"/>
        <v>POLU, GOLDEN FLOWER, Golden Flower, Golden Flower Tbk, GoldenFlower, PT Golden Flower</v>
      </c>
      <c r="H699" t="str">
        <f t="shared" si="116"/>
        <v>POLU, GOLDEN FLOWER, Golden Flower, Golden Flower Tbk, GoldenFlower, PT Golden Flower</v>
      </c>
      <c r="I699" t="str">
        <f t="shared" si="113"/>
        <v>GOLDEN FLOWER</v>
      </c>
      <c r="J699" t="str">
        <f t="shared" si="117"/>
        <v>POLU, Golden Flower, Golden Flower Tbk, GoldenFlower, PT Golden Flower</v>
      </c>
      <c r="K699" t="str">
        <f t="shared" si="118"/>
        <v>POLU, Golden Flower, Golden Flower Tbk, GoldenFlower, PT Golden Flower</v>
      </c>
      <c r="L699" t="str">
        <f t="shared" si="114"/>
        <v>GoldenFlower</v>
      </c>
      <c r="M699" t="str">
        <f t="shared" si="119"/>
        <v>POLU, Golden Flower, Golden Flower Tbk, PT Golden Flower</v>
      </c>
      <c r="N699" t="str">
        <f t="shared" si="120"/>
        <v>POLU, Golden Flower, Golden Flower Tbk, PT Golden Flower</v>
      </c>
    </row>
    <row r="700" spans="1:14" x14ac:dyDescent="0.2">
      <c r="A700" t="s">
        <v>2684</v>
      </c>
      <c r="B700" t="s">
        <v>3649</v>
      </c>
      <c r="C700" t="s">
        <v>8499</v>
      </c>
      <c r="D700" t="str">
        <f t="shared" si="110"/>
        <v>POLY, ASIA PACIFIC FIBERS, Asia Pacific Fibers, Asia Pacific Fibers Tbk, AsiaPacificFibers, PT Asia Pacific Fibers, asia pacific fibers</v>
      </c>
      <c r="E700" t="str">
        <f t="shared" si="111"/>
        <v>POLY, ASIA PACIFIC FIBERS, Asia Pacific Fibers, Asia Pacific Fibers Tbk, AsiaPacificFibers, PT Asia Pacific Fibers, asia pacific fibers</v>
      </c>
      <c r="F700" t="str">
        <f t="shared" si="112"/>
        <v>asia pacific fibers</v>
      </c>
      <c r="G700" t="str">
        <f t="shared" si="115"/>
        <v>POLY, ASIA PACIFIC FIBERS, Asia Pacific Fibers, Asia Pacific Fibers Tbk, AsiaPacificFibers, PT Asia Pacific Fibers</v>
      </c>
      <c r="H700" t="str">
        <f t="shared" si="116"/>
        <v>POLY, ASIA PACIFIC FIBERS, Asia Pacific Fibers, Asia Pacific Fibers Tbk, AsiaPacificFibers, PT Asia Pacific Fibers</v>
      </c>
      <c r="I700" t="str">
        <f t="shared" si="113"/>
        <v>ASIA PACIFIC FIBERS</v>
      </c>
      <c r="J700" t="str">
        <f t="shared" si="117"/>
        <v>POLY, Asia Pacific Fibers, Asia Pacific Fibers Tbk, AsiaPacificFibers, PT Asia Pacific Fibers</v>
      </c>
      <c r="K700" t="str">
        <f t="shared" si="118"/>
        <v>POLY, Asia Pacific Fibers, Asia Pacific Fibers Tbk, AsiaPacificFibers, PT Asia Pacific Fibers</v>
      </c>
      <c r="L700" t="str">
        <f t="shared" si="114"/>
        <v>AsiaPacificFibers</v>
      </c>
      <c r="M700" t="str">
        <f t="shared" si="119"/>
        <v>POLY, Asia Pacific Fibers, Asia Pacific Fibers Tbk, PT Asia Pacific Fibers</v>
      </c>
      <c r="N700" t="str">
        <f t="shared" si="120"/>
        <v>POLY, Asia Pacific Fibers, Asia Pacific Fibers Tbk, PT Asia Pacific Fibers</v>
      </c>
    </row>
    <row r="701" spans="1:14" x14ac:dyDescent="0.2">
      <c r="A701" t="s">
        <v>2687</v>
      </c>
      <c r="B701" t="s">
        <v>2688</v>
      </c>
      <c r="C701" t="s">
        <v>8500</v>
      </c>
      <c r="D701" t="str">
        <f t="shared" si="110"/>
        <v>POOL, POOL ADVISTA INDONESIA, PT Pool Advista Indonesia, Pool Advista Indonesia, Pool Advista Indonesia Tbk, PoolAdvistaIndonesia, pool advista indonesia</v>
      </c>
      <c r="E701" t="str">
        <f t="shared" si="111"/>
        <v>POOL, POOL ADVISTA INDONESIA, PT Pool Advista Indonesia, Pool Advista Indonesia, Pool Advista Indonesia Tbk, PoolAdvistaIndonesia, pool advista indonesia</v>
      </c>
      <c r="F701" t="str">
        <f t="shared" si="112"/>
        <v>pool advista indonesia</v>
      </c>
      <c r="G701" t="str">
        <f t="shared" si="115"/>
        <v>POOL, POOL ADVISTA INDONESIA, PT Pool Advista Indonesia, Pool Advista Indonesia, Pool Advista Indonesia Tbk, PoolAdvistaIndonesia</v>
      </c>
      <c r="H701" t="str">
        <f t="shared" si="116"/>
        <v>POOL, POOL ADVISTA INDONESIA, PT Pool Advista Indonesia, Pool Advista Indonesia, Pool Advista Indonesia Tbk, PoolAdvistaIndonesia</v>
      </c>
      <c r="I701" t="str">
        <f t="shared" si="113"/>
        <v>POOL ADVISTA INDONESIA</v>
      </c>
      <c r="J701" t="str">
        <f t="shared" si="117"/>
        <v>POOL, PT Pool Advista Indonesia, Pool Advista Indonesia, Pool Advista Indonesia Tbk, PoolAdvistaIndonesia</v>
      </c>
      <c r="K701" t="str">
        <f t="shared" si="118"/>
        <v>POOL, PT Pool Advista Indonesia, Pool Advista Indonesia, Pool Advista Indonesia Tbk, PoolAdvistaIndonesia</v>
      </c>
      <c r="L701" t="str">
        <f t="shared" si="114"/>
        <v>PoolAdvistaIndonesia</v>
      </c>
      <c r="M701" t="str">
        <f t="shared" si="119"/>
        <v>POOL, PT Pool Advista Indonesia, Pool Advista Indonesia, Pool Advista Indonesia Tbk</v>
      </c>
      <c r="N701" t="str">
        <f t="shared" si="120"/>
        <v>POOL, PT Pool Advista Indonesia, Pool Advista Indonesia, Pool Advista Indonesia Tbk</v>
      </c>
    </row>
    <row r="702" spans="1:14" x14ac:dyDescent="0.2">
      <c r="A702" t="s">
        <v>1392</v>
      </c>
      <c r="B702" t="s">
        <v>3650</v>
      </c>
      <c r="C702" t="s">
        <v>8501</v>
      </c>
      <c r="D702" t="str">
        <f t="shared" si="110"/>
        <v>PORT, NUSANTARA PELABUHAN HANDAL, Nusantara Pelabuhan Handal, Nusantara Pelabuhan Handal Tbk, NusantaraPelabuhanHandal, PT Nusantara Pelabuhan Handal, nusantara pelabuhan handal</v>
      </c>
      <c r="E702" t="str">
        <f t="shared" si="111"/>
        <v>PORT, NUSANTARA PELABUHAN HANDAL, Nusantara Pelabuhan Handal, Nusantara Pelabuhan Handal Tbk, NusantaraPelabuhanHandal, PT Nusantara Pelabuhan Handal, nusantara pelabuhan handal</v>
      </c>
      <c r="F702" t="str">
        <f t="shared" si="112"/>
        <v>nusantara pelabuhan handal</v>
      </c>
      <c r="G702" t="str">
        <f t="shared" si="115"/>
        <v>PORT, NUSANTARA PELABUHAN HANDAL, Nusantara Pelabuhan Handal, Nusantara Pelabuhan Handal Tbk, NusantaraPelabuhanHandal, PT Nusantara Pelabuhan Handal</v>
      </c>
      <c r="H702" t="str">
        <f t="shared" si="116"/>
        <v>PORT, NUSANTARA PELABUHAN HANDAL, Nusantara Pelabuhan Handal, Nusantara Pelabuhan Handal Tbk, NusantaraPelabuhanHandal, PT Nusantara Pelabuhan Handal</v>
      </c>
      <c r="I702" t="str">
        <f t="shared" si="113"/>
        <v>NUSANTARA PELABUHAN HANDAL</v>
      </c>
      <c r="J702" t="str">
        <f t="shared" si="117"/>
        <v>PORT, Nusantara Pelabuhan Handal, Nusantara Pelabuhan Handal Tbk, NusantaraPelabuhanHandal, PT Nusantara Pelabuhan Handal</v>
      </c>
      <c r="K702" t="str">
        <f t="shared" si="118"/>
        <v>PORT, Nusantara Pelabuhan Handal, Nusantara Pelabuhan Handal Tbk, NusantaraPelabuhanHandal, PT Nusantara Pelabuhan Handal</v>
      </c>
      <c r="L702" t="str">
        <f t="shared" si="114"/>
        <v>NusantaraPelabuhanHandal</v>
      </c>
      <c r="M702" t="str">
        <f t="shared" si="119"/>
        <v>PORT, Nusantara Pelabuhan Handal, Nusantara Pelabuhan Handal Tbk, PT Nusantara Pelabuhan Handal</v>
      </c>
      <c r="N702" t="str">
        <f t="shared" si="120"/>
        <v>PORT, Nusantara Pelabuhan Handal, Nusantara Pelabuhan Handal Tbk, PT Nusantara Pelabuhan Handal</v>
      </c>
    </row>
    <row r="703" spans="1:14" x14ac:dyDescent="0.2">
      <c r="A703" t="s">
        <v>1669</v>
      </c>
      <c r="B703" t="s">
        <v>1670</v>
      </c>
      <c r="C703" t="s">
        <v>8502</v>
      </c>
      <c r="D703" t="str">
        <f t="shared" si="110"/>
        <v>POSA, BLISS PROPERTI INDONESIA, Bliss Properti Indonesia, Bliss Properti Indonesia Tbk, BlissPropertiIndonesia, PT Bliss Properti Indonesia, bliss properti indonesia</v>
      </c>
      <c r="E703" t="str">
        <f t="shared" si="111"/>
        <v>POSA, BLISS PROPERTI INDONESIA, Bliss Properti Indonesia, Bliss Properti Indonesia Tbk, BlissPropertiIndonesia, PT Bliss Properti Indonesia, bliss properti indonesia</v>
      </c>
      <c r="F703" t="str">
        <f t="shared" si="112"/>
        <v>bliss properti indonesia</v>
      </c>
      <c r="G703" t="str">
        <f t="shared" si="115"/>
        <v>POSA, BLISS PROPERTI INDONESIA, Bliss Properti Indonesia, Bliss Properti Indonesia Tbk, BlissPropertiIndonesia, PT Bliss Properti Indonesia</v>
      </c>
      <c r="H703" t="str">
        <f t="shared" si="116"/>
        <v>POSA, BLISS PROPERTI INDONESIA, Bliss Properti Indonesia, Bliss Properti Indonesia Tbk, BlissPropertiIndonesia, PT Bliss Properti Indonesia</v>
      </c>
      <c r="I703" t="str">
        <f t="shared" si="113"/>
        <v>BLISS PROPERTI INDONESIA</v>
      </c>
      <c r="J703" t="str">
        <f t="shared" si="117"/>
        <v>POSA, Bliss Properti Indonesia, Bliss Properti Indonesia Tbk, BlissPropertiIndonesia, PT Bliss Properti Indonesia</v>
      </c>
      <c r="K703" t="str">
        <f t="shared" si="118"/>
        <v>POSA, Bliss Properti Indonesia, Bliss Properti Indonesia Tbk, BlissPropertiIndonesia, PT Bliss Properti Indonesia</v>
      </c>
      <c r="L703" t="str">
        <f t="shared" si="114"/>
        <v>BlissPropertiIndonesia</v>
      </c>
      <c r="M703" t="str">
        <f t="shared" si="119"/>
        <v>POSA, Bliss Properti Indonesia, Bliss Properti Indonesia Tbk, PT Bliss Properti Indonesia</v>
      </c>
      <c r="N703" t="str">
        <f t="shared" si="120"/>
        <v>POSA, Bliss Properti Indonesia, Bliss Properti Indonesia Tbk, PT Bliss Properti Indonesia</v>
      </c>
    </row>
    <row r="704" spans="1:14" x14ac:dyDescent="0.2">
      <c r="A704" t="s">
        <v>1372</v>
      </c>
      <c r="B704" t="s">
        <v>1373</v>
      </c>
      <c r="C704" t="s">
        <v>8503</v>
      </c>
      <c r="D704" t="str">
        <f t="shared" si="110"/>
        <v>POWR, CIKARANG LISTRINDO, Cikarang Listrindo, Cikarang Listrindo Tbk, CikarangListrindo, PT Cikarang Listrindo, cikarang listrindo</v>
      </c>
      <c r="E704" t="str">
        <f t="shared" si="111"/>
        <v>POWR, CIKARANG LISTRINDO, Cikarang Listrindo, Cikarang Listrindo Tbk, CikarangListrindo, PT Cikarang Listrindo, cikarang listrindo</v>
      </c>
      <c r="F704" t="str">
        <f t="shared" si="112"/>
        <v>cikarang listrindo</v>
      </c>
      <c r="G704" t="str">
        <f t="shared" si="115"/>
        <v>POWR, CIKARANG LISTRINDO, Cikarang Listrindo, Cikarang Listrindo Tbk, CikarangListrindo, PT Cikarang Listrindo</v>
      </c>
      <c r="H704" t="str">
        <f t="shared" si="116"/>
        <v>POWR, CIKARANG LISTRINDO, Cikarang Listrindo, Cikarang Listrindo Tbk, CikarangListrindo, PT Cikarang Listrindo</v>
      </c>
      <c r="I704" t="str">
        <f t="shared" si="113"/>
        <v>CIKARANG LISTRINDO</v>
      </c>
      <c r="J704" t="str">
        <f t="shared" si="117"/>
        <v>POWR, Cikarang Listrindo, Cikarang Listrindo Tbk, CikarangListrindo, PT Cikarang Listrindo</v>
      </c>
      <c r="K704" t="str">
        <f t="shared" si="118"/>
        <v>POWR, Cikarang Listrindo, Cikarang Listrindo Tbk, CikarangListrindo, PT Cikarang Listrindo</v>
      </c>
      <c r="L704" t="str">
        <f t="shared" si="114"/>
        <v>CikarangListrindo</v>
      </c>
      <c r="M704" t="str">
        <f t="shared" si="119"/>
        <v>POWR, Cikarang Listrindo, Cikarang Listrindo Tbk, PT Cikarang Listrindo</v>
      </c>
      <c r="N704" t="str">
        <f t="shared" si="120"/>
        <v>POWR, Cikarang Listrindo, Cikarang Listrindo Tbk, PT Cikarang Listrindo</v>
      </c>
    </row>
    <row r="705" spans="1:14" x14ac:dyDescent="0.2">
      <c r="A705" t="s">
        <v>1862</v>
      </c>
      <c r="B705" t="s">
        <v>1863</v>
      </c>
      <c r="C705" t="s">
        <v>8504</v>
      </c>
      <c r="D705" t="str">
        <f t="shared" si="110"/>
        <v>PPGL, PRIMA GLOBALINDO LOGISTIK, PT Prima Globalindo Logistik, Prima Globalindo Logistik, Prima Globalindo Logistik Tbk, PrimaGlobalindoLogistik, prima globalindo logistik</v>
      </c>
      <c r="E705" t="str">
        <f t="shared" si="111"/>
        <v>PPGL, PRIMA GLOBALINDO LOGISTIK, PT Prima Globalindo Logistik, Prima Globalindo Logistik, Prima Globalindo Logistik Tbk, PrimaGlobalindoLogistik, prima globalindo logistik</v>
      </c>
      <c r="F705" t="str">
        <f t="shared" si="112"/>
        <v>prima globalindo logistik</v>
      </c>
      <c r="G705" t="str">
        <f t="shared" si="115"/>
        <v>PPGL, PRIMA GLOBALINDO LOGISTIK, PT Prima Globalindo Logistik, Prima Globalindo Logistik, Prima Globalindo Logistik Tbk, PrimaGlobalindoLogistik</v>
      </c>
      <c r="H705" t="str">
        <f t="shared" si="116"/>
        <v>PPGL, PRIMA GLOBALINDO LOGISTIK, PT Prima Globalindo Logistik, Prima Globalindo Logistik, Prima Globalindo Logistik Tbk, PrimaGlobalindoLogistik</v>
      </c>
      <c r="I705" t="str">
        <f t="shared" si="113"/>
        <v>PRIMA GLOBALINDO LOGISTIK</v>
      </c>
      <c r="J705" t="str">
        <f t="shared" si="117"/>
        <v>PPGL, PT Prima Globalindo Logistik, Prima Globalindo Logistik, Prima Globalindo Logistik Tbk, PrimaGlobalindoLogistik</v>
      </c>
      <c r="K705" t="str">
        <f t="shared" si="118"/>
        <v>PPGL, PT Prima Globalindo Logistik, Prima Globalindo Logistik, Prima Globalindo Logistik Tbk, PrimaGlobalindoLogistik</v>
      </c>
      <c r="L705" t="str">
        <f t="shared" si="114"/>
        <v>PrimaGlobalindoLogistik</v>
      </c>
      <c r="M705" t="str">
        <f t="shared" si="119"/>
        <v>PPGL, PT Prima Globalindo Logistik, Prima Globalindo Logistik, Prima Globalindo Logistik Tbk</v>
      </c>
      <c r="N705" t="str">
        <f t="shared" si="120"/>
        <v>PPGL, PT Prima Globalindo Logistik, Prima Globalindo Logistik, Prima Globalindo Logistik Tbk</v>
      </c>
    </row>
    <row r="706" spans="1:14" x14ac:dyDescent="0.2">
      <c r="A706" t="s">
        <v>1465</v>
      </c>
      <c r="B706" t="s">
        <v>1466</v>
      </c>
      <c r="C706" t="s">
        <v>8505</v>
      </c>
      <c r="D706" t="str">
        <f t="shared" ref="D706:D769" si="121">SUBSTITUTE(C706, _xlfn.CONCAT(", ", B706), "")</f>
        <v>PPRE, PP PRESISI, PP Presisi, PP Presisi Tbk, PPPresisi, PT PP Presisi, pp presisi</v>
      </c>
      <c r="E706" t="str">
        <f t="shared" ref="E706:E769" si="122">SUBSTITUTE(D706, _xlfn.CONCAT(B706, ", "), "")</f>
        <v>PPRE, PP PRESISI, PP Presisi, PP Presisi Tbk, PPPresisi, PT PP Presisi, pp presisi</v>
      </c>
      <c r="F706" t="str">
        <f t="shared" ref="F706:F769" si="123">LOWER(MID(B706, 1, FIND(" Tbk.", B706)-1))</f>
        <v>pp presisi</v>
      </c>
      <c r="G706" t="str">
        <f t="shared" si="115"/>
        <v>PPRE, PP PRESISI, PP Presisi, PP Presisi Tbk, PPPresisi, PT PP Presisi</v>
      </c>
      <c r="H706" t="str">
        <f t="shared" si="116"/>
        <v>PPRE, PP PRESISI, PP Presisi, PP Presisi Tbk, PPPresisi, PT PP Presisi</v>
      </c>
      <c r="I706" t="str">
        <f t="shared" ref="I706:I769" si="124">UPPER(MID(B706, 1, FIND(" Tbk.", B706)-1))</f>
        <v>PP PRESISI</v>
      </c>
      <c r="J706" t="str">
        <f t="shared" si="117"/>
        <v>PPRE, PP Presisi, PP Presisi Tbk, PPPresisi, PT PP Presisi</v>
      </c>
      <c r="K706" t="str">
        <f t="shared" si="118"/>
        <v>PPRE, PP Presisi, PP Presisi Tbk, PPPresisi, PT PP Presisi</v>
      </c>
      <c r="L706" t="str">
        <f t="shared" ref="L706:L769" si="125">SUBSTITUTE(MID(B706, 1, FIND(" Tbk.", B706)-1), " ", "")</f>
        <v>PPPresisi</v>
      </c>
      <c r="M706" t="str">
        <f t="shared" si="119"/>
        <v>PPRE, PP Presisi, PP Presisi Tbk, PT PP Presisi</v>
      </c>
      <c r="N706" t="str">
        <f t="shared" si="120"/>
        <v>PPRE, PP Presisi, PP Presisi Tbk, PT PP Presisi</v>
      </c>
    </row>
    <row r="707" spans="1:14" x14ac:dyDescent="0.2">
      <c r="A707" t="s">
        <v>2351</v>
      </c>
      <c r="B707" t="s">
        <v>2352</v>
      </c>
      <c r="C707" t="s">
        <v>8506</v>
      </c>
      <c r="D707" t="str">
        <f t="shared" si="121"/>
        <v>PPRI, PAPEROCKS INDONESIA, PT Paperocks Indonesia, Paperocks Indonesia, Paperocks Indonesia Tbk, PaperocksIndonesia, paperocks indonesia</v>
      </c>
      <c r="E707" t="str">
        <f t="shared" si="122"/>
        <v>PPRI, PAPEROCKS INDONESIA, PT Paperocks Indonesia, Paperocks Indonesia, Paperocks Indonesia Tbk, PaperocksIndonesia, paperocks indonesia</v>
      </c>
      <c r="F707" t="str">
        <f t="shared" si="123"/>
        <v>paperocks indonesia</v>
      </c>
      <c r="G707" t="str">
        <f t="shared" ref="G707:G770" si="126">SUBSTITUTE(E707, _xlfn.CONCAT(", ", F707), "")</f>
        <v>PPRI, PAPEROCKS INDONESIA, PT Paperocks Indonesia, Paperocks Indonesia, Paperocks Indonesia Tbk, PaperocksIndonesia</v>
      </c>
      <c r="H707" t="str">
        <f t="shared" ref="H707:H770" si="127">SUBSTITUTE(G707, _xlfn.CONCAT(F707, ", "), "")</f>
        <v>PPRI, PAPEROCKS INDONESIA, PT Paperocks Indonesia, Paperocks Indonesia, Paperocks Indonesia Tbk, PaperocksIndonesia</v>
      </c>
      <c r="I707" t="str">
        <f t="shared" si="124"/>
        <v>PAPEROCKS INDONESIA</v>
      </c>
      <c r="J707" t="str">
        <f t="shared" ref="J707:J770" si="128">SUBSTITUTE(H707, _xlfn.CONCAT(", ", I707), "")</f>
        <v>PPRI, PT Paperocks Indonesia, Paperocks Indonesia, Paperocks Indonesia Tbk, PaperocksIndonesia</v>
      </c>
      <c r="K707" t="str">
        <f t="shared" ref="K707:K770" si="129">SUBSTITUTE(J707, _xlfn.CONCAT(I707, ", "), "")</f>
        <v>PPRI, PT Paperocks Indonesia, Paperocks Indonesia, Paperocks Indonesia Tbk, PaperocksIndonesia</v>
      </c>
      <c r="L707" t="str">
        <f t="shared" si="125"/>
        <v>PaperocksIndonesia</v>
      </c>
      <c r="M707" t="str">
        <f t="shared" ref="M707:M770" si="130">SUBSTITUTE(K707, _xlfn.CONCAT(", ", L707), "")</f>
        <v>PPRI, PT Paperocks Indonesia, Paperocks Indonesia, Paperocks Indonesia Tbk</v>
      </c>
      <c r="N707" t="str">
        <f t="shared" ref="N707:N770" si="131">SUBSTITUTE(M707, _xlfn.CONCAT(L707, ", "), "")</f>
        <v>PPRI, PT Paperocks Indonesia, Paperocks Indonesia, Paperocks Indonesia Tbk</v>
      </c>
    </row>
    <row r="708" spans="1:14" x14ac:dyDescent="0.2">
      <c r="A708" t="s">
        <v>2690</v>
      </c>
      <c r="B708" t="s">
        <v>2691</v>
      </c>
      <c r="C708" t="s">
        <v>8507</v>
      </c>
      <c r="D708" t="str">
        <f t="shared" si="121"/>
        <v>PPRO, PP PROPERTI, PP Properti, PP Properti Tbk, PPProperti, PT PP Properti, pp properti</v>
      </c>
      <c r="E708" t="str">
        <f t="shared" si="122"/>
        <v>PPRO, PP PROPERTI, PP Properti, PP Properti Tbk, PPProperti, PT PP Properti, pp properti</v>
      </c>
      <c r="F708" t="str">
        <f t="shared" si="123"/>
        <v>pp properti</v>
      </c>
      <c r="G708" t="str">
        <f t="shared" si="126"/>
        <v>PPRO, PP PROPERTI, PP Properti, PP Properti Tbk, PPProperti, PT PP Properti</v>
      </c>
      <c r="H708" t="str">
        <f t="shared" si="127"/>
        <v>PPRO, PP PROPERTI, PP Properti, PP Properti Tbk, PPProperti, PT PP Properti</v>
      </c>
      <c r="I708" t="str">
        <f t="shared" si="124"/>
        <v>PP PROPERTI</v>
      </c>
      <c r="J708" t="str">
        <f t="shared" si="128"/>
        <v>PPRO, PP Properti, PP Properti Tbk, PPProperti, PT PP Properti</v>
      </c>
      <c r="K708" t="str">
        <f t="shared" si="129"/>
        <v>PPRO, PP Properti, PP Properti Tbk, PPProperti, PT PP Properti</v>
      </c>
      <c r="L708" t="str">
        <f t="shared" si="125"/>
        <v>PPProperti</v>
      </c>
      <c r="M708" t="str">
        <f t="shared" si="130"/>
        <v>PPRO, PP Properti, PP Properti Tbk, PT PP Properti</v>
      </c>
      <c r="N708" t="str">
        <f t="shared" si="131"/>
        <v>PPRO, PP Properti, PP Properti Tbk, PT PP Properti</v>
      </c>
    </row>
    <row r="709" spans="1:14" x14ac:dyDescent="0.2">
      <c r="A709" t="s">
        <v>2176</v>
      </c>
      <c r="B709" t="s">
        <v>2177</v>
      </c>
      <c r="C709" t="s">
        <v>8508</v>
      </c>
      <c r="D709" t="str">
        <f t="shared" si="121"/>
        <v>PRAY, FAMON AWAL BROS SEDAYA, Famon Awal Bros Sedaya, Famon Awal Bros Sedaya Tbk, FamonAwalBrosSedaya, PT Famon Awal Bros Sedaya, famon awal bros sedaya</v>
      </c>
      <c r="E709" t="str">
        <f t="shared" si="122"/>
        <v>PRAY, FAMON AWAL BROS SEDAYA, Famon Awal Bros Sedaya, Famon Awal Bros Sedaya Tbk, FamonAwalBrosSedaya, PT Famon Awal Bros Sedaya, famon awal bros sedaya</v>
      </c>
      <c r="F709" t="str">
        <f t="shared" si="123"/>
        <v>famon awal bros sedaya</v>
      </c>
      <c r="G709" t="str">
        <f t="shared" si="126"/>
        <v>PRAY, FAMON AWAL BROS SEDAYA, Famon Awal Bros Sedaya, Famon Awal Bros Sedaya Tbk, FamonAwalBrosSedaya, PT Famon Awal Bros Sedaya</v>
      </c>
      <c r="H709" t="str">
        <f t="shared" si="127"/>
        <v>PRAY, FAMON AWAL BROS SEDAYA, Famon Awal Bros Sedaya, Famon Awal Bros Sedaya Tbk, FamonAwalBrosSedaya, PT Famon Awal Bros Sedaya</v>
      </c>
      <c r="I709" t="str">
        <f t="shared" si="124"/>
        <v>FAMON AWAL BROS SEDAYA</v>
      </c>
      <c r="J709" t="str">
        <f t="shared" si="128"/>
        <v>PRAY, Famon Awal Bros Sedaya, Famon Awal Bros Sedaya Tbk, FamonAwalBrosSedaya, PT Famon Awal Bros Sedaya</v>
      </c>
      <c r="K709" t="str">
        <f t="shared" si="129"/>
        <v>PRAY, Famon Awal Bros Sedaya, Famon Awal Bros Sedaya Tbk, FamonAwalBrosSedaya, PT Famon Awal Bros Sedaya</v>
      </c>
      <c r="L709" t="str">
        <f t="shared" si="125"/>
        <v>FamonAwalBrosSedaya</v>
      </c>
      <c r="M709" t="str">
        <f t="shared" si="130"/>
        <v>PRAY, Famon Awal Bros Sedaya, Famon Awal Bros Sedaya Tbk, PT Famon Awal Bros Sedaya</v>
      </c>
      <c r="N709" t="str">
        <f t="shared" si="131"/>
        <v>PRAY, Famon Awal Bros Sedaya, Famon Awal Bros Sedaya Tbk, PT Famon Awal Bros Sedaya</v>
      </c>
    </row>
    <row r="710" spans="1:14" x14ac:dyDescent="0.2">
      <c r="A710" t="s">
        <v>1383</v>
      </c>
      <c r="B710" t="s">
        <v>1384</v>
      </c>
      <c r="C710" t="s">
        <v>8509</v>
      </c>
      <c r="D710" t="str">
        <f t="shared" si="121"/>
        <v>PRDA, PRODIA WIDYAHUSADA, PT Prodia Widyahusada, Prodia Widyahusada, Prodia Widyahusada Tbk, ProdiaWidyahusada, prodia widyahusada</v>
      </c>
      <c r="E710" t="str">
        <f t="shared" si="122"/>
        <v>PRDA, PRODIA WIDYAHUSADA, PT Prodia Widyahusada, Prodia Widyahusada, Prodia Widyahusada Tbk, ProdiaWidyahusada, prodia widyahusada</v>
      </c>
      <c r="F710" t="str">
        <f t="shared" si="123"/>
        <v>prodia widyahusada</v>
      </c>
      <c r="G710" t="str">
        <f t="shared" si="126"/>
        <v>PRDA, PRODIA WIDYAHUSADA, PT Prodia Widyahusada, Prodia Widyahusada, Prodia Widyahusada Tbk, ProdiaWidyahusada</v>
      </c>
      <c r="H710" t="str">
        <f t="shared" si="127"/>
        <v>PRDA, PRODIA WIDYAHUSADA, PT Prodia Widyahusada, Prodia Widyahusada, Prodia Widyahusada Tbk, ProdiaWidyahusada</v>
      </c>
      <c r="I710" t="str">
        <f t="shared" si="124"/>
        <v>PRODIA WIDYAHUSADA</v>
      </c>
      <c r="J710" t="str">
        <f t="shared" si="128"/>
        <v>PRDA, PT Prodia Widyahusada, Prodia Widyahusada, Prodia Widyahusada Tbk, ProdiaWidyahusada</v>
      </c>
      <c r="K710" t="str">
        <f t="shared" si="129"/>
        <v>PRDA, PT Prodia Widyahusada, Prodia Widyahusada, Prodia Widyahusada Tbk, ProdiaWidyahusada</v>
      </c>
      <c r="L710" t="str">
        <f t="shared" si="125"/>
        <v>ProdiaWidyahusada</v>
      </c>
      <c r="M710" t="str">
        <f t="shared" si="130"/>
        <v>PRDA, PT Prodia Widyahusada, Prodia Widyahusada, Prodia Widyahusada Tbk</v>
      </c>
      <c r="N710" t="str">
        <f t="shared" si="131"/>
        <v>PRDA, PT Prodia Widyahusada, Prodia Widyahusada, Prodia Widyahusada Tbk</v>
      </c>
    </row>
    <row r="711" spans="1:14" x14ac:dyDescent="0.2">
      <c r="A711" t="s">
        <v>1521</v>
      </c>
      <c r="B711" t="s">
        <v>1522</v>
      </c>
      <c r="C711" t="s">
        <v>8510</v>
      </c>
      <c r="D711" t="str">
        <f t="shared" si="121"/>
        <v>PRIM, PT Royal Prima, ROYAL PRIMA, Royal Prima, Royal Prima Tbk, RoyalPrima, royal prima</v>
      </c>
      <c r="E711" t="str">
        <f t="shared" si="122"/>
        <v>PRIM, PT Royal Prima, ROYAL PRIMA, Royal Prima, Royal Prima Tbk, RoyalPrima, royal prima</v>
      </c>
      <c r="F711" t="str">
        <f t="shared" si="123"/>
        <v>royal prima</v>
      </c>
      <c r="G711" t="str">
        <f t="shared" si="126"/>
        <v>PRIM, PT Royal Prima, ROYAL PRIMA, Royal Prima, Royal Prima Tbk, RoyalPrima</v>
      </c>
      <c r="H711" t="str">
        <f t="shared" si="127"/>
        <v>PRIM, PT Royal Prima, ROYAL PRIMA, Royal Prima, Royal Prima Tbk, RoyalPrima</v>
      </c>
      <c r="I711" t="str">
        <f t="shared" si="124"/>
        <v>ROYAL PRIMA</v>
      </c>
      <c r="J711" t="str">
        <f t="shared" si="128"/>
        <v>PRIM, PT Royal Prima, Royal Prima, Royal Prima Tbk, RoyalPrima</v>
      </c>
      <c r="K711" t="str">
        <f t="shared" si="129"/>
        <v>PRIM, PT Royal Prima, Royal Prima, Royal Prima Tbk, RoyalPrima</v>
      </c>
      <c r="L711" t="str">
        <f t="shared" si="125"/>
        <v>RoyalPrima</v>
      </c>
      <c r="M711" t="str">
        <f t="shared" si="130"/>
        <v>PRIM, PT Royal Prima, Royal Prima, Royal Prima Tbk</v>
      </c>
      <c r="N711" t="str">
        <f t="shared" si="131"/>
        <v>PRIM, PT Royal Prima, Royal Prima, Royal Prima Tbk</v>
      </c>
    </row>
    <row r="712" spans="1:14" x14ac:dyDescent="0.2">
      <c r="A712" t="s">
        <v>995</v>
      </c>
      <c r="B712" t="s">
        <v>996</v>
      </c>
      <c r="C712" t="s">
        <v>8511</v>
      </c>
      <c r="D712" t="str">
        <f t="shared" si="121"/>
        <v>PSAB, J RESOURCES ASIA PASIFIK, J Resources Asia Pasifik, J Resources Asia Pasifik Tbk, JResourcesAsiaPasifik, PT J Resources Asia Pasifik, j resources asia pasifik</v>
      </c>
      <c r="E712" t="str">
        <f t="shared" si="122"/>
        <v>PSAB, J RESOURCES ASIA PASIFIK, J Resources Asia Pasifik, J Resources Asia Pasifik Tbk, JResourcesAsiaPasifik, PT J Resources Asia Pasifik, j resources asia pasifik</v>
      </c>
      <c r="F712" t="str">
        <f t="shared" si="123"/>
        <v>j resources asia pasifik</v>
      </c>
      <c r="G712" t="str">
        <f t="shared" si="126"/>
        <v>PSAB, J RESOURCES ASIA PASIFIK, J Resources Asia Pasifik, J Resources Asia Pasifik Tbk, JResourcesAsiaPasifik, PT J Resources Asia Pasifik</v>
      </c>
      <c r="H712" t="str">
        <f t="shared" si="127"/>
        <v>PSAB, J RESOURCES ASIA PASIFIK, J Resources Asia Pasifik, J Resources Asia Pasifik Tbk, JResourcesAsiaPasifik, PT J Resources Asia Pasifik</v>
      </c>
      <c r="I712" t="str">
        <f t="shared" si="124"/>
        <v>J RESOURCES ASIA PASIFIK</v>
      </c>
      <c r="J712" t="str">
        <f t="shared" si="128"/>
        <v>PSAB, J Resources Asia Pasifik, J Resources Asia Pasifik Tbk, JResourcesAsiaPasifik, PT J Resources Asia Pasifik</v>
      </c>
      <c r="K712" t="str">
        <f t="shared" si="129"/>
        <v>PSAB, J Resources Asia Pasifik, J Resources Asia Pasifik Tbk, JResourcesAsiaPasifik, PT J Resources Asia Pasifik</v>
      </c>
      <c r="L712" t="str">
        <f t="shared" si="125"/>
        <v>JResourcesAsiaPasifik</v>
      </c>
      <c r="M712" t="str">
        <f t="shared" si="130"/>
        <v>PSAB, J Resources Asia Pasifik, J Resources Asia Pasifik Tbk, PT J Resources Asia Pasifik</v>
      </c>
      <c r="N712" t="str">
        <f t="shared" si="131"/>
        <v>PSAB, J Resources Asia Pasifik, J Resources Asia Pasifik Tbk, PT J Resources Asia Pasifik</v>
      </c>
    </row>
    <row r="713" spans="1:14" x14ac:dyDescent="0.2">
      <c r="A713" t="s">
        <v>2539</v>
      </c>
      <c r="B713" t="s">
        <v>3651</v>
      </c>
      <c r="C713" t="s">
        <v>8512</v>
      </c>
      <c r="D713" t="str">
        <f t="shared" si="121"/>
        <v>PSAT, PANCARAN SAMUDERA TRANSPORT, PT Pancaran Samudera Transport, Pancaran Samudera Transport, Pancaran Samudera Transport Tbk, PancaranSamuderaTransport, pancaran samudera transport</v>
      </c>
      <c r="E713" t="str">
        <f t="shared" si="122"/>
        <v>PSAT, PANCARAN SAMUDERA TRANSPORT, PT Pancaran Samudera Transport, Pancaran Samudera Transport, Pancaran Samudera Transport Tbk, PancaranSamuderaTransport, pancaran samudera transport</v>
      </c>
      <c r="F713" t="str">
        <f t="shared" si="123"/>
        <v>pancaran samudera transport</v>
      </c>
      <c r="G713" t="str">
        <f t="shared" si="126"/>
        <v>PSAT, PANCARAN SAMUDERA TRANSPORT, PT Pancaran Samudera Transport, Pancaran Samudera Transport, Pancaran Samudera Transport Tbk, PancaranSamuderaTransport</v>
      </c>
      <c r="H713" t="str">
        <f t="shared" si="127"/>
        <v>PSAT, PANCARAN SAMUDERA TRANSPORT, PT Pancaran Samudera Transport, Pancaran Samudera Transport, Pancaran Samudera Transport Tbk, PancaranSamuderaTransport</v>
      </c>
      <c r="I713" t="str">
        <f t="shared" si="124"/>
        <v>PANCARAN SAMUDERA TRANSPORT</v>
      </c>
      <c r="J713" t="str">
        <f t="shared" si="128"/>
        <v>PSAT, PT Pancaran Samudera Transport, Pancaran Samudera Transport, Pancaran Samudera Transport Tbk, PancaranSamuderaTransport</v>
      </c>
      <c r="K713" t="str">
        <f t="shared" si="129"/>
        <v>PSAT, PT Pancaran Samudera Transport, Pancaran Samudera Transport, Pancaran Samudera Transport Tbk, PancaranSamuderaTransport</v>
      </c>
      <c r="L713" t="str">
        <f t="shared" si="125"/>
        <v>PancaranSamuderaTransport</v>
      </c>
      <c r="M713" t="str">
        <f t="shared" si="130"/>
        <v>PSAT, PT Pancaran Samudera Transport, Pancaran Samudera Transport, Pancaran Samudera Transport Tbk</v>
      </c>
      <c r="N713" t="str">
        <f t="shared" si="131"/>
        <v>PSAT, PT Pancaran Samudera Transport, Pancaran Samudera Transport, Pancaran Samudera Transport Tbk</v>
      </c>
    </row>
    <row r="714" spans="1:14" x14ac:dyDescent="0.2">
      <c r="A714" t="s">
        <v>998</v>
      </c>
      <c r="B714" t="s">
        <v>3652</v>
      </c>
      <c r="C714" t="s">
        <v>8513</v>
      </c>
      <c r="D714" t="str">
        <f t="shared" si="121"/>
        <v>PSDN, PRASIDHA ANEKA NIAGA, PT Prasidha Aneka Niaga, Prasidha Aneka Niaga, Prasidha Aneka Niaga Tbk, PrasidhaAnekaNiaga, prasidha aneka niaga</v>
      </c>
      <c r="E714" t="str">
        <f t="shared" si="122"/>
        <v>PSDN, PRASIDHA ANEKA NIAGA, PT Prasidha Aneka Niaga, Prasidha Aneka Niaga, Prasidha Aneka Niaga Tbk, PrasidhaAnekaNiaga, prasidha aneka niaga</v>
      </c>
      <c r="F714" t="str">
        <f t="shared" si="123"/>
        <v>prasidha aneka niaga</v>
      </c>
      <c r="G714" t="str">
        <f t="shared" si="126"/>
        <v>PSDN, PRASIDHA ANEKA NIAGA, PT Prasidha Aneka Niaga, Prasidha Aneka Niaga, Prasidha Aneka Niaga Tbk, PrasidhaAnekaNiaga</v>
      </c>
      <c r="H714" t="str">
        <f t="shared" si="127"/>
        <v>PSDN, PRASIDHA ANEKA NIAGA, PT Prasidha Aneka Niaga, Prasidha Aneka Niaga, Prasidha Aneka Niaga Tbk, PrasidhaAnekaNiaga</v>
      </c>
      <c r="I714" t="str">
        <f t="shared" si="124"/>
        <v>PRASIDHA ANEKA NIAGA</v>
      </c>
      <c r="J714" t="str">
        <f t="shared" si="128"/>
        <v>PSDN, PT Prasidha Aneka Niaga, Prasidha Aneka Niaga, Prasidha Aneka Niaga Tbk, PrasidhaAnekaNiaga</v>
      </c>
      <c r="K714" t="str">
        <f t="shared" si="129"/>
        <v>PSDN, PT Prasidha Aneka Niaga, Prasidha Aneka Niaga, Prasidha Aneka Niaga Tbk, PrasidhaAnekaNiaga</v>
      </c>
      <c r="L714" t="str">
        <f t="shared" si="125"/>
        <v>PrasidhaAnekaNiaga</v>
      </c>
      <c r="M714" t="str">
        <f t="shared" si="130"/>
        <v>PSDN, PT Prasidha Aneka Niaga, Prasidha Aneka Niaga, Prasidha Aneka Niaga Tbk</v>
      </c>
      <c r="N714" t="str">
        <f t="shared" si="131"/>
        <v>PSDN, PT Prasidha Aneka Niaga, Prasidha Aneka Niaga, Prasidha Aneka Niaga Tbk</v>
      </c>
    </row>
    <row r="715" spans="1:14" x14ac:dyDescent="0.2">
      <c r="A715" t="s">
        <v>1771</v>
      </c>
      <c r="B715" t="s">
        <v>1772</v>
      </c>
      <c r="C715" t="s">
        <v>8514</v>
      </c>
      <c r="D715" t="str">
        <f t="shared" si="121"/>
        <v>PSGO, PALMA SERASIH, PT Palma Serasih, Palma Serasih, Palma Serasih Tbk, PalmaSerasih, palma serasih</v>
      </c>
      <c r="E715" t="str">
        <f t="shared" si="122"/>
        <v>PSGO, PALMA SERASIH, PT Palma Serasih, Palma Serasih, Palma Serasih Tbk, PalmaSerasih, palma serasih</v>
      </c>
      <c r="F715" t="str">
        <f t="shared" si="123"/>
        <v>palma serasih</v>
      </c>
      <c r="G715" t="str">
        <f t="shared" si="126"/>
        <v>PSGO, PALMA SERASIH, PT Palma Serasih, Palma Serasih, Palma Serasih Tbk, PalmaSerasih</v>
      </c>
      <c r="H715" t="str">
        <f t="shared" si="127"/>
        <v>PSGO, PALMA SERASIH, PT Palma Serasih, Palma Serasih, Palma Serasih Tbk, PalmaSerasih</v>
      </c>
      <c r="I715" t="str">
        <f t="shared" si="124"/>
        <v>PALMA SERASIH</v>
      </c>
      <c r="J715" t="str">
        <f t="shared" si="128"/>
        <v>PSGO, PT Palma Serasih, Palma Serasih, Palma Serasih Tbk, PalmaSerasih</v>
      </c>
      <c r="K715" t="str">
        <f t="shared" si="129"/>
        <v>PSGO, PT Palma Serasih, Palma Serasih, Palma Serasih Tbk, PalmaSerasih</v>
      </c>
      <c r="L715" t="str">
        <f t="shared" si="125"/>
        <v>PalmaSerasih</v>
      </c>
      <c r="M715" t="str">
        <f t="shared" si="130"/>
        <v>PSGO, PT Palma Serasih, Palma Serasih, Palma Serasih Tbk</v>
      </c>
      <c r="N715" t="str">
        <f t="shared" si="131"/>
        <v>PSGO, PT Palma Serasih, Palma Serasih, Palma Serasih Tbk</v>
      </c>
    </row>
    <row r="716" spans="1:14" x14ac:dyDescent="0.2">
      <c r="A716" t="s">
        <v>1001</v>
      </c>
      <c r="B716" t="s">
        <v>1002</v>
      </c>
      <c r="C716" t="s">
        <v>8515</v>
      </c>
      <c r="D716" t="str">
        <f t="shared" si="121"/>
        <v>PSKT, PT Red Planet Indonesia, RED PLANET INDONESIA, Red Planet Indonesia, Red Planet Indonesia Tbk, RedPlanetIndonesia, red planet indonesia</v>
      </c>
      <c r="E716" t="str">
        <f t="shared" si="122"/>
        <v>PSKT, PT Red Planet Indonesia, RED PLANET INDONESIA, Red Planet Indonesia, Red Planet Indonesia Tbk, RedPlanetIndonesia, red planet indonesia</v>
      </c>
      <c r="F716" t="str">
        <f t="shared" si="123"/>
        <v>red planet indonesia</v>
      </c>
      <c r="G716" t="str">
        <f t="shared" si="126"/>
        <v>PSKT, PT Red Planet Indonesia, RED PLANET INDONESIA, Red Planet Indonesia, Red Planet Indonesia Tbk, RedPlanetIndonesia</v>
      </c>
      <c r="H716" t="str">
        <f t="shared" si="127"/>
        <v>PSKT, PT Red Planet Indonesia, RED PLANET INDONESIA, Red Planet Indonesia, Red Planet Indonesia Tbk, RedPlanetIndonesia</v>
      </c>
      <c r="I716" t="str">
        <f t="shared" si="124"/>
        <v>RED PLANET INDONESIA</v>
      </c>
      <c r="J716" t="str">
        <f t="shared" si="128"/>
        <v>PSKT, PT Red Planet Indonesia, Red Planet Indonesia, Red Planet Indonesia Tbk, RedPlanetIndonesia</v>
      </c>
      <c r="K716" t="str">
        <f t="shared" si="129"/>
        <v>PSKT, PT Red Planet Indonesia, Red Planet Indonesia, Red Planet Indonesia Tbk, RedPlanetIndonesia</v>
      </c>
      <c r="L716" t="str">
        <f t="shared" si="125"/>
        <v>RedPlanetIndonesia</v>
      </c>
      <c r="M716" t="str">
        <f t="shared" si="130"/>
        <v>PSKT, PT Red Planet Indonesia, Red Planet Indonesia, Red Planet Indonesia Tbk</v>
      </c>
      <c r="N716" t="str">
        <f t="shared" si="131"/>
        <v>PSKT, PT Red Planet Indonesia, Red Planet Indonesia, Red Planet Indonesia Tbk</v>
      </c>
    </row>
    <row r="717" spans="1:14" x14ac:dyDescent="0.2">
      <c r="A717" t="s">
        <v>1470</v>
      </c>
      <c r="B717" t="s">
        <v>1471</v>
      </c>
      <c r="C717" t="s">
        <v>8516</v>
      </c>
      <c r="D717" t="str">
        <f t="shared" si="121"/>
        <v>PSSI, IMC PELITA LOGISTIK, IMC Pelita Logistik, IMC Pelita Logistik Tbk, IMCPelitaLogistik, PT IMC Pelita Logistik, imc pelita logistik</v>
      </c>
      <c r="E717" t="str">
        <f t="shared" si="122"/>
        <v>PSSI, IMC PELITA LOGISTIK, IMC Pelita Logistik, IMC Pelita Logistik Tbk, IMCPelitaLogistik, PT IMC Pelita Logistik, imc pelita logistik</v>
      </c>
      <c r="F717" t="str">
        <f t="shared" si="123"/>
        <v>imc pelita logistik</v>
      </c>
      <c r="G717" t="str">
        <f t="shared" si="126"/>
        <v>PSSI, IMC PELITA LOGISTIK, IMC Pelita Logistik, IMC Pelita Logistik Tbk, IMCPelitaLogistik, PT IMC Pelita Logistik</v>
      </c>
      <c r="H717" t="str">
        <f t="shared" si="127"/>
        <v>PSSI, IMC PELITA LOGISTIK, IMC Pelita Logistik, IMC Pelita Logistik Tbk, IMCPelitaLogistik, PT IMC Pelita Logistik</v>
      </c>
      <c r="I717" t="str">
        <f t="shared" si="124"/>
        <v>IMC PELITA LOGISTIK</v>
      </c>
      <c r="J717" t="str">
        <f t="shared" si="128"/>
        <v>PSSI, IMC Pelita Logistik, IMC Pelita Logistik Tbk, IMCPelitaLogistik, PT IMC Pelita Logistik</v>
      </c>
      <c r="K717" t="str">
        <f t="shared" si="129"/>
        <v>PSSI, IMC Pelita Logistik, IMC Pelita Logistik Tbk, IMCPelitaLogistik, PT IMC Pelita Logistik</v>
      </c>
      <c r="L717" t="str">
        <f t="shared" si="125"/>
        <v>IMCPelitaLogistik</v>
      </c>
      <c r="M717" t="str">
        <f t="shared" si="130"/>
        <v>PSSI, IMC Pelita Logistik, IMC Pelita Logistik Tbk, PT IMC Pelita Logistik</v>
      </c>
      <c r="N717" t="str">
        <f t="shared" si="131"/>
        <v>PSSI, IMC Pelita Logistik, IMC Pelita Logistik Tbk, PT IMC Pelita Logistik</v>
      </c>
    </row>
    <row r="718" spans="1:14" x14ac:dyDescent="0.2">
      <c r="A718" t="s">
        <v>1004</v>
      </c>
      <c r="B718" t="s">
        <v>1005</v>
      </c>
      <c r="C718" t="s">
        <v>8517</v>
      </c>
      <c r="D718" t="str">
        <f t="shared" si="121"/>
        <v>PTBA, BUKIT ASAM (PERSERO), Bukit Asam (Persero), Bukit Asam (Persero) Tbk, BukitAsam(Persero), PT Bukit Asam (Persero), bukit asam (persero)</v>
      </c>
      <c r="E718" t="str">
        <f t="shared" si="122"/>
        <v>PTBA, BUKIT ASAM (PERSERO), Bukit Asam (Persero), Bukit Asam (Persero) Tbk, BukitAsam(Persero), PT Bukit Asam (Persero), bukit asam (persero)</v>
      </c>
      <c r="F718" t="str">
        <f t="shared" si="123"/>
        <v>bukit asam (persero)</v>
      </c>
      <c r="G718" t="str">
        <f t="shared" si="126"/>
        <v>PTBA, BUKIT ASAM (PERSERO), Bukit Asam (Persero), Bukit Asam (Persero) Tbk, BukitAsam(Persero), PT Bukit Asam (Persero)</v>
      </c>
      <c r="H718" t="str">
        <f t="shared" si="127"/>
        <v>PTBA, BUKIT ASAM (PERSERO), Bukit Asam (Persero), Bukit Asam (Persero) Tbk, BukitAsam(Persero), PT Bukit Asam (Persero)</v>
      </c>
      <c r="I718" t="str">
        <f t="shared" si="124"/>
        <v>BUKIT ASAM (PERSERO)</v>
      </c>
      <c r="J718" t="str">
        <f t="shared" si="128"/>
        <v>PTBA, Bukit Asam (Persero), Bukit Asam (Persero) Tbk, BukitAsam(Persero), PT Bukit Asam (Persero)</v>
      </c>
      <c r="K718" t="str">
        <f t="shared" si="129"/>
        <v>PTBA, Bukit Asam (Persero), Bukit Asam (Persero) Tbk, BukitAsam(Persero), PT Bukit Asam (Persero)</v>
      </c>
      <c r="L718" t="str">
        <f t="shared" si="125"/>
        <v>BukitAsam(Persero)</v>
      </c>
      <c r="M718" t="str">
        <f t="shared" si="130"/>
        <v>PTBA, Bukit Asam (Persero), Bukit Asam (Persero) Tbk, PT Bukit Asam (Persero)</v>
      </c>
      <c r="N718" t="str">
        <f t="shared" si="131"/>
        <v>PTBA, Bukit Asam (Persero), Bukit Asam (Persero) Tbk, PT Bukit Asam (Persero)</v>
      </c>
    </row>
    <row r="719" spans="1:14" x14ac:dyDescent="0.2">
      <c r="A719" t="s">
        <v>1899</v>
      </c>
      <c r="B719" t="s">
        <v>1900</v>
      </c>
      <c r="C719" t="s">
        <v>8518</v>
      </c>
      <c r="D719" t="str">
        <f t="shared" si="121"/>
        <v>PTDU, DJASA UBERSAKTI, Djasa Ubersakti, Djasa Ubersakti Tbk, DjasaUbersakti, PT Djasa Ubersakti, djasa ubersakti</v>
      </c>
      <c r="E719" t="str">
        <f t="shared" si="122"/>
        <v>PTDU, DJASA UBERSAKTI, Djasa Ubersakti, Djasa Ubersakti Tbk, DjasaUbersakti, PT Djasa Ubersakti, djasa ubersakti</v>
      </c>
      <c r="F719" t="str">
        <f t="shared" si="123"/>
        <v>djasa ubersakti</v>
      </c>
      <c r="G719" t="str">
        <f t="shared" si="126"/>
        <v>PTDU, DJASA UBERSAKTI, Djasa Ubersakti, Djasa Ubersakti Tbk, DjasaUbersakti, PT Djasa Ubersakti</v>
      </c>
      <c r="H719" t="str">
        <f t="shared" si="127"/>
        <v>PTDU, DJASA UBERSAKTI, Djasa Ubersakti, Djasa Ubersakti Tbk, DjasaUbersakti, PT Djasa Ubersakti</v>
      </c>
      <c r="I719" t="str">
        <f t="shared" si="124"/>
        <v>DJASA UBERSAKTI</v>
      </c>
      <c r="J719" t="str">
        <f t="shared" si="128"/>
        <v>PTDU, Djasa Ubersakti, Djasa Ubersakti Tbk, DjasaUbersakti, PT Djasa Ubersakti</v>
      </c>
      <c r="K719" t="str">
        <f t="shared" si="129"/>
        <v>PTDU, Djasa Ubersakti, Djasa Ubersakti Tbk, DjasaUbersakti, PT Djasa Ubersakti</v>
      </c>
      <c r="L719" t="str">
        <f t="shared" si="125"/>
        <v>DjasaUbersakti</v>
      </c>
      <c r="M719" t="str">
        <f t="shared" si="130"/>
        <v>PTDU, Djasa Ubersakti, Djasa Ubersakti Tbk, PT Djasa Ubersakti</v>
      </c>
      <c r="N719" t="str">
        <f t="shared" si="131"/>
        <v>PTDU, Djasa Ubersakti, Djasa Ubersakti Tbk, PT Djasa Ubersakti</v>
      </c>
    </row>
    <row r="720" spans="1:14" x14ac:dyDescent="0.2">
      <c r="A720" t="s">
        <v>1007</v>
      </c>
      <c r="B720" t="s">
        <v>1008</v>
      </c>
      <c r="C720" t="s">
        <v>8519</v>
      </c>
      <c r="D720" t="str">
        <f t="shared" si="121"/>
        <v>PTIS, INDO STRAITS, Indo Straits, Indo Straits Tbk, IndoStraits, PT Indo Straits, indo straits</v>
      </c>
      <c r="E720" t="str">
        <f t="shared" si="122"/>
        <v>PTIS, INDO STRAITS, Indo Straits, Indo Straits Tbk, IndoStraits, PT Indo Straits, indo straits</v>
      </c>
      <c r="F720" t="str">
        <f t="shared" si="123"/>
        <v>indo straits</v>
      </c>
      <c r="G720" t="str">
        <f t="shared" si="126"/>
        <v>PTIS, INDO STRAITS, Indo Straits, Indo Straits Tbk, IndoStraits, PT Indo Straits</v>
      </c>
      <c r="H720" t="str">
        <f t="shared" si="127"/>
        <v>PTIS, INDO STRAITS, Indo Straits, Indo Straits Tbk, IndoStraits, PT Indo Straits</v>
      </c>
      <c r="I720" t="str">
        <f t="shared" si="124"/>
        <v>INDO STRAITS</v>
      </c>
      <c r="J720" t="str">
        <f t="shared" si="128"/>
        <v>PTIS, Indo Straits, Indo Straits Tbk, IndoStraits, PT Indo Straits</v>
      </c>
      <c r="K720" t="str">
        <f t="shared" si="129"/>
        <v>PTIS, Indo Straits, Indo Straits Tbk, IndoStraits, PT Indo Straits</v>
      </c>
      <c r="L720" t="str">
        <f t="shared" si="125"/>
        <v>IndoStraits</v>
      </c>
      <c r="M720" t="str">
        <f t="shared" si="130"/>
        <v>PTIS, Indo Straits, Indo Straits Tbk, PT Indo Straits</v>
      </c>
      <c r="N720" t="str">
        <f t="shared" si="131"/>
        <v>PTIS, Indo Straits, Indo Straits Tbk, PT Indo Straits</v>
      </c>
    </row>
    <row r="721" spans="1:14" x14ac:dyDescent="0.2">
      <c r="A721" t="s">
        <v>2278</v>
      </c>
      <c r="B721" t="s">
        <v>2279</v>
      </c>
      <c r="C721" t="s">
        <v>8520</v>
      </c>
      <c r="D721" t="str">
        <f t="shared" si="121"/>
        <v>PTMP, MITRA PACK, Mitra Pack, Mitra Pack Tbk, MitraPack, PT Mitra Pack, mitra pack</v>
      </c>
      <c r="E721" t="str">
        <f t="shared" si="122"/>
        <v>PTMP, MITRA PACK, Mitra Pack, Mitra Pack Tbk, MitraPack, PT Mitra Pack, mitra pack</v>
      </c>
      <c r="F721" t="str">
        <f t="shared" si="123"/>
        <v>mitra pack</v>
      </c>
      <c r="G721" t="str">
        <f t="shared" si="126"/>
        <v>PTMP, MITRA PACK, Mitra Pack, Mitra Pack Tbk, MitraPack, PT Mitra Pack</v>
      </c>
      <c r="H721" t="str">
        <f t="shared" si="127"/>
        <v>PTMP, MITRA PACK, Mitra Pack, Mitra Pack Tbk, MitraPack, PT Mitra Pack</v>
      </c>
      <c r="I721" t="str">
        <f t="shared" si="124"/>
        <v>MITRA PACK</v>
      </c>
      <c r="J721" t="str">
        <f t="shared" si="128"/>
        <v>PTMP, Mitra Pack, Mitra Pack Tbk, MitraPack, PT Mitra Pack</v>
      </c>
      <c r="K721" t="str">
        <f t="shared" si="129"/>
        <v>PTMP, Mitra Pack, Mitra Pack Tbk, MitraPack, PT Mitra Pack</v>
      </c>
      <c r="L721" t="str">
        <f t="shared" si="125"/>
        <v>MitraPack</v>
      </c>
      <c r="M721" t="str">
        <f t="shared" si="130"/>
        <v>PTMP, Mitra Pack, Mitra Pack Tbk, PT Mitra Pack</v>
      </c>
      <c r="N721" t="str">
        <f t="shared" si="131"/>
        <v>PTMP, Mitra Pack, Mitra Pack Tbk, PT Mitra Pack</v>
      </c>
    </row>
    <row r="722" spans="1:14" x14ac:dyDescent="0.2">
      <c r="A722" t="s">
        <v>2491</v>
      </c>
      <c r="B722" t="s">
        <v>2492</v>
      </c>
      <c r="C722" t="s">
        <v>8521</v>
      </c>
      <c r="D722" t="str">
        <f t="shared" si="121"/>
        <v>PTMR, MASTER PRINT, Master Print, Master Print Tbk, MasterPrint, PT Master Print, master print</v>
      </c>
      <c r="E722" t="str">
        <f t="shared" si="122"/>
        <v>PTMR, MASTER PRINT, Master Print, Master Print Tbk, MasterPrint, PT Master Print, master print</v>
      </c>
      <c r="F722" t="str">
        <f t="shared" si="123"/>
        <v>master print</v>
      </c>
      <c r="G722" t="str">
        <f t="shared" si="126"/>
        <v>PTMR, MASTER PRINT, Master Print, Master Print Tbk, MasterPrint, PT Master Print</v>
      </c>
      <c r="H722" t="str">
        <f t="shared" si="127"/>
        <v>PTMR, MASTER PRINT, Master Print, Master Print Tbk, MasterPrint, PT Master Print</v>
      </c>
      <c r="I722" t="str">
        <f t="shared" si="124"/>
        <v>MASTER PRINT</v>
      </c>
      <c r="J722" t="str">
        <f t="shared" si="128"/>
        <v>PTMR, Master Print, Master Print Tbk, MasterPrint, PT Master Print</v>
      </c>
      <c r="K722" t="str">
        <f t="shared" si="129"/>
        <v>PTMR, Master Print, Master Print Tbk, MasterPrint, PT Master Print</v>
      </c>
      <c r="L722" t="str">
        <f t="shared" si="125"/>
        <v>MasterPrint</v>
      </c>
      <c r="M722" t="str">
        <f t="shared" si="130"/>
        <v>PTMR, Master Print, Master Print Tbk, PT Master Print</v>
      </c>
      <c r="N722" t="str">
        <f t="shared" si="131"/>
        <v>PTMR, Master Print, Master Print Tbk, PT Master Print</v>
      </c>
    </row>
    <row r="723" spans="1:14" x14ac:dyDescent="0.2">
      <c r="A723" t="s">
        <v>1010</v>
      </c>
      <c r="B723" t="s">
        <v>1011</v>
      </c>
      <c r="C723" t="s">
        <v>8522</v>
      </c>
      <c r="D723" t="str">
        <f t="shared" si="121"/>
        <v>PTPP, PP (PERSERO), PP (Persero), PP (Persero) Tbk, PP(Persero), PT PP (Persero), pp (persero)</v>
      </c>
      <c r="E723" t="str">
        <f t="shared" si="122"/>
        <v>PTPP, PP (PERSERO), PP (Persero), PP (Persero) Tbk, PP(Persero), PT PP (Persero), pp (persero)</v>
      </c>
      <c r="F723" t="str">
        <f t="shared" si="123"/>
        <v>pp (persero)</v>
      </c>
      <c r="G723" t="str">
        <f t="shared" si="126"/>
        <v>PTPP, PP (PERSERO), PP (Persero), PP (Persero) Tbk, PP(Persero), PT PP (Persero)</v>
      </c>
      <c r="H723" t="str">
        <f t="shared" si="127"/>
        <v>PTPP, PP (PERSERO), PP (Persero), PP (Persero) Tbk, PP(Persero), PT PP (Persero)</v>
      </c>
      <c r="I723" t="str">
        <f t="shared" si="124"/>
        <v>PP (PERSERO)</v>
      </c>
      <c r="J723" t="str">
        <f t="shared" si="128"/>
        <v>PTPP, PP (Persero), PP (Persero) Tbk, PP(Persero), PT PP (Persero)</v>
      </c>
      <c r="K723" t="str">
        <f t="shared" si="129"/>
        <v>PTPP, PP (Persero), PP (Persero) Tbk, PP(Persero), PT PP (Persero)</v>
      </c>
      <c r="L723" t="str">
        <f t="shared" si="125"/>
        <v>PP(Persero)</v>
      </c>
      <c r="M723" t="str">
        <f t="shared" si="130"/>
        <v>PTPP, PP (Persero), PP (Persero) Tbk, PT PP (Persero)</v>
      </c>
      <c r="N723" t="str">
        <f t="shared" si="131"/>
        <v>PTPP, PP (Persero), PP (Persero) Tbk, PT PP (Persero)</v>
      </c>
    </row>
    <row r="724" spans="1:14" x14ac:dyDescent="0.2">
      <c r="A724" t="s">
        <v>2384</v>
      </c>
      <c r="B724" t="s">
        <v>2385</v>
      </c>
      <c r="C724" t="s">
        <v>8523</v>
      </c>
      <c r="D724" t="str">
        <f t="shared" si="121"/>
        <v>PTPS, PT Pulau Subur, PULAU SUBUR, Pulau Subur, Pulau Subur Tbk, PulauSubur, pulau subur</v>
      </c>
      <c r="E724" t="str">
        <f t="shared" si="122"/>
        <v>PTPS, PT Pulau Subur, PULAU SUBUR, Pulau Subur, Pulau Subur Tbk, PulauSubur, pulau subur</v>
      </c>
      <c r="F724" t="str">
        <f t="shared" si="123"/>
        <v>pulau subur</v>
      </c>
      <c r="G724" t="str">
        <f t="shared" si="126"/>
        <v>PTPS, PT Pulau Subur, PULAU SUBUR, Pulau Subur, Pulau Subur Tbk, PulauSubur</v>
      </c>
      <c r="H724" t="str">
        <f t="shared" si="127"/>
        <v>PTPS, PT Pulau Subur, PULAU SUBUR, Pulau Subur, Pulau Subur Tbk, PulauSubur</v>
      </c>
      <c r="I724" t="str">
        <f t="shared" si="124"/>
        <v>PULAU SUBUR</v>
      </c>
      <c r="J724" t="str">
        <f t="shared" si="128"/>
        <v>PTPS, PT Pulau Subur, Pulau Subur, Pulau Subur Tbk, PulauSubur</v>
      </c>
      <c r="K724" t="str">
        <f t="shared" si="129"/>
        <v>PTPS, PT Pulau Subur, Pulau Subur, Pulau Subur Tbk, PulauSubur</v>
      </c>
      <c r="L724" t="str">
        <f t="shared" si="125"/>
        <v>PulauSubur</v>
      </c>
      <c r="M724" t="str">
        <f t="shared" si="130"/>
        <v>PTPS, PT Pulau Subur, Pulau Subur, Pulau Subur Tbk</v>
      </c>
      <c r="N724" t="str">
        <f t="shared" si="131"/>
        <v>PTPS, PT Pulau Subur, Pulau Subur, Pulau Subur Tbk</v>
      </c>
    </row>
    <row r="725" spans="1:14" x14ac:dyDescent="0.2">
      <c r="A725" t="s">
        <v>1816</v>
      </c>
      <c r="B725" t="s">
        <v>1817</v>
      </c>
      <c r="C725" t="s">
        <v>8524</v>
      </c>
      <c r="D725" t="str">
        <f t="shared" si="121"/>
        <v>PTPW, PRATAMA WIDYA, PT Pratama Widya, Pratama Widya, Pratama Widya Tbk, PratamaWidya, pratama widya</v>
      </c>
      <c r="E725" t="str">
        <f t="shared" si="122"/>
        <v>PTPW, PRATAMA WIDYA, PT Pratama Widya, Pratama Widya, Pratama Widya Tbk, PratamaWidya, pratama widya</v>
      </c>
      <c r="F725" t="str">
        <f t="shared" si="123"/>
        <v>pratama widya</v>
      </c>
      <c r="G725" t="str">
        <f t="shared" si="126"/>
        <v>PTPW, PRATAMA WIDYA, PT Pratama Widya, Pratama Widya, Pratama Widya Tbk, PratamaWidya</v>
      </c>
      <c r="H725" t="str">
        <f t="shared" si="127"/>
        <v>PTPW, PRATAMA WIDYA, PT Pratama Widya, Pratama Widya, Pratama Widya Tbk, PratamaWidya</v>
      </c>
      <c r="I725" t="str">
        <f t="shared" si="124"/>
        <v>PRATAMA WIDYA</v>
      </c>
      <c r="J725" t="str">
        <f t="shared" si="128"/>
        <v>PTPW, PT Pratama Widya, Pratama Widya, Pratama Widya Tbk, PratamaWidya</v>
      </c>
      <c r="K725" t="str">
        <f t="shared" si="129"/>
        <v>PTPW, PT Pratama Widya, Pratama Widya, Pratama Widya Tbk, PratamaWidya</v>
      </c>
      <c r="L725" t="str">
        <f t="shared" si="125"/>
        <v>PratamaWidya</v>
      </c>
      <c r="M725" t="str">
        <f t="shared" si="130"/>
        <v>PTPW, PT Pratama Widya, Pratama Widya, Pratama Widya Tbk</v>
      </c>
      <c r="N725" t="str">
        <f t="shared" si="131"/>
        <v>PTPW, PT Pratama Widya, Pratama Widya, Pratama Widya Tbk</v>
      </c>
    </row>
    <row r="726" spans="1:14" x14ac:dyDescent="0.2">
      <c r="A726" t="s">
        <v>1013</v>
      </c>
      <c r="B726" t="s">
        <v>1014</v>
      </c>
      <c r="C726" t="s">
        <v>8525</v>
      </c>
      <c r="D726" t="str">
        <f t="shared" si="121"/>
        <v>PTRO, PETROSEA, PT Petrosea, Petrosea, Petrosea Tbk, petrosea</v>
      </c>
      <c r="E726" t="str">
        <f t="shared" si="122"/>
        <v>PTRO, PETROSEA, PT Petrosea, Petrosea, Petrosea Tbk, petrosea</v>
      </c>
      <c r="F726" t="str">
        <f t="shared" si="123"/>
        <v>petrosea</v>
      </c>
      <c r="G726" t="str">
        <f t="shared" si="126"/>
        <v>PTRO, PETROSEA, PT Petrosea, Petrosea, Petrosea Tbk</v>
      </c>
      <c r="H726" t="str">
        <f t="shared" si="127"/>
        <v>PTRO, PETROSEA, PT Petrosea, Petrosea, Petrosea Tbk</v>
      </c>
      <c r="I726" t="str">
        <f t="shared" si="124"/>
        <v>PETROSEA</v>
      </c>
      <c r="J726" t="str">
        <f t="shared" si="128"/>
        <v>PTRO, PT Petrosea, Petrosea, Petrosea Tbk</v>
      </c>
      <c r="K726" t="str">
        <f t="shared" si="129"/>
        <v>PTRO, PT Petrosea, Petrosea, Petrosea Tbk</v>
      </c>
      <c r="L726" t="str">
        <f t="shared" si="125"/>
        <v>Petrosea</v>
      </c>
      <c r="M726" t="str">
        <f t="shared" si="130"/>
        <v>PTRO, PT Petrosea Tbk</v>
      </c>
      <c r="N726" t="str">
        <f t="shared" si="131"/>
        <v>PTRO, PT Petrosea Tbk</v>
      </c>
    </row>
    <row r="727" spans="1:14" x14ac:dyDescent="0.2">
      <c r="A727" t="s">
        <v>1016</v>
      </c>
      <c r="B727" t="s">
        <v>3653</v>
      </c>
      <c r="C727" t="s">
        <v>8526</v>
      </c>
      <c r="D727" t="str">
        <f t="shared" si="121"/>
        <v>PTSN, PT Sat Nusapersada, SAT NUSAPERSADA, Sat Nusapersada, Sat Nusapersada Tbk, SatNusapersada, sat nusapersada</v>
      </c>
      <c r="E727" t="str">
        <f t="shared" si="122"/>
        <v>PTSN, PT Sat Nusapersada, SAT NUSAPERSADA, Sat Nusapersada, Sat Nusapersada Tbk, SatNusapersada, sat nusapersada</v>
      </c>
      <c r="F727" t="str">
        <f t="shared" si="123"/>
        <v>sat nusapersada</v>
      </c>
      <c r="G727" t="str">
        <f t="shared" si="126"/>
        <v>PTSN, PT Sat Nusapersada, SAT NUSAPERSADA, Sat Nusapersada, Sat Nusapersada Tbk, SatNusapersada</v>
      </c>
      <c r="H727" t="str">
        <f t="shared" si="127"/>
        <v>PTSN, PT Sat Nusapersada, SAT NUSAPERSADA, Sat Nusapersada, Sat Nusapersada Tbk, SatNusapersada</v>
      </c>
      <c r="I727" t="str">
        <f t="shared" si="124"/>
        <v>SAT NUSAPERSADA</v>
      </c>
      <c r="J727" t="str">
        <f t="shared" si="128"/>
        <v>PTSN, PT Sat Nusapersada, Sat Nusapersada, Sat Nusapersada Tbk, SatNusapersada</v>
      </c>
      <c r="K727" t="str">
        <f t="shared" si="129"/>
        <v>PTSN, PT Sat Nusapersada, Sat Nusapersada, Sat Nusapersada Tbk, SatNusapersada</v>
      </c>
      <c r="L727" t="str">
        <f t="shared" si="125"/>
        <v>SatNusapersada</v>
      </c>
      <c r="M727" t="str">
        <f t="shared" si="130"/>
        <v>PTSN, PT Sat Nusapersada, Sat Nusapersada, Sat Nusapersada Tbk</v>
      </c>
      <c r="N727" t="str">
        <f t="shared" si="131"/>
        <v>PTSN, PT Sat Nusapersada, Sat Nusapersada, Sat Nusapersada Tbk</v>
      </c>
    </row>
    <row r="728" spans="1:14" x14ac:dyDescent="0.2">
      <c r="A728" t="s">
        <v>1019</v>
      </c>
      <c r="B728" t="s">
        <v>3654</v>
      </c>
      <c r="C728" t="s">
        <v>8527</v>
      </c>
      <c r="D728" t="str">
        <f t="shared" si="121"/>
        <v>PTSP, PIONEERINDO GOURMET INTERNATIONAL, PT Pioneerindo Gourmet International, Pioneerindo Gourmet International, Pioneerindo Gourmet International Tbk, PioneerindoGourmetInternational, pioneerindo gourmet international</v>
      </c>
      <c r="E728" t="str">
        <f t="shared" si="122"/>
        <v>PTSP, PIONEERINDO GOURMET INTERNATIONAL, PT Pioneerindo Gourmet International, Pioneerindo Gourmet International, Pioneerindo Gourmet International Tbk, PioneerindoGourmetInternational, pioneerindo gourmet international</v>
      </c>
      <c r="F728" t="str">
        <f t="shared" si="123"/>
        <v>pioneerindo gourmet international</v>
      </c>
      <c r="G728" t="str">
        <f t="shared" si="126"/>
        <v>PTSP, PIONEERINDO GOURMET INTERNATIONAL, PT Pioneerindo Gourmet International, Pioneerindo Gourmet International, Pioneerindo Gourmet International Tbk, PioneerindoGourmetInternational</v>
      </c>
      <c r="H728" t="str">
        <f t="shared" si="127"/>
        <v>PTSP, PIONEERINDO GOURMET INTERNATIONAL, PT Pioneerindo Gourmet International, Pioneerindo Gourmet International, Pioneerindo Gourmet International Tbk, PioneerindoGourmetInternational</v>
      </c>
      <c r="I728" t="str">
        <f t="shared" si="124"/>
        <v>PIONEERINDO GOURMET INTERNATIONAL</v>
      </c>
      <c r="J728" t="str">
        <f t="shared" si="128"/>
        <v>PTSP, PT Pioneerindo Gourmet International, Pioneerindo Gourmet International, Pioneerindo Gourmet International Tbk, PioneerindoGourmetInternational</v>
      </c>
      <c r="K728" t="str">
        <f t="shared" si="129"/>
        <v>PTSP, PT Pioneerindo Gourmet International, Pioneerindo Gourmet International, Pioneerindo Gourmet International Tbk, PioneerindoGourmetInternational</v>
      </c>
      <c r="L728" t="str">
        <f t="shared" si="125"/>
        <v>PioneerindoGourmetInternational</v>
      </c>
      <c r="M728" t="str">
        <f t="shared" si="130"/>
        <v>PTSP, PT Pioneerindo Gourmet International, Pioneerindo Gourmet International, Pioneerindo Gourmet International Tbk</v>
      </c>
      <c r="N728" t="str">
        <f t="shared" si="131"/>
        <v>PTSP, PT Pioneerindo Gourmet International, Pioneerindo Gourmet International, Pioneerindo Gourmet International Tbk</v>
      </c>
    </row>
    <row r="729" spans="1:14" x14ac:dyDescent="0.2">
      <c r="A729" t="s">
        <v>1021</v>
      </c>
      <c r="B729" t="s">
        <v>1022</v>
      </c>
      <c r="C729" t="s">
        <v>8528</v>
      </c>
      <c r="D729" t="str">
        <f t="shared" si="121"/>
        <v>PUDP, PT Pudjiadi Prestige, PUDJIADI PRESTIGE, Pudjiadi Prestige, Pudjiadi Prestige Tbk, PudjiadiPrestige, pudjiadi prestige</v>
      </c>
      <c r="E729" t="str">
        <f t="shared" si="122"/>
        <v>PUDP, PT Pudjiadi Prestige, PUDJIADI PRESTIGE, Pudjiadi Prestige, Pudjiadi Prestige Tbk, PudjiadiPrestige, pudjiadi prestige</v>
      </c>
      <c r="F729" t="str">
        <f t="shared" si="123"/>
        <v>pudjiadi prestige</v>
      </c>
      <c r="G729" t="str">
        <f t="shared" si="126"/>
        <v>PUDP, PT Pudjiadi Prestige, PUDJIADI PRESTIGE, Pudjiadi Prestige, Pudjiadi Prestige Tbk, PudjiadiPrestige</v>
      </c>
      <c r="H729" t="str">
        <f t="shared" si="127"/>
        <v>PUDP, PT Pudjiadi Prestige, PUDJIADI PRESTIGE, Pudjiadi Prestige, Pudjiadi Prestige Tbk, PudjiadiPrestige</v>
      </c>
      <c r="I729" t="str">
        <f t="shared" si="124"/>
        <v>PUDJIADI PRESTIGE</v>
      </c>
      <c r="J729" t="str">
        <f t="shared" si="128"/>
        <v>PUDP, PT Pudjiadi Prestige, Pudjiadi Prestige, Pudjiadi Prestige Tbk, PudjiadiPrestige</v>
      </c>
      <c r="K729" t="str">
        <f t="shared" si="129"/>
        <v>PUDP, PT Pudjiadi Prestige, Pudjiadi Prestige, Pudjiadi Prestige Tbk, PudjiadiPrestige</v>
      </c>
      <c r="L729" t="str">
        <f t="shared" si="125"/>
        <v>PudjiadiPrestige</v>
      </c>
      <c r="M729" t="str">
        <f t="shared" si="130"/>
        <v>PUDP, PT Pudjiadi Prestige, Pudjiadi Prestige, Pudjiadi Prestige Tbk</v>
      </c>
      <c r="N729" t="str">
        <f t="shared" si="131"/>
        <v>PUDP, PT Pudjiadi Prestige, Pudjiadi Prestige, Pudjiadi Prestige Tbk</v>
      </c>
    </row>
    <row r="730" spans="1:14" x14ac:dyDescent="0.2">
      <c r="A730" t="s">
        <v>1813</v>
      </c>
      <c r="B730" t="s">
        <v>1814</v>
      </c>
      <c r="C730" t="s">
        <v>8529</v>
      </c>
      <c r="D730" t="str">
        <f t="shared" si="121"/>
        <v>PURA, PT Putra Rajawali Kencana, PUTRA RAJAWALI KENCANA, Putra Rajawali Kencana, Putra Rajawali Kencana Tbk, PutraRajawaliKencana, putra rajawali kencana</v>
      </c>
      <c r="E730" t="str">
        <f t="shared" si="122"/>
        <v>PURA, PT Putra Rajawali Kencana, PUTRA RAJAWALI KENCANA, Putra Rajawali Kencana, Putra Rajawali Kencana Tbk, PutraRajawaliKencana, putra rajawali kencana</v>
      </c>
      <c r="F730" t="str">
        <f t="shared" si="123"/>
        <v>putra rajawali kencana</v>
      </c>
      <c r="G730" t="str">
        <f t="shared" si="126"/>
        <v>PURA, PT Putra Rajawali Kencana, PUTRA RAJAWALI KENCANA, Putra Rajawali Kencana, Putra Rajawali Kencana Tbk, PutraRajawaliKencana</v>
      </c>
      <c r="H730" t="str">
        <f t="shared" si="127"/>
        <v>PURA, PT Putra Rajawali Kencana, PUTRA RAJAWALI KENCANA, Putra Rajawali Kencana, Putra Rajawali Kencana Tbk, PutraRajawaliKencana</v>
      </c>
      <c r="I730" t="str">
        <f t="shared" si="124"/>
        <v>PUTRA RAJAWALI KENCANA</v>
      </c>
      <c r="J730" t="str">
        <f t="shared" si="128"/>
        <v>PURA, PT Putra Rajawali Kencana, Putra Rajawali Kencana, Putra Rajawali Kencana Tbk, PutraRajawaliKencana</v>
      </c>
      <c r="K730" t="str">
        <f t="shared" si="129"/>
        <v>PURA, PT Putra Rajawali Kencana, Putra Rajawali Kencana, Putra Rajawali Kencana Tbk, PutraRajawaliKencana</v>
      </c>
      <c r="L730" t="str">
        <f t="shared" si="125"/>
        <v>PutraRajawaliKencana</v>
      </c>
      <c r="M730" t="str">
        <f t="shared" si="130"/>
        <v>PURA, PT Putra Rajawali Kencana, Putra Rajawali Kencana, Putra Rajawali Kencana Tbk</v>
      </c>
      <c r="N730" t="str">
        <f t="shared" si="131"/>
        <v>PURA, PT Putra Rajawali Kencana, Putra Rajawali Kencana, Putra Rajawali Kencana Tbk</v>
      </c>
    </row>
    <row r="731" spans="1:14" x14ac:dyDescent="0.2">
      <c r="A731" t="s">
        <v>1749</v>
      </c>
      <c r="B731" t="s">
        <v>3655</v>
      </c>
      <c r="C731" t="s">
        <v>8530</v>
      </c>
      <c r="D731" t="str">
        <f t="shared" si="121"/>
        <v>PURE, PT Trinitan Metals and Minerals, TRINITAN METALS AND MINERALS, Trinitan Metals and Minerals, Trinitan Metals and Minerals Tbk, TrinitanMetalsandMinerals, trinitan metals and minerals</v>
      </c>
      <c r="E731" t="str">
        <f t="shared" si="122"/>
        <v>PURE, PT Trinitan Metals and Minerals, TRINITAN METALS AND MINERALS, Trinitan Metals and Minerals, Trinitan Metals and Minerals Tbk, TrinitanMetalsandMinerals, trinitan metals and minerals</v>
      </c>
      <c r="F731" t="str">
        <f t="shared" si="123"/>
        <v>trinitan metals and minerals</v>
      </c>
      <c r="G731" t="str">
        <f t="shared" si="126"/>
        <v>PURE, PT Trinitan Metals and Minerals, TRINITAN METALS AND MINERALS, Trinitan Metals and Minerals, Trinitan Metals and Minerals Tbk, TrinitanMetalsandMinerals</v>
      </c>
      <c r="H731" t="str">
        <f t="shared" si="127"/>
        <v>PURE, PT Trinitan Metals and Minerals, TRINITAN METALS AND MINERALS, Trinitan Metals and Minerals, Trinitan Metals and Minerals Tbk, TrinitanMetalsandMinerals</v>
      </c>
      <c r="I731" t="str">
        <f t="shared" si="124"/>
        <v>TRINITAN METALS AND MINERALS</v>
      </c>
      <c r="J731" t="str">
        <f t="shared" si="128"/>
        <v>PURE, PT Trinitan Metals and Minerals, Trinitan Metals and Minerals, Trinitan Metals and Minerals Tbk, TrinitanMetalsandMinerals</v>
      </c>
      <c r="K731" t="str">
        <f t="shared" si="129"/>
        <v>PURE, PT Trinitan Metals and Minerals, Trinitan Metals and Minerals, Trinitan Metals and Minerals Tbk, TrinitanMetalsandMinerals</v>
      </c>
      <c r="L731" t="str">
        <f t="shared" si="125"/>
        <v>TrinitanMetalsandMinerals</v>
      </c>
      <c r="M731" t="str">
        <f t="shared" si="130"/>
        <v>PURE, PT Trinitan Metals and Minerals, Trinitan Metals and Minerals, Trinitan Metals and Minerals Tbk</v>
      </c>
      <c r="N731" t="str">
        <f t="shared" si="131"/>
        <v>PURE, PT Trinitan Metals and Minerals, Trinitan Metals and Minerals, Trinitan Metals and Minerals Tbk</v>
      </c>
    </row>
    <row r="732" spans="1:14" x14ac:dyDescent="0.2">
      <c r="A732" t="s">
        <v>1883</v>
      </c>
      <c r="B732" t="s">
        <v>1884</v>
      </c>
      <c r="C732" t="s">
        <v>8531</v>
      </c>
      <c r="D732" t="str">
        <f t="shared" si="121"/>
        <v>PURI, PT Puri Global Sukses, PURI GLOBAL SUKSES, Puri Global Sukses, Puri Global Sukses Tbk, PuriGlobalSukses, puri global sukses</v>
      </c>
      <c r="E732" t="str">
        <f t="shared" si="122"/>
        <v>PURI, PT Puri Global Sukses, PURI GLOBAL SUKSES, Puri Global Sukses, Puri Global Sukses Tbk, PuriGlobalSukses, puri global sukses</v>
      </c>
      <c r="F732" t="str">
        <f t="shared" si="123"/>
        <v>puri global sukses</v>
      </c>
      <c r="G732" t="str">
        <f t="shared" si="126"/>
        <v>PURI, PT Puri Global Sukses, PURI GLOBAL SUKSES, Puri Global Sukses, Puri Global Sukses Tbk, PuriGlobalSukses</v>
      </c>
      <c r="H732" t="str">
        <f t="shared" si="127"/>
        <v>PURI, PT Puri Global Sukses, PURI GLOBAL SUKSES, Puri Global Sukses, Puri Global Sukses Tbk, PuriGlobalSukses</v>
      </c>
      <c r="I732" t="str">
        <f t="shared" si="124"/>
        <v>PURI GLOBAL SUKSES</v>
      </c>
      <c r="J732" t="str">
        <f t="shared" si="128"/>
        <v>PURI, PT Puri Global Sukses, Puri Global Sukses, Puri Global Sukses Tbk, PuriGlobalSukses</v>
      </c>
      <c r="K732" t="str">
        <f t="shared" si="129"/>
        <v>PURI, PT Puri Global Sukses, Puri Global Sukses, Puri Global Sukses Tbk, PuriGlobalSukses</v>
      </c>
      <c r="L732" t="str">
        <f t="shared" si="125"/>
        <v>PuriGlobalSukses</v>
      </c>
      <c r="M732" t="str">
        <f t="shared" si="130"/>
        <v>PURI, PT Puri Global Sukses, Puri Global Sukses, Puri Global Sukses Tbk</v>
      </c>
      <c r="N732" t="str">
        <f t="shared" si="131"/>
        <v>PURI, PT Puri Global Sukses, Puri Global Sukses, Puri Global Sukses Tbk</v>
      </c>
    </row>
    <row r="733" spans="1:14" x14ac:dyDescent="0.2">
      <c r="A733" t="s">
        <v>1024</v>
      </c>
      <c r="B733" t="s">
        <v>1025</v>
      </c>
      <c r="C733" t="s">
        <v>8532</v>
      </c>
      <c r="D733" t="str">
        <f t="shared" si="121"/>
        <v>PWON, PAKUWON JATI, PT Pakuwon Jati, Pakuwon Jati, Pakuwon Jati Tbk, PakuwonJati, pakuwon jati</v>
      </c>
      <c r="E733" t="str">
        <f t="shared" si="122"/>
        <v>PWON, PAKUWON JATI, PT Pakuwon Jati, Pakuwon Jati, Pakuwon Jati Tbk, PakuwonJati, pakuwon jati</v>
      </c>
      <c r="F733" t="str">
        <f t="shared" si="123"/>
        <v>pakuwon jati</v>
      </c>
      <c r="G733" t="str">
        <f t="shared" si="126"/>
        <v>PWON, PAKUWON JATI, PT Pakuwon Jati, Pakuwon Jati, Pakuwon Jati Tbk, PakuwonJati</v>
      </c>
      <c r="H733" t="str">
        <f t="shared" si="127"/>
        <v>PWON, PAKUWON JATI, PT Pakuwon Jati, Pakuwon Jati, Pakuwon Jati Tbk, PakuwonJati</v>
      </c>
      <c r="I733" t="str">
        <f t="shared" si="124"/>
        <v>PAKUWON JATI</v>
      </c>
      <c r="J733" t="str">
        <f t="shared" si="128"/>
        <v>PWON, PT Pakuwon Jati, Pakuwon Jati, Pakuwon Jati Tbk, PakuwonJati</v>
      </c>
      <c r="K733" t="str">
        <f t="shared" si="129"/>
        <v>PWON, PT Pakuwon Jati, Pakuwon Jati, Pakuwon Jati Tbk, PakuwonJati</v>
      </c>
      <c r="L733" t="str">
        <f t="shared" si="125"/>
        <v>PakuwonJati</v>
      </c>
      <c r="M733" t="str">
        <f t="shared" si="130"/>
        <v>PWON, PT Pakuwon Jati, Pakuwon Jati, Pakuwon Jati Tbk</v>
      </c>
      <c r="N733" t="str">
        <f t="shared" si="131"/>
        <v>PWON, PT Pakuwon Jati, Pakuwon Jati, Pakuwon Jati Tbk</v>
      </c>
    </row>
    <row r="734" spans="1:14" x14ac:dyDescent="0.2">
      <c r="A734" t="s">
        <v>1027</v>
      </c>
      <c r="B734" t="s">
        <v>3656</v>
      </c>
      <c r="C734" t="s">
        <v>8533</v>
      </c>
      <c r="D734" t="str">
        <f t="shared" si="121"/>
        <v>PYFA, PT Pyridam Farma, PYRIDAM FARMA, Pyridam Farma, Pyridam Farma Tbk, PyridamFarma, pyridam farma</v>
      </c>
      <c r="E734" t="str">
        <f t="shared" si="122"/>
        <v>PYFA, PT Pyridam Farma, PYRIDAM FARMA, Pyridam Farma, Pyridam Farma Tbk, PyridamFarma, pyridam farma</v>
      </c>
      <c r="F734" t="str">
        <f t="shared" si="123"/>
        <v>pyridam farma</v>
      </c>
      <c r="G734" t="str">
        <f t="shared" si="126"/>
        <v>PYFA, PT Pyridam Farma, PYRIDAM FARMA, Pyridam Farma, Pyridam Farma Tbk, PyridamFarma</v>
      </c>
      <c r="H734" t="str">
        <f t="shared" si="127"/>
        <v>PYFA, PT Pyridam Farma, PYRIDAM FARMA, Pyridam Farma, Pyridam Farma Tbk, PyridamFarma</v>
      </c>
      <c r="I734" t="str">
        <f t="shared" si="124"/>
        <v>PYRIDAM FARMA</v>
      </c>
      <c r="J734" t="str">
        <f t="shared" si="128"/>
        <v>PYFA, PT Pyridam Farma, Pyridam Farma, Pyridam Farma Tbk, PyridamFarma</v>
      </c>
      <c r="K734" t="str">
        <f t="shared" si="129"/>
        <v>PYFA, PT Pyridam Farma, Pyridam Farma, Pyridam Farma Tbk, PyridamFarma</v>
      </c>
      <c r="L734" t="str">
        <f t="shared" si="125"/>
        <v>PyridamFarma</v>
      </c>
      <c r="M734" t="str">
        <f t="shared" si="130"/>
        <v>PYFA, PT Pyridam Farma, Pyridam Farma, Pyridam Farma Tbk</v>
      </c>
      <c r="N734" t="str">
        <f t="shared" si="131"/>
        <v>PYFA, PT Pyridam Farma, Pyridam Farma, Pyridam Farma Tbk</v>
      </c>
    </row>
    <row r="735" spans="1:14" x14ac:dyDescent="0.2">
      <c r="A735" t="s">
        <v>1530</v>
      </c>
      <c r="B735" t="s">
        <v>1531</v>
      </c>
      <c r="C735" t="s">
        <v>8534</v>
      </c>
      <c r="D735" t="str">
        <f t="shared" si="121"/>
        <v>PZZA, PT Sarimelati Kencana, SARIMELATI KENCANA, Sarimelati Kencana, Sarimelati Kencana Tbk, SarimelatiKencana, sarimelati kencana</v>
      </c>
      <c r="E735" t="str">
        <f t="shared" si="122"/>
        <v>PZZA, PT Sarimelati Kencana, SARIMELATI KENCANA, Sarimelati Kencana, Sarimelati Kencana Tbk, SarimelatiKencana, sarimelati kencana</v>
      </c>
      <c r="F735" t="str">
        <f t="shared" si="123"/>
        <v>sarimelati kencana</v>
      </c>
      <c r="G735" t="str">
        <f t="shared" si="126"/>
        <v>PZZA, PT Sarimelati Kencana, SARIMELATI KENCANA, Sarimelati Kencana, Sarimelati Kencana Tbk, SarimelatiKencana</v>
      </c>
      <c r="H735" t="str">
        <f t="shared" si="127"/>
        <v>PZZA, PT Sarimelati Kencana, SARIMELATI KENCANA, Sarimelati Kencana, Sarimelati Kencana Tbk, SarimelatiKencana</v>
      </c>
      <c r="I735" t="str">
        <f t="shared" si="124"/>
        <v>SARIMELATI KENCANA</v>
      </c>
      <c r="J735" t="str">
        <f t="shared" si="128"/>
        <v>PZZA, PT Sarimelati Kencana, Sarimelati Kencana, Sarimelati Kencana Tbk, SarimelatiKencana</v>
      </c>
      <c r="K735" t="str">
        <f t="shared" si="129"/>
        <v>PZZA, PT Sarimelati Kencana, Sarimelati Kencana, Sarimelati Kencana Tbk, SarimelatiKencana</v>
      </c>
      <c r="L735" t="str">
        <f t="shared" si="125"/>
        <v>SarimelatiKencana</v>
      </c>
      <c r="M735" t="str">
        <f t="shared" si="130"/>
        <v>PZZA, PT Sarimelati Kencana, Sarimelati Kencana, Sarimelati Kencana Tbk</v>
      </c>
      <c r="N735" t="str">
        <f t="shared" si="131"/>
        <v>PZZA, PT Sarimelati Kencana, Sarimelati Kencana, Sarimelati Kencana Tbk</v>
      </c>
    </row>
    <row r="736" spans="1:14" x14ac:dyDescent="0.2">
      <c r="A736" t="s">
        <v>2619</v>
      </c>
      <c r="B736" t="s">
        <v>2620</v>
      </c>
      <c r="C736" t="s">
        <v>8535</v>
      </c>
      <c r="D736" t="str">
        <f t="shared" si="121"/>
        <v>RAAM, PT Tripar Multivision Plus, TRIPAR MULTIVISION PLUS, Tripar Multivision Plus, Tripar Multivision Plus Tbk, TriparMultivisionPlus, tripar multivision plus</v>
      </c>
      <c r="E736" t="str">
        <f t="shared" si="122"/>
        <v>RAAM, PT Tripar Multivision Plus, TRIPAR MULTIVISION PLUS, Tripar Multivision Plus, Tripar Multivision Plus Tbk, TriparMultivisionPlus, tripar multivision plus</v>
      </c>
      <c r="F736" t="str">
        <f t="shared" si="123"/>
        <v>tripar multivision plus</v>
      </c>
      <c r="G736" t="str">
        <f t="shared" si="126"/>
        <v>RAAM, PT Tripar Multivision Plus, TRIPAR MULTIVISION PLUS, Tripar Multivision Plus, Tripar Multivision Plus Tbk, TriparMultivisionPlus</v>
      </c>
      <c r="H736" t="str">
        <f t="shared" si="127"/>
        <v>RAAM, PT Tripar Multivision Plus, TRIPAR MULTIVISION PLUS, Tripar Multivision Plus, Tripar Multivision Plus Tbk, TriparMultivisionPlus</v>
      </c>
      <c r="I736" t="str">
        <f t="shared" si="124"/>
        <v>TRIPAR MULTIVISION PLUS</v>
      </c>
      <c r="J736" t="str">
        <f t="shared" si="128"/>
        <v>RAAM, PT Tripar Multivision Plus, Tripar Multivision Plus, Tripar Multivision Plus Tbk, TriparMultivisionPlus</v>
      </c>
      <c r="K736" t="str">
        <f t="shared" si="129"/>
        <v>RAAM, PT Tripar Multivision Plus, Tripar Multivision Plus, Tripar Multivision Plus Tbk, TriparMultivisionPlus</v>
      </c>
      <c r="L736" t="str">
        <f t="shared" si="125"/>
        <v>TriparMultivisionPlus</v>
      </c>
      <c r="M736" t="str">
        <f t="shared" si="130"/>
        <v>RAAM, PT Tripar Multivision Plus, Tripar Multivision Plus, Tripar Multivision Plus Tbk</v>
      </c>
      <c r="N736" t="str">
        <f t="shared" si="131"/>
        <v>RAAM, PT Tripar Multivision Plus, Tripar Multivision Plus, Tripar Multivision Plus Tbk</v>
      </c>
    </row>
    <row r="737" spans="1:14" x14ac:dyDescent="0.2">
      <c r="A737" t="s">
        <v>2149</v>
      </c>
      <c r="B737" t="s">
        <v>2150</v>
      </c>
      <c r="C737" t="s">
        <v>8536</v>
      </c>
      <c r="D737" t="str">
        <f t="shared" si="121"/>
        <v>RAFI, PT Sari Kreasi Boga, SARI KREASI BOGA, Sari Kreasi Boga, Sari Kreasi Boga Tbk, SariKreasiBoga, sari kreasi boga</v>
      </c>
      <c r="E737" t="str">
        <f t="shared" si="122"/>
        <v>RAFI, PT Sari Kreasi Boga, SARI KREASI BOGA, Sari Kreasi Boga, Sari Kreasi Boga Tbk, SariKreasiBoga, sari kreasi boga</v>
      </c>
      <c r="F737" t="str">
        <f t="shared" si="123"/>
        <v>sari kreasi boga</v>
      </c>
      <c r="G737" t="str">
        <f t="shared" si="126"/>
        <v>RAFI, PT Sari Kreasi Boga, SARI KREASI BOGA, Sari Kreasi Boga, Sari Kreasi Boga Tbk, SariKreasiBoga</v>
      </c>
      <c r="H737" t="str">
        <f t="shared" si="127"/>
        <v>RAFI, PT Sari Kreasi Boga, SARI KREASI BOGA, Sari Kreasi Boga, Sari Kreasi Boga Tbk, SariKreasiBoga</v>
      </c>
      <c r="I737" t="str">
        <f t="shared" si="124"/>
        <v>SARI KREASI BOGA</v>
      </c>
      <c r="J737" t="str">
        <f t="shared" si="128"/>
        <v>RAFI, PT Sari Kreasi Boga, Sari Kreasi Boga, Sari Kreasi Boga Tbk, SariKreasiBoga</v>
      </c>
      <c r="K737" t="str">
        <f t="shared" si="129"/>
        <v>RAFI, PT Sari Kreasi Boga, Sari Kreasi Boga, Sari Kreasi Boga Tbk, SariKreasiBoga</v>
      </c>
      <c r="L737" t="str">
        <f t="shared" si="125"/>
        <v>SariKreasiBoga</v>
      </c>
      <c r="M737" t="str">
        <f t="shared" si="130"/>
        <v>RAFI, PT Sari Kreasi Boga, Sari Kreasi Boga, Sari Kreasi Boga Tbk</v>
      </c>
      <c r="N737" t="str">
        <f t="shared" si="131"/>
        <v>RAFI, PT Sari Kreasi Boga, Sari Kreasi Boga, Sari Kreasi Boga Tbk</v>
      </c>
    </row>
    <row r="738" spans="1:14" x14ac:dyDescent="0.2">
      <c r="A738" t="s">
        <v>1030</v>
      </c>
      <c r="B738" t="s">
        <v>1031</v>
      </c>
      <c r="C738" t="s">
        <v>8537</v>
      </c>
      <c r="D738" t="str">
        <f t="shared" si="121"/>
        <v>RAJA, PT Rukun Raharja, RUKUN RAHARJA, Rukun Raharja, Rukun Raharja Tbk, RukunRaharja, rukun raharja</v>
      </c>
      <c r="E738" t="str">
        <f t="shared" si="122"/>
        <v>RAJA, PT Rukun Raharja, RUKUN RAHARJA, Rukun Raharja, Rukun Raharja Tbk, RukunRaharja, rukun raharja</v>
      </c>
      <c r="F738" t="str">
        <f t="shared" si="123"/>
        <v>rukun raharja</v>
      </c>
      <c r="G738" t="str">
        <f t="shared" si="126"/>
        <v>RAJA, PT Rukun Raharja, RUKUN RAHARJA, Rukun Raharja, Rukun Raharja Tbk, RukunRaharja</v>
      </c>
      <c r="H738" t="str">
        <f t="shared" si="127"/>
        <v>RAJA, PT Rukun Raharja, RUKUN RAHARJA, Rukun Raharja, Rukun Raharja Tbk, RukunRaharja</v>
      </c>
      <c r="I738" t="str">
        <f t="shared" si="124"/>
        <v>RUKUN RAHARJA</v>
      </c>
      <c r="J738" t="str">
        <f t="shared" si="128"/>
        <v>RAJA, PT Rukun Raharja, Rukun Raharja, Rukun Raharja Tbk, RukunRaharja</v>
      </c>
      <c r="K738" t="str">
        <f t="shared" si="129"/>
        <v>RAJA, PT Rukun Raharja, Rukun Raharja, Rukun Raharja Tbk, RukunRaharja</v>
      </c>
      <c r="L738" t="str">
        <f t="shared" si="125"/>
        <v>RukunRaharja</v>
      </c>
      <c r="M738" t="str">
        <f t="shared" si="130"/>
        <v>RAJA, PT Rukun Raharja, Rukun Raharja, Rukun Raharja Tbk</v>
      </c>
      <c r="N738" t="str">
        <f t="shared" si="131"/>
        <v>RAJA, PT Rukun Raharja, Rukun Raharja, Rukun Raharja Tbk</v>
      </c>
    </row>
    <row r="739" spans="1:14" x14ac:dyDescent="0.2">
      <c r="A739" t="s">
        <v>1033</v>
      </c>
      <c r="B739" t="s">
        <v>1034</v>
      </c>
      <c r="C739" t="s">
        <v>8538</v>
      </c>
      <c r="D739" t="str">
        <f t="shared" si="121"/>
        <v>RALS, PT Ramayana Lestari Sentosa, RAMAYANA LESTARI SENTOSA, Ramayana Lestari Sentosa, Ramayana Lestari Sentosa Tbk, RamayanaLestariSentosa, ramayana lestari sentosa</v>
      </c>
      <c r="E739" t="str">
        <f t="shared" si="122"/>
        <v>RALS, PT Ramayana Lestari Sentosa, RAMAYANA LESTARI SENTOSA, Ramayana Lestari Sentosa, Ramayana Lestari Sentosa Tbk, RamayanaLestariSentosa, ramayana lestari sentosa</v>
      </c>
      <c r="F739" t="str">
        <f t="shared" si="123"/>
        <v>ramayana lestari sentosa</v>
      </c>
      <c r="G739" t="str">
        <f t="shared" si="126"/>
        <v>RALS, PT Ramayana Lestari Sentosa, RAMAYANA LESTARI SENTOSA, Ramayana Lestari Sentosa, Ramayana Lestari Sentosa Tbk, RamayanaLestariSentosa</v>
      </c>
      <c r="H739" t="str">
        <f t="shared" si="127"/>
        <v>RALS, PT Ramayana Lestari Sentosa, RAMAYANA LESTARI SENTOSA, Ramayana Lestari Sentosa, Ramayana Lestari Sentosa Tbk, RamayanaLestariSentosa</v>
      </c>
      <c r="I739" t="str">
        <f t="shared" si="124"/>
        <v>RAMAYANA LESTARI SENTOSA</v>
      </c>
      <c r="J739" t="str">
        <f t="shared" si="128"/>
        <v>RALS, PT Ramayana Lestari Sentosa, Ramayana Lestari Sentosa, Ramayana Lestari Sentosa Tbk, RamayanaLestariSentosa</v>
      </c>
      <c r="K739" t="str">
        <f t="shared" si="129"/>
        <v>RALS, PT Ramayana Lestari Sentosa, Ramayana Lestari Sentosa, Ramayana Lestari Sentosa Tbk, RamayanaLestariSentosa</v>
      </c>
      <c r="L739" t="str">
        <f t="shared" si="125"/>
        <v>RamayanaLestariSentosa</v>
      </c>
      <c r="M739" t="str">
        <f t="shared" si="130"/>
        <v>RALS, PT Ramayana Lestari Sentosa, Ramayana Lestari Sentosa, Ramayana Lestari Sentosa Tbk</v>
      </c>
      <c r="N739" t="str">
        <f t="shared" si="131"/>
        <v>RALS, PT Ramayana Lestari Sentosa, Ramayana Lestari Sentosa, Ramayana Lestari Sentosa Tbk</v>
      </c>
    </row>
    <row r="740" spans="1:14" x14ac:dyDescent="0.2">
      <c r="A740" t="s">
        <v>1036</v>
      </c>
      <c r="B740" t="s">
        <v>1037</v>
      </c>
      <c r="C740" t="s">
        <v>8539</v>
      </c>
      <c r="D740" t="str">
        <f t="shared" si="121"/>
        <v>RANC, PT Supra Boga Lestari, SUPRA BOGA LESTARI, Supra Boga Lestari, Supra Boga Lestari Tbk, SupraBogaLestari, supra boga lestari</v>
      </c>
      <c r="E740" t="str">
        <f t="shared" si="122"/>
        <v>RANC, PT Supra Boga Lestari, SUPRA BOGA LESTARI, Supra Boga Lestari, Supra Boga Lestari Tbk, SupraBogaLestari, supra boga lestari</v>
      </c>
      <c r="F740" t="str">
        <f t="shared" si="123"/>
        <v>supra boga lestari</v>
      </c>
      <c r="G740" t="str">
        <f t="shared" si="126"/>
        <v>RANC, PT Supra Boga Lestari, SUPRA BOGA LESTARI, Supra Boga Lestari, Supra Boga Lestari Tbk, SupraBogaLestari</v>
      </c>
      <c r="H740" t="str">
        <f t="shared" si="127"/>
        <v>RANC, PT Supra Boga Lestari, SUPRA BOGA LESTARI, Supra Boga Lestari, Supra Boga Lestari Tbk, SupraBogaLestari</v>
      </c>
      <c r="I740" t="str">
        <f t="shared" si="124"/>
        <v>SUPRA BOGA LESTARI</v>
      </c>
      <c r="J740" t="str">
        <f t="shared" si="128"/>
        <v>RANC, PT Supra Boga Lestari, Supra Boga Lestari, Supra Boga Lestari Tbk, SupraBogaLestari</v>
      </c>
      <c r="K740" t="str">
        <f t="shared" si="129"/>
        <v>RANC, PT Supra Boga Lestari, Supra Boga Lestari, Supra Boga Lestari Tbk, SupraBogaLestari</v>
      </c>
      <c r="L740" t="str">
        <f t="shared" si="125"/>
        <v>SupraBogaLestari</v>
      </c>
      <c r="M740" t="str">
        <f t="shared" si="130"/>
        <v>RANC, PT Supra Boga Lestari, Supra Boga Lestari, Supra Boga Lestari Tbk</v>
      </c>
      <c r="N740" t="str">
        <f t="shared" si="131"/>
        <v>RANC, PT Supra Boga Lestari, Supra Boga Lestari, Supra Boga Lestari Tbk</v>
      </c>
    </row>
    <row r="741" spans="1:14" x14ac:dyDescent="0.2">
      <c r="A741" t="s">
        <v>2514</v>
      </c>
      <c r="B741" t="s">
        <v>2515</v>
      </c>
      <c r="C741" t="s">
        <v>8540</v>
      </c>
      <c r="D741" t="str">
        <f t="shared" si="121"/>
        <v>RATU, PT Raharja Energi Cepu, RAHARJA ENERGI CEPU, Raharja Energi Cepu, Raharja Energi Cepu Tbk, RaharjaEnergiCepu, raharja energi cepu</v>
      </c>
      <c r="E741" t="str">
        <f t="shared" si="122"/>
        <v>RATU, PT Raharja Energi Cepu, RAHARJA ENERGI CEPU, Raharja Energi Cepu, Raharja Energi Cepu Tbk, RaharjaEnergiCepu, raharja energi cepu</v>
      </c>
      <c r="F741" t="str">
        <f t="shared" si="123"/>
        <v>raharja energi cepu</v>
      </c>
      <c r="G741" t="str">
        <f t="shared" si="126"/>
        <v>RATU, PT Raharja Energi Cepu, RAHARJA ENERGI CEPU, Raharja Energi Cepu, Raharja Energi Cepu Tbk, RaharjaEnergiCepu</v>
      </c>
      <c r="H741" t="str">
        <f t="shared" si="127"/>
        <v>RATU, PT Raharja Energi Cepu, RAHARJA ENERGI CEPU, Raharja Energi Cepu, Raharja Energi Cepu Tbk, RaharjaEnergiCepu</v>
      </c>
      <c r="I741" t="str">
        <f t="shared" si="124"/>
        <v>RAHARJA ENERGI CEPU</v>
      </c>
      <c r="J741" t="str">
        <f t="shared" si="128"/>
        <v>RATU, PT Raharja Energi Cepu, Raharja Energi Cepu, Raharja Energi Cepu Tbk, RaharjaEnergiCepu</v>
      </c>
      <c r="K741" t="str">
        <f t="shared" si="129"/>
        <v>RATU, PT Raharja Energi Cepu, Raharja Energi Cepu, Raharja Energi Cepu Tbk, RaharjaEnergiCepu</v>
      </c>
      <c r="L741" t="str">
        <f t="shared" si="125"/>
        <v>RaharjaEnergiCepu</v>
      </c>
      <c r="M741" t="str">
        <f t="shared" si="130"/>
        <v>RATU, PT Raharja Energi Cepu, Raharja Energi Cepu, Raharja Energi Cepu Tbk</v>
      </c>
      <c r="N741" t="str">
        <f t="shared" si="131"/>
        <v>RATU, PT Raharja Energi Cepu, Raharja Energi Cepu, Raharja Energi Cepu Tbk</v>
      </c>
    </row>
    <row r="742" spans="1:14" x14ac:dyDescent="0.2">
      <c r="A742" t="s">
        <v>1039</v>
      </c>
      <c r="B742" t="s">
        <v>3657</v>
      </c>
      <c r="C742" t="s">
        <v>8541</v>
      </c>
      <c r="D742" t="str">
        <f t="shared" si="121"/>
        <v>RBMS, PT Ristia Bintang Mahkotasejati, RISTIA BINTANG MAHKOTASEJATI, Ristia Bintang Mahkotasejati, Ristia Bintang Mahkotasejati Tbk, RistiaBintangMahkotasejati, ristia bintang mahkotasejati</v>
      </c>
      <c r="E742" t="str">
        <f t="shared" si="122"/>
        <v>RBMS, PT Ristia Bintang Mahkotasejati, RISTIA BINTANG MAHKOTASEJATI, Ristia Bintang Mahkotasejati, Ristia Bintang Mahkotasejati Tbk, RistiaBintangMahkotasejati, ristia bintang mahkotasejati</v>
      </c>
      <c r="F742" t="str">
        <f t="shared" si="123"/>
        <v>ristia bintang mahkotasejati</v>
      </c>
      <c r="G742" t="str">
        <f t="shared" si="126"/>
        <v>RBMS, PT Ristia Bintang Mahkotasejati, RISTIA BINTANG MAHKOTASEJATI, Ristia Bintang Mahkotasejati, Ristia Bintang Mahkotasejati Tbk, RistiaBintangMahkotasejati</v>
      </c>
      <c r="H742" t="str">
        <f t="shared" si="127"/>
        <v>RBMS, PT Ristia Bintang Mahkotasejati, RISTIA BINTANG MAHKOTASEJATI, Ristia Bintang Mahkotasejati, Ristia Bintang Mahkotasejati Tbk, RistiaBintangMahkotasejati</v>
      </c>
      <c r="I742" t="str">
        <f t="shared" si="124"/>
        <v>RISTIA BINTANG MAHKOTASEJATI</v>
      </c>
      <c r="J742" t="str">
        <f t="shared" si="128"/>
        <v>RBMS, PT Ristia Bintang Mahkotasejati, Ristia Bintang Mahkotasejati, Ristia Bintang Mahkotasejati Tbk, RistiaBintangMahkotasejati</v>
      </c>
      <c r="K742" t="str">
        <f t="shared" si="129"/>
        <v>RBMS, PT Ristia Bintang Mahkotasejati, Ristia Bintang Mahkotasejati, Ristia Bintang Mahkotasejati Tbk, RistiaBintangMahkotasejati</v>
      </c>
      <c r="L742" t="str">
        <f t="shared" si="125"/>
        <v>RistiaBintangMahkotasejati</v>
      </c>
      <c r="M742" t="str">
        <f t="shared" si="130"/>
        <v>RBMS, PT Ristia Bintang Mahkotasejati, Ristia Bintang Mahkotasejati, Ristia Bintang Mahkotasejati Tbk</v>
      </c>
      <c r="N742" t="str">
        <f t="shared" si="131"/>
        <v>RBMS, PT Ristia Bintang Mahkotasejati, Ristia Bintang Mahkotasejati, Ristia Bintang Mahkotasejati Tbk</v>
      </c>
    </row>
    <row r="743" spans="1:14" x14ac:dyDescent="0.2">
      <c r="A743" t="s">
        <v>2137</v>
      </c>
      <c r="B743" t="s">
        <v>2138</v>
      </c>
      <c r="C743" t="s">
        <v>8542</v>
      </c>
      <c r="D743" t="str">
        <f t="shared" si="121"/>
        <v>RCCC, PT Utama Radar Cahaya, UTAMA RADAR CAHAYA, Utama Radar Cahaya, Utama Radar Cahaya Tbk, UtamaRadarCahaya, utama radar cahaya</v>
      </c>
      <c r="E743" t="str">
        <f t="shared" si="122"/>
        <v>RCCC, PT Utama Radar Cahaya, UTAMA RADAR CAHAYA, Utama Radar Cahaya, Utama Radar Cahaya Tbk, UtamaRadarCahaya, utama radar cahaya</v>
      </c>
      <c r="F743" t="str">
        <f t="shared" si="123"/>
        <v>utama radar cahaya</v>
      </c>
      <c r="G743" t="str">
        <f t="shared" si="126"/>
        <v>RCCC, PT Utama Radar Cahaya, UTAMA RADAR CAHAYA, Utama Radar Cahaya, Utama Radar Cahaya Tbk, UtamaRadarCahaya</v>
      </c>
      <c r="H743" t="str">
        <f t="shared" si="127"/>
        <v>RCCC, PT Utama Radar Cahaya, UTAMA RADAR CAHAYA, Utama Radar Cahaya, Utama Radar Cahaya Tbk, UtamaRadarCahaya</v>
      </c>
      <c r="I743" t="str">
        <f t="shared" si="124"/>
        <v>UTAMA RADAR CAHAYA</v>
      </c>
      <c r="J743" t="str">
        <f t="shared" si="128"/>
        <v>RCCC, PT Utama Radar Cahaya, Utama Radar Cahaya, Utama Radar Cahaya Tbk, UtamaRadarCahaya</v>
      </c>
      <c r="K743" t="str">
        <f t="shared" si="129"/>
        <v>RCCC, PT Utama Radar Cahaya, Utama Radar Cahaya, Utama Radar Cahaya Tbk, UtamaRadarCahaya</v>
      </c>
      <c r="L743" t="str">
        <f t="shared" si="125"/>
        <v>UtamaRadarCahaya</v>
      </c>
      <c r="M743" t="str">
        <f t="shared" si="130"/>
        <v>RCCC, PT Utama Radar Cahaya, Utama Radar Cahaya, Utama Radar Cahaya Tbk</v>
      </c>
      <c r="N743" t="str">
        <f t="shared" si="131"/>
        <v>RCCC, PT Utama Radar Cahaya, Utama Radar Cahaya, Utama Radar Cahaya Tbk</v>
      </c>
    </row>
    <row r="744" spans="1:14" x14ac:dyDescent="0.2">
      <c r="A744" t="s">
        <v>1041</v>
      </c>
      <c r="B744" t="s">
        <v>3658</v>
      </c>
      <c r="C744" t="s">
        <v>8543</v>
      </c>
      <c r="D744" t="str">
        <f t="shared" si="121"/>
        <v>RDTX, PT Roda Vivatex, RODA VIVATEX, Roda Vivatex, Roda Vivatex Tbk, RodaVivatex, roda vivatex</v>
      </c>
      <c r="E744" t="str">
        <f t="shared" si="122"/>
        <v>RDTX, PT Roda Vivatex, RODA VIVATEX, Roda Vivatex, Roda Vivatex Tbk, RodaVivatex, roda vivatex</v>
      </c>
      <c r="F744" t="str">
        <f t="shared" si="123"/>
        <v>roda vivatex</v>
      </c>
      <c r="G744" t="str">
        <f t="shared" si="126"/>
        <v>RDTX, PT Roda Vivatex, RODA VIVATEX, Roda Vivatex, Roda Vivatex Tbk, RodaVivatex</v>
      </c>
      <c r="H744" t="str">
        <f t="shared" si="127"/>
        <v>RDTX, PT Roda Vivatex, RODA VIVATEX, Roda Vivatex, Roda Vivatex Tbk, RodaVivatex</v>
      </c>
      <c r="I744" t="str">
        <f t="shared" si="124"/>
        <v>RODA VIVATEX</v>
      </c>
      <c r="J744" t="str">
        <f t="shared" si="128"/>
        <v>RDTX, PT Roda Vivatex, Roda Vivatex, Roda Vivatex Tbk, RodaVivatex</v>
      </c>
      <c r="K744" t="str">
        <f t="shared" si="129"/>
        <v>RDTX, PT Roda Vivatex, Roda Vivatex, Roda Vivatex Tbk, RodaVivatex</v>
      </c>
      <c r="L744" t="str">
        <f t="shared" si="125"/>
        <v>RodaVivatex</v>
      </c>
      <c r="M744" t="str">
        <f t="shared" si="130"/>
        <v>RDTX, PT Roda Vivatex, Roda Vivatex, Roda Vivatex Tbk</v>
      </c>
      <c r="N744" t="str">
        <f t="shared" si="131"/>
        <v>RDTX, PT Roda Vivatex, Roda Vivatex, Roda Vivatex Tbk</v>
      </c>
    </row>
    <row r="745" spans="1:14" x14ac:dyDescent="0.2">
      <c r="A745" t="s">
        <v>1779</v>
      </c>
      <c r="B745" t="s">
        <v>1780</v>
      </c>
      <c r="C745" t="s">
        <v>8544</v>
      </c>
      <c r="D745" t="str">
        <f t="shared" si="121"/>
        <v>REAL, PT Repower Asia Indonesia, REPOWER ASIA INDONESIA, Repower Asia Indonesia, Repower Asia Indonesia Tbk, RepowerAsiaIndonesia, repower asia indonesia</v>
      </c>
      <c r="E745" t="str">
        <f t="shared" si="122"/>
        <v>REAL, PT Repower Asia Indonesia, REPOWER ASIA INDONESIA, Repower Asia Indonesia, Repower Asia Indonesia Tbk, RepowerAsiaIndonesia, repower asia indonesia</v>
      </c>
      <c r="F745" t="str">
        <f t="shared" si="123"/>
        <v>repower asia indonesia</v>
      </c>
      <c r="G745" t="str">
        <f t="shared" si="126"/>
        <v>REAL, PT Repower Asia Indonesia, REPOWER ASIA INDONESIA, Repower Asia Indonesia, Repower Asia Indonesia Tbk, RepowerAsiaIndonesia</v>
      </c>
      <c r="H745" t="str">
        <f t="shared" si="127"/>
        <v>REAL, PT Repower Asia Indonesia, REPOWER ASIA INDONESIA, Repower Asia Indonesia, Repower Asia Indonesia Tbk, RepowerAsiaIndonesia</v>
      </c>
      <c r="I745" t="str">
        <f t="shared" si="124"/>
        <v>REPOWER ASIA INDONESIA</v>
      </c>
      <c r="J745" t="str">
        <f t="shared" si="128"/>
        <v>REAL, PT Repower Asia Indonesia, Repower Asia Indonesia, Repower Asia Indonesia Tbk, RepowerAsiaIndonesia</v>
      </c>
      <c r="K745" t="str">
        <f t="shared" si="129"/>
        <v>REAL, PT Repower Asia Indonesia, Repower Asia Indonesia, Repower Asia Indonesia Tbk, RepowerAsiaIndonesia</v>
      </c>
      <c r="L745" t="str">
        <f t="shared" si="125"/>
        <v>RepowerAsiaIndonesia</v>
      </c>
      <c r="M745" t="str">
        <f t="shared" si="130"/>
        <v>REAL, PT Repower Asia Indonesia, Repower Asia Indonesia, Repower Asia Indonesia Tbk</v>
      </c>
      <c r="N745" t="str">
        <f t="shared" si="131"/>
        <v>REAL, PT Repower Asia Indonesia, Repower Asia Indonesia, Repower Asia Indonesia Tbk</v>
      </c>
    </row>
    <row r="746" spans="1:14" x14ac:dyDescent="0.2">
      <c r="A746" t="s">
        <v>2316</v>
      </c>
      <c r="B746" t="s">
        <v>2317</v>
      </c>
      <c r="C746" t="s">
        <v>8545</v>
      </c>
      <c r="D746" t="str">
        <f t="shared" si="121"/>
        <v>RELF, GRAHA MITRA ASIA, Graha Mitra Asia, Graha Mitra Asia Tbk, GrahaMitraAsia, PT Graha Mitra Asia, graha mitra asia</v>
      </c>
      <c r="E746" t="str">
        <f t="shared" si="122"/>
        <v>RELF, GRAHA MITRA ASIA, Graha Mitra Asia, Graha Mitra Asia Tbk, GrahaMitraAsia, PT Graha Mitra Asia, graha mitra asia</v>
      </c>
      <c r="F746" t="str">
        <f t="shared" si="123"/>
        <v>graha mitra asia</v>
      </c>
      <c r="G746" t="str">
        <f t="shared" si="126"/>
        <v>RELF, GRAHA MITRA ASIA, Graha Mitra Asia, Graha Mitra Asia Tbk, GrahaMitraAsia, PT Graha Mitra Asia</v>
      </c>
      <c r="H746" t="str">
        <f t="shared" si="127"/>
        <v>RELF, GRAHA MITRA ASIA, Graha Mitra Asia, Graha Mitra Asia Tbk, GrahaMitraAsia, PT Graha Mitra Asia</v>
      </c>
      <c r="I746" t="str">
        <f t="shared" si="124"/>
        <v>GRAHA MITRA ASIA</v>
      </c>
      <c r="J746" t="str">
        <f t="shared" si="128"/>
        <v>RELF, Graha Mitra Asia, Graha Mitra Asia Tbk, GrahaMitraAsia, PT Graha Mitra Asia</v>
      </c>
      <c r="K746" t="str">
        <f t="shared" si="129"/>
        <v>RELF, Graha Mitra Asia, Graha Mitra Asia Tbk, GrahaMitraAsia, PT Graha Mitra Asia</v>
      </c>
      <c r="L746" t="str">
        <f t="shared" si="125"/>
        <v>GrahaMitraAsia</v>
      </c>
      <c r="M746" t="str">
        <f t="shared" si="130"/>
        <v>RELF, Graha Mitra Asia, Graha Mitra Asia Tbk, PT Graha Mitra Asia</v>
      </c>
      <c r="N746" t="str">
        <f t="shared" si="131"/>
        <v>RELF, Graha Mitra Asia, Graha Mitra Asia Tbk, PT Graha Mitra Asia</v>
      </c>
    </row>
    <row r="747" spans="1:14" x14ac:dyDescent="0.2">
      <c r="A747" t="s">
        <v>1044</v>
      </c>
      <c r="B747" t="s">
        <v>3659</v>
      </c>
      <c r="C747" t="s">
        <v>8546</v>
      </c>
      <c r="D747" t="str">
        <f t="shared" si="121"/>
        <v>RELI, PT Reliance Sekuritas Indonesia, RELIANCE SEKURITAS INDONESIA, Reliance Sekuritas Indonesia, Reliance Sekuritas Indonesia Tbk, RelianceSekuritasIndonesia, reliance sekuritas indonesia</v>
      </c>
      <c r="E747" t="str">
        <f t="shared" si="122"/>
        <v>RELI, PT Reliance Sekuritas Indonesia, RELIANCE SEKURITAS INDONESIA, Reliance Sekuritas Indonesia, Reliance Sekuritas Indonesia Tbk, RelianceSekuritasIndonesia, reliance sekuritas indonesia</v>
      </c>
      <c r="F747" t="str">
        <f t="shared" si="123"/>
        <v>reliance sekuritas indonesia</v>
      </c>
      <c r="G747" t="str">
        <f t="shared" si="126"/>
        <v>RELI, PT Reliance Sekuritas Indonesia, RELIANCE SEKURITAS INDONESIA, Reliance Sekuritas Indonesia, Reliance Sekuritas Indonesia Tbk, RelianceSekuritasIndonesia</v>
      </c>
      <c r="H747" t="str">
        <f t="shared" si="127"/>
        <v>RELI, PT Reliance Sekuritas Indonesia, RELIANCE SEKURITAS INDONESIA, Reliance Sekuritas Indonesia, Reliance Sekuritas Indonesia Tbk, RelianceSekuritasIndonesia</v>
      </c>
      <c r="I747" t="str">
        <f t="shared" si="124"/>
        <v>RELIANCE SEKURITAS INDONESIA</v>
      </c>
      <c r="J747" t="str">
        <f t="shared" si="128"/>
        <v>RELI, PT Reliance Sekuritas Indonesia, Reliance Sekuritas Indonesia, Reliance Sekuritas Indonesia Tbk, RelianceSekuritasIndonesia</v>
      </c>
      <c r="K747" t="str">
        <f t="shared" si="129"/>
        <v>RELI, PT Reliance Sekuritas Indonesia, Reliance Sekuritas Indonesia, Reliance Sekuritas Indonesia Tbk, RelianceSekuritasIndonesia</v>
      </c>
      <c r="L747" t="str">
        <f t="shared" si="125"/>
        <v>RelianceSekuritasIndonesia</v>
      </c>
      <c r="M747" t="str">
        <f t="shared" si="130"/>
        <v>RELI, PT Reliance Sekuritas Indonesia, Reliance Sekuritas Indonesia, Reliance Sekuritas Indonesia Tbk</v>
      </c>
      <c r="N747" t="str">
        <f t="shared" si="131"/>
        <v>RELI, PT Reliance Sekuritas Indonesia, Reliance Sekuritas Indonesia, Reliance Sekuritas Indonesia Tbk</v>
      </c>
    </row>
    <row r="748" spans="1:14" x14ac:dyDescent="0.2">
      <c r="A748" t="s">
        <v>2401</v>
      </c>
      <c r="B748" t="s">
        <v>2402</v>
      </c>
      <c r="C748" t="s">
        <v>8547</v>
      </c>
      <c r="D748" t="str">
        <f t="shared" si="121"/>
        <v>RGAS, KIAN SANTANG MULIATAMA, Kian Santang Muliatama, Kian Santang Muliatama Tbk, KianSantangMuliatama, PT Kian Santang Muliatama, kian santang muliatama</v>
      </c>
      <c r="E748" t="str">
        <f t="shared" si="122"/>
        <v>RGAS, KIAN SANTANG MULIATAMA, Kian Santang Muliatama, Kian Santang Muliatama Tbk, KianSantangMuliatama, PT Kian Santang Muliatama, kian santang muliatama</v>
      </c>
      <c r="F748" t="str">
        <f t="shared" si="123"/>
        <v>kian santang muliatama</v>
      </c>
      <c r="G748" t="str">
        <f t="shared" si="126"/>
        <v>RGAS, KIAN SANTANG MULIATAMA, Kian Santang Muliatama, Kian Santang Muliatama Tbk, KianSantangMuliatama, PT Kian Santang Muliatama</v>
      </c>
      <c r="H748" t="str">
        <f t="shared" si="127"/>
        <v>RGAS, KIAN SANTANG MULIATAMA, Kian Santang Muliatama, Kian Santang Muliatama Tbk, KianSantangMuliatama, PT Kian Santang Muliatama</v>
      </c>
      <c r="I748" t="str">
        <f t="shared" si="124"/>
        <v>KIAN SANTANG MULIATAMA</v>
      </c>
      <c r="J748" t="str">
        <f t="shared" si="128"/>
        <v>RGAS, Kian Santang Muliatama, Kian Santang Muliatama Tbk, KianSantangMuliatama, PT Kian Santang Muliatama</v>
      </c>
      <c r="K748" t="str">
        <f t="shared" si="129"/>
        <v>RGAS, Kian Santang Muliatama, Kian Santang Muliatama Tbk, KianSantangMuliatama, PT Kian Santang Muliatama</v>
      </c>
      <c r="L748" t="str">
        <f t="shared" si="125"/>
        <v>KianSantangMuliatama</v>
      </c>
      <c r="M748" t="str">
        <f t="shared" si="130"/>
        <v>RGAS, Kian Santang Muliatama, Kian Santang Muliatama Tbk, PT Kian Santang Muliatama</v>
      </c>
      <c r="N748" t="str">
        <f t="shared" si="131"/>
        <v>RGAS, Kian Santang Muliatama, Kian Santang Muliatama Tbk, PT Kian Santang Muliatama</v>
      </c>
    </row>
    <row r="749" spans="1:14" x14ac:dyDescent="0.2">
      <c r="A749" t="s">
        <v>1045</v>
      </c>
      <c r="B749" t="s">
        <v>3660</v>
      </c>
      <c r="C749" t="s">
        <v>8548</v>
      </c>
      <c r="D749" t="str">
        <f t="shared" si="121"/>
        <v>RICY, PT Ricky Putra Globalindo, RICKY PUTRA GLOBALINDO, Ricky Putra Globalindo, Ricky Putra Globalindo Tbk, RickyPutraGlobalindo, ricky putra globalindo</v>
      </c>
      <c r="E749" t="str">
        <f t="shared" si="122"/>
        <v>RICY, PT Ricky Putra Globalindo, RICKY PUTRA GLOBALINDO, Ricky Putra Globalindo, Ricky Putra Globalindo Tbk, RickyPutraGlobalindo, ricky putra globalindo</v>
      </c>
      <c r="F749" t="str">
        <f t="shared" si="123"/>
        <v>ricky putra globalindo</v>
      </c>
      <c r="G749" t="str">
        <f t="shared" si="126"/>
        <v>RICY, PT Ricky Putra Globalindo, RICKY PUTRA GLOBALINDO, Ricky Putra Globalindo, Ricky Putra Globalindo Tbk, RickyPutraGlobalindo</v>
      </c>
      <c r="H749" t="str">
        <f t="shared" si="127"/>
        <v>RICY, PT Ricky Putra Globalindo, RICKY PUTRA GLOBALINDO, Ricky Putra Globalindo, Ricky Putra Globalindo Tbk, RickyPutraGlobalindo</v>
      </c>
      <c r="I749" t="str">
        <f t="shared" si="124"/>
        <v>RICKY PUTRA GLOBALINDO</v>
      </c>
      <c r="J749" t="str">
        <f t="shared" si="128"/>
        <v>RICY, PT Ricky Putra Globalindo, Ricky Putra Globalindo, Ricky Putra Globalindo Tbk, RickyPutraGlobalindo</v>
      </c>
      <c r="K749" t="str">
        <f t="shared" si="129"/>
        <v>RICY, PT Ricky Putra Globalindo, Ricky Putra Globalindo, Ricky Putra Globalindo Tbk, RickyPutraGlobalindo</v>
      </c>
      <c r="L749" t="str">
        <f t="shared" si="125"/>
        <v>RickyPutraGlobalindo</v>
      </c>
      <c r="M749" t="str">
        <f t="shared" si="130"/>
        <v>RICY, PT Ricky Putra Globalindo, Ricky Putra Globalindo, Ricky Putra Globalindo Tbk</v>
      </c>
      <c r="N749" t="str">
        <f t="shared" si="131"/>
        <v>RICY, PT Ricky Putra Globalindo, Ricky Putra Globalindo, Ricky Putra Globalindo Tbk</v>
      </c>
    </row>
    <row r="750" spans="1:14" x14ac:dyDescent="0.2">
      <c r="A750" t="s">
        <v>1048</v>
      </c>
      <c r="B750" t="s">
        <v>1049</v>
      </c>
      <c r="C750" t="s">
        <v>8549</v>
      </c>
      <c r="D750" t="str">
        <f t="shared" si="121"/>
        <v>RIGS, PT Rig Tenders Indonesia, RIG TENDERS INDONESIA, Rig Tenders Indonesia, Rig Tenders Indonesia Tbk, RigTendersIndonesia, rig tenders indonesia</v>
      </c>
      <c r="E750" t="str">
        <f t="shared" si="122"/>
        <v>RIGS, PT Rig Tenders Indonesia, RIG TENDERS INDONESIA, Rig Tenders Indonesia, Rig Tenders Indonesia Tbk, RigTendersIndonesia, rig tenders indonesia</v>
      </c>
      <c r="F750" t="str">
        <f t="shared" si="123"/>
        <v>rig tenders indonesia</v>
      </c>
      <c r="G750" t="str">
        <f t="shared" si="126"/>
        <v>RIGS, PT Rig Tenders Indonesia, RIG TENDERS INDONESIA, Rig Tenders Indonesia, Rig Tenders Indonesia Tbk, RigTendersIndonesia</v>
      </c>
      <c r="H750" t="str">
        <f t="shared" si="127"/>
        <v>RIGS, PT Rig Tenders Indonesia, RIG TENDERS INDONESIA, Rig Tenders Indonesia, Rig Tenders Indonesia Tbk, RigTendersIndonesia</v>
      </c>
      <c r="I750" t="str">
        <f t="shared" si="124"/>
        <v>RIG TENDERS INDONESIA</v>
      </c>
      <c r="J750" t="str">
        <f t="shared" si="128"/>
        <v>RIGS, PT Rig Tenders Indonesia, Rig Tenders Indonesia, Rig Tenders Indonesia Tbk, RigTendersIndonesia</v>
      </c>
      <c r="K750" t="str">
        <f t="shared" si="129"/>
        <v>RIGS, PT Rig Tenders Indonesia, Rig Tenders Indonesia, Rig Tenders Indonesia Tbk, RigTendersIndonesia</v>
      </c>
      <c r="L750" t="str">
        <f t="shared" si="125"/>
        <v>RigTendersIndonesia</v>
      </c>
      <c r="M750" t="str">
        <f t="shared" si="130"/>
        <v>RIGS, PT Rig Tenders Indonesia, Rig Tenders Indonesia, Rig Tenders Indonesia Tbk</v>
      </c>
      <c r="N750" t="str">
        <f t="shared" si="131"/>
        <v>RIGS, PT Rig Tenders Indonesia, Rig Tenders Indonesia, Rig Tenders Indonesia Tbk</v>
      </c>
    </row>
    <row r="751" spans="1:14" x14ac:dyDescent="0.2">
      <c r="A751" t="s">
        <v>1051</v>
      </c>
      <c r="B751" t="s">
        <v>3661</v>
      </c>
      <c r="C751" t="s">
        <v>8550</v>
      </c>
      <c r="D751" t="str">
        <f t="shared" si="121"/>
        <v>RIMO, PT Rimo International Lestari, RIMO INTERNATIONAL LESTARI, Rimo International Lestari, Rimo International Lestari Tbk, RimoInternationalLestari, rimo international lestari</v>
      </c>
      <c r="E751" t="str">
        <f t="shared" si="122"/>
        <v>RIMO, PT Rimo International Lestari, RIMO INTERNATIONAL LESTARI, Rimo International Lestari, Rimo International Lestari Tbk, RimoInternationalLestari, rimo international lestari</v>
      </c>
      <c r="F751" t="str">
        <f t="shared" si="123"/>
        <v>rimo international lestari</v>
      </c>
      <c r="G751" t="str">
        <f t="shared" si="126"/>
        <v>RIMO, PT Rimo International Lestari, RIMO INTERNATIONAL LESTARI, Rimo International Lestari, Rimo International Lestari Tbk, RimoInternationalLestari</v>
      </c>
      <c r="H751" t="str">
        <f t="shared" si="127"/>
        <v>RIMO, PT Rimo International Lestari, RIMO INTERNATIONAL LESTARI, Rimo International Lestari, Rimo International Lestari Tbk, RimoInternationalLestari</v>
      </c>
      <c r="I751" t="str">
        <f t="shared" si="124"/>
        <v>RIMO INTERNATIONAL LESTARI</v>
      </c>
      <c r="J751" t="str">
        <f t="shared" si="128"/>
        <v>RIMO, PT Rimo International Lestari, Rimo International Lestari, Rimo International Lestari Tbk, RimoInternationalLestari</v>
      </c>
      <c r="K751" t="str">
        <f t="shared" si="129"/>
        <v>RIMO, PT Rimo International Lestari, Rimo International Lestari, Rimo International Lestari Tbk, RimoInternationalLestari</v>
      </c>
      <c r="L751" t="str">
        <f t="shared" si="125"/>
        <v>RimoInternationalLestari</v>
      </c>
      <c r="M751" t="str">
        <f t="shared" si="130"/>
        <v>RIMO, PT Rimo International Lestari, Rimo International Lestari, Rimo International Lestari Tbk</v>
      </c>
      <c r="N751" t="str">
        <f t="shared" si="131"/>
        <v>RIMO, PT Rimo International Lestari, Rimo International Lestari, Rimo International Lestari Tbk</v>
      </c>
    </row>
    <row r="752" spans="1:14" x14ac:dyDescent="0.2">
      <c r="A752" t="s">
        <v>1551</v>
      </c>
      <c r="B752" t="s">
        <v>3662</v>
      </c>
      <c r="C752" t="s">
        <v>8551</v>
      </c>
      <c r="D752" t="str">
        <f t="shared" si="121"/>
        <v>RISE, JAYA SUKSES MAKMUR SENTOSA, Jaya Sukses Makmur Sentosa, Jaya Sukses Makmur Sentosa Tbk, JayaSuksesMakmurSentosa, PT Jaya Sukses Makmur Sentosa, jaya sukses makmur sentosa</v>
      </c>
      <c r="E752" t="str">
        <f t="shared" si="122"/>
        <v>RISE, JAYA SUKSES MAKMUR SENTOSA, Jaya Sukses Makmur Sentosa, Jaya Sukses Makmur Sentosa Tbk, JayaSuksesMakmurSentosa, PT Jaya Sukses Makmur Sentosa, jaya sukses makmur sentosa</v>
      </c>
      <c r="F752" t="str">
        <f t="shared" si="123"/>
        <v>jaya sukses makmur sentosa</v>
      </c>
      <c r="G752" t="str">
        <f t="shared" si="126"/>
        <v>RISE, JAYA SUKSES MAKMUR SENTOSA, Jaya Sukses Makmur Sentosa, Jaya Sukses Makmur Sentosa Tbk, JayaSuksesMakmurSentosa, PT Jaya Sukses Makmur Sentosa</v>
      </c>
      <c r="H752" t="str">
        <f t="shared" si="127"/>
        <v>RISE, JAYA SUKSES MAKMUR SENTOSA, Jaya Sukses Makmur Sentosa, Jaya Sukses Makmur Sentosa Tbk, JayaSuksesMakmurSentosa, PT Jaya Sukses Makmur Sentosa</v>
      </c>
      <c r="I752" t="str">
        <f t="shared" si="124"/>
        <v>JAYA SUKSES MAKMUR SENTOSA</v>
      </c>
      <c r="J752" t="str">
        <f t="shared" si="128"/>
        <v>RISE, Jaya Sukses Makmur Sentosa, Jaya Sukses Makmur Sentosa Tbk, JayaSuksesMakmurSentosa, PT Jaya Sukses Makmur Sentosa</v>
      </c>
      <c r="K752" t="str">
        <f t="shared" si="129"/>
        <v>RISE, Jaya Sukses Makmur Sentosa, Jaya Sukses Makmur Sentosa Tbk, JayaSuksesMakmurSentosa, PT Jaya Sukses Makmur Sentosa</v>
      </c>
      <c r="L752" t="str">
        <f t="shared" si="125"/>
        <v>JayaSuksesMakmurSentosa</v>
      </c>
      <c r="M752" t="str">
        <f t="shared" si="130"/>
        <v>RISE, Jaya Sukses Makmur Sentosa, Jaya Sukses Makmur Sentosa Tbk, PT Jaya Sukses Makmur Sentosa</v>
      </c>
      <c r="N752" t="str">
        <f t="shared" si="131"/>
        <v>RISE, Jaya Sukses Makmur Sentosa, Jaya Sukses Makmur Sentosa Tbk, PT Jaya Sukses Makmur Sentosa</v>
      </c>
    </row>
    <row r="753" spans="1:14" x14ac:dyDescent="0.2">
      <c r="A753" t="s">
        <v>2564</v>
      </c>
      <c r="B753" t="s">
        <v>2565</v>
      </c>
      <c r="C753" t="s">
        <v>8552</v>
      </c>
      <c r="D753" t="str">
        <f t="shared" si="121"/>
        <v>RLCO, ABADI LESTARI INDONESIA, Abadi Lestari Indonesia, Abadi Lestari Indonesia Tbk, AbadiLestariIndonesia, PT Abadi Lestari Indonesia, abadi lestari indonesia</v>
      </c>
      <c r="E753" t="str">
        <f t="shared" si="122"/>
        <v>RLCO, ABADI LESTARI INDONESIA, Abadi Lestari Indonesia, Abadi Lestari Indonesia Tbk, AbadiLestariIndonesia, PT Abadi Lestari Indonesia, abadi lestari indonesia</v>
      </c>
      <c r="F753" t="str">
        <f t="shared" si="123"/>
        <v>abadi lestari indonesia</v>
      </c>
      <c r="G753" t="str">
        <f t="shared" si="126"/>
        <v>RLCO, ABADI LESTARI INDONESIA, Abadi Lestari Indonesia, Abadi Lestari Indonesia Tbk, AbadiLestariIndonesia, PT Abadi Lestari Indonesia</v>
      </c>
      <c r="H753" t="str">
        <f t="shared" si="127"/>
        <v>RLCO, ABADI LESTARI INDONESIA, Abadi Lestari Indonesia, Abadi Lestari Indonesia Tbk, AbadiLestariIndonesia, PT Abadi Lestari Indonesia</v>
      </c>
      <c r="I753" t="str">
        <f t="shared" si="124"/>
        <v>ABADI LESTARI INDONESIA</v>
      </c>
      <c r="J753" t="str">
        <f t="shared" si="128"/>
        <v>RLCO, Abadi Lestari Indonesia, Abadi Lestari Indonesia Tbk, AbadiLestariIndonesia, PT Abadi Lestari Indonesia</v>
      </c>
      <c r="K753" t="str">
        <f t="shared" si="129"/>
        <v>RLCO, Abadi Lestari Indonesia, Abadi Lestari Indonesia Tbk, AbadiLestariIndonesia, PT Abadi Lestari Indonesia</v>
      </c>
      <c r="L753" t="str">
        <f t="shared" si="125"/>
        <v>AbadiLestariIndonesia</v>
      </c>
      <c r="M753" t="str">
        <f t="shared" si="130"/>
        <v>RLCO, Abadi Lestari Indonesia, Abadi Lestari Indonesia Tbk, PT Abadi Lestari Indonesia</v>
      </c>
      <c r="N753" t="str">
        <f t="shared" si="131"/>
        <v>RLCO, Abadi Lestari Indonesia, Abadi Lestari Indonesia Tbk, PT Abadi Lestari Indonesia</v>
      </c>
    </row>
    <row r="754" spans="1:14" x14ac:dyDescent="0.2">
      <c r="A754" t="s">
        <v>2040</v>
      </c>
      <c r="B754" t="s">
        <v>2041</v>
      </c>
      <c r="C754" t="s">
        <v>8553</v>
      </c>
      <c r="D754" t="str">
        <f t="shared" si="121"/>
        <v>RMKE, PT RMK Energy, RMK ENERGY, RMK Energy, RMK Energy Tbk, RMKEnergy, rmk energy</v>
      </c>
      <c r="E754" t="str">
        <f t="shared" si="122"/>
        <v>RMKE, PT RMK Energy, RMK ENERGY, RMK Energy, RMK Energy Tbk, RMKEnergy, rmk energy</v>
      </c>
      <c r="F754" t="str">
        <f t="shared" si="123"/>
        <v>rmk energy</v>
      </c>
      <c r="G754" t="str">
        <f t="shared" si="126"/>
        <v>RMKE, PT RMK Energy, RMK ENERGY, RMK Energy, RMK Energy Tbk, RMKEnergy</v>
      </c>
      <c r="H754" t="str">
        <f t="shared" si="127"/>
        <v>RMKE, PT RMK Energy, RMK ENERGY, RMK Energy, RMK Energy Tbk, RMKEnergy</v>
      </c>
      <c r="I754" t="str">
        <f t="shared" si="124"/>
        <v>RMK ENERGY</v>
      </c>
      <c r="J754" t="str">
        <f t="shared" si="128"/>
        <v>RMKE, PT RMK Energy, RMK Energy, RMK Energy Tbk, RMKEnergy</v>
      </c>
      <c r="K754" t="str">
        <f t="shared" si="129"/>
        <v>RMKE, PT RMK Energy, RMK Energy, RMK Energy Tbk, RMKEnergy</v>
      </c>
      <c r="L754" t="str">
        <f t="shared" si="125"/>
        <v>RMKEnergy</v>
      </c>
      <c r="M754" t="str">
        <f t="shared" si="130"/>
        <v>RMKE, PT RMK Energy, RMK Energy, RMK Energy Tbk</v>
      </c>
      <c r="N754" t="str">
        <f t="shared" si="131"/>
        <v>RMKE, PT RMK Energy, RMK Energy, RMK Energy Tbk</v>
      </c>
    </row>
    <row r="755" spans="1:14" x14ac:dyDescent="0.2">
      <c r="A755" t="s">
        <v>2338</v>
      </c>
      <c r="B755" t="s">
        <v>3663</v>
      </c>
      <c r="C755" t="s">
        <v>8554</v>
      </c>
      <c r="D755" t="str">
        <f t="shared" si="121"/>
        <v>RMKO, PT Royaltama Mulia Kontraktorindo, ROYALTAMA MULIA KONTRAKTORINDO, Royaltama Mulia Kontraktorindo, Royaltama Mulia Kontraktorindo Tbk, RoyaltamaMuliaKontraktorindo, royaltama mulia kontraktorindo</v>
      </c>
      <c r="E755" t="str">
        <f t="shared" si="122"/>
        <v>RMKO, PT Royaltama Mulia Kontraktorindo, ROYALTAMA MULIA KONTRAKTORINDO, Royaltama Mulia Kontraktorindo, Royaltama Mulia Kontraktorindo Tbk, RoyaltamaMuliaKontraktorindo, royaltama mulia kontraktorindo</v>
      </c>
      <c r="F755" t="str">
        <f t="shared" si="123"/>
        <v>royaltama mulia kontraktorindo</v>
      </c>
      <c r="G755" t="str">
        <f t="shared" si="126"/>
        <v>RMKO, PT Royaltama Mulia Kontraktorindo, ROYALTAMA MULIA KONTRAKTORINDO, Royaltama Mulia Kontraktorindo, Royaltama Mulia Kontraktorindo Tbk, RoyaltamaMuliaKontraktorindo</v>
      </c>
      <c r="H755" t="str">
        <f t="shared" si="127"/>
        <v>RMKO, PT Royaltama Mulia Kontraktorindo, ROYALTAMA MULIA KONTRAKTORINDO, Royaltama Mulia Kontraktorindo, Royaltama Mulia Kontraktorindo Tbk, RoyaltamaMuliaKontraktorindo</v>
      </c>
      <c r="I755" t="str">
        <f t="shared" si="124"/>
        <v>ROYALTAMA MULIA KONTRAKTORINDO</v>
      </c>
      <c r="J755" t="str">
        <f t="shared" si="128"/>
        <v>RMKO, PT Royaltama Mulia Kontraktorindo, Royaltama Mulia Kontraktorindo, Royaltama Mulia Kontraktorindo Tbk, RoyaltamaMuliaKontraktorindo</v>
      </c>
      <c r="K755" t="str">
        <f t="shared" si="129"/>
        <v>RMKO, PT Royaltama Mulia Kontraktorindo, Royaltama Mulia Kontraktorindo, Royaltama Mulia Kontraktorindo Tbk, RoyaltamaMuliaKontraktorindo</v>
      </c>
      <c r="L755" t="str">
        <f t="shared" si="125"/>
        <v>RoyaltamaMuliaKontraktorindo</v>
      </c>
      <c r="M755" t="str">
        <f t="shared" si="130"/>
        <v>RMKO, PT Royaltama Mulia Kontraktorindo, Royaltama Mulia Kontraktorindo, Royaltama Mulia Kontraktorindo Tbk</v>
      </c>
      <c r="N755" t="str">
        <f t="shared" si="131"/>
        <v>RMKO, PT Royaltama Mulia Kontraktorindo, Royaltama Mulia Kontraktorindo, Royaltama Mulia Kontraktorindo Tbk</v>
      </c>
    </row>
    <row r="756" spans="1:14" x14ac:dyDescent="0.2">
      <c r="A756" t="s">
        <v>1891</v>
      </c>
      <c r="B756" t="s">
        <v>3664</v>
      </c>
      <c r="C756" t="s">
        <v>8555</v>
      </c>
      <c r="D756" t="str">
        <f t="shared" si="121"/>
        <v>ROCK, PT Rockfields Properti Indonesia, ROCKFIELDS PROPERTI INDONESIA, Rockfields Properti Indonesia, Rockfields Properti Indonesia Tbk, RockfieldsPropertiIndonesia, rockfields properti indonesia</v>
      </c>
      <c r="E756" t="str">
        <f t="shared" si="122"/>
        <v>ROCK, PT Rockfields Properti Indonesia, ROCKFIELDS PROPERTI INDONESIA, Rockfields Properti Indonesia, Rockfields Properti Indonesia Tbk, RockfieldsPropertiIndonesia, rockfields properti indonesia</v>
      </c>
      <c r="F756" t="str">
        <f t="shared" si="123"/>
        <v>rockfields properti indonesia</v>
      </c>
      <c r="G756" t="str">
        <f t="shared" si="126"/>
        <v>ROCK, PT Rockfields Properti Indonesia, ROCKFIELDS PROPERTI INDONESIA, Rockfields Properti Indonesia, Rockfields Properti Indonesia Tbk, RockfieldsPropertiIndonesia</v>
      </c>
      <c r="H756" t="str">
        <f t="shared" si="127"/>
        <v>ROCK, PT Rockfields Properti Indonesia, ROCKFIELDS PROPERTI INDONESIA, Rockfields Properti Indonesia, Rockfields Properti Indonesia Tbk, RockfieldsPropertiIndonesia</v>
      </c>
      <c r="I756" t="str">
        <f t="shared" si="124"/>
        <v>ROCKFIELDS PROPERTI INDONESIA</v>
      </c>
      <c r="J756" t="str">
        <f t="shared" si="128"/>
        <v>ROCK, PT Rockfields Properti Indonesia, Rockfields Properti Indonesia, Rockfields Properti Indonesia Tbk, RockfieldsPropertiIndonesia</v>
      </c>
      <c r="K756" t="str">
        <f t="shared" si="129"/>
        <v>ROCK, PT Rockfields Properti Indonesia, Rockfields Properti Indonesia, Rockfields Properti Indonesia Tbk, RockfieldsPropertiIndonesia</v>
      </c>
      <c r="L756" t="str">
        <f t="shared" si="125"/>
        <v>RockfieldsPropertiIndonesia</v>
      </c>
      <c r="M756" t="str">
        <f t="shared" si="130"/>
        <v>ROCK, PT Rockfields Properti Indonesia, Rockfields Properti Indonesia, Rockfields Properti Indonesia Tbk</v>
      </c>
      <c r="N756" t="str">
        <f t="shared" si="131"/>
        <v>ROCK, PT Rockfields Properti Indonesia, Rockfields Properti Indonesia, Rockfields Properti Indonesia Tbk</v>
      </c>
    </row>
    <row r="757" spans="1:14" x14ac:dyDescent="0.2">
      <c r="A757" t="s">
        <v>1054</v>
      </c>
      <c r="B757" t="s">
        <v>1055</v>
      </c>
      <c r="C757" t="s">
        <v>8556</v>
      </c>
      <c r="D757" t="str">
        <f t="shared" si="121"/>
        <v>RODA, PIKKO LAND DEVELOPMENT, PT Pikko Land Development, Pikko Land Development, Pikko Land Development Tbk, PikkoLandDevelopment, pikko land development</v>
      </c>
      <c r="E757" t="str">
        <f t="shared" si="122"/>
        <v>RODA, PIKKO LAND DEVELOPMENT, PT Pikko Land Development, Pikko Land Development, Pikko Land Development Tbk, PikkoLandDevelopment, pikko land development</v>
      </c>
      <c r="F757" t="str">
        <f t="shared" si="123"/>
        <v>pikko land development</v>
      </c>
      <c r="G757" t="str">
        <f t="shared" si="126"/>
        <v>RODA, PIKKO LAND DEVELOPMENT, PT Pikko Land Development, Pikko Land Development, Pikko Land Development Tbk, PikkoLandDevelopment</v>
      </c>
      <c r="H757" t="str">
        <f t="shared" si="127"/>
        <v>RODA, PIKKO LAND DEVELOPMENT, PT Pikko Land Development, Pikko Land Development, Pikko Land Development Tbk, PikkoLandDevelopment</v>
      </c>
      <c r="I757" t="str">
        <f t="shared" si="124"/>
        <v>PIKKO LAND DEVELOPMENT</v>
      </c>
      <c r="J757" t="str">
        <f t="shared" si="128"/>
        <v>RODA, PT Pikko Land Development, Pikko Land Development, Pikko Land Development Tbk, PikkoLandDevelopment</v>
      </c>
      <c r="K757" t="str">
        <f t="shared" si="129"/>
        <v>RODA, PT Pikko Land Development, Pikko Land Development, Pikko Land Development Tbk, PikkoLandDevelopment</v>
      </c>
      <c r="L757" t="str">
        <f t="shared" si="125"/>
        <v>PikkoLandDevelopment</v>
      </c>
      <c r="M757" t="str">
        <f t="shared" si="130"/>
        <v>RODA, PT Pikko Land Development, Pikko Land Development, Pikko Land Development Tbk</v>
      </c>
      <c r="N757" t="str">
        <f t="shared" si="131"/>
        <v>RODA, PT Pikko Land Development, Pikko Land Development, Pikko Land Development Tbk</v>
      </c>
    </row>
    <row r="758" spans="1:14" x14ac:dyDescent="0.2">
      <c r="A758" t="s">
        <v>1835</v>
      </c>
      <c r="B758" t="s">
        <v>1836</v>
      </c>
      <c r="C758" t="s">
        <v>8557</v>
      </c>
      <c r="D758" t="str">
        <f t="shared" si="121"/>
        <v>RONY, ARACORD NUSANTARA GROUP, Aracord Nusantara Group, Aracord Nusantara Group Tbk, AracordNusantaraGroup, PT Aracord Nusantara Group, aracord nusantara group</v>
      </c>
      <c r="E758" t="str">
        <f t="shared" si="122"/>
        <v>RONY, ARACORD NUSANTARA GROUP, Aracord Nusantara Group, Aracord Nusantara Group Tbk, AracordNusantaraGroup, PT Aracord Nusantara Group, aracord nusantara group</v>
      </c>
      <c r="F758" t="str">
        <f t="shared" si="123"/>
        <v>aracord nusantara group</v>
      </c>
      <c r="G758" t="str">
        <f t="shared" si="126"/>
        <v>RONY, ARACORD NUSANTARA GROUP, Aracord Nusantara Group, Aracord Nusantara Group Tbk, AracordNusantaraGroup, PT Aracord Nusantara Group</v>
      </c>
      <c r="H758" t="str">
        <f t="shared" si="127"/>
        <v>RONY, ARACORD NUSANTARA GROUP, Aracord Nusantara Group, Aracord Nusantara Group Tbk, AracordNusantaraGroup, PT Aracord Nusantara Group</v>
      </c>
      <c r="I758" t="str">
        <f t="shared" si="124"/>
        <v>ARACORD NUSANTARA GROUP</v>
      </c>
      <c r="J758" t="str">
        <f t="shared" si="128"/>
        <v>RONY, Aracord Nusantara Group, Aracord Nusantara Group Tbk, AracordNusantaraGroup, PT Aracord Nusantara Group</v>
      </c>
      <c r="K758" t="str">
        <f t="shared" si="129"/>
        <v>RONY, Aracord Nusantara Group, Aracord Nusantara Group Tbk, AracordNusantaraGroup, PT Aracord Nusantara Group</v>
      </c>
      <c r="L758" t="str">
        <f t="shared" si="125"/>
        <v>AracordNusantaraGroup</v>
      </c>
      <c r="M758" t="str">
        <f t="shared" si="130"/>
        <v>RONY, Aracord Nusantara Group, Aracord Nusantara Group Tbk, PT Aracord Nusantara Group</v>
      </c>
      <c r="N758" t="str">
        <f t="shared" si="131"/>
        <v>RONY, Aracord Nusantara Group, Aracord Nusantara Group Tbk, PT Aracord Nusantara Group</v>
      </c>
    </row>
    <row r="759" spans="1:14" x14ac:dyDescent="0.2">
      <c r="A759" t="s">
        <v>1057</v>
      </c>
      <c r="B759" t="s">
        <v>1058</v>
      </c>
      <c r="C759" t="s">
        <v>8558</v>
      </c>
      <c r="D759" t="str">
        <f t="shared" si="121"/>
        <v>ROTI, NIPPON INDOSARI CORPINDO, Nippon Indosari Corpindo, Nippon Indosari Corpindo Tbk, NipponIndosariCorpindo, PT Nippon Indosari Corpindo, nippon indosari corpindo</v>
      </c>
      <c r="E759" t="str">
        <f t="shared" si="122"/>
        <v>ROTI, NIPPON INDOSARI CORPINDO, Nippon Indosari Corpindo, Nippon Indosari Corpindo Tbk, NipponIndosariCorpindo, PT Nippon Indosari Corpindo, nippon indosari corpindo</v>
      </c>
      <c r="F759" t="str">
        <f t="shared" si="123"/>
        <v>nippon indosari corpindo</v>
      </c>
      <c r="G759" t="str">
        <f t="shared" si="126"/>
        <v>ROTI, NIPPON INDOSARI CORPINDO, Nippon Indosari Corpindo, Nippon Indosari Corpindo Tbk, NipponIndosariCorpindo, PT Nippon Indosari Corpindo</v>
      </c>
      <c r="H759" t="str">
        <f t="shared" si="127"/>
        <v>ROTI, NIPPON INDOSARI CORPINDO, Nippon Indosari Corpindo, Nippon Indosari Corpindo Tbk, NipponIndosariCorpindo, PT Nippon Indosari Corpindo</v>
      </c>
      <c r="I759" t="str">
        <f t="shared" si="124"/>
        <v>NIPPON INDOSARI CORPINDO</v>
      </c>
      <c r="J759" t="str">
        <f t="shared" si="128"/>
        <v>ROTI, Nippon Indosari Corpindo, Nippon Indosari Corpindo Tbk, NipponIndosariCorpindo, PT Nippon Indosari Corpindo</v>
      </c>
      <c r="K759" t="str">
        <f t="shared" si="129"/>
        <v>ROTI, Nippon Indosari Corpindo, Nippon Indosari Corpindo Tbk, NipponIndosariCorpindo, PT Nippon Indosari Corpindo</v>
      </c>
      <c r="L759" t="str">
        <f t="shared" si="125"/>
        <v>NipponIndosariCorpindo</v>
      </c>
      <c r="M759" t="str">
        <f t="shared" si="130"/>
        <v>ROTI, Nippon Indosari Corpindo, Nippon Indosari Corpindo Tbk, PT Nippon Indosari Corpindo</v>
      </c>
      <c r="N759" t="str">
        <f t="shared" si="131"/>
        <v>ROTI, Nippon Indosari Corpindo, Nippon Indosari Corpindo Tbk, PT Nippon Indosari Corpindo</v>
      </c>
    </row>
    <row r="760" spans="1:14" x14ac:dyDescent="0.2">
      <c r="A760" t="s">
        <v>2370</v>
      </c>
      <c r="B760" t="s">
        <v>2371</v>
      </c>
      <c r="C760" t="s">
        <v>8559</v>
      </c>
      <c r="D760" t="str">
        <f t="shared" si="121"/>
        <v>RSCH, CHARLIE HOSPITAL SEMARANG, Charlie Hospital Semarang, Charlie Hospital Semarang Tbk, CharlieHospitalSemarang, PT Charlie Hospital Semarang, charlie hospital semarang</v>
      </c>
      <c r="E760" t="str">
        <f t="shared" si="122"/>
        <v>RSCH, CHARLIE HOSPITAL SEMARANG, Charlie Hospital Semarang, Charlie Hospital Semarang Tbk, CharlieHospitalSemarang, PT Charlie Hospital Semarang, charlie hospital semarang</v>
      </c>
      <c r="F760" t="str">
        <f t="shared" si="123"/>
        <v>charlie hospital semarang</v>
      </c>
      <c r="G760" t="str">
        <f t="shared" si="126"/>
        <v>RSCH, CHARLIE HOSPITAL SEMARANG, Charlie Hospital Semarang, Charlie Hospital Semarang Tbk, CharlieHospitalSemarang, PT Charlie Hospital Semarang</v>
      </c>
      <c r="H760" t="str">
        <f t="shared" si="127"/>
        <v>RSCH, CHARLIE HOSPITAL SEMARANG, Charlie Hospital Semarang, Charlie Hospital Semarang Tbk, CharlieHospitalSemarang, PT Charlie Hospital Semarang</v>
      </c>
      <c r="I760" t="str">
        <f t="shared" si="124"/>
        <v>CHARLIE HOSPITAL SEMARANG</v>
      </c>
      <c r="J760" t="str">
        <f t="shared" si="128"/>
        <v>RSCH, Charlie Hospital Semarang, Charlie Hospital Semarang Tbk, CharlieHospitalSemarang, PT Charlie Hospital Semarang</v>
      </c>
      <c r="K760" t="str">
        <f t="shared" si="129"/>
        <v>RSCH, Charlie Hospital Semarang, Charlie Hospital Semarang Tbk, CharlieHospitalSemarang, PT Charlie Hospital Semarang</v>
      </c>
      <c r="L760" t="str">
        <f t="shared" si="125"/>
        <v>CharlieHospitalSemarang</v>
      </c>
      <c r="M760" t="str">
        <f t="shared" si="130"/>
        <v>RSCH, Charlie Hospital Semarang, Charlie Hospital Semarang Tbk, PT Charlie Hospital Semarang</v>
      </c>
      <c r="N760" t="str">
        <f t="shared" si="131"/>
        <v>RSCH, Charlie Hospital Semarang, Charlie Hospital Semarang Tbk, PT Charlie Hospital Semarang</v>
      </c>
    </row>
    <row r="761" spans="1:14" x14ac:dyDescent="0.2">
      <c r="A761" t="s">
        <v>1995</v>
      </c>
      <c r="B761" t="s">
        <v>1996</v>
      </c>
      <c r="C761" t="s">
        <v>8560</v>
      </c>
      <c r="D761" t="str">
        <f t="shared" si="121"/>
        <v>RSGK, KEDOYA ADYARAYA, Kedoya Adyaraya, Kedoya Adyaraya Tbk, KedoyaAdyaraya, PT Kedoya Adyaraya, kedoya adyaraya</v>
      </c>
      <c r="E761" t="str">
        <f t="shared" si="122"/>
        <v>RSGK, KEDOYA ADYARAYA, Kedoya Adyaraya, Kedoya Adyaraya Tbk, KedoyaAdyaraya, PT Kedoya Adyaraya, kedoya adyaraya</v>
      </c>
      <c r="F761" t="str">
        <f t="shared" si="123"/>
        <v>kedoya adyaraya</v>
      </c>
      <c r="G761" t="str">
        <f t="shared" si="126"/>
        <v>RSGK, KEDOYA ADYARAYA, Kedoya Adyaraya, Kedoya Adyaraya Tbk, KedoyaAdyaraya, PT Kedoya Adyaraya</v>
      </c>
      <c r="H761" t="str">
        <f t="shared" si="127"/>
        <v>RSGK, KEDOYA ADYARAYA, Kedoya Adyaraya, Kedoya Adyaraya Tbk, KedoyaAdyaraya, PT Kedoya Adyaraya</v>
      </c>
      <c r="I761" t="str">
        <f t="shared" si="124"/>
        <v>KEDOYA ADYARAYA</v>
      </c>
      <c r="J761" t="str">
        <f t="shared" si="128"/>
        <v>RSGK, Kedoya Adyaraya, Kedoya Adyaraya Tbk, KedoyaAdyaraya, PT Kedoya Adyaraya</v>
      </c>
      <c r="K761" t="str">
        <f t="shared" si="129"/>
        <v>RSGK, Kedoya Adyaraya, Kedoya Adyaraya Tbk, KedoyaAdyaraya, PT Kedoya Adyaraya</v>
      </c>
      <c r="L761" t="str">
        <f t="shared" si="125"/>
        <v>KedoyaAdyaraya</v>
      </c>
      <c r="M761" t="str">
        <f t="shared" si="130"/>
        <v>RSGK, Kedoya Adyaraya, Kedoya Adyaraya Tbk, PT Kedoya Adyaraya</v>
      </c>
      <c r="N761" t="str">
        <f t="shared" si="131"/>
        <v>RSGK, Kedoya Adyaraya, Kedoya Adyaraya Tbk, PT Kedoya Adyaraya</v>
      </c>
    </row>
    <row r="762" spans="1:14" x14ac:dyDescent="0.2">
      <c r="A762" t="s">
        <v>1060</v>
      </c>
      <c r="B762" t="s">
        <v>1061</v>
      </c>
      <c r="C762" t="s">
        <v>8561</v>
      </c>
      <c r="D762" t="str">
        <f t="shared" si="121"/>
        <v>RUIS, PT Radiant Utama Interinsco, RADIANT UTAMA INTERINSCO, Radiant Utama Interinsco, Radiant Utama Interinsco Tbk, RadiantUtamaInterinsco, radiant utama interinsco</v>
      </c>
      <c r="E762" t="str">
        <f t="shared" si="122"/>
        <v>RUIS, PT Radiant Utama Interinsco, RADIANT UTAMA INTERINSCO, Radiant Utama Interinsco, Radiant Utama Interinsco Tbk, RadiantUtamaInterinsco, radiant utama interinsco</v>
      </c>
      <c r="F762" t="str">
        <f t="shared" si="123"/>
        <v>radiant utama interinsco</v>
      </c>
      <c r="G762" t="str">
        <f t="shared" si="126"/>
        <v>RUIS, PT Radiant Utama Interinsco, RADIANT UTAMA INTERINSCO, Radiant Utama Interinsco, Radiant Utama Interinsco Tbk, RadiantUtamaInterinsco</v>
      </c>
      <c r="H762" t="str">
        <f t="shared" si="127"/>
        <v>RUIS, PT Radiant Utama Interinsco, RADIANT UTAMA INTERINSCO, Radiant Utama Interinsco, Radiant Utama Interinsco Tbk, RadiantUtamaInterinsco</v>
      </c>
      <c r="I762" t="str">
        <f t="shared" si="124"/>
        <v>RADIANT UTAMA INTERINSCO</v>
      </c>
      <c r="J762" t="str">
        <f t="shared" si="128"/>
        <v>RUIS, PT Radiant Utama Interinsco, Radiant Utama Interinsco, Radiant Utama Interinsco Tbk, RadiantUtamaInterinsco</v>
      </c>
      <c r="K762" t="str">
        <f t="shared" si="129"/>
        <v>RUIS, PT Radiant Utama Interinsco, Radiant Utama Interinsco, Radiant Utama Interinsco Tbk, RadiantUtamaInterinsco</v>
      </c>
      <c r="L762" t="str">
        <f t="shared" si="125"/>
        <v>RadiantUtamaInterinsco</v>
      </c>
      <c r="M762" t="str">
        <f t="shared" si="130"/>
        <v>RUIS, PT Radiant Utama Interinsco, Radiant Utama Interinsco, Radiant Utama Interinsco Tbk</v>
      </c>
      <c r="N762" t="str">
        <f t="shared" si="131"/>
        <v>RUIS, PT Radiant Utama Interinsco, Radiant Utama Interinsco, Radiant Utama Interinsco Tbk</v>
      </c>
    </row>
    <row r="763" spans="1:14" x14ac:dyDescent="0.2">
      <c r="A763" t="s">
        <v>1998</v>
      </c>
      <c r="B763" t="s">
        <v>1999</v>
      </c>
      <c r="C763" t="s">
        <v>8562</v>
      </c>
      <c r="D763" t="str">
        <f t="shared" si="121"/>
        <v>RUNS, GLOBAL SUKSES SOLUSI, Global Sukses Solusi, Global Sukses Solusi Tbk, GlobalSuksesSolusi, PT Global Sukses Solusi, global sukses solusi</v>
      </c>
      <c r="E763" t="str">
        <f t="shared" si="122"/>
        <v>RUNS, GLOBAL SUKSES SOLUSI, Global Sukses Solusi, Global Sukses Solusi Tbk, GlobalSuksesSolusi, PT Global Sukses Solusi, global sukses solusi</v>
      </c>
      <c r="F763" t="str">
        <f t="shared" si="123"/>
        <v>global sukses solusi</v>
      </c>
      <c r="G763" t="str">
        <f t="shared" si="126"/>
        <v>RUNS, GLOBAL SUKSES SOLUSI, Global Sukses Solusi, Global Sukses Solusi Tbk, GlobalSuksesSolusi, PT Global Sukses Solusi</v>
      </c>
      <c r="H763" t="str">
        <f t="shared" si="127"/>
        <v>RUNS, GLOBAL SUKSES SOLUSI, Global Sukses Solusi, Global Sukses Solusi Tbk, GlobalSuksesSolusi, PT Global Sukses Solusi</v>
      </c>
      <c r="I763" t="str">
        <f t="shared" si="124"/>
        <v>GLOBAL SUKSES SOLUSI</v>
      </c>
      <c r="J763" t="str">
        <f t="shared" si="128"/>
        <v>RUNS, Global Sukses Solusi, Global Sukses Solusi Tbk, GlobalSuksesSolusi, PT Global Sukses Solusi</v>
      </c>
      <c r="K763" t="str">
        <f t="shared" si="129"/>
        <v>RUNS, Global Sukses Solusi, Global Sukses Solusi Tbk, GlobalSuksesSolusi, PT Global Sukses Solusi</v>
      </c>
      <c r="L763" t="str">
        <f t="shared" si="125"/>
        <v>GlobalSuksesSolusi</v>
      </c>
      <c r="M763" t="str">
        <f t="shared" si="130"/>
        <v>RUNS, Global Sukses Solusi, Global Sukses Solusi Tbk, PT Global Sukses Solusi</v>
      </c>
      <c r="N763" t="str">
        <f t="shared" si="131"/>
        <v>RUNS, Global Sukses Solusi, Global Sukses Solusi Tbk, PT Global Sukses Solusi</v>
      </c>
    </row>
    <row r="764" spans="1:14" x14ac:dyDescent="0.2">
      <c r="A764" t="s">
        <v>1063</v>
      </c>
      <c r="B764" t="s">
        <v>3665</v>
      </c>
      <c r="C764" t="s">
        <v>8563</v>
      </c>
      <c r="D764" t="str">
        <f t="shared" si="121"/>
        <v>SAFE, PT Steady Safe, STEADY SAFE, Steady Safe, Steady Safe Tbk, SteadySafe, steady safe</v>
      </c>
      <c r="E764" t="str">
        <f t="shared" si="122"/>
        <v>SAFE, PT Steady Safe, STEADY SAFE, Steady Safe, Steady Safe Tbk, SteadySafe, steady safe</v>
      </c>
      <c r="F764" t="str">
        <f t="shared" si="123"/>
        <v>steady safe</v>
      </c>
      <c r="G764" t="str">
        <f t="shared" si="126"/>
        <v>SAFE, PT Steady Safe, STEADY SAFE, Steady Safe, Steady Safe Tbk, SteadySafe</v>
      </c>
      <c r="H764" t="str">
        <f t="shared" si="127"/>
        <v>SAFE, PT Steady Safe, STEADY SAFE, Steady Safe, Steady Safe Tbk, SteadySafe</v>
      </c>
      <c r="I764" t="str">
        <f t="shared" si="124"/>
        <v>STEADY SAFE</v>
      </c>
      <c r="J764" t="str">
        <f t="shared" si="128"/>
        <v>SAFE, PT Steady Safe, Steady Safe, Steady Safe Tbk, SteadySafe</v>
      </c>
      <c r="K764" t="str">
        <f t="shared" si="129"/>
        <v>SAFE, PT Steady Safe, Steady Safe, Steady Safe Tbk, SteadySafe</v>
      </c>
      <c r="L764" t="str">
        <f t="shared" si="125"/>
        <v>SteadySafe</v>
      </c>
      <c r="M764" t="str">
        <f t="shared" si="130"/>
        <v>SAFE, PT Steady Safe, Steady Safe, Steady Safe Tbk</v>
      </c>
      <c r="N764" t="str">
        <f t="shared" si="131"/>
        <v>SAFE, PT Steady Safe, Steady Safe, Steady Safe Tbk</v>
      </c>
    </row>
    <row r="765" spans="1:14" x14ac:dyDescent="0.2">
      <c r="A765" t="s">
        <v>2281</v>
      </c>
      <c r="B765" t="s">
        <v>2282</v>
      </c>
      <c r="C765" t="s">
        <v>8564</v>
      </c>
      <c r="D765" t="str">
        <f t="shared" si="121"/>
        <v>SAGE, PT Saausaha Gemilangindah, SAAUSAHA GEMILANGINDAH, Saausaha Gemilangindah, Saausaha Gemilangindah Tbk, SaausahaGemilangindah, saausaha gemilangindah</v>
      </c>
      <c r="E765" t="str">
        <f t="shared" si="122"/>
        <v>SAGE, PT Saausaha Gemilangindah, SAAUSAHA GEMILANGINDAH, Saausaha Gemilangindah, Saausaha Gemilangindah Tbk, SaausahaGemilangindah, saausaha gemilangindah</v>
      </c>
      <c r="F765" t="str">
        <f t="shared" si="123"/>
        <v>saptausaha gemilangindah</v>
      </c>
      <c r="G765" t="str">
        <f t="shared" si="126"/>
        <v>SAGE, PT Saausaha Gemilangindah, SAAUSAHA GEMILANGINDAH, Saausaha Gemilangindah, Saausaha Gemilangindah Tbk, SaausahaGemilangindah, saausaha gemilangindah</v>
      </c>
      <c r="H765" t="str">
        <f t="shared" si="127"/>
        <v>SAGE, PT Saausaha Gemilangindah, SAAUSAHA GEMILANGINDAH, Saausaha Gemilangindah, Saausaha Gemilangindah Tbk, SaausahaGemilangindah, saausaha gemilangindah</v>
      </c>
      <c r="I765" t="str">
        <f t="shared" si="124"/>
        <v>SAPTAUSAHA GEMILANGINDAH</v>
      </c>
      <c r="J765" t="str">
        <f t="shared" si="128"/>
        <v>SAGE, PT Saausaha Gemilangindah, SAAUSAHA GEMILANGINDAH, Saausaha Gemilangindah, Saausaha Gemilangindah Tbk, SaausahaGemilangindah, saausaha gemilangindah</v>
      </c>
      <c r="K765" t="str">
        <f t="shared" si="129"/>
        <v>SAGE, PT Saausaha Gemilangindah, SAAUSAHA GEMILANGINDAH, Saausaha Gemilangindah, Saausaha Gemilangindah Tbk, SaausahaGemilangindah, saausaha gemilangindah</v>
      </c>
      <c r="L765" t="str">
        <f t="shared" si="125"/>
        <v>SaptausahaGemilangindah</v>
      </c>
      <c r="M765" t="str">
        <f t="shared" si="130"/>
        <v>SAGE, PT Saausaha Gemilangindah, SAAUSAHA GEMILANGINDAH, Saausaha Gemilangindah, Saausaha Gemilangindah Tbk, SaausahaGemilangindah, saausaha gemilangindah</v>
      </c>
      <c r="N765" t="str">
        <f t="shared" si="131"/>
        <v>SAGE, PT Saausaha Gemilangindah, SAAUSAHA GEMILANGINDAH, Saausaha Gemilangindah, Saausaha Gemilangindah Tbk, SaausahaGemilangindah, saausaha gemilangindah</v>
      </c>
    </row>
    <row r="766" spans="1:14" x14ac:dyDescent="0.2">
      <c r="A766" t="s">
        <v>1066</v>
      </c>
      <c r="B766" t="s">
        <v>3666</v>
      </c>
      <c r="C766" t="s">
        <v>8565</v>
      </c>
      <c r="D766" t="str">
        <f t="shared" si="121"/>
        <v>SAME, PT Sarana Meditama Metropolitan, SARANA MEDITAMA METROPOLITAN, Sarana Meditama Metropolitan, Sarana Meditama Metropolitan Tbk, SaranaMeditamaMetropolitan, sarana meditama metropolitan</v>
      </c>
      <c r="E766" t="str">
        <f t="shared" si="122"/>
        <v>SAME, PT Sarana Meditama Metropolitan, SARANA MEDITAMA METROPOLITAN, Sarana Meditama Metropolitan, Sarana Meditama Metropolitan Tbk, SaranaMeditamaMetropolitan, sarana meditama metropolitan</v>
      </c>
      <c r="F766" t="str">
        <f t="shared" si="123"/>
        <v>sarana meditama metropolitan</v>
      </c>
      <c r="G766" t="str">
        <f t="shared" si="126"/>
        <v>SAME, PT Sarana Meditama Metropolitan, SARANA MEDITAMA METROPOLITAN, Sarana Meditama Metropolitan, Sarana Meditama Metropolitan Tbk, SaranaMeditamaMetropolitan</v>
      </c>
      <c r="H766" t="str">
        <f t="shared" si="127"/>
        <v>SAME, PT Sarana Meditama Metropolitan, SARANA MEDITAMA METROPOLITAN, Sarana Meditama Metropolitan, Sarana Meditama Metropolitan Tbk, SaranaMeditamaMetropolitan</v>
      </c>
      <c r="I766" t="str">
        <f t="shared" si="124"/>
        <v>SARANA MEDITAMA METROPOLITAN</v>
      </c>
      <c r="J766" t="str">
        <f t="shared" si="128"/>
        <v>SAME, PT Sarana Meditama Metropolitan, Sarana Meditama Metropolitan, Sarana Meditama Metropolitan Tbk, SaranaMeditamaMetropolitan</v>
      </c>
      <c r="K766" t="str">
        <f t="shared" si="129"/>
        <v>SAME, PT Sarana Meditama Metropolitan, Sarana Meditama Metropolitan, Sarana Meditama Metropolitan Tbk, SaranaMeditamaMetropolitan</v>
      </c>
      <c r="L766" t="str">
        <f t="shared" si="125"/>
        <v>SaranaMeditamaMetropolitan</v>
      </c>
      <c r="M766" t="str">
        <f t="shared" si="130"/>
        <v>SAME, PT Sarana Meditama Metropolitan, Sarana Meditama Metropolitan, Sarana Meditama Metropolitan Tbk</v>
      </c>
      <c r="N766" t="str">
        <f t="shared" si="131"/>
        <v>SAME, PT Sarana Meditama Metropolitan, Sarana Meditama Metropolitan, Sarana Meditama Metropolitan Tbk</v>
      </c>
    </row>
    <row r="767" spans="1:14" x14ac:dyDescent="0.2">
      <c r="A767" t="s">
        <v>1825</v>
      </c>
      <c r="B767" t="s">
        <v>3667</v>
      </c>
      <c r="C767" t="s">
        <v>8566</v>
      </c>
      <c r="D767" t="str">
        <f t="shared" si="121"/>
        <v>SAMF, PT Saraswanti Anugerah Makmur, SARASWANTI ANUGERAH MAKMUR, Saraswanti Anugerah Makmur, Saraswanti Anugerah Makmur Tbk, SaraswantiAnugerahMakmur, saraswanti anugerah makmur</v>
      </c>
      <c r="E767" t="str">
        <f t="shared" si="122"/>
        <v>SAMF, PT Saraswanti Anugerah Makmur, SARASWANTI ANUGERAH MAKMUR, Saraswanti Anugerah Makmur, Saraswanti Anugerah Makmur Tbk, SaraswantiAnugerahMakmur, saraswanti anugerah makmur</v>
      </c>
      <c r="F767" t="str">
        <f t="shared" si="123"/>
        <v>saraswanti anugerah makmur</v>
      </c>
      <c r="G767" t="str">
        <f t="shared" si="126"/>
        <v>SAMF, PT Saraswanti Anugerah Makmur, SARASWANTI ANUGERAH MAKMUR, Saraswanti Anugerah Makmur, Saraswanti Anugerah Makmur Tbk, SaraswantiAnugerahMakmur</v>
      </c>
      <c r="H767" t="str">
        <f t="shared" si="127"/>
        <v>SAMF, PT Saraswanti Anugerah Makmur, SARASWANTI ANUGERAH MAKMUR, Saraswanti Anugerah Makmur, Saraswanti Anugerah Makmur Tbk, SaraswantiAnugerahMakmur</v>
      </c>
      <c r="I767" t="str">
        <f t="shared" si="124"/>
        <v>SARASWANTI ANUGERAH MAKMUR</v>
      </c>
      <c r="J767" t="str">
        <f t="shared" si="128"/>
        <v>SAMF, PT Saraswanti Anugerah Makmur, Saraswanti Anugerah Makmur, Saraswanti Anugerah Makmur Tbk, SaraswantiAnugerahMakmur</v>
      </c>
      <c r="K767" t="str">
        <f t="shared" si="129"/>
        <v>SAMF, PT Saraswanti Anugerah Makmur, Saraswanti Anugerah Makmur, Saraswanti Anugerah Makmur Tbk, SaraswantiAnugerahMakmur</v>
      </c>
      <c r="L767" t="str">
        <f t="shared" si="125"/>
        <v>SaraswantiAnugerahMakmur</v>
      </c>
      <c r="M767" t="str">
        <f t="shared" si="130"/>
        <v>SAMF, PT Saraswanti Anugerah Makmur, Saraswanti Anugerah Makmur, Saraswanti Anugerah Makmur Tbk</v>
      </c>
      <c r="N767" t="str">
        <f t="shared" si="131"/>
        <v>SAMF, PT Saraswanti Anugerah Makmur, Saraswanti Anugerah Makmur, Saraswanti Anugerah Makmur Tbk</v>
      </c>
    </row>
    <row r="768" spans="1:14" x14ac:dyDescent="0.2">
      <c r="A768" t="s">
        <v>1589</v>
      </c>
      <c r="B768" t="s">
        <v>1590</v>
      </c>
      <c r="C768" t="s">
        <v>8567</v>
      </c>
      <c r="D768" t="str">
        <f t="shared" si="121"/>
        <v>SAPX, PT Satria Antaran Prima, SATRIA ANTARAN PRIMA, Satria Antaran Prima, Satria Antaran Prima Tbk, SatriaAntaranPrima, satria antaran prima</v>
      </c>
      <c r="E768" t="str">
        <f t="shared" si="122"/>
        <v>SAPX, PT Satria Antaran Prima, SATRIA ANTARAN PRIMA, Satria Antaran Prima, Satria Antaran Prima Tbk, SatriaAntaranPrima, satria antaran prima</v>
      </c>
      <c r="F768" t="str">
        <f t="shared" si="123"/>
        <v>satria antaran prima</v>
      </c>
      <c r="G768" t="str">
        <f t="shared" si="126"/>
        <v>SAPX, PT Satria Antaran Prima, SATRIA ANTARAN PRIMA, Satria Antaran Prima, Satria Antaran Prima Tbk, SatriaAntaranPrima</v>
      </c>
      <c r="H768" t="str">
        <f t="shared" si="127"/>
        <v>SAPX, PT Satria Antaran Prima, SATRIA ANTARAN PRIMA, Satria Antaran Prima, Satria Antaran Prima Tbk, SatriaAntaranPrima</v>
      </c>
      <c r="I768" t="str">
        <f t="shared" si="124"/>
        <v>SATRIA ANTARAN PRIMA</v>
      </c>
      <c r="J768" t="str">
        <f t="shared" si="128"/>
        <v>SAPX, PT Satria Antaran Prima, Satria Antaran Prima, Satria Antaran Prima Tbk, SatriaAntaranPrima</v>
      </c>
      <c r="K768" t="str">
        <f t="shared" si="129"/>
        <v>SAPX, PT Satria Antaran Prima, Satria Antaran Prima, Satria Antaran Prima Tbk, SatriaAntaranPrima</v>
      </c>
      <c r="L768" t="str">
        <f t="shared" si="125"/>
        <v>SatriaAntaranPrima</v>
      </c>
      <c r="M768" t="str">
        <f t="shared" si="130"/>
        <v>SAPX, PT Satria Antaran Prima, Satria Antaran Prima, Satria Antaran Prima Tbk</v>
      </c>
      <c r="N768" t="str">
        <f t="shared" si="131"/>
        <v>SAPX, PT Satria Antaran Prima, Satria Antaran Prima, Satria Antaran Prima Tbk</v>
      </c>
    </row>
    <row r="769" spans="1:14" x14ac:dyDescent="0.2">
      <c r="A769" t="s">
        <v>1614</v>
      </c>
      <c r="B769" t="s">
        <v>1615</v>
      </c>
      <c r="C769" t="s">
        <v>8568</v>
      </c>
      <c r="D769" t="str">
        <f t="shared" si="121"/>
        <v>SATU, KOTA SATU PROPERTI, Kota Satu Properti, Kota Satu Properti Tbk, KotaSatuProperti, PT Kota Satu Properti, kota satu properti</v>
      </c>
      <c r="E769" t="str">
        <f t="shared" si="122"/>
        <v>SATU, KOTA SATU PROPERTI, Kota Satu Properti, Kota Satu Properti Tbk, KotaSatuProperti, PT Kota Satu Properti, kota satu properti</v>
      </c>
      <c r="F769" t="str">
        <f t="shared" si="123"/>
        <v>kota satu properti</v>
      </c>
      <c r="G769" t="str">
        <f t="shared" si="126"/>
        <v>SATU, KOTA SATU PROPERTI, Kota Satu Properti, Kota Satu Properti Tbk, KotaSatuProperti, PT Kota Satu Properti</v>
      </c>
      <c r="H769" t="str">
        <f t="shared" si="127"/>
        <v>SATU, KOTA SATU PROPERTI, Kota Satu Properti, Kota Satu Properti Tbk, KotaSatuProperti, PT Kota Satu Properti</v>
      </c>
      <c r="I769" t="str">
        <f t="shared" si="124"/>
        <v>KOTA SATU PROPERTI</v>
      </c>
      <c r="J769" t="str">
        <f t="shared" si="128"/>
        <v>SATU, Kota Satu Properti, Kota Satu Properti Tbk, KotaSatuProperti, PT Kota Satu Properti</v>
      </c>
      <c r="K769" t="str">
        <f t="shared" si="129"/>
        <v>SATU, Kota Satu Properti, Kota Satu Properti Tbk, KotaSatuProperti, PT Kota Satu Properti</v>
      </c>
      <c r="L769" t="str">
        <f t="shared" si="125"/>
        <v>KotaSatuProperti</v>
      </c>
      <c r="M769" t="str">
        <f t="shared" si="130"/>
        <v>SATU, Kota Satu Properti, Kota Satu Properti Tbk, PT Kota Satu Properti</v>
      </c>
      <c r="N769" t="str">
        <f t="shared" si="131"/>
        <v>SATU, Kota Satu Properti, Kota Satu Properti Tbk, PT Kota Satu Properti</v>
      </c>
    </row>
    <row r="770" spans="1:14" x14ac:dyDescent="0.2">
      <c r="A770" t="s">
        <v>1828</v>
      </c>
      <c r="B770" t="s">
        <v>3668</v>
      </c>
      <c r="C770" t="s">
        <v>8569</v>
      </c>
      <c r="D770" t="str">
        <f t="shared" ref="D770:D833" si="132">SUBSTITUTE(C770, _xlfn.CONCAT(", ", B770), "")</f>
        <v>SBAT, PT Sejahtera Bintang Abadi Textile, SEJAHTERA BINTANG ABADI TEXTILE, Sejahtera Bintang Abadi Textile, Sejahtera Bintang Abadi Textile Tbk, SejahteraBintangAbadiTextile, sejahtera bintang abadi textile</v>
      </c>
      <c r="E770" t="str">
        <f t="shared" ref="E770:E833" si="133">SUBSTITUTE(D770, _xlfn.CONCAT(B770, ", "), "")</f>
        <v>SBAT, PT Sejahtera Bintang Abadi Textile, SEJAHTERA BINTANG ABADI TEXTILE, Sejahtera Bintang Abadi Textile, Sejahtera Bintang Abadi Textile Tbk, SejahteraBintangAbadiTextile, sejahtera bintang abadi textile</v>
      </c>
      <c r="F770" t="str">
        <f t="shared" ref="F770:F833" si="134">LOWER(MID(B770, 1, FIND(" Tbk.", B770)-1))</f>
        <v>sejahtera bintang abadi textile</v>
      </c>
      <c r="G770" t="str">
        <f t="shared" si="126"/>
        <v>SBAT, PT Sejahtera Bintang Abadi Textile, SEJAHTERA BINTANG ABADI TEXTILE, Sejahtera Bintang Abadi Textile, Sejahtera Bintang Abadi Textile Tbk, SejahteraBintangAbadiTextile</v>
      </c>
      <c r="H770" t="str">
        <f t="shared" si="127"/>
        <v>SBAT, PT Sejahtera Bintang Abadi Textile, SEJAHTERA BINTANG ABADI TEXTILE, Sejahtera Bintang Abadi Textile, Sejahtera Bintang Abadi Textile Tbk, SejahteraBintangAbadiTextile</v>
      </c>
      <c r="I770" t="str">
        <f t="shared" ref="I770:I833" si="135">UPPER(MID(B770, 1, FIND(" Tbk.", B770)-1))</f>
        <v>SEJAHTERA BINTANG ABADI TEXTILE</v>
      </c>
      <c r="J770" t="str">
        <f t="shared" si="128"/>
        <v>SBAT, PT Sejahtera Bintang Abadi Textile, Sejahtera Bintang Abadi Textile, Sejahtera Bintang Abadi Textile Tbk, SejahteraBintangAbadiTextile</v>
      </c>
      <c r="K770" t="str">
        <f t="shared" si="129"/>
        <v>SBAT, PT Sejahtera Bintang Abadi Textile, Sejahtera Bintang Abadi Textile, Sejahtera Bintang Abadi Textile Tbk, SejahteraBintangAbadiTextile</v>
      </c>
      <c r="L770" t="str">
        <f t="shared" ref="L770:L833" si="136">SUBSTITUTE(MID(B770, 1, FIND(" Tbk.", B770)-1), " ", "")</f>
        <v>SejahteraBintangAbadiTextile</v>
      </c>
      <c r="M770" t="str">
        <f t="shared" si="130"/>
        <v>SBAT, PT Sejahtera Bintang Abadi Textile, Sejahtera Bintang Abadi Textile, Sejahtera Bintang Abadi Textile Tbk</v>
      </c>
      <c r="N770" t="str">
        <f t="shared" si="131"/>
        <v>SBAT, PT Sejahtera Bintang Abadi Textile, Sejahtera Bintang Abadi Textile, Sejahtera Bintang Abadi Textile Tbk</v>
      </c>
    </row>
    <row r="771" spans="1:14" x14ac:dyDescent="0.2">
      <c r="A771" t="s">
        <v>2001</v>
      </c>
      <c r="B771" t="s">
        <v>3669</v>
      </c>
      <c r="C771" t="s">
        <v>8570</v>
      </c>
      <c r="D771" t="str">
        <f t="shared" si="132"/>
        <v>SBMA, PT Surya Biru Murni Acetylene, SURYA BIRU MURNI ACETYLENE, Surya Biru Murni Acetylene, Surya Biru Murni Acetylene Tbk, SuryaBiruMurniAcetylene, surya biru murni acetylene</v>
      </c>
      <c r="E771" t="str">
        <f t="shared" si="133"/>
        <v>SBMA, PT Surya Biru Murni Acetylene, SURYA BIRU MURNI ACETYLENE, Surya Biru Murni Acetylene, Surya Biru Murni Acetylene Tbk, SuryaBiruMurniAcetylene, surya biru murni acetylene</v>
      </c>
      <c r="F771" t="str">
        <f t="shared" si="134"/>
        <v>surya biru murni acetylene</v>
      </c>
      <c r="G771" t="str">
        <f t="shared" ref="G771:G834" si="137">SUBSTITUTE(E771, _xlfn.CONCAT(", ", F771), "")</f>
        <v>SBMA, PT Surya Biru Murni Acetylene, SURYA BIRU MURNI ACETYLENE, Surya Biru Murni Acetylene, Surya Biru Murni Acetylene Tbk, SuryaBiruMurniAcetylene</v>
      </c>
      <c r="H771" t="str">
        <f t="shared" ref="H771:H834" si="138">SUBSTITUTE(G771, _xlfn.CONCAT(F771, ", "), "")</f>
        <v>SBMA, PT Surya Biru Murni Acetylene, SURYA BIRU MURNI ACETYLENE, Surya Biru Murni Acetylene, Surya Biru Murni Acetylene Tbk, SuryaBiruMurniAcetylene</v>
      </c>
      <c r="I771" t="str">
        <f t="shared" si="135"/>
        <v>SURYA BIRU MURNI ACETYLENE</v>
      </c>
      <c r="J771" t="str">
        <f t="shared" ref="J771:J834" si="139">SUBSTITUTE(H771, _xlfn.CONCAT(", ", I771), "")</f>
        <v>SBMA, PT Surya Biru Murni Acetylene, Surya Biru Murni Acetylene, Surya Biru Murni Acetylene Tbk, SuryaBiruMurniAcetylene</v>
      </c>
      <c r="K771" t="str">
        <f t="shared" ref="K771:K834" si="140">SUBSTITUTE(J771, _xlfn.CONCAT(I771, ", "), "")</f>
        <v>SBMA, PT Surya Biru Murni Acetylene, Surya Biru Murni Acetylene, Surya Biru Murni Acetylene Tbk, SuryaBiruMurniAcetylene</v>
      </c>
      <c r="L771" t="str">
        <f t="shared" si="136"/>
        <v>SuryaBiruMurniAcetylene</v>
      </c>
      <c r="M771" t="str">
        <f t="shared" ref="M771:M834" si="141">SUBSTITUTE(K771, _xlfn.CONCAT(", ", L771), "")</f>
        <v>SBMA, PT Surya Biru Murni Acetylene, Surya Biru Murni Acetylene, Surya Biru Murni Acetylene Tbk</v>
      </c>
      <c r="N771" t="str">
        <f t="shared" ref="N771:N834" si="142">SUBSTITUTE(M771, _xlfn.CONCAT(L771, ", "), "")</f>
        <v>SBMA, PT Surya Biru Murni Acetylene, Surya Biru Murni Acetylene, Surya Biru Murni Acetylene Tbk</v>
      </c>
    </row>
    <row r="772" spans="1:14" x14ac:dyDescent="0.2">
      <c r="A772" t="s">
        <v>1068</v>
      </c>
      <c r="B772" t="s">
        <v>3670</v>
      </c>
      <c r="C772" t="s">
        <v>8571</v>
      </c>
      <c r="D772" t="str">
        <f t="shared" si="132"/>
        <v>SCCO, PT SUCACO, SUCACO, SUCACO Tbk, sucaco</v>
      </c>
      <c r="E772" t="str">
        <f t="shared" si="133"/>
        <v>SCCO, PT SUCACO, SUCACO, SUCACO Tbk, sucaco</v>
      </c>
      <c r="F772" t="str">
        <f t="shared" si="134"/>
        <v>sucaco</v>
      </c>
      <c r="G772" t="str">
        <f t="shared" si="137"/>
        <v>SCCO, PT SUCACO, SUCACO, SUCACO Tbk</v>
      </c>
      <c r="H772" t="str">
        <f t="shared" si="138"/>
        <v>SCCO, PT SUCACO, SUCACO, SUCACO Tbk</v>
      </c>
      <c r="I772" t="str">
        <f t="shared" si="135"/>
        <v>SUCACO</v>
      </c>
      <c r="J772" t="str">
        <f t="shared" si="139"/>
        <v>SCCO, PT SUCACO Tbk</v>
      </c>
      <c r="K772" t="str">
        <f t="shared" si="140"/>
        <v>SCCO, PT SUCACO Tbk</v>
      </c>
      <c r="L772" t="str">
        <f t="shared" si="136"/>
        <v>SUCACO</v>
      </c>
      <c r="M772" t="str">
        <f t="shared" si="141"/>
        <v>SCCO, PT SUCACO Tbk</v>
      </c>
      <c r="N772" t="str">
        <f t="shared" si="142"/>
        <v>SCCO, PT SUCACO Tbk</v>
      </c>
    </row>
    <row r="773" spans="1:14" x14ac:dyDescent="0.2">
      <c r="A773" t="s">
        <v>1070</v>
      </c>
      <c r="B773" t="s">
        <v>1071</v>
      </c>
      <c r="C773" t="s">
        <v>8572</v>
      </c>
      <c r="D773" t="str">
        <f t="shared" si="132"/>
        <v>SCMA, PT Surya Citra Media, SURYA CITRA MEDIA, Surya Citra Media, Surya Citra Media Tbk, SuryaCitraMedia, surya citra media</v>
      </c>
      <c r="E773" t="str">
        <f t="shared" si="133"/>
        <v>SCMA, PT Surya Citra Media, SURYA CITRA MEDIA, Surya Citra Media, Surya Citra Media Tbk, SuryaCitraMedia, surya citra media</v>
      </c>
      <c r="F773" t="str">
        <f t="shared" si="134"/>
        <v>surya citra media</v>
      </c>
      <c r="G773" t="str">
        <f t="shared" si="137"/>
        <v>SCMA, PT Surya Citra Media, SURYA CITRA MEDIA, Surya Citra Media, Surya Citra Media Tbk, SuryaCitraMedia</v>
      </c>
      <c r="H773" t="str">
        <f t="shared" si="138"/>
        <v>SCMA, PT Surya Citra Media, SURYA CITRA MEDIA, Surya Citra Media, Surya Citra Media Tbk, SuryaCitraMedia</v>
      </c>
      <c r="I773" t="str">
        <f t="shared" si="135"/>
        <v>SURYA CITRA MEDIA</v>
      </c>
      <c r="J773" t="str">
        <f t="shared" si="139"/>
        <v>SCMA, PT Surya Citra Media, Surya Citra Media, Surya Citra Media Tbk, SuryaCitraMedia</v>
      </c>
      <c r="K773" t="str">
        <f t="shared" si="140"/>
        <v>SCMA, PT Surya Citra Media, Surya Citra Media, Surya Citra Media Tbk, SuryaCitraMedia</v>
      </c>
      <c r="L773" t="str">
        <f t="shared" si="136"/>
        <v>SuryaCitraMedia</v>
      </c>
      <c r="M773" t="str">
        <f t="shared" si="141"/>
        <v>SCMA, PT Surya Citra Media, Surya Citra Media, Surya Citra Media Tbk</v>
      </c>
      <c r="N773" t="str">
        <f t="shared" si="142"/>
        <v>SCMA, PT Surya Citra Media, Surya Citra Media, Surya Citra Media Tbk</v>
      </c>
    </row>
    <row r="774" spans="1:14" x14ac:dyDescent="0.2">
      <c r="A774" t="s">
        <v>1877</v>
      </c>
      <c r="B774" t="s">
        <v>3671</v>
      </c>
      <c r="C774" t="s">
        <v>8573</v>
      </c>
      <c r="D774" t="str">
        <f t="shared" si="132"/>
        <v>SCNP, PT Selaras Citra Nusantara Perkasa, SELARAS CITRA NUSANTARA PERKASA, Selaras Citra Nusantara Perkasa, Selaras Citra Nusantara Perkasa Tbk, SelarasCitraNusantaraPerkasa, selaras citra nusantara perkasa</v>
      </c>
      <c r="E774" t="str">
        <f t="shared" si="133"/>
        <v>SCNP, PT Selaras Citra Nusantara Perkasa, SELARAS CITRA NUSANTARA PERKASA, Selaras Citra Nusantara Perkasa, Selaras Citra Nusantara Perkasa Tbk, SelarasCitraNusantaraPerkasa, selaras citra nusantara perkasa</v>
      </c>
      <c r="F774" t="str">
        <f t="shared" si="134"/>
        <v>selaras citra nusantara perkasa</v>
      </c>
      <c r="G774" t="str">
        <f t="shared" si="137"/>
        <v>SCNP, PT Selaras Citra Nusantara Perkasa, SELARAS CITRA NUSANTARA PERKASA, Selaras Citra Nusantara Perkasa, Selaras Citra Nusantara Perkasa Tbk, SelarasCitraNusantaraPerkasa</v>
      </c>
      <c r="H774" t="str">
        <f t="shared" si="138"/>
        <v>SCNP, PT Selaras Citra Nusantara Perkasa, SELARAS CITRA NUSANTARA PERKASA, Selaras Citra Nusantara Perkasa, Selaras Citra Nusantara Perkasa Tbk, SelarasCitraNusantaraPerkasa</v>
      </c>
      <c r="I774" t="str">
        <f t="shared" si="135"/>
        <v>SELARAS CITRA NUSANTARA PERKASA</v>
      </c>
      <c r="J774" t="str">
        <f t="shared" si="139"/>
        <v>SCNP, PT Selaras Citra Nusantara Perkasa, Selaras Citra Nusantara Perkasa, Selaras Citra Nusantara Perkasa Tbk, SelarasCitraNusantaraPerkasa</v>
      </c>
      <c r="K774" t="str">
        <f t="shared" si="140"/>
        <v>SCNP, PT Selaras Citra Nusantara Perkasa, Selaras Citra Nusantara Perkasa, Selaras Citra Nusantara Perkasa Tbk, SelarasCitraNusantaraPerkasa</v>
      </c>
      <c r="L774" t="str">
        <f t="shared" si="136"/>
        <v>SelarasCitraNusantaraPerkasa</v>
      </c>
      <c r="M774" t="str">
        <f t="shared" si="141"/>
        <v>SCNP, PT Selaras Citra Nusantara Perkasa, Selaras Citra Nusantara Perkasa, Selaras Citra Nusantara Perkasa Tbk</v>
      </c>
      <c r="N774" t="str">
        <f t="shared" si="142"/>
        <v>SCNP, PT Selaras Citra Nusantara Perkasa, Selaras Citra Nusantara Perkasa, Selaras Citra Nusantara Perkasa Tbk</v>
      </c>
    </row>
    <row r="775" spans="1:14" x14ac:dyDescent="0.2">
      <c r="A775" t="s">
        <v>1073</v>
      </c>
      <c r="B775" t="s">
        <v>1074</v>
      </c>
      <c r="C775" t="s">
        <v>8574</v>
      </c>
      <c r="D775" t="str">
        <f t="shared" si="132"/>
        <v>SCPI, ORGANON PHARMA INDONESIA, Organon Pharma Indonesia, Organon Pharma Indonesia Tbk, OrganonPharmaIndonesia, PT Organon Pharma Indonesia, organon pharma indonesia</v>
      </c>
      <c r="E775" t="str">
        <f t="shared" si="133"/>
        <v>SCPI, ORGANON PHARMA INDONESIA, Organon Pharma Indonesia, Organon Pharma Indonesia Tbk, OrganonPharmaIndonesia, PT Organon Pharma Indonesia, organon pharma indonesia</v>
      </c>
      <c r="F775" t="str">
        <f t="shared" si="134"/>
        <v>organon pharma indonesia</v>
      </c>
      <c r="G775" t="str">
        <f t="shared" si="137"/>
        <v>SCPI, ORGANON PHARMA INDONESIA, Organon Pharma Indonesia, Organon Pharma Indonesia Tbk, OrganonPharmaIndonesia, PT Organon Pharma Indonesia</v>
      </c>
      <c r="H775" t="str">
        <f t="shared" si="138"/>
        <v>SCPI, ORGANON PHARMA INDONESIA, Organon Pharma Indonesia, Organon Pharma Indonesia Tbk, OrganonPharmaIndonesia, PT Organon Pharma Indonesia</v>
      </c>
      <c r="I775" t="str">
        <f t="shared" si="135"/>
        <v>ORGANON PHARMA INDONESIA</v>
      </c>
      <c r="J775" t="str">
        <f t="shared" si="139"/>
        <v>SCPI, Organon Pharma Indonesia, Organon Pharma Indonesia Tbk, OrganonPharmaIndonesia, PT Organon Pharma Indonesia</v>
      </c>
      <c r="K775" t="str">
        <f t="shared" si="140"/>
        <v>SCPI, Organon Pharma Indonesia, Organon Pharma Indonesia Tbk, OrganonPharmaIndonesia, PT Organon Pharma Indonesia</v>
      </c>
      <c r="L775" t="str">
        <f t="shared" si="136"/>
        <v>OrganonPharmaIndonesia</v>
      </c>
      <c r="M775" t="str">
        <f t="shared" si="141"/>
        <v>SCPI, Organon Pharma Indonesia, Organon Pharma Indonesia Tbk, PT Organon Pharma Indonesia</v>
      </c>
      <c r="N775" t="str">
        <f t="shared" si="142"/>
        <v>SCPI, Organon Pharma Indonesia, Organon Pharma Indonesia Tbk, PT Organon Pharma Indonesia</v>
      </c>
    </row>
    <row r="776" spans="1:14" x14ac:dyDescent="0.2">
      <c r="A776" t="s">
        <v>1076</v>
      </c>
      <c r="B776" t="s">
        <v>1077</v>
      </c>
      <c r="C776" t="s">
        <v>8575</v>
      </c>
      <c r="D776" t="str">
        <f t="shared" si="132"/>
        <v>SDMU, PT Sidomulyo Selaras, SIDOMULYO SELARAS, Sidomulyo Selaras, Sidomulyo Selaras Tbk, SidomulyoSelaras, sidomulyo selaras</v>
      </c>
      <c r="E776" t="str">
        <f t="shared" si="133"/>
        <v>SDMU, PT Sidomulyo Selaras, SIDOMULYO SELARAS, Sidomulyo Selaras, Sidomulyo Selaras Tbk, SidomulyoSelaras, sidomulyo selaras</v>
      </c>
      <c r="F776" t="str">
        <f t="shared" si="134"/>
        <v>sidomulyo selaras</v>
      </c>
      <c r="G776" t="str">
        <f t="shared" si="137"/>
        <v>SDMU, PT Sidomulyo Selaras, SIDOMULYO SELARAS, Sidomulyo Selaras, Sidomulyo Selaras Tbk, SidomulyoSelaras</v>
      </c>
      <c r="H776" t="str">
        <f t="shared" si="138"/>
        <v>SDMU, PT Sidomulyo Selaras, SIDOMULYO SELARAS, Sidomulyo Selaras, Sidomulyo Selaras Tbk, SidomulyoSelaras</v>
      </c>
      <c r="I776" t="str">
        <f t="shared" si="135"/>
        <v>SIDOMULYO SELARAS</v>
      </c>
      <c r="J776" t="str">
        <f t="shared" si="139"/>
        <v>SDMU, PT Sidomulyo Selaras, Sidomulyo Selaras, Sidomulyo Selaras Tbk, SidomulyoSelaras</v>
      </c>
      <c r="K776" t="str">
        <f t="shared" si="140"/>
        <v>SDMU, PT Sidomulyo Selaras, Sidomulyo Selaras, Sidomulyo Selaras Tbk, SidomulyoSelaras</v>
      </c>
      <c r="L776" t="str">
        <f t="shared" si="136"/>
        <v>SidomulyoSelaras</v>
      </c>
      <c r="M776" t="str">
        <f t="shared" si="141"/>
        <v>SDMU, PT Sidomulyo Selaras, Sidomulyo Selaras, Sidomulyo Selaras Tbk</v>
      </c>
      <c r="N776" t="str">
        <f t="shared" si="142"/>
        <v>SDMU, PT Sidomulyo Selaras, Sidomulyo Selaras, Sidomulyo Selaras Tbk</v>
      </c>
    </row>
    <row r="777" spans="1:14" x14ac:dyDescent="0.2">
      <c r="A777" t="s">
        <v>1079</v>
      </c>
      <c r="B777" t="s">
        <v>3672</v>
      </c>
      <c r="C777" t="s">
        <v>8576</v>
      </c>
      <c r="D777" t="str">
        <f t="shared" si="132"/>
        <v>SDPC, MILLENNIUM PHARMACON INTERNATIONAL, Millennium Pharmacon International, Millennium Pharmacon International Tbk, MillenniumPharmaconInternational, PT Millennium Pharmacon International, millennium pharmacon international</v>
      </c>
      <c r="E777" t="str">
        <f t="shared" si="133"/>
        <v>SDPC, MILLENNIUM PHARMACON INTERNATIONAL, Millennium Pharmacon International, Millennium Pharmacon International Tbk, MillenniumPharmaconInternational, PT Millennium Pharmacon International, millennium pharmacon international</v>
      </c>
      <c r="F777" t="str">
        <f t="shared" si="134"/>
        <v>millennium pharmacon international</v>
      </c>
      <c r="G777" t="str">
        <f t="shared" si="137"/>
        <v>SDPC, MILLENNIUM PHARMACON INTERNATIONAL, Millennium Pharmacon International, Millennium Pharmacon International Tbk, MillenniumPharmaconInternational, PT Millennium Pharmacon International</v>
      </c>
      <c r="H777" t="str">
        <f t="shared" si="138"/>
        <v>SDPC, MILLENNIUM PHARMACON INTERNATIONAL, Millennium Pharmacon International, Millennium Pharmacon International Tbk, MillenniumPharmaconInternational, PT Millennium Pharmacon International</v>
      </c>
      <c r="I777" t="str">
        <f t="shared" si="135"/>
        <v>MILLENNIUM PHARMACON INTERNATIONAL</v>
      </c>
      <c r="J777" t="str">
        <f t="shared" si="139"/>
        <v>SDPC, Millennium Pharmacon International, Millennium Pharmacon International Tbk, MillenniumPharmaconInternational, PT Millennium Pharmacon International</v>
      </c>
      <c r="K777" t="str">
        <f t="shared" si="140"/>
        <v>SDPC, Millennium Pharmacon International, Millennium Pharmacon International Tbk, MillenniumPharmaconInternational, PT Millennium Pharmacon International</v>
      </c>
      <c r="L777" t="str">
        <f t="shared" si="136"/>
        <v>MillenniumPharmaconInternational</v>
      </c>
      <c r="M777" t="str">
        <f t="shared" si="141"/>
        <v>SDPC, Millennium Pharmacon International, Millennium Pharmacon International Tbk, PT Millennium Pharmacon International</v>
      </c>
      <c r="N777" t="str">
        <f t="shared" si="142"/>
        <v>SDPC, Millennium Pharmacon International, Millennium Pharmacon International Tbk, PT Millennium Pharmacon International</v>
      </c>
    </row>
    <row r="778" spans="1:14" x14ac:dyDescent="0.2">
      <c r="A778" t="s">
        <v>1081</v>
      </c>
      <c r="B778" t="s">
        <v>3673</v>
      </c>
      <c r="C778" t="s">
        <v>8577</v>
      </c>
      <c r="D778" t="str">
        <f t="shared" si="132"/>
        <v>SDRA, BANK WOORI SAUDARA INDONESIA 1906, Bank Woori Saudara Indonesia 1906, Bank Woori Saudara Indonesia 1906 Tbk, BankWooriSaudaraIndonesia1906, PT Bank Woori Saudara Indonesia 1906, bank woori saudara indonesia 1906</v>
      </c>
      <c r="E778" t="str">
        <f t="shared" si="133"/>
        <v>SDRA, BANK WOORI SAUDARA INDONESIA 1906, Bank Woori Saudara Indonesia 1906, Bank Woori Saudara Indonesia 1906 Tbk, BankWooriSaudaraIndonesia1906, PT Bank Woori Saudara Indonesia 1906, bank woori saudara indonesia 1906</v>
      </c>
      <c r="F778" t="str">
        <f t="shared" si="134"/>
        <v>bank woori saudara indonesia 1906</v>
      </c>
      <c r="G778" t="str">
        <f t="shared" si="137"/>
        <v>SDRA, BANK WOORI SAUDARA INDONESIA 1906, Bank Woori Saudara Indonesia 1906, Bank Woori Saudara Indonesia 1906 Tbk, BankWooriSaudaraIndonesia1906, PT Bank Woori Saudara Indonesia 1906</v>
      </c>
      <c r="H778" t="str">
        <f t="shared" si="138"/>
        <v>SDRA, BANK WOORI SAUDARA INDONESIA 1906, Bank Woori Saudara Indonesia 1906, Bank Woori Saudara Indonesia 1906 Tbk, BankWooriSaudaraIndonesia1906, PT Bank Woori Saudara Indonesia 1906</v>
      </c>
      <c r="I778" t="str">
        <f t="shared" si="135"/>
        <v>BANK WOORI SAUDARA INDONESIA 1906</v>
      </c>
      <c r="J778" t="str">
        <f t="shared" si="139"/>
        <v>SDRA, Bank Woori Saudara Indonesia 1906, Bank Woori Saudara Indonesia 1906 Tbk, BankWooriSaudaraIndonesia1906, PT Bank Woori Saudara Indonesia 1906</v>
      </c>
      <c r="K778" t="str">
        <f t="shared" si="140"/>
        <v>SDRA, Bank Woori Saudara Indonesia 1906, Bank Woori Saudara Indonesia 1906 Tbk, BankWooriSaudaraIndonesia1906, PT Bank Woori Saudara Indonesia 1906</v>
      </c>
      <c r="L778" t="str">
        <f t="shared" si="136"/>
        <v>BankWooriSaudaraIndonesia1906</v>
      </c>
      <c r="M778" t="str">
        <f t="shared" si="141"/>
        <v>SDRA, Bank Woori Saudara Indonesia 1906, Bank Woori Saudara Indonesia 1906 Tbk, PT Bank Woori Saudara Indonesia 1906</v>
      </c>
      <c r="N778" t="str">
        <f t="shared" si="142"/>
        <v>SDRA, Bank Woori Saudara Indonesia 1906, Bank Woori Saudara Indonesia 1906 Tbk, PT Bank Woori Saudara Indonesia 1906</v>
      </c>
    </row>
    <row r="779" spans="1:14" x14ac:dyDescent="0.2">
      <c r="A779" t="s">
        <v>2062</v>
      </c>
      <c r="B779" t="s">
        <v>2063</v>
      </c>
      <c r="C779" t="s">
        <v>8578</v>
      </c>
      <c r="D779" t="str">
        <f t="shared" si="132"/>
        <v>SEMA, PT Semacom Integrated, SEMACOM INTEGRATED, Semacom Integrated, Semacom Integrated Tbk, SemacomIntegrated, semacom integrated</v>
      </c>
      <c r="E779" t="str">
        <f t="shared" si="133"/>
        <v>SEMA, PT Semacom Integrated, SEMACOM INTEGRATED, Semacom Integrated, Semacom Integrated Tbk, SemacomIntegrated, semacom integrated</v>
      </c>
      <c r="F779" t="str">
        <f t="shared" si="134"/>
        <v>semacom integrated</v>
      </c>
      <c r="G779" t="str">
        <f t="shared" si="137"/>
        <v>SEMA, PT Semacom Integrated, SEMACOM INTEGRATED, Semacom Integrated, Semacom Integrated Tbk, SemacomIntegrated</v>
      </c>
      <c r="H779" t="str">
        <f t="shared" si="138"/>
        <v>SEMA, PT Semacom Integrated, SEMACOM INTEGRATED, Semacom Integrated, Semacom Integrated Tbk, SemacomIntegrated</v>
      </c>
      <c r="I779" t="str">
        <f t="shared" si="135"/>
        <v>SEMACOM INTEGRATED</v>
      </c>
      <c r="J779" t="str">
        <f t="shared" si="139"/>
        <v>SEMA, PT Semacom Integrated, Semacom Integrated, Semacom Integrated Tbk, SemacomIntegrated</v>
      </c>
      <c r="K779" t="str">
        <f t="shared" si="140"/>
        <v>SEMA, PT Semacom Integrated, Semacom Integrated, Semacom Integrated Tbk, SemacomIntegrated</v>
      </c>
      <c r="L779" t="str">
        <f t="shared" si="136"/>
        <v>SemacomIntegrated</v>
      </c>
      <c r="M779" t="str">
        <f t="shared" si="141"/>
        <v>SEMA, PT Semacom Integrated, Semacom Integrated, Semacom Integrated Tbk</v>
      </c>
      <c r="N779" t="str">
        <f t="shared" si="142"/>
        <v>SEMA, PT Semacom Integrated, Semacom Integrated, Semacom Integrated Tbk</v>
      </c>
    </row>
    <row r="780" spans="1:14" x14ac:dyDescent="0.2">
      <c r="A780" t="s">
        <v>1682</v>
      </c>
      <c r="B780" t="s">
        <v>1683</v>
      </c>
      <c r="C780" t="s">
        <v>8579</v>
      </c>
      <c r="D780" t="str">
        <f t="shared" si="132"/>
        <v>SFAN, PT Surya Fajar Capital, SURYA FAJAR CAPITAL, Surya Fajar Capital, Surya Fajar Capital Tbk, SuryaFajarCapital, surya fajar capital</v>
      </c>
      <c r="E780" t="str">
        <f t="shared" si="133"/>
        <v>SFAN, PT Surya Fajar Capital, SURYA FAJAR CAPITAL, Surya Fajar Capital, Surya Fajar Capital Tbk, SuryaFajarCapital, surya fajar capital</v>
      </c>
      <c r="F780" t="str">
        <f t="shared" si="134"/>
        <v>surya fajar capital</v>
      </c>
      <c r="G780" t="str">
        <f t="shared" si="137"/>
        <v>SFAN, PT Surya Fajar Capital, SURYA FAJAR CAPITAL, Surya Fajar Capital, Surya Fajar Capital Tbk, SuryaFajarCapital</v>
      </c>
      <c r="H780" t="str">
        <f t="shared" si="138"/>
        <v>SFAN, PT Surya Fajar Capital, SURYA FAJAR CAPITAL, Surya Fajar Capital, Surya Fajar Capital Tbk, SuryaFajarCapital</v>
      </c>
      <c r="I780" t="str">
        <f t="shared" si="135"/>
        <v>SURYA FAJAR CAPITAL</v>
      </c>
      <c r="J780" t="str">
        <f t="shared" si="139"/>
        <v>SFAN, PT Surya Fajar Capital, Surya Fajar Capital, Surya Fajar Capital Tbk, SuryaFajarCapital</v>
      </c>
      <c r="K780" t="str">
        <f t="shared" si="140"/>
        <v>SFAN, PT Surya Fajar Capital, Surya Fajar Capital, Surya Fajar Capital Tbk, SuryaFajarCapital</v>
      </c>
      <c r="L780" t="str">
        <f t="shared" si="136"/>
        <v>SuryaFajarCapital</v>
      </c>
      <c r="M780" t="str">
        <f t="shared" si="141"/>
        <v>SFAN, PT Surya Fajar Capital, Surya Fajar Capital, Surya Fajar Capital Tbk</v>
      </c>
      <c r="N780" t="str">
        <f t="shared" si="142"/>
        <v>SFAN, PT Surya Fajar Capital, Surya Fajar Capital, Surya Fajar Capital Tbk</v>
      </c>
    </row>
    <row r="781" spans="1:14" x14ac:dyDescent="0.2">
      <c r="A781" t="s">
        <v>1868</v>
      </c>
      <c r="B781" t="s">
        <v>1869</v>
      </c>
      <c r="C781" t="s">
        <v>8580</v>
      </c>
      <c r="D781" t="str">
        <f t="shared" si="132"/>
        <v>SGER, PT Sumber Global Energy, SUMBER GLOBAL ENERGY, Sumber Global Energy, Sumber Global Energy Tbk, SumberGlobalEnergy, sumber global energy</v>
      </c>
      <c r="E781" t="str">
        <f t="shared" si="133"/>
        <v>SGER, PT Sumber Global Energy, SUMBER GLOBAL ENERGY, Sumber Global Energy, Sumber Global Energy Tbk, SumberGlobalEnergy, sumber global energy</v>
      </c>
      <c r="F781" t="str">
        <f t="shared" si="134"/>
        <v>sumber global energy</v>
      </c>
      <c r="G781" t="str">
        <f t="shared" si="137"/>
        <v>SGER, PT Sumber Global Energy, SUMBER GLOBAL ENERGY, Sumber Global Energy, Sumber Global Energy Tbk, SumberGlobalEnergy</v>
      </c>
      <c r="H781" t="str">
        <f t="shared" si="138"/>
        <v>SGER, PT Sumber Global Energy, SUMBER GLOBAL ENERGY, Sumber Global Energy, Sumber Global Energy Tbk, SumberGlobalEnergy</v>
      </c>
      <c r="I781" t="str">
        <f t="shared" si="135"/>
        <v>SUMBER GLOBAL ENERGY</v>
      </c>
      <c r="J781" t="str">
        <f t="shared" si="139"/>
        <v>SGER, PT Sumber Global Energy, Sumber Global Energy, Sumber Global Energy Tbk, SumberGlobalEnergy</v>
      </c>
      <c r="K781" t="str">
        <f t="shared" si="140"/>
        <v>SGER, PT Sumber Global Energy, Sumber Global Energy, Sumber Global Energy Tbk, SumberGlobalEnergy</v>
      </c>
      <c r="L781" t="str">
        <f t="shared" si="136"/>
        <v>SumberGlobalEnergy</v>
      </c>
      <c r="M781" t="str">
        <f t="shared" si="141"/>
        <v>SGER, PT Sumber Global Energy, Sumber Global Energy, Sumber Global Energy Tbk</v>
      </c>
      <c r="N781" t="str">
        <f t="shared" si="142"/>
        <v>SGER, PT Sumber Global Energy, Sumber Global Energy, Sumber Global Energy Tbk</v>
      </c>
    </row>
    <row r="782" spans="1:14" x14ac:dyDescent="0.2">
      <c r="A782" t="s">
        <v>1083</v>
      </c>
      <c r="B782" t="s">
        <v>1084</v>
      </c>
      <c r="C782" t="s">
        <v>8581</v>
      </c>
      <c r="D782" t="str">
        <f t="shared" si="132"/>
        <v>SGRO, PRIME AGRI RESOURCES, PT Prime Agri Resources, Prime Agri Resources, Prime Agri Resources Tbk, PrimeAgriResources, prime agri resources</v>
      </c>
      <c r="E782" t="str">
        <f t="shared" si="133"/>
        <v>SGRO, PRIME AGRI RESOURCES, PT Prime Agri Resources, Prime Agri Resources, Prime Agri Resources Tbk, PrimeAgriResources, prime agri resources</v>
      </c>
      <c r="F782" t="str">
        <f t="shared" si="134"/>
        <v>prime agri resources</v>
      </c>
      <c r="G782" t="str">
        <f t="shared" si="137"/>
        <v>SGRO, PRIME AGRI RESOURCES, PT Prime Agri Resources, Prime Agri Resources, Prime Agri Resources Tbk, PrimeAgriResources</v>
      </c>
      <c r="H782" t="str">
        <f t="shared" si="138"/>
        <v>SGRO, PRIME AGRI RESOURCES, PT Prime Agri Resources, Prime Agri Resources, Prime Agri Resources Tbk, PrimeAgriResources</v>
      </c>
      <c r="I782" t="str">
        <f t="shared" si="135"/>
        <v>PRIME AGRI RESOURCES</v>
      </c>
      <c r="J782" t="str">
        <f t="shared" si="139"/>
        <v>SGRO, PT Prime Agri Resources, Prime Agri Resources, Prime Agri Resources Tbk, PrimeAgriResources</v>
      </c>
      <c r="K782" t="str">
        <f t="shared" si="140"/>
        <v>SGRO, PT Prime Agri Resources, Prime Agri Resources, Prime Agri Resources Tbk, PrimeAgriResources</v>
      </c>
      <c r="L782" t="str">
        <f t="shared" si="136"/>
        <v>PrimeAgriResources</v>
      </c>
      <c r="M782" t="str">
        <f t="shared" si="141"/>
        <v>SGRO, PT Prime Agri Resources, Prime Agri Resources, Prime Agri Resources Tbk</v>
      </c>
      <c r="N782" t="str">
        <f t="shared" si="142"/>
        <v>SGRO, PT Prime Agri Resources, Prime Agri Resources, Prime Agri Resources Tbk</v>
      </c>
    </row>
    <row r="783" spans="1:14" x14ac:dyDescent="0.2">
      <c r="A783" t="s">
        <v>1086</v>
      </c>
      <c r="B783" t="s">
        <v>3674</v>
      </c>
      <c r="C783" t="s">
        <v>8582</v>
      </c>
      <c r="D783" t="str">
        <f t="shared" si="132"/>
        <v>SHID, HOTEL SAHID JAYA INTERNATIONAL, Hotel Sahid Jaya International, Hotel Sahid Jaya International Tbk, HotelSahidJayaInternational, PT Hotel Sahid Jaya International, hotel sahid jaya international</v>
      </c>
      <c r="E783" t="str">
        <f t="shared" si="133"/>
        <v>SHID, HOTEL SAHID JAYA INTERNATIONAL, Hotel Sahid Jaya International, Hotel Sahid Jaya International Tbk, HotelSahidJayaInternational, PT Hotel Sahid Jaya International, hotel sahid jaya international</v>
      </c>
      <c r="F783" t="str">
        <f t="shared" si="134"/>
        <v>hotel sahid jaya international</v>
      </c>
      <c r="G783" t="str">
        <f t="shared" si="137"/>
        <v>SHID, HOTEL SAHID JAYA INTERNATIONAL, Hotel Sahid Jaya International, Hotel Sahid Jaya International Tbk, HotelSahidJayaInternational, PT Hotel Sahid Jaya International</v>
      </c>
      <c r="H783" t="str">
        <f t="shared" si="138"/>
        <v>SHID, HOTEL SAHID JAYA INTERNATIONAL, Hotel Sahid Jaya International, Hotel Sahid Jaya International Tbk, HotelSahidJayaInternational, PT Hotel Sahid Jaya International</v>
      </c>
      <c r="I783" t="str">
        <f t="shared" si="135"/>
        <v>HOTEL SAHID JAYA INTERNATIONAL</v>
      </c>
      <c r="J783" t="str">
        <f t="shared" si="139"/>
        <v>SHID, Hotel Sahid Jaya International, Hotel Sahid Jaya International Tbk, HotelSahidJayaInternational, PT Hotel Sahid Jaya International</v>
      </c>
      <c r="K783" t="str">
        <f t="shared" si="140"/>
        <v>SHID, Hotel Sahid Jaya International, Hotel Sahid Jaya International Tbk, HotelSahidJayaInternational, PT Hotel Sahid Jaya International</v>
      </c>
      <c r="L783" t="str">
        <f t="shared" si="136"/>
        <v>HotelSahidJayaInternational</v>
      </c>
      <c r="M783" t="str">
        <f t="shared" si="141"/>
        <v>SHID, Hotel Sahid Jaya International, Hotel Sahid Jaya International Tbk, PT Hotel Sahid Jaya International</v>
      </c>
      <c r="N783" t="str">
        <f t="shared" si="142"/>
        <v>SHID, Hotel Sahid Jaya International, Hotel Sahid Jaya International Tbk, PT Hotel Sahid Jaya International</v>
      </c>
    </row>
    <row r="784" spans="1:14" x14ac:dyDescent="0.2">
      <c r="A784" t="s">
        <v>1342</v>
      </c>
      <c r="B784" t="s">
        <v>1343</v>
      </c>
      <c r="C784" t="s">
        <v>8583</v>
      </c>
      <c r="D784" t="str">
        <f t="shared" si="132"/>
        <v>SHIP, PT Sillo Maritime Perdana, SILLO MARITIME PERDANA, Sillo Maritime Perdana, Sillo Maritime Perdana Tbk, SilloMaritimePerdana, sillo maritime perdana</v>
      </c>
      <c r="E784" t="str">
        <f t="shared" si="133"/>
        <v>SHIP, PT Sillo Maritime Perdana, SILLO MARITIME PERDANA, Sillo Maritime Perdana, Sillo Maritime Perdana Tbk, SilloMaritimePerdana, sillo maritime perdana</v>
      </c>
      <c r="F784" t="str">
        <f t="shared" si="134"/>
        <v>sillo maritime perdana</v>
      </c>
      <c r="G784" t="str">
        <f t="shared" si="137"/>
        <v>SHIP, PT Sillo Maritime Perdana, SILLO MARITIME PERDANA, Sillo Maritime Perdana, Sillo Maritime Perdana Tbk, SilloMaritimePerdana</v>
      </c>
      <c r="H784" t="str">
        <f t="shared" si="138"/>
        <v>SHIP, PT Sillo Maritime Perdana, SILLO MARITIME PERDANA, Sillo Maritime Perdana, Sillo Maritime Perdana Tbk, SilloMaritimePerdana</v>
      </c>
      <c r="I784" t="str">
        <f t="shared" si="135"/>
        <v>SILLO MARITIME PERDANA</v>
      </c>
      <c r="J784" t="str">
        <f t="shared" si="139"/>
        <v>SHIP, PT Sillo Maritime Perdana, Sillo Maritime Perdana, Sillo Maritime Perdana Tbk, SilloMaritimePerdana</v>
      </c>
      <c r="K784" t="str">
        <f t="shared" si="140"/>
        <v>SHIP, PT Sillo Maritime Perdana, Sillo Maritime Perdana, Sillo Maritime Perdana Tbk, SilloMaritimePerdana</v>
      </c>
      <c r="L784" t="str">
        <f t="shared" si="136"/>
        <v>SilloMaritimePerdana</v>
      </c>
      <c r="M784" t="str">
        <f t="shared" si="141"/>
        <v>SHIP, PT Sillo Maritime Perdana, Sillo Maritime Perdana, Sillo Maritime Perdana Tbk</v>
      </c>
      <c r="N784" t="str">
        <f t="shared" si="142"/>
        <v>SHIP, PT Sillo Maritime Perdana, Sillo Maritime Perdana, Sillo Maritime Perdana Tbk</v>
      </c>
    </row>
    <row r="785" spans="1:14" x14ac:dyDescent="0.2">
      <c r="A785" t="s">
        <v>2094</v>
      </c>
      <c r="B785" t="s">
        <v>2095</v>
      </c>
      <c r="C785" t="s">
        <v>8584</v>
      </c>
      <c r="D785" t="str">
        <f t="shared" si="132"/>
        <v>SICO, PT Sigma Energy Compressindo, SIGMA ENERGY COMPRESSINDO, Sigma Energy Compressindo, Sigma Energy Compressindo Tbk, SigmaEnergyCompressindo, sigma energy compressindo</v>
      </c>
      <c r="E785" t="str">
        <f t="shared" si="133"/>
        <v>SICO, PT Sigma Energy Compressindo, SIGMA ENERGY COMPRESSINDO, Sigma Energy Compressindo, Sigma Energy Compressindo Tbk, SigmaEnergyCompressindo, sigma energy compressindo</v>
      </c>
      <c r="F785" t="str">
        <f t="shared" si="134"/>
        <v>sigma energy compressindo</v>
      </c>
      <c r="G785" t="str">
        <f t="shared" si="137"/>
        <v>SICO, PT Sigma Energy Compressindo, SIGMA ENERGY COMPRESSINDO, Sigma Energy Compressindo, Sigma Energy Compressindo Tbk, SigmaEnergyCompressindo</v>
      </c>
      <c r="H785" t="str">
        <f t="shared" si="138"/>
        <v>SICO, PT Sigma Energy Compressindo, SIGMA ENERGY COMPRESSINDO, Sigma Energy Compressindo, Sigma Energy Compressindo Tbk, SigmaEnergyCompressindo</v>
      </c>
      <c r="I785" t="str">
        <f t="shared" si="135"/>
        <v>SIGMA ENERGY COMPRESSINDO</v>
      </c>
      <c r="J785" t="str">
        <f t="shared" si="139"/>
        <v>SICO, PT Sigma Energy Compressindo, Sigma Energy Compressindo, Sigma Energy Compressindo Tbk, SigmaEnergyCompressindo</v>
      </c>
      <c r="K785" t="str">
        <f t="shared" si="140"/>
        <v>SICO, PT Sigma Energy Compressindo, Sigma Energy Compressindo, Sigma Energy Compressindo Tbk, SigmaEnergyCompressindo</v>
      </c>
      <c r="L785" t="str">
        <f t="shared" si="136"/>
        <v>SigmaEnergyCompressindo</v>
      </c>
      <c r="M785" t="str">
        <f t="shared" si="141"/>
        <v>SICO, PT Sigma Energy Compressindo, Sigma Energy Compressindo, Sigma Energy Compressindo Tbk</v>
      </c>
      <c r="N785" t="str">
        <f t="shared" si="142"/>
        <v>SICO, PT Sigma Energy Compressindo, Sigma Energy Compressindo, Sigma Energy Compressindo Tbk</v>
      </c>
    </row>
    <row r="786" spans="1:14" x14ac:dyDescent="0.2">
      <c r="A786" t="s">
        <v>1088</v>
      </c>
      <c r="B786" t="s">
        <v>3675</v>
      </c>
      <c r="C786" t="s">
        <v>8585</v>
      </c>
      <c r="D786" t="str">
        <f t="shared" si="132"/>
        <v>SIDO, INDUSTRI JAMU DAN FARMASI SIDO MUNCUL, Industri Jamu dan Farmasi Sido Muncul, Industri Jamu dan Farmasi Sido Muncul Tbk, IndustriJamudanFarmasiSidoMuncul, PT Industri Jamu dan Farmasi Sido Muncul, industri jamu dan farmasi sido muncul</v>
      </c>
      <c r="E786" t="str">
        <f t="shared" si="133"/>
        <v>SIDO, INDUSTRI JAMU DAN FARMASI SIDO MUNCUL, Industri Jamu dan Farmasi Sido Muncul, Industri Jamu dan Farmasi Sido Muncul Tbk, IndustriJamudanFarmasiSidoMuncul, PT Industri Jamu dan Farmasi Sido Muncul, industri jamu dan farmasi sido muncul</v>
      </c>
      <c r="F786" t="str">
        <f t="shared" si="134"/>
        <v>industri jamu dan farmasi sido muncul</v>
      </c>
      <c r="G786" t="str">
        <f t="shared" si="137"/>
        <v>SIDO, INDUSTRI JAMU DAN FARMASI SIDO MUNCUL, Industri Jamu dan Farmasi Sido Muncul, Industri Jamu dan Farmasi Sido Muncul Tbk, IndustriJamudanFarmasiSidoMuncul, PT Industri Jamu dan Farmasi Sido Muncul</v>
      </c>
      <c r="H786" t="str">
        <f t="shared" si="138"/>
        <v>SIDO, INDUSTRI JAMU DAN FARMASI SIDO MUNCUL, Industri Jamu dan Farmasi Sido Muncul, Industri Jamu dan Farmasi Sido Muncul Tbk, IndustriJamudanFarmasiSidoMuncul, PT Industri Jamu dan Farmasi Sido Muncul</v>
      </c>
      <c r="I786" t="str">
        <f t="shared" si="135"/>
        <v>INDUSTRI JAMU DAN FARMASI SIDO MUNCUL</v>
      </c>
      <c r="J786" t="str">
        <f t="shared" si="139"/>
        <v>SIDO, Industri Jamu dan Farmasi Sido Muncul, Industri Jamu dan Farmasi Sido Muncul Tbk, IndustriJamudanFarmasiSidoMuncul, PT Industri Jamu dan Farmasi Sido Muncul</v>
      </c>
      <c r="K786" t="str">
        <f t="shared" si="140"/>
        <v>SIDO, Industri Jamu dan Farmasi Sido Muncul, Industri Jamu dan Farmasi Sido Muncul Tbk, IndustriJamudanFarmasiSidoMuncul, PT Industri Jamu dan Farmasi Sido Muncul</v>
      </c>
      <c r="L786" t="str">
        <f t="shared" si="136"/>
        <v>IndustriJamudanFarmasiSidoMuncul</v>
      </c>
      <c r="M786" t="str">
        <f t="shared" si="141"/>
        <v>SIDO, Industri Jamu dan Farmasi Sido Muncul, Industri Jamu dan Farmasi Sido Muncul Tbk, PT Industri Jamu dan Farmasi Sido Muncul</v>
      </c>
      <c r="N786" t="str">
        <f t="shared" si="142"/>
        <v>SIDO, Industri Jamu dan Farmasi Sido Muncul, Industri Jamu dan Farmasi Sido Muncul Tbk, PT Industri Jamu dan Farmasi Sido Muncul</v>
      </c>
    </row>
    <row r="787" spans="1:14" x14ac:dyDescent="0.2">
      <c r="A787" t="s">
        <v>1090</v>
      </c>
      <c r="B787" t="s">
        <v>3676</v>
      </c>
      <c r="C787" t="s">
        <v>8586</v>
      </c>
      <c r="D787" t="str">
        <f t="shared" si="132"/>
        <v>SILO, PT Siloam International Hospitals, SILOAM INTERNATIONAL HOSPITALS, Siloam International Hospitals, Siloam International Hospitals Tbk, SiloamInternationalHospitals, siloam international hospitals</v>
      </c>
      <c r="E787" t="str">
        <f t="shared" si="133"/>
        <v>SILO, PT Siloam International Hospitals, SILOAM INTERNATIONAL HOSPITALS, Siloam International Hospitals, Siloam International Hospitals Tbk, SiloamInternationalHospitals, siloam international hospitals</v>
      </c>
      <c r="F787" t="str">
        <f t="shared" si="134"/>
        <v>siloam international hospitals</v>
      </c>
      <c r="G787" t="str">
        <f t="shared" si="137"/>
        <v>SILO, PT Siloam International Hospitals, SILOAM INTERNATIONAL HOSPITALS, Siloam International Hospitals, Siloam International Hospitals Tbk, SiloamInternationalHospitals</v>
      </c>
      <c r="H787" t="str">
        <f t="shared" si="138"/>
        <v>SILO, PT Siloam International Hospitals, SILOAM INTERNATIONAL HOSPITALS, Siloam International Hospitals, Siloam International Hospitals Tbk, SiloamInternationalHospitals</v>
      </c>
      <c r="I787" t="str">
        <f t="shared" si="135"/>
        <v>SILOAM INTERNATIONAL HOSPITALS</v>
      </c>
      <c r="J787" t="str">
        <f t="shared" si="139"/>
        <v>SILO, PT Siloam International Hospitals, Siloam International Hospitals, Siloam International Hospitals Tbk, SiloamInternationalHospitals</v>
      </c>
      <c r="K787" t="str">
        <f t="shared" si="140"/>
        <v>SILO, PT Siloam International Hospitals, Siloam International Hospitals, Siloam International Hospitals Tbk, SiloamInternationalHospitals</v>
      </c>
      <c r="L787" t="str">
        <f t="shared" si="136"/>
        <v>SiloamInternationalHospitals</v>
      </c>
      <c r="M787" t="str">
        <f t="shared" si="141"/>
        <v>SILO, PT Siloam International Hospitals, Siloam International Hospitals, Siloam International Hospitals Tbk</v>
      </c>
      <c r="N787" t="str">
        <f t="shared" si="142"/>
        <v>SILO, PT Siloam International Hospitals, Siloam International Hospitals, Siloam International Hospitals Tbk</v>
      </c>
    </row>
    <row r="788" spans="1:14" x14ac:dyDescent="0.2">
      <c r="A788" t="s">
        <v>1092</v>
      </c>
      <c r="B788" t="s">
        <v>3677</v>
      </c>
      <c r="C788" t="s">
        <v>8587</v>
      </c>
      <c r="D788" t="str">
        <f t="shared" si="132"/>
        <v>SIMA, PT Siwani Makmur, SIWANI MAKMUR, Siwani Makmur, Siwani Makmur Tbk, SiwaniMakmur, siwani makmur</v>
      </c>
      <c r="E788" t="str">
        <f t="shared" si="133"/>
        <v>SIMA, PT Siwani Makmur, SIWANI MAKMUR, Siwani Makmur, Siwani Makmur Tbk, SiwaniMakmur, siwani makmur</v>
      </c>
      <c r="F788" t="str">
        <f t="shared" si="134"/>
        <v>siwani makmur</v>
      </c>
      <c r="G788" t="str">
        <f t="shared" si="137"/>
        <v>SIMA, PT Siwani Makmur, SIWANI MAKMUR, Siwani Makmur, Siwani Makmur Tbk, SiwaniMakmur</v>
      </c>
      <c r="H788" t="str">
        <f t="shared" si="138"/>
        <v>SIMA, PT Siwani Makmur, SIWANI MAKMUR, Siwani Makmur, Siwani Makmur Tbk, SiwaniMakmur</v>
      </c>
      <c r="I788" t="str">
        <f t="shared" si="135"/>
        <v>SIWANI MAKMUR</v>
      </c>
      <c r="J788" t="str">
        <f t="shared" si="139"/>
        <v>SIMA, PT Siwani Makmur, Siwani Makmur, Siwani Makmur Tbk, SiwaniMakmur</v>
      </c>
      <c r="K788" t="str">
        <f t="shared" si="140"/>
        <v>SIMA, PT Siwani Makmur, Siwani Makmur, Siwani Makmur Tbk, SiwaniMakmur</v>
      </c>
      <c r="L788" t="str">
        <f t="shared" si="136"/>
        <v>SiwaniMakmur</v>
      </c>
      <c r="M788" t="str">
        <f t="shared" si="141"/>
        <v>SIMA, PT Siwani Makmur, Siwani Makmur, Siwani Makmur Tbk</v>
      </c>
      <c r="N788" t="str">
        <f t="shared" si="142"/>
        <v>SIMA, PT Siwani Makmur, Siwani Makmur, Siwani Makmur Tbk</v>
      </c>
    </row>
    <row r="789" spans="1:14" x14ac:dyDescent="0.2">
      <c r="A789" t="s">
        <v>1095</v>
      </c>
      <c r="B789" t="s">
        <v>1096</v>
      </c>
      <c r="C789" t="s">
        <v>8588</v>
      </c>
      <c r="D789" t="str">
        <f t="shared" si="132"/>
        <v>SIMP, PT Salim Ivomas Pratama, SALIM IVOMAS PRATAMA, Salim Ivomas Pratama, Salim Ivomas Pratama Tbk, SalimIvomasPratama, salim ivomas pratama</v>
      </c>
      <c r="E789" t="str">
        <f t="shared" si="133"/>
        <v>SIMP, PT Salim Ivomas Pratama, SALIM IVOMAS PRATAMA, Salim Ivomas Pratama, Salim Ivomas Pratama Tbk, SalimIvomasPratama, salim ivomas pratama</v>
      </c>
      <c r="F789" t="str">
        <f t="shared" si="134"/>
        <v>salim ivomas pratama</v>
      </c>
      <c r="G789" t="str">
        <f t="shared" si="137"/>
        <v>SIMP, PT Salim Ivomas Pratama, SALIM IVOMAS PRATAMA, Salim Ivomas Pratama, Salim Ivomas Pratama Tbk, SalimIvomasPratama</v>
      </c>
      <c r="H789" t="str">
        <f t="shared" si="138"/>
        <v>SIMP, PT Salim Ivomas Pratama, SALIM IVOMAS PRATAMA, Salim Ivomas Pratama, Salim Ivomas Pratama Tbk, SalimIvomasPratama</v>
      </c>
      <c r="I789" t="str">
        <f t="shared" si="135"/>
        <v>SALIM IVOMAS PRATAMA</v>
      </c>
      <c r="J789" t="str">
        <f t="shared" si="139"/>
        <v>SIMP, PT Salim Ivomas Pratama, Salim Ivomas Pratama, Salim Ivomas Pratama Tbk, SalimIvomasPratama</v>
      </c>
      <c r="K789" t="str">
        <f t="shared" si="140"/>
        <v>SIMP, PT Salim Ivomas Pratama, Salim Ivomas Pratama, Salim Ivomas Pratama Tbk, SalimIvomasPratama</v>
      </c>
      <c r="L789" t="str">
        <f t="shared" si="136"/>
        <v>SalimIvomasPratama</v>
      </c>
      <c r="M789" t="str">
        <f t="shared" si="141"/>
        <v>SIMP, PT Salim Ivomas Pratama, Salim Ivomas Pratama, Salim Ivomas Pratama Tbk</v>
      </c>
      <c r="N789" t="str">
        <f t="shared" si="142"/>
        <v>SIMP, PT Salim Ivomas Pratama, Salim Ivomas Pratama, Salim Ivomas Pratama Tbk</v>
      </c>
    </row>
    <row r="790" spans="1:14" x14ac:dyDescent="0.2">
      <c r="A790" t="s">
        <v>1756</v>
      </c>
      <c r="B790" t="s">
        <v>1757</v>
      </c>
      <c r="C790" t="s">
        <v>8589</v>
      </c>
      <c r="D790" t="str">
        <f t="shared" si="132"/>
        <v>SINI, PT Singaraja Putra, SINGARAJA PUTRA, Singaraja Putra, Singaraja Putra Tbk, SingarajaPutra, singaraja putra</v>
      </c>
      <c r="E790" t="str">
        <f t="shared" si="133"/>
        <v>SINI, PT Singaraja Putra, SINGARAJA PUTRA, Singaraja Putra, Singaraja Putra Tbk, SingarajaPutra, singaraja putra</v>
      </c>
      <c r="F790" t="str">
        <f t="shared" si="134"/>
        <v>singaraja putra</v>
      </c>
      <c r="G790" t="str">
        <f t="shared" si="137"/>
        <v>SINI, PT Singaraja Putra, SINGARAJA PUTRA, Singaraja Putra, Singaraja Putra Tbk, SingarajaPutra</v>
      </c>
      <c r="H790" t="str">
        <f t="shared" si="138"/>
        <v>SINI, PT Singaraja Putra, SINGARAJA PUTRA, Singaraja Putra, Singaraja Putra Tbk, SingarajaPutra</v>
      </c>
      <c r="I790" t="str">
        <f t="shared" si="135"/>
        <v>SINGARAJA PUTRA</v>
      </c>
      <c r="J790" t="str">
        <f t="shared" si="139"/>
        <v>SINI, PT Singaraja Putra, Singaraja Putra, Singaraja Putra Tbk, SingarajaPutra</v>
      </c>
      <c r="K790" t="str">
        <f t="shared" si="140"/>
        <v>SINI, PT Singaraja Putra, Singaraja Putra, Singaraja Putra Tbk, SingarajaPutra</v>
      </c>
      <c r="L790" t="str">
        <f t="shared" si="136"/>
        <v>SingarajaPutra</v>
      </c>
      <c r="M790" t="str">
        <f t="shared" si="141"/>
        <v>SINI, PT Singaraja Putra, Singaraja Putra, Singaraja Putra Tbk</v>
      </c>
      <c r="N790" t="str">
        <f t="shared" si="142"/>
        <v>SINI, PT Singaraja Putra, Singaraja Putra, Singaraja Putra Tbk</v>
      </c>
    </row>
    <row r="791" spans="1:14" x14ac:dyDescent="0.2">
      <c r="A791" t="s">
        <v>1098</v>
      </c>
      <c r="B791" t="s">
        <v>1099</v>
      </c>
      <c r="C791" t="s">
        <v>8590</v>
      </c>
      <c r="D791" t="str">
        <f t="shared" si="132"/>
        <v>SIPD, PT Sreeya Sewu Indonesia, SREEYA SEWU INDONESIA, Sreeya Sewu Indonesia, Sreeya Sewu Indonesia Tbk, SreeyaSewuIndonesia, sreeya sewu indonesia</v>
      </c>
      <c r="E791" t="str">
        <f t="shared" si="133"/>
        <v>SIPD, PT Sreeya Sewu Indonesia, SREEYA SEWU INDONESIA, Sreeya Sewu Indonesia, Sreeya Sewu Indonesia Tbk, SreeyaSewuIndonesia, sreeya sewu indonesia</v>
      </c>
      <c r="F791" t="str">
        <f t="shared" si="134"/>
        <v>sreeya sewu indonesia</v>
      </c>
      <c r="G791" t="str">
        <f t="shared" si="137"/>
        <v>SIPD, PT Sreeya Sewu Indonesia, SREEYA SEWU INDONESIA, Sreeya Sewu Indonesia, Sreeya Sewu Indonesia Tbk, SreeyaSewuIndonesia</v>
      </c>
      <c r="H791" t="str">
        <f t="shared" si="138"/>
        <v>SIPD, PT Sreeya Sewu Indonesia, SREEYA SEWU INDONESIA, Sreeya Sewu Indonesia, Sreeya Sewu Indonesia Tbk, SreeyaSewuIndonesia</v>
      </c>
      <c r="I791" t="str">
        <f t="shared" si="135"/>
        <v>SREEYA SEWU INDONESIA</v>
      </c>
      <c r="J791" t="str">
        <f t="shared" si="139"/>
        <v>SIPD, PT Sreeya Sewu Indonesia, Sreeya Sewu Indonesia, Sreeya Sewu Indonesia Tbk, SreeyaSewuIndonesia</v>
      </c>
      <c r="K791" t="str">
        <f t="shared" si="140"/>
        <v>SIPD, PT Sreeya Sewu Indonesia, Sreeya Sewu Indonesia, Sreeya Sewu Indonesia Tbk, SreeyaSewuIndonesia</v>
      </c>
      <c r="L791" t="str">
        <f t="shared" si="136"/>
        <v>SreeyaSewuIndonesia</v>
      </c>
      <c r="M791" t="str">
        <f t="shared" si="141"/>
        <v>SIPD, PT Sreeya Sewu Indonesia, Sreeya Sewu Indonesia, Sreeya Sewu Indonesia Tbk</v>
      </c>
      <c r="N791" t="str">
        <f t="shared" si="142"/>
        <v>SIPD, PT Sreeya Sewu Indonesia, Sreeya Sewu Indonesia, Sreeya Sewu Indonesia Tbk</v>
      </c>
    </row>
    <row r="792" spans="1:14" x14ac:dyDescent="0.2">
      <c r="A792" t="s">
        <v>1101</v>
      </c>
      <c r="B792" t="s">
        <v>1102</v>
      </c>
      <c r="C792" t="s">
        <v>8591</v>
      </c>
      <c r="D792" t="str">
        <f t="shared" si="132"/>
        <v>SKBM, PT Sekar Bumi, SEKAR BUMI, Sekar Bumi, Sekar Bumi Tbk, SekarBumi, sekar bumi</v>
      </c>
      <c r="E792" t="str">
        <f t="shared" si="133"/>
        <v>SKBM, PT Sekar Bumi, SEKAR BUMI, Sekar Bumi, Sekar Bumi Tbk, SekarBumi, sekar bumi</v>
      </c>
      <c r="F792" t="str">
        <f t="shared" si="134"/>
        <v>sekar bumi</v>
      </c>
      <c r="G792" t="str">
        <f t="shared" si="137"/>
        <v>SKBM, PT Sekar Bumi, SEKAR BUMI, Sekar Bumi, Sekar Bumi Tbk, SekarBumi</v>
      </c>
      <c r="H792" t="str">
        <f t="shared" si="138"/>
        <v>SKBM, PT Sekar Bumi, SEKAR BUMI, Sekar Bumi, Sekar Bumi Tbk, SekarBumi</v>
      </c>
      <c r="I792" t="str">
        <f t="shared" si="135"/>
        <v>SEKAR BUMI</v>
      </c>
      <c r="J792" t="str">
        <f t="shared" si="139"/>
        <v>SKBM, PT Sekar Bumi, Sekar Bumi, Sekar Bumi Tbk, SekarBumi</v>
      </c>
      <c r="K792" t="str">
        <f t="shared" si="140"/>
        <v>SKBM, PT Sekar Bumi, Sekar Bumi, Sekar Bumi Tbk, SekarBumi</v>
      </c>
      <c r="L792" t="str">
        <f t="shared" si="136"/>
        <v>SekarBumi</v>
      </c>
      <c r="M792" t="str">
        <f t="shared" si="141"/>
        <v>SKBM, PT Sekar Bumi, Sekar Bumi, Sekar Bumi Tbk</v>
      </c>
      <c r="N792" t="str">
        <f t="shared" si="142"/>
        <v>SKBM, PT Sekar Bumi, Sekar Bumi, Sekar Bumi Tbk</v>
      </c>
    </row>
    <row r="793" spans="1:14" x14ac:dyDescent="0.2">
      <c r="A793" t="s">
        <v>1104</v>
      </c>
      <c r="B793" t="s">
        <v>1105</v>
      </c>
      <c r="C793" t="s">
        <v>8592</v>
      </c>
      <c r="D793" t="str">
        <f t="shared" si="132"/>
        <v>SKLT, PT Sekar Laut, SEKAR LAUT, Sekar Laut, Sekar Laut Tbk, SekarLaut, sekar laut</v>
      </c>
      <c r="E793" t="str">
        <f t="shared" si="133"/>
        <v>SKLT, PT Sekar Laut, SEKAR LAUT, Sekar Laut, Sekar Laut Tbk, SekarLaut, sekar laut</v>
      </c>
      <c r="F793" t="str">
        <f t="shared" si="134"/>
        <v>sekar laut</v>
      </c>
      <c r="G793" t="str">
        <f t="shared" si="137"/>
        <v>SKLT, PT Sekar Laut, SEKAR LAUT, Sekar Laut, Sekar Laut Tbk, SekarLaut</v>
      </c>
      <c r="H793" t="str">
        <f t="shared" si="138"/>
        <v>SKLT, PT Sekar Laut, SEKAR LAUT, Sekar Laut, Sekar Laut Tbk, SekarLaut</v>
      </c>
      <c r="I793" t="str">
        <f t="shared" si="135"/>
        <v>SEKAR LAUT</v>
      </c>
      <c r="J793" t="str">
        <f t="shared" si="139"/>
        <v>SKLT, PT Sekar Laut, Sekar Laut, Sekar Laut Tbk, SekarLaut</v>
      </c>
      <c r="K793" t="str">
        <f t="shared" si="140"/>
        <v>SKLT, PT Sekar Laut, Sekar Laut, Sekar Laut Tbk, SekarLaut</v>
      </c>
      <c r="L793" t="str">
        <f t="shared" si="136"/>
        <v>SekarLaut</v>
      </c>
      <c r="M793" t="str">
        <f t="shared" si="141"/>
        <v>SKLT, PT Sekar Laut, Sekar Laut, Sekar Laut Tbk</v>
      </c>
      <c r="N793" t="str">
        <f t="shared" si="142"/>
        <v>SKLT, PT Sekar Laut, Sekar Laut, Sekar Laut Tbk</v>
      </c>
    </row>
    <row r="794" spans="1:14" x14ac:dyDescent="0.2">
      <c r="A794" t="s">
        <v>1606</v>
      </c>
      <c r="B794" t="s">
        <v>1607</v>
      </c>
      <c r="C794" t="s">
        <v>8593</v>
      </c>
      <c r="D794" t="str">
        <f t="shared" si="132"/>
        <v>SKRN, PT Superkrane Mitra Utama, SUPERKRANE MITRA UTAMA, Superkrane Mitra Utama, Superkrane Mitra Utama Tbk, SuperkraneMitraUtama, superkrane mitra utama</v>
      </c>
      <c r="E794" t="str">
        <f t="shared" si="133"/>
        <v>SKRN, PT Superkrane Mitra Utama, SUPERKRANE MITRA UTAMA, Superkrane Mitra Utama, Superkrane Mitra Utama Tbk, SuperkraneMitraUtama, superkrane mitra utama</v>
      </c>
      <c r="F794" t="str">
        <f t="shared" si="134"/>
        <v>superkrane mitra utama</v>
      </c>
      <c r="G794" t="str">
        <f t="shared" si="137"/>
        <v>SKRN, PT Superkrane Mitra Utama, SUPERKRANE MITRA UTAMA, Superkrane Mitra Utama, Superkrane Mitra Utama Tbk, SuperkraneMitraUtama</v>
      </c>
      <c r="H794" t="str">
        <f t="shared" si="138"/>
        <v>SKRN, PT Superkrane Mitra Utama, SUPERKRANE MITRA UTAMA, Superkrane Mitra Utama, Superkrane Mitra Utama Tbk, SuperkraneMitraUtama</v>
      </c>
      <c r="I794" t="str">
        <f t="shared" si="135"/>
        <v>SUPERKRANE MITRA UTAMA</v>
      </c>
      <c r="J794" t="str">
        <f t="shared" si="139"/>
        <v>SKRN, PT Superkrane Mitra Utama, Superkrane Mitra Utama, Superkrane Mitra Utama Tbk, SuperkraneMitraUtama</v>
      </c>
      <c r="K794" t="str">
        <f t="shared" si="140"/>
        <v>SKRN, PT Superkrane Mitra Utama, Superkrane Mitra Utama, Superkrane Mitra Utama Tbk, SuperkraneMitraUtama</v>
      </c>
      <c r="L794" t="str">
        <f t="shared" si="136"/>
        <v>SuperkraneMitraUtama</v>
      </c>
      <c r="M794" t="str">
        <f t="shared" si="141"/>
        <v>SKRN, PT Superkrane Mitra Utama, Superkrane Mitra Utama, Superkrane Mitra Utama Tbk</v>
      </c>
      <c r="N794" t="str">
        <f t="shared" si="142"/>
        <v>SKRN, PT Superkrane Mitra Utama, Superkrane Mitra Utama, Superkrane Mitra Utama Tbk</v>
      </c>
    </row>
    <row r="795" spans="1:14" x14ac:dyDescent="0.2">
      <c r="A795" t="s">
        <v>1107</v>
      </c>
      <c r="B795" t="s">
        <v>3678</v>
      </c>
      <c r="C795" t="s">
        <v>8594</v>
      </c>
      <c r="D795" t="str">
        <f t="shared" si="132"/>
        <v>SKYB, NORTHCLIFF CITRANUSA INDONESIA, Northcliff Citranusa Indonesia, Northcliff Citranusa Indonesia Tbk, NorthcliffCitranusaIndonesia, PT Northcliff Citranusa Indonesia, northcliff citranusa indonesia</v>
      </c>
      <c r="E795" t="str">
        <f t="shared" si="133"/>
        <v>SKYB, NORTHCLIFF CITRANUSA INDONESIA, Northcliff Citranusa Indonesia, Northcliff Citranusa Indonesia Tbk, NorthcliffCitranusaIndonesia, PT Northcliff Citranusa Indonesia, northcliff citranusa indonesia</v>
      </c>
      <c r="F795" t="str">
        <f t="shared" si="134"/>
        <v>northcliff citranusa indonesia</v>
      </c>
      <c r="G795" t="str">
        <f t="shared" si="137"/>
        <v>SKYB, NORTHCLIFF CITRANUSA INDONESIA, Northcliff Citranusa Indonesia, Northcliff Citranusa Indonesia Tbk, NorthcliffCitranusaIndonesia, PT Northcliff Citranusa Indonesia</v>
      </c>
      <c r="H795" t="str">
        <f t="shared" si="138"/>
        <v>SKYB, NORTHCLIFF CITRANUSA INDONESIA, Northcliff Citranusa Indonesia, Northcliff Citranusa Indonesia Tbk, NorthcliffCitranusaIndonesia, PT Northcliff Citranusa Indonesia</v>
      </c>
      <c r="I795" t="str">
        <f t="shared" si="135"/>
        <v>NORTHCLIFF CITRANUSA INDONESIA</v>
      </c>
      <c r="J795" t="str">
        <f t="shared" si="139"/>
        <v>SKYB, Northcliff Citranusa Indonesia, Northcliff Citranusa Indonesia Tbk, NorthcliffCitranusaIndonesia, PT Northcliff Citranusa Indonesia</v>
      </c>
      <c r="K795" t="str">
        <f t="shared" si="140"/>
        <v>SKYB, Northcliff Citranusa Indonesia, Northcliff Citranusa Indonesia Tbk, NorthcliffCitranusaIndonesia, PT Northcliff Citranusa Indonesia</v>
      </c>
      <c r="L795" t="str">
        <f t="shared" si="136"/>
        <v>NorthcliffCitranusaIndonesia</v>
      </c>
      <c r="M795" t="str">
        <f t="shared" si="141"/>
        <v>SKYB, Northcliff Citranusa Indonesia, Northcliff Citranusa Indonesia Tbk, PT Northcliff Citranusa Indonesia</v>
      </c>
      <c r="N795" t="str">
        <f t="shared" si="142"/>
        <v>SKYB, Northcliff Citranusa Indonesia, Northcliff Citranusa Indonesia Tbk, PT Northcliff Citranusa Indonesia</v>
      </c>
    </row>
    <row r="796" spans="1:14" x14ac:dyDescent="0.2">
      <c r="A796" t="s">
        <v>1746</v>
      </c>
      <c r="B796" t="s">
        <v>1747</v>
      </c>
      <c r="C796" t="s">
        <v>8595</v>
      </c>
      <c r="D796" t="str">
        <f t="shared" si="132"/>
        <v>SLIS, GAYA ABADI SEMPURNA, Gaya Abadi Sempurna, Gaya Abadi Sempurna Tbk, GayaAbadiSempurna, PT Gaya Abadi Sempurna, gaya abadi sempurna</v>
      </c>
      <c r="E796" t="str">
        <f t="shared" si="133"/>
        <v>SLIS, GAYA ABADI SEMPURNA, Gaya Abadi Sempurna, Gaya Abadi Sempurna Tbk, GayaAbadiSempurna, PT Gaya Abadi Sempurna, gaya abadi sempurna</v>
      </c>
      <c r="F796" t="str">
        <f t="shared" si="134"/>
        <v>gaya abadi sempurna</v>
      </c>
      <c r="G796" t="str">
        <f t="shared" si="137"/>
        <v>SLIS, GAYA ABADI SEMPURNA, Gaya Abadi Sempurna, Gaya Abadi Sempurna Tbk, GayaAbadiSempurna, PT Gaya Abadi Sempurna</v>
      </c>
      <c r="H796" t="str">
        <f t="shared" si="138"/>
        <v>SLIS, GAYA ABADI SEMPURNA, Gaya Abadi Sempurna, Gaya Abadi Sempurna Tbk, GayaAbadiSempurna, PT Gaya Abadi Sempurna</v>
      </c>
      <c r="I796" t="str">
        <f t="shared" si="135"/>
        <v>GAYA ABADI SEMPURNA</v>
      </c>
      <c r="J796" t="str">
        <f t="shared" si="139"/>
        <v>SLIS, Gaya Abadi Sempurna, Gaya Abadi Sempurna Tbk, GayaAbadiSempurna, PT Gaya Abadi Sempurna</v>
      </c>
      <c r="K796" t="str">
        <f t="shared" si="140"/>
        <v>SLIS, Gaya Abadi Sempurna, Gaya Abadi Sempurna Tbk, GayaAbadiSempurna, PT Gaya Abadi Sempurna</v>
      </c>
      <c r="L796" t="str">
        <f t="shared" si="136"/>
        <v>GayaAbadiSempurna</v>
      </c>
      <c r="M796" t="str">
        <f t="shared" si="141"/>
        <v>SLIS, Gaya Abadi Sempurna, Gaya Abadi Sempurna Tbk, PT Gaya Abadi Sempurna</v>
      </c>
      <c r="N796" t="str">
        <f t="shared" si="142"/>
        <v>SLIS, Gaya Abadi Sempurna, Gaya Abadi Sempurna Tbk, PT Gaya Abadi Sempurna</v>
      </c>
    </row>
    <row r="797" spans="1:14" x14ac:dyDescent="0.2">
      <c r="A797" t="s">
        <v>1109</v>
      </c>
      <c r="B797" t="s">
        <v>3891</v>
      </c>
      <c r="C797" t="s">
        <v>8596</v>
      </c>
      <c r="D797" t="str">
        <f t="shared" si="132"/>
        <v>SMAR, PT Sinar Mas Agro Resources and Technology, SINAR MAS AGRO RESOURCES AND TECHNOLOGY, Sinar Mas Agro Resources and Technology, Sinar Mas Agro Resources and Technology Tbk, SinarMasAgroResourcesandTechnology, sinar mas agro resources and technology</v>
      </c>
      <c r="E797" t="str">
        <f t="shared" si="133"/>
        <v>SMAR, PT Sinar Mas Agro Resources and Technology, SINAR MAS AGRO RESOURCES AND TECHNOLOGY, Sinar Mas Agro Resources and Technology, Sinar Mas Agro Resources and Technology Tbk, SinarMasAgroResourcesandTechnology, sinar mas agro resources and technology</v>
      </c>
      <c r="F797" t="str">
        <f t="shared" si="134"/>
        <v>sinar mas agro resources and technology</v>
      </c>
      <c r="G797" t="str">
        <f t="shared" si="137"/>
        <v>SMAR, PT Sinar Mas Agro Resources and Technology, SINAR MAS AGRO RESOURCES AND TECHNOLOGY, Sinar Mas Agro Resources and Technology, Sinar Mas Agro Resources and Technology Tbk, SinarMasAgroResourcesandTechnology</v>
      </c>
      <c r="H797" t="str">
        <f t="shared" si="138"/>
        <v>SMAR, PT Sinar Mas Agro Resources and Technology, SINAR MAS AGRO RESOURCES AND TECHNOLOGY, Sinar Mas Agro Resources and Technology, Sinar Mas Agro Resources and Technology Tbk, SinarMasAgroResourcesandTechnology</v>
      </c>
      <c r="I797" t="str">
        <f t="shared" si="135"/>
        <v>SINAR MAS AGRO RESOURCES AND TECHNOLOGY</v>
      </c>
      <c r="J797" t="str">
        <f t="shared" si="139"/>
        <v>SMAR, PT Sinar Mas Agro Resources and Technology, Sinar Mas Agro Resources and Technology, Sinar Mas Agro Resources and Technology Tbk, SinarMasAgroResourcesandTechnology</v>
      </c>
      <c r="K797" t="str">
        <f t="shared" si="140"/>
        <v>SMAR, PT Sinar Mas Agro Resources and Technology, Sinar Mas Agro Resources and Technology, Sinar Mas Agro Resources and Technology Tbk, SinarMasAgroResourcesandTechnology</v>
      </c>
      <c r="L797" t="str">
        <f t="shared" si="136"/>
        <v>SinarMasAgroResourcesandTechnology</v>
      </c>
      <c r="M797" t="str">
        <f t="shared" si="141"/>
        <v>SMAR, PT Sinar Mas Agro Resources and Technology, Sinar Mas Agro Resources and Technology, Sinar Mas Agro Resources and Technology Tbk</v>
      </c>
      <c r="N797" t="str">
        <f t="shared" si="142"/>
        <v>SMAR, PT Sinar Mas Agro Resources and Technology, Sinar Mas Agro Resources and Technology, Sinar Mas Agro Resources and Technology Tbk</v>
      </c>
    </row>
    <row r="798" spans="1:14" x14ac:dyDescent="0.2">
      <c r="A798" t="s">
        <v>1111</v>
      </c>
      <c r="B798" t="s">
        <v>1112</v>
      </c>
      <c r="C798" t="s">
        <v>8597</v>
      </c>
      <c r="D798" t="str">
        <f t="shared" si="132"/>
        <v>SMBR, PT Semen Baturaja (Persero), SEMEN BATURAJA (PERSERO), Semen Baturaja (Persero), Semen Baturaja (Persero) Tbk, SemenBaturaja(Persero), semen baturaja (persero)</v>
      </c>
      <c r="E798" t="str">
        <f t="shared" si="133"/>
        <v>SMBR, PT Semen Baturaja (Persero), SEMEN BATURAJA (PERSERO), Semen Baturaja (Persero), Semen Baturaja (Persero) Tbk, SemenBaturaja(Persero), semen baturaja (persero)</v>
      </c>
      <c r="F798" t="str">
        <f t="shared" si="134"/>
        <v>semen baturaja (persero)</v>
      </c>
      <c r="G798" t="str">
        <f t="shared" si="137"/>
        <v>SMBR, PT Semen Baturaja (Persero), SEMEN BATURAJA (PERSERO), Semen Baturaja (Persero), Semen Baturaja (Persero) Tbk, SemenBaturaja(Persero)</v>
      </c>
      <c r="H798" t="str">
        <f t="shared" si="138"/>
        <v>SMBR, PT Semen Baturaja (Persero), SEMEN BATURAJA (PERSERO), Semen Baturaja (Persero), Semen Baturaja (Persero) Tbk, SemenBaturaja(Persero)</v>
      </c>
      <c r="I798" t="str">
        <f t="shared" si="135"/>
        <v>SEMEN BATURAJA (PERSERO)</v>
      </c>
      <c r="J798" t="str">
        <f t="shared" si="139"/>
        <v>SMBR, PT Semen Baturaja (Persero), Semen Baturaja (Persero), Semen Baturaja (Persero) Tbk, SemenBaturaja(Persero)</v>
      </c>
      <c r="K798" t="str">
        <f t="shared" si="140"/>
        <v>SMBR, PT Semen Baturaja (Persero), Semen Baturaja (Persero), Semen Baturaja (Persero) Tbk, SemenBaturaja(Persero)</v>
      </c>
      <c r="L798" t="str">
        <f t="shared" si="136"/>
        <v>SemenBaturaja(Persero)</v>
      </c>
      <c r="M798" t="str">
        <f t="shared" si="141"/>
        <v>SMBR, PT Semen Baturaja (Persero), Semen Baturaja (Persero), Semen Baturaja (Persero) Tbk</v>
      </c>
      <c r="N798" t="str">
        <f t="shared" si="142"/>
        <v>SMBR, PT Semen Baturaja (Persero), Semen Baturaja (Persero), Semen Baturaja (Persero) Tbk</v>
      </c>
    </row>
    <row r="799" spans="1:14" x14ac:dyDescent="0.2">
      <c r="A799" t="s">
        <v>1114</v>
      </c>
      <c r="B799" t="s">
        <v>1115</v>
      </c>
      <c r="C799" t="s">
        <v>8598</v>
      </c>
      <c r="D799" t="str">
        <f t="shared" si="132"/>
        <v>SMCB, PT Solusi Bangun Indonesia, SOLUSI BANGUN INDONESIA, Solusi Bangun Indonesia, Solusi Bangun Indonesia Tbk, SolusiBangunIndonesia, solusi bangun indonesia</v>
      </c>
      <c r="E799" t="str">
        <f t="shared" si="133"/>
        <v>SMCB, PT Solusi Bangun Indonesia, SOLUSI BANGUN INDONESIA, Solusi Bangun Indonesia, Solusi Bangun Indonesia Tbk, SolusiBangunIndonesia, solusi bangun indonesia</v>
      </c>
      <c r="F799" t="str">
        <f t="shared" si="134"/>
        <v>solusi bangun indonesia</v>
      </c>
      <c r="G799" t="str">
        <f t="shared" si="137"/>
        <v>SMCB, PT Solusi Bangun Indonesia, SOLUSI BANGUN INDONESIA, Solusi Bangun Indonesia, Solusi Bangun Indonesia Tbk, SolusiBangunIndonesia</v>
      </c>
      <c r="H799" t="str">
        <f t="shared" si="138"/>
        <v>SMCB, PT Solusi Bangun Indonesia, SOLUSI BANGUN INDONESIA, Solusi Bangun Indonesia, Solusi Bangun Indonesia Tbk, SolusiBangunIndonesia</v>
      </c>
      <c r="I799" t="str">
        <f t="shared" si="135"/>
        <v>SOLUSI BANGUN INDONESIA</v>
      </c>
      <c r="J799" t="str">
        <f t="shared" si="139"/>
        <v>SMCB, PT Solusi Bangun Indonesia, Solusi Bangun Indonesia, Solusi Bangun Indonesia Tbk, SolusiBangunIndonesia</v>
      </c>
      <c r="K799" t="str">
        <f t="shared" si="140"/>
        <v>SMCB, PT Solusi Bangun Indonesia, Solusi Bangun Indonesia, Solusi Bangun Indonesia Tbk, SolusiBangunIndonesia</v>
      </c>
      <c r="L799" t="str">
        <f t="shared" si="136"/>
        <v>SolusiBangunIndonesia</v>
      </c>
      <c r="M799" t="str">
        <f t="shared" si="141"/>
        <v>SMCB, PT Solusi Bangun Indonesia, Solusi Bangun Indonesia, Solusi Bangun Indonesia Tbk</v>
      </c>
      <c r="N799" t="str">
        <f t="shared" si="142"/>
        <v>SMCB, PT Solusi Bangun Indonesia, Solusi Bangun Indonesia, Solusi Bangun Indonesia Tbk</v>
      </c>
    </row>
    <row r="800" spans="1:14" x14ac:dyDescent="0.2">
      <c r="A800" t="s">
        <v>1117</v>
      </c>
      <c r="B800" t="s">
        <v>1118</v>
      </c>
      <c r="C800" t="s">
        <v>8599</v>
      </c>
      <c r="D800" t="str">
        <f t="shared" si="132"/>
        <v>SMDM, PT Suryamas Dutamakmur, SURYAMAS DUTAMAKMUR, Suryamas Dutamakmur, Suryamas Dutamakmur Tbk, SuryamasDutamakmur, suryamas dutamakmur</v>
      </c>
      <c r="E800" t="str">
        <f t="shared" si="133"/>
        <v>SMDM, PT Suryamas Dutamakmur, SURYAMAS DUTAMAKMUR, Suryamas Dutamakmur, Suryamas Dutamakmur Tbk, SuryamasDutamakmur, suryamas dutamakmur</v>
      </c>
      <c r="F800" t="str">
        <f t="shared" si="134"/>
        <v>suryamas dutamakmur</v>
      </c>
      <c r="G800" t="str">
        <f t="shared" si="137"/>
        <v>SMDM, PT Suryamas Dutamakmur, SURYAMAS DUTAMAKMUR, Suryamas Dutamakmur, Suryamas Dutamakmur Tbk, SuryamasDutamakmur</v>
      </c>
      <c r="H800" t="str">
        <f t="shared" si="138"/>
        <v>SMDM, PT Suryamas Dutamakmur, SURYAMAS DUTAMAKMUR, Suryamas Dutamakmur, Suryamas Dutamakmur Tbk, SuryamasDutamakmur</v>
      </c>
      <c r="I800" t="str">
        <f t="shared" si="135"/>
        <v>SURYAMAS DUTAMAKMUR</v>
      </c>
      <c r="J800" t="str">
        <f t="shared" si="139"/>
        <v>SMDM, PT Suryamas Dutamakmur, Suryamas Dutamakmur, Suryamas Dutamakmur Tbk, SuryamasDutamakmur</v>
      </c>
      <c r="K800" t="str">
        <f t="shared" si="140"/>
        <v>SMDM, PT Suryamas Dutamakmur, Suryamas Dutamakmur, Suryamas Dutamakmur Tbk, SuryamasDutamakmur</v>
      </c>
      <c r="L800" t="str">
        <f t="shared" si="136"/>
        <v>SuryamasDutamakmur</v>
      </c>
      <c r="M800" t="str">
        <f t="shared" si="141"/>
        <v>SMDM, PT Suryamas Dutamakmur, Suryamas Dutamakmur, Suryamas Dutamakmur Tbk</v>
      </c>
      <c r="N800" t="str">
        <f t="shared" si="142"/>
        <v>SMDM, PT Suryamas Dutamakmur, Suryamas Dutamakmur, Suryamas Dutamakmur Tbk</v>
      </c>
    </row>
    <row r="801" spans="1:14" x14ac:dyDescent="0.2">
      <c r="A801" t="s">
        <v>1120</v>
      </c>
      <c r="B801" t="s">
        <v>3892</v>
      </c>
      <c r="C801" t="s">
        <v>8600</v>
      </c>
      <c r="D801" t="str">
        <f t="shared" si="132"/>
        <v>SMDR, PT Samudera Indonesia, SAMUDERA INDONESIA, Samudera Indonesia, Samudera Indonesia Tbk, SamuderaIndonesia, samudera indonesia</v>
      </c>
      <c r="E801" t="str">
        <f t="shared" si="133"/>
        <v>SMDR, PT Samudera Indonesia, SAMUDERA INDONESIA, Samudera Indonesia, Samudera Indonesia Tbk, SamuderaIndonesia, samudera indonesia</v>
      </c>
      <c r="F801" t="str">
        <f t="shared" si="134"/>
        <v>samudera indonesia</v>
      </c>
      <c r="G801" t="str">
        <f t="shared" si="137"/>
        <v>SMDR, PT Samudera Indonesia, SAMUDERA INDONESIA, Samudera Indonesia, Samudera Indonesia Tbk, SamuderaIndonesia</v>
      </c>
      <c r="H801" t="str">
        <f t="shared" si="138"/>
        <v>SMDR, PT Samudera Indonesia, SAMUDERA INDONESIA, Samudera Indonesia, Samudera Indonesia Tbk, SamuderaIndonesia</v>
      </c>
      <c r="I801" t="str">
        <f t="shared" si="135"/>
        <v>SAMUDERA INDONESIA</v>
      </c>
      <c r="J801" t="str">
        <f t="shared" si="139"/>
        <v>SMDR, PT Samudera Indonesia, Samudera Indonesia, Samudera Indonesia Tbk, SamuderaIndonesia</v>
      </c>
      <c r="K801" t="str">
        <f t="shared" si="140"/>
        <v>SMDR, PT Samudera Indonesia, Samudera Indonesia, Samudera Indonesia Tbk, SamuderaIndonesia</v>
      </c>
      <c r="L801" t="str">
        <f t="shared" si="136"/>
        <v>SamuderaIndonesia</v>
      </c>
      <c r="M801" t="str">
        <f t="shared" si="141"/>
        <v>SMDR, PT Samudera Indonesia, Samudera Indonesia, Samudera Indonesia Tbk</v>
      </c>
      <c r="N801" t="str">
        <f t="shared" si="142"/>
        <v>SMDR, PT Samudera Indonesia, Samudera Indonesia, Samudera Indonesia Tbk</v>
      </c>
    </row>
    <row r="802" spans="1:14" x14ac:dyDescent="0.2">
      <c r="A802" t="s">
        <v>2419</v>
      </c>
      <c r="B802" t="s">
        <v>3679</v>
      </c>
      <c r="C802" t="s">
        <v>8601</v>
      </c>
      <c r="D802" t="str">
        <f t="shared" si="132"/>
        <v>SMGA, PT Sumber Mineral Global Abadi, SUMBER MINERAL GLOBAL ABADI, Sumber Mineral Global Abadi, Sumber Mineral Global Abadi Tbk, SumberMineralGlobalAbadi, sumber mineral global abadi</v>
      </c>
      <c r="E802" t="str">
        <f t="shared" si="133"/>
        <v>SMGA, PT Sumber Mineral Global Abadi, SUMBER MINERAL GLOBAL ABADI, Sumber Mineral Global Abadi, Sumber Mineral Global Abadi Tbk, SumberMineralGlobalAbadi, sumber mineral global abadi</v>
      </c>
      <c r="F802" t="str">
        <f t="shared" si="134"/>
        <v>sumber mineral global abadi</v>
      </c>
      <c r="G802" t="str">
        <f t="shared" si="137"/>
        <v>SMGA, PT Sumber Mineral Global Abadi, SUMBER MINERAL GLOBAL ABADI, Sumber Mineral Global Abadi, Sumber Mineral Global Abadi Tbk, SumberMineralGlobalAbadi</v>
      </c>
      <c r="H802" t="str">
        <f t="shared" si="138"/>
        <v>SMGA, PT Sumber Mineral Global Abadi, SUMBER MINERAL GLOBAL ABADI, Sumber Mineral Global Abadi, Sumber Mineral Global Abadi Tbk, SumberMineralGlobalAbadi</v>
      </c>
      <c r="I802" t="str">
        <f t="shared" si="135"/>
        <v>SUMBER MINERAL GLOBAL ABADI</v>
      </c>
      <c r="J802" t="str">
        <f t="shared" si="139"/>
        <v>SMGA, PT Sumber Mineral Global Abadi, Sumber Mineral Global Abadi, Sumber Mineral Global Abadi Tbk, SumberMineralGlobalAbadi</v>
      </c>
      <c r="K802" t="str">
        <f t="shared" si="140"/>
        <v>SMGA, PT Sumber Mineral Global Abadi, Sumber Mineral Global Abadi, Sumber Mineral Global Abadi Tbk, SumberMineralGlobalAbadi</v>
      </c>
      <c r="L802" t="str">
        <f t="shared" si="136"/>
        <v>SumberMineralGlobalAbadi</v>
      </c>
      <c r="M802" t="str">
        <f t="shared" si="141"/>
        <v>SMGA, PT Sumber Mineral Global Abadi, Sumber Mineral Global Abadi, Sumber Mineral Global Abadi Tbk</v>
      </c>
      <c r="N802" t="str">
        <f t="shared" si="142"/>
        <v>SMGA, PT Sumber Mineral Global Abadi, Sumber Mineral Global Abadi, Sumber Mineral Global Abadi Tbk</v>
      </c>
    </row>
    <row r="803" spans="1:14" x14ac:dyDescent="0.2">
      <c r="A803" t="s">
        <v>1122</v>
      </c>
      <c r="B803" t="s">
        <v>1123</v>
      </c>
      <c r="C803" t="s">
        <v>8602</v>
      </c>
      <c r="D803" t="str">
        <f t="shared" si="132"/>
        <v>SMGR, PT Semen Indonesia (Persero), SEMEN INDONESIA (PERSERO), Semen Indonesia (Persero), Semen Indonesia (Persero) Tbk, SemenIndonesia(Persero), semen indonesia (persero)</v>
      </c>
      <c r="E803" t="str">
        <f t="shared" si="133"/>
        <v>SMGR, PT Semen Indonesia (Persero), SEMEN INDONESIA (PERSERO), Semen Indonesia (Persero), Semen Indonesia (Persero) Tbk, SemenIndonesia(Persero), semen indonesia (persero)</v>
      </c>
      <c r="F803" t="str">
        <f t="shared" si="134"/>
        <v>semen indonesia (persero)</v>
      </c>
      <c r="G803" t="str">
        <f t="shared" si="137"/>
        <v>SMGR, PT Semen Indonesia (Persero), SEMEN INDONESIA (PERSERO), Semen Indonesia (Persero), Semen Indonesia (Persero) Tbk, SemenIndonesia(Persero)</v>
      </c>
      <c r="H803" t="str">
        <f t="shared" si="138"/>
        <v>SMGR, PT Semen Indonesia (Persero), SEMEN INDONESIA (PERSERO), Semen Indonesia (Persero), Semen Indonesia (Persero) Tbk, SemenIndonesia(Persero)</v>
      </c>
      <c r="I803" t="str">
        <f t="shared" si="135"/>
        <v>SEMEN INDONESIA (PERSERO)</v>
      </c>
      <c r="J803" t="str">
        <f t="shared" si="139"/>
        <v>SMGR, PT Semen Indonesia (Persero), Semen Indonesia (Persero), Semen Indonesia (Persero) Tbk, SemenIndonesia(Persero)</v>
      </c>
      <c r="K803" t="str">
        <f t="shared" si="140"/>
        <v>SMGR, PT Semen Indonesia (Persero), Semen Indonesia (Persero), Semen Indonesia (Persero) Tbk, SemenIndonesia(Persero)</v>
      </c>
      <c r="L803" t="str">
        <f t="shared" si="136"/>
        <v>SemenIndonesia(Persero)</v>
      </c>
      <c r="M803" t="str">
        <f t="shared" si="141"/>
        <v>SMGR, PT Semen Indonesia (Persero), Semen Indonesia (Persero), Semen Indonesia (Persero) Tbk</v>
      </c>
      <c r="N803" t="str">
        <f t="shared" si="142"/>
        <v>SMGR, PT Semen Indonesia (Persero), Semen Indonesia (Persero), Semen Indonesia (Persero) Tbk</v>
      </c>
    </row>
    <row r="804" spans="1:14" x14ac:dyDescent="0.2">
      <c r="A804" t="s">
        <v>2305</v>
      </c>
      <c r="B804" t="s">
        <v>2306</v>
      </c>
      <c r="C804" t="s">
        <v>8603</v>
      </c>
      <c r="D804" t="str">
        <f t="shared" si="132"/>
        <v>SMIL, PT Sarana Mitra Luas, SARANA MITRA LUAS, Sarana Mitra Luas, Sarana Mitra Luas Tbk, SaranaMitraLuas, sarana mitra luas</v>
      </c>
      <c r="E804" t="str">
        <f t="shared" si="133"/>
        <v>SMIL, PT Sarana Mitra Luas, SARANA MITRA LUAS, Sarana Mitra Luas, Sarana Mitra Luas Tbk, SaranaMitraLuas, sarana mitra luas</v>
      </c>
      <c r="F804" t="str">
        <f t="shared" si="134"/>
        <v>sarana mitra luas</v>
      </c>
      <c r="G804" t="str">
        <f t="shared" si="137"/>
        <v>SMIL, PT Sarana Mitra Luas, SARANA MITRA LUAS, Sarana Mitra Luas, Sarana Mitra Luas Tbk, SaranaMitraLuas</v>
      </c>
      <c r="H804" t="str">
        <f t="shared" si="138"/>
        <v>SMIL, PT Sarana Mitra Luas, SARANA MITRA LUAS, Sarana Mitra Luas, Sarana Mitra Luas Tbk, SaranaMitraLuas</v>
      </c>
      <c r="I804" t="str">
        <f t="shared" si="135"/>
        <v>SARANA MITRA LUAS</v>
      </c>
      <c r="J804" t="str">
        <f t="shared" si="139"/>
        <v>SMIL, PT Sarana Mitra Luas, Sarana Mitra Luas, Sarana Mitra Luas Tbk, SaranaMitraLuas</v>
      </c>
      <c r="K804" t="str">
        <f t="shared" si="140"/>
        <v>SMIL, PT Sarana Mitra Luas, Sarana Mitra Luas, Sarana Mitra Luas Tbk, SaranaMitraLuas</v>
      </c>
      <c r="L804" t="str">
        <f t="shared" si="136"/>
        <v>SaranaMitraLuas</v>
      </c>
      <c r="M804" t="str">
        <f t="shared" si="141"/>
        <v>SMIL, PT Sarana Mitra Luas, Sarana Mitra Luas, Sarana Mitra Luas Tbk</v>
      </c>
      <c r="N804" t="str">
        <f t="shared" si="142"/>
        <v>SMIL, PT Sarana Mitra Luas, Sarana Mitra Luas, Sarana Mitra Luas Tbk</v>
      </c>
    </row>
    <row r="805" spans="1:14" x14ac:dyDescent="0.2">
      <c r="A805" t="s">
        <v>1723</v>
      </c>
      <c r="B805" t="s">
        <v>1724</v>
      </c>
      <c r="C805" t="s">
        <v>8604</v>
      </c>
      <c r="D805" t="str">
        <f t="shared" si="132"/>
        <v>SMKL, PT Satyamitra Kemas Lestari, SATYAMITRA KEMAS LESTARI, Satyamitra Kemas Lestari, Satyamitra Kemas Lestari Tbk, SatyamitraKemasLestari, satyamitra kemas lestari</v>
      </c>
      <c r="E805" t="str">
        <f t="shared" si="133"/>
        <v>SMKL, PT Satyamitra Kemas Lestari, SATYAMITRA KEMAS LESTARI, Satyamitra Kemas Lestari, Satyamitra Kemas Lestari Tbk, SatyamitraKemasLestari, satyamitra kemas lestari</v>
      </c>
      <c r="F805" t="str">
        <f t="shared" si="134"/>
        <v>satyamitra kemas lestari</v>
      </c>
      <c r="G805" t="str">
        <f t="shared" si="137"/>
        <v>SMKL, PT Satyamitra Kemas Lestari, SATYAMITRA KEMAS LESTARI, Satyamitra Kemas Lestari, Satyamitra Kemas Lestari Tbk, SatyamitraKemasLestari</v>
      </c>
      <c r="H805" t="str">
        <f t="shared" si="138"/>
        <v>SMKL, PT Satyamitra Kemas Lestari, SATYAMITRA KEMAS LESTARI, Satyamitra Kemas Lestari, Satyamitra Kemas Lestari Tbk, SatyamitraKemasLestari</v>
      </c>
      <c r="I805" t="str">
        <f t="shared" si="135"/>
        <v>SATYAMITRA KEMAS LESTARI</v>
      </c>
      <c r="J805" t="str">
        <f t="shared" si="139"/>
        <v>SMKL, PT Satyamitra Kemas Lestari, Satyamitra Kemas Lestari, Satyamitra Kemas Lestari Tbk, SatyamitraKemasLestari</v>
      </c>
      <c r="K805" t="str">
        <f t="shared" si="140"/>
        <v>SMKL, PT Satyamitra Kemas Lestari, Satyamitra Kemas Lestari, Satyamitra Kemas Lestari Tbk, SatyamitraKemasLestari</v>
      </c>
      <c r="L805" t="str">
        <f t="shared" si="136"/>
        <v>SatyamitraKemasLestari</v>
      </c>
      <c r="M805" t="str">
        <f t="shared" si="141"/>
        <v>SMKL, PT Satyamitra Kemas Lestari, Satyamitra Kemas Lestari, Satyamitra Kemas Lestari Tbk</v>
      </c>
      <c r="N805" t="str">
        <f t="shared" si="142"/>
        <v>SMKL, PT Satyamitra Kemas Lestari, Satyamitra Kemas Lestari, Satyamitra Kemas Lestari Tbk</v>
      </c>
    </row>
    <row r="806" spans="1:14" x14ac:dyDescent="0.2">
      <c r="A806" t="s">
        <v>2080</v>
      </c>
      <c r="B806" t="s">
        <v>2081</v>
      </c>
      <c r="C806" t="s">
        <v>8605</v>
      </c>
      <c r="D806" t="str">
        <f t="shared" si="132"/>
        <v>SMKM, PT Sumber Mas Konstruksi, SUMBER MAS KONSTRUKSI, Sumber Mas Konstruksi, Sumber Mas Konstruksi Tbk, SumberMasKonstruksi, sumber mas konstruksi</v>
      </c>
      <c r="E806" t="str">
        <f t="shared" si="133"/>
        <v>SMKM, PT Sumber Mas Konstruksi, SUMBER MAS KONSTRUKSI, Sumber Mas Konstruksi, Sumber Mas Konstruksi Tbk, SumberMasKonstruksi, sumber mas konstruksi</v>
      </c>
      <c r="F806" t="str">
        <f t="shared" si="134"/>
        <v>sumber mas konstruksi</v>
      </c>
      <c r="G806" t="str">
        <f t="shared" si="137"/>
        <v>SMKM, PT Sumber Mas Konstruksi, SUMBER MAS KONSTRUKSI, Sumber Mas Konstruksi, Sumber Mas Konstruksi Tbk, SumberMasKonstruksi</v>
      </c>
      <c r="H806" t="str">
        <f t="shared" si="138"/>
        <v>SMKM, PT Sumber Mas Konstruksi, SUMBER MAS KONSTRUKSI, Sumber Mas Konstruksi, Sumber Mas Konstruksi Tbk, SumberMasKonstruksi</v>
      </c>
      <c r="I806" t="str">
        <f t="shared" si="135"/>
        <v>SUMBER MAS KONSTRUKSI</v>
      </c>
      <c r="J806" t="str">
        <f t="shared" si="139"/>
        <v>SMKM, PT Sumber Mas Konstruksi, Sumber Mas Konstruksi, Sumber Mas Konstruksi Tbk, SumberMasKonstruksi</v>
      </c>
      <c r="K806" t="str">
        <f t="shared" si="140"/>
        <v>SMKM, PT Sumber Mas Konstruksi, Sumber Mas Konstruksi, Sumber Mas Konstruksi Tbk, SumberMasKonstruksi</v>
      </c>
      <c r="L806" t="str">
        <f t="shared" si="136"/>
        <v>SumberMasKonstruksi</v>
      </c>
      <c r="M806" t="str">
        <f t="shared" si="141"/>
        <v>SMKM, PT Sumber Mas Konstruksi, Sumber Mas Konstruksi, Sumber Mas Konstruksi Tbk</v>
      </c>
      <c r="N806" t="str">
        <f t="shared" si="142"/>
        <v>SMKM, PT Sumber Mas Konstruksi, Sumber Mas Konstruksi, Sumber Mas Konstruksi Tbk</v>
      </c>
    </row>
    <row r="807" spans="1:14" x14ac:dyDescent="0.2">
      <c r="A807" t="s">
        <v>2634</v>
      </c>
      <c r="B807" t="s">
        <v>2635</v>
      </c>
      <c r="C807" t="s">
        <v>8606</v>
      </c>
      <c r="D807" t="str">
        <f t="shared" si="132"/>
        <v>SMLE, PT Sinergi Multi Lestarindo, SINERGI MULTI LESTARINDO, Sinergi Multi Lestarindo, Sinergi Multi Lestarindo Tbk, SinergiMultiLestarindo, sinergi multi lestarindo</v>
      </c>
      <c r="E807" t="str">
        <f t="shared" si="133"/>
        <v>SMLE, PT Sinergi Multi Lestarindo, SINERGI MULTI LESTARINDO, Sinergi Multi Lestarindo, Sinergi Multi Lestarindo Tbk, SinergiMultiLestarindo, sinergi multi lestarindo</v>
      </c>
      <c r="F807" t="str">
        <f t="shared" si="134"/>
        <v>sinergi multi lestarindo</v>
      </c>
      <c r="G807" t="str">
        <f t="shared" si="137"/>
        <v>SMLE, PT Sinergi Multi Lestarindo, SINERGI MULTI LESTARINDO, Sinergi Multi Lestarindo, Sinergi Multi Lestarindo Tbk, SinergiMultiLestarindo</v>
      </c>
      <c r="H807" t="str">
        <f t="shared" si="138"/>
        <v>SMLE, PT Sinergi Multi Lestarindo, SINERGI MULTI LESTARINDO, Sinergi Multi Lestarindo, Sinergi Multi Lestarindo Tbk, SinergiMultiLestarindo</v>
      </c>
      <c r="I807" t="str">
        <f t="shared" si="135"/>
        <v>SINERGI MULTI LESTARINDO</v>
      </c>
      <c r="J807" t="str">
        <f t="shared" si="139"/>
        <v>SMLE, PT Sinergi Multi Lestarindo, Sinergi Multi Lestarindo, Sinergi Multi Lestarindo Tbk, SinergiMultiLestarindo</v>
      </c>
      <c r="K807" t="str">
        <f t="shared" si="140"/>
        <v>SMLE, PT Sinergi Multi Lestarindo, Sinergi Multi Lestarindo, Sinergi Multi Lestarindo Tbk, SinergiMultiLestarindo</v>
      </c>
      <c r="L807" t="str">
        <f t="shared" si="136"/>
        <v>SinergiMultiLestarindo</v>
      </c>
      <c r="M807" t="str">
        <f t="shared" si="141"/>
        <v>SMLE, PT Sinergi Multi Lestarindo, Sinergi Multi Lestarindo, Sinergi Multi Lestarindo Tbk</v>
      </c>
      <c r="N807" t="str">
        <f t="shared" si="142"/>
        <v>SMLE, PT Sinergi Multi Lestarindo, Sinergi Multi Lestarindo, Sinergi Multi Lestarindo Tbk</v>
      </c>
    </row>
    <row r="808" spans="1:14" x14ac:dyDescent="0.2">
      <c r="A808" t="s">
        <v>1125</v>
      </c>
      <c r="B808" t="s">
        <v>1126</v>
      </c>
      <c r="C808" t="s">
        <v>8607</v>
      </c>
      <c r="D808" t="str">
        <f t="shared" si="132"/>
        <v>SMMA, PT Sinarmas Multiartha, SINARMAS MULTIARTHA, Sinarmas Multiartha, Sinarmas Multiartha Tbk, SinarmasMultiartha, sinarmas multiartha</v>
      </c>
      <c r="E808" t="str">
        <f t="shared" si="133"/>
        <v>SMMA, PT Sinarmas Multiartha, SINARMAS MULTIARTHA, Sinarmas Multiartha, Sinarmas Multiartha Tbk, SinarmasMultiartha, sinarmas multiartha</v>
      </c>
      <c r="F808" t="str">
        <f t="shared" si="134"/>
        <v>sinarmas multiartha</v>
      </c>
      <c r="G808" t="str">
        <f t="shared" si="137"/>
        <v>SMMA, PT Sinarmas Multiartha, SINARMAS MULTIARTHA, Sinarmas Multiartha, Sinarmas Multiartha Tbk, SinarmasMultiartha</v>
      </c>
      <c r="H808" t="str">
        <f t="shared" si="138"/>
        <v>SMMA, PT Sinarmas Multiartha, SINARMAS MULTIARTHA, Sinarmas Multiartha, Sinarmas Multiartha Tbk, SinarmasMultiartha</v>
      </c>
      <c r="I808" t="str">
        <f t="shared" si="135"/>
        <v>SINARMAS MULTIARTHA</v>
      </c>
      <c r="J808" t="str">
        <f t="shared" si="139"/>
        <v>SMMA, PT Sinarmas Multiartha, Sinarmas Multiartha, Sinarmas Multiartha Tbk, SinarmasMultiartha</v>
      </c>
      <c r="K808" t="str">
        <f t="shared" si="140"/>
        <v>SMMA, PT Sinarmas Multiartha, Sinarmas Multiartha, Sinarmas Multiartha Tbk, SinarmasMultiartha</v>
      </c>
      <c r="L808" t="str">
        <f t="shared" si="136"/>
        <v>SinarmasMultiartha</v>
      </c>
      <c r="M808" t="str">
        <f t="shared" si="141"/>
        <v>SMMA, PT Sinarmas Multiartha, Sinarmas Multiartha, Sinarmas Multiartha Tbk</v>
      </c>
      <c r="N808" t="str">
        <f t="shared" si="142"/>
        <v>SMMA, PT Sinarmas Multiartha, Sinarmas Multiartha, Sinarmas Multiartha Tbk</v>
      </c>
    </row>
    <row r="809" spans="1:14" x14ac:dyDescent="0.2">
      <c r="A809" t="s">
        <v>1128</v>
      </c>
      <c r="B809" t="s">
        <v>1129</v>
      </c>
      <c r="C809" t="s">
        <v>8608</v>
      </c>
      <c r="D809" t="str">
        <f t="shared" si="132"/>
        <v>SMMT, GOLDEN EAGLE ENERGY, Golden Eagle Energy, Golden Eagle Energy Tbk, GoldenEagleEnergy, PT Golden Eagle Energy, golden eagle energy</v>
      </c>
      <c r="E809" t="str">
        <f t="shared" si="133"/>
        <v>SMMT, GOLDEN EAGLE ENERGY, Golden Eagle Energy, Golden Eagle Energy Tbk, GoldenEagleEnergy, PT Golden Eagle Energy, golden eagle energy</v>
      </c>
      <c r="F809" t="str">
        <f t="shared" si="134"/>
        <v>golden eagle energy</v>
      </c>
      <c r="G809" t="str">
        <f t="shared" si="137"/>
        <v>SMMT, GOLDEN EAGLE ENERGY, Golden Eagle Energy, Golden Eagle Energy Tbk, GoldenEagleEnergy, PT Golden Eagle Energy</v>
      </c>
      <c r="H809" t="str">
        <f t="shared" si="138"/>
        <v>SMMT, GOLDEN EAGLE ENERGY, Golden Eagle Energy, Golden Eagle Energy Tbk, GoldenEagleEnergy, PT Golden Eagle Energy</v>
      </c>
      <c r="I809" t="str">
        <f t="shared" si="135"/>
        <v>GOLDEN EAGLE ENERGY</v>
      </c>
      <c r="J809" t="str">
        <f t="shared" si="139"/>
        <v>SMMT, Golden Eagle Energy, Golden Eagle Energy Tbk, GoldenEagleEnergy, PT Golden Eagle Energy</v>
      </c>
      <c r="K809" t="str">
        <f t="shared" si="140"/>
        <v>SMMT, Golden Eagle Energy, Golden Eagle Energy Tbk, GoldenEagleEnergy, PT Golden Eagle Energy</v>
      </c>
      <c r="L809" t="str">
        <f t="shared" si="136"/>
        <v>GoldenEagleEnergy</v>
      </c>
      <c r="M809" t="str">
        <f t="shared" si="141"/>
        <v>SMMT, Golden Eagle Energy, Golden Eagle Energy Tbk, PT Golden Eagle Energy</v>
      </c>
      <c r="N809" t="str">
        <f t="shared" si="142"/>
        <v>SMMT, Golden Eagle Energy, Golden Eagle Energy Tbk, PT Golden Eagle Energy</v>
      </c>
    </row>
    <row r="810" spans="1:14" x14ac:dyDescent="0.2">
      <c r="A810" t="s">
        <v>1131</v>
      </c>
      <c r="B810" t="s">
        <v>1132</v>
      </c>
      <c r="C810" t="s">
        <v>8609</v>
      </c>
      <c r="D810" t="str">
        <f t="shared" si="132"/>
        <v>SMRA, PT Summarecon Agung, SUMMARECON AGUNG, Summarecon Agung, Summarecon Agung Tbk, SummareconAgung, summarecon agung</v>
      </c>
      <c r="E810" t="str">
        <f t="shared" si="133"/>
        <v>SMRA, PT Summarecon Agung, SUMMARECON AGUNG, Summarecon Agung, Summarecon Agung Tbk, SummareconAgung, summarecon agung</v>
      </c>
      <c r="F810" t="str">
        <f t="shared" si="134"/>
        <v>summarecon agung</v>
      </c>
      <c r="G810" t="str">
        <f t="shared" si="137"/>
        <v>SMRA, PT Summarecon Agung, SUMMARECON AGUNG, Summarecon Agung, Summarecon Agung Tbk, SummareconAgung</v>
      </c>
      <c r="H810" t="str">
        <f t="shared" si="138"/>
        <v>SMRA, PT Summarecon Agung, SUMMARECON AGUNG, Summarecon Agung, Summarecon Agung Tbk, SummareconAgung</v>
      </c>
      <c r="I810" t="str">
        <f t="shared" si="135"/>
        <v>SUMMARECON AGUNG</v>
      </c>
      <c r="J810" t="str">
        <f t="shared" si="139"/>
        <v>SMRA, PT Summarecon Agung, Summarecon Agung, Summarecon Agung Tbk, SummareconAgung</v>
      </c>
      <c r="K810" t="str">
        <f t="shared" si="140"/>
        <v>SMRA, PT Summarecon Agung, Summarecon Agung, Summarecon Agung Tbk, SummareconAgung</v>
      </c>
      <c r="L810" t="str">
        <f t="shared" si="136"/>
        <v>SummareconAgung</v>
      </c>
      <c r="M810" t="str">
        <f t="shared" si="141"/>
        <v>SMRA, PT Summarecon Agung, Summarecon Agung, Summarecon Agung Tbk</v>
      </c>
      <c r="N810" t="str">
        <f t="shared" si="142"/>
        <v>SMRA, PT Summarecon Agung, Summarecon Agung, Summarecon Agung Tbk</v>
      </c>
    </row>
    <row r="811" spans="1:14" x14ac:dyDescent="0.2">
      <c r="A811" t="s">
        <v>1134</v>
      </c>
      <c r="B811" t="s">
        <v>1135</v>
      </c>
      <c r="C811" t="s">
        <v>8610</v>
      </c>
      <c r="D811" t="str">
        <f t="shared" si="132"/>
        <v>SMRU, PT SMR Utama, SMR UTAMA, SMR Utama, SMR Utama Tbk, SMRUtama, smr utama</v>
      </c>
      <c r="E811" t="str">
        <f t="shared" si="133"/>
        <v>SMRU, PT SMR Utama, SMR UTAMA, SMR Utama, SMR Utama Tbk, SMRUtama, smr utama</v>
      </c>
      <c r="F811" t="str">
        <f t="shared" si="134"/>
        <v>smr utama</v>
      </c>
      <c r="G811" t="str">
        <f t="shared" si="137"/>
        <v>SMRU, PT SMR Utama, SMR UTAMA, SMR Utama, SMR Utama Tbk, SMRUtama</v>
      </c>
      <c r="H811" t="str">
        <f t="shared" si="138"/>
        <v>SMRU, PT SMR Utama, SMR UTAMA, SMR Utama, SMR Utama Tbk, SMRUtama</v>
      </c>
      <c r="I811" t="str">
        <f t="shared" si="135"/>
        <v>SMR UTAMA</v>
      </c>
      <c r="J811" t="str">
        <f t="shared" si="139"/>
        <v>SMRU, PT SMR Utama, SMR Utama, SMR Utama Tbk, SMRUtama</v>
      </c>
      <c r="K811" t="str">
        <f t="shared" si="140"/>
        <v>SMRU, PT SMR Utama, SMR Utama, SMR Utama Tbk, SMRUtama</v>
      </c>
      <c r="L811" t="str">
        <f t="shared" si="136"/>
        <v>SMRUtama</v>
      </c>
      <c r="M811" t="str">
        <f t="shared" si="141"/>
        <v>SMRU, PT SMR Utama, SMR Utama, SMR Utama Tbk</v>
      </c>
      <c r="N811" t="str">
        <f t="shared" si="142"/>
        <v>SMRU, PT SMR Utama, SMR Utama, SMR Utama Tbk</v>
      </c>
    </row>
    <row r="812" spans="1:14" x14ac:dyDescent="0.2">
      <c r="A812" t="s">
        <v>1137</v>
      </c>
      <c r="B812" t="s">
        <v>1138</v>
      </c>
      <c r="C812" t="s">
        <v>8611</v>
      </c>
      <c r="D812" t="str">
        <f t="shared" si="132"/>
        <v>SMSM, PT Selamat Sempurna, SELAMAT SEMPURNA, Selamat Sempurna, Selamat Sempurna Tbk, SelamatSempurna, selamat sempurna</v>
      </c>
      <c r="E812" t="str">
        <f t="shared" si="133"/>
        <v>SMSM, PT Selamat Sempurna, SELAMAT SEMPURNA, Selamat Sempurna, Selamat Sempurna Tbk, SelamatSempurna, selamat sempurna</v>
      </c>
      <c r="F812" t="str">
        <f t="shared" si="134"/>
        <v>selamat sempurna</v>
      </c>
      <c r="G812" t="str">
        <f t="shared" si="137"/>
        <v>SMSM, PT Selamat Sempurna, SELAMAT SEMPURNA, Selamat Sempurna, Selamat Sempurna Tbk, SelamatSempurna</v>
      </c>
      <c r="H812" t="str">
        <f t="shared" si="138"/>
        <v>SMSM, PT Selamat Sempurna, SELAMAT SEMPURNA, Selamat Sempurna, Selamat Sempurna Tbk, SelamatSempurna</v>
      </c>
      <c r="I812" t="str">
        <f t="shared" si="135"/>
        <v>SELAMAT SEMPURNA</v>
      </c>
      <c r="J812" t="str">
        <f t="shared" si="139"/>
        <v>SMSM, PT Selamat Sempurna, Selamat Sempurna, Selamat Sempurna Tbk, SelamatSempurna</v>
      </c>
      <c r="K812" t="str">
        <f t="shared" si="140"/>
        <v>SMSM, PT Selamat Sempurna, Selamat Sempurna, Selamat Sempurna Tbk, SelamatSempurna</v>
      </c>
      <c r="L812" t="str">
        <f t="shared" si="136"/>
        <v>SelamatSempurna</v>
      </c>
      <c r="M812" t="str">
        <f t="shared" si="141"/>
        <v>SMSM, PT Selamat Sempurna, Selamat Sempurna, Selamat Sempurna Tbk</v>
      </c>
      <c r="N812" t="str">
        <f t="shared" si="142"/>
        <v>SMSM, PT Selamat Sempurna, Selamat Sempurna, Selamat Sempurna Tbk</v>
      </c>
    </row>
    <row r="813" spans="1:14" x14ac:dyDescent="0.2">
      <c r="A813" t="s">
        <v>1924</v>
      </c>
      <c r="B813" t="s">
        <v>1925</v>
      </c>
      <c r="C813" t="s">
        <v>8612</v>
      </c>
      <c r="D813" t="str">
        <f t="shared" si="132"/>
        <v>SNLK, PT Sunter Lakeside Hotel, SUNTER LAKESIDE HOTEL, Sunter Lakeside Hotel, Sunter Lakeside Hotel Tbk, SunterLakesideHotel, sunter lakeside hotel</v>
      </c>
      <c r="E813" t="str">
        <f t="shared" si="133"/>
        <v>SNLK, PT Sunter Lakeside Hotel, SUNTER LAKESIDE HOTEL, Sunter Lakeside Hotel, Sunter Lakeside Hotel Tbk, SunterLakesideHotel, sunter lakeside hotel</v>
      </c>
      <c r="F813" t="str">
        <f t="shared" si="134"/>
        <v>sunter lakeside hotel</v>
      </c>
      <c r="G813" t="str">
        <f t="shared" si="137"/>
        <v>SNLK, PT Sunter Lakeside Hotel, SUNTER LAKESIDE HOTEL, Sunter Lakeside Hotel, Sunter Lakeside Hotel Tbk, SunterLakesideHotel</v>
      </c>
      <c r="H813" t="str">
        <f t="shared" si="138"/>
        <v>SNLK, PT Sunter Lakeside Hotel, SUNTER LAKESIDE HOTEL, Sunter Lakeside Hotel, Sunter Lakeside Hotel Tbk, SunterLakesideHotel</v>
      </c>
      <c r="I813" t="str">
        <f t="shared" si="135"/>
        <v>SUNTER LAKESIDE HOTEL</v>
      </c>
      <c r="J813" t="str">
        <f t="shared" si="139"/>
        <v>SNLK, PT Sunter Lakeside Hotel, Sunter Lakeside Hotel, Sunter Lakeside Hotel Tbk, SunterLakesideHotel</v>
      </c>
      <c r="K813" t="str">
        <f t="shared" si="140"/>
        <v>SNLK, PT Sunter Lakeside Hotel, Sunter Lakeside Hotel, Sunter Lakeside Hotel Tbk, SunterLakesideHotel</v>
      </c>
      <c r="L813" t="str">
        <f t="shared" si="136"/>
        <v>SunterLakesideHotel</v>
      </c>
      <c r="M813" t="str">
        <f t="shared" si="141"/>
        <v>SNLK, PT Sunter Lakeside Hotel, Sunter Lakeside Hotel, Sunter Lakeside Hotel Tbk</v>
      </c>
      <c r="N813" t="str">
        <f t="shared" si="142"/>
        <v>SNLK, PT Sunter Lakeside Hotel, Sunter Lakeside Hotel, Sunter Lakeside Hotel Tbk</v>
      </c>
    </row>
    <row r="814" spans="1:14" x14ac:dyDescent="0.2">
      <c r="A814" t="s">
        <v>1140</v>
      </c>
      <c r="B814" t="s">
        <v>1141</v>
      </c>
      <c r="C814" t="s">
        <v>8613</v>
      </c>
      <c r="D814" t="str">
        <f t="shared" si="132"/>
        <v>SOCI, PT Soechi Lines, SOECHI LINES, Soechi Lines, Soechi Lines Tbk, SoechiLines, soechi lines</v>
      </c>
      <c r="E814" t="str">
        <f t="shared" si="133"/>
        <v>SOCI, PT Soechi Lines, SOECHI LINES, Soechi Lines, Soechi Lines Tbk, SoechiLines, soechi lines</v>
      </c>
      <c r="F814" t="str">
        <f t="shared" si="134"/>
        <v>soechi lines</v>
      </c>
      <c r="G814" t="str">
        <f t="shared" si="137"/>
        <v>SOCI, PT Soechi Lines, SOECHI LINES, Soechi Lines, Soechi Lines Tbk, SoechiLines</v>
      </c>
      <c r="H814" t="str">
        <f t="shared" si="138"/>
        <v>SOCI, PT Soechi Lines, SOECHI LINES, Soechi Lines, Soechi Lines Tbk, SoechiLines</v>
      </c>
      <c r="I814" t="str">
        <f t="shared" si="135"/>
        <v>SOECHI LINES</v>
      </c>
      <c r="J814" t="str">
        <f t="shared" si="139"/>
        <v>SOCI, PT Soechi Lines, Soechi Lines, Soechi Lines Tbk, SoechiLines</v>
      </c>
      <c r="K814" t="str">
        <f t="shared" si="140"/>
        <v>SOCI, PT Soechi Lines, Soechi Lines, Soechi Lines Tbk, SoechiLines</v>
      </c>
      <c r="L814" t="str">
        <f t="shared" si="136"/>
        <v>SoechiLines</v>
      </c>
      <c r="M814" t="str">
        <f t="shared" si="141"/>
        <v>SOCI, PT Soechi Lines, Soechi Lines, Soechi Lines Tbk</v>
      </c>
      <c r="N814" t="str">
        <f t="shared" si="142"/>
        <v>SOCI, PT Soechi Lines, Soechi Lines, Soechi Lines Tbk</v>
      </c>
    </row>
    <row r="815" spans="1:14" x14ac:dyDescent="0.2">
      <c r="A815" t="s">
        <v>1859</v>
      </c>
      <c r="B815" t="s">
        <v>1860</v>
      </c>
      <c r="C815" t="s">
        <v>8614</v>
      </c>
      <c r="D815" t="str">
        <f t="shared" si="132"/>
        <v>SOFA, PT Solusi Environment Asia, SOLUSI ENVIRONMENT ASIA, Solusi Environment Asia, Solusi Environment Asia Tbk, SolusiEnvironmentAsia, solusi environment asia</v>
      </c>
      <c r="E815" t="str">
        <f t="shared" si="133"/>
        <v>SOFA, PT Solusi Environment Asia, SOLUSI ENVIRONMENT ASIA, Solusi Environment Asia, Solusi Environment Asia Tbk, SolusiEnvironmentAsia, solusi environment asia</v>
      </c>
      <c r="F815" t="str">
        <f t="shared" si="134"/>
        <v>solusi environment asia</v>
      </c>
      <c r="G815" t="str">
        <f t="shared" si="137"/>
        <v>SOFA, PT Solusi Environment Asia, SOLUSI ENVIRONMENT ASIA, Solusi Environment Asia, Solusi Environment Asia Tbk, SolusiEnvironmentAsia</v>
      </c>
      <c r="H815" t="str">
        <f t="shared" si="138"/>
        <v>SOFA, PT Solusi Environment Asia, SOLUSI ENVIRONMENT ASIA, Solusi Environment Asia, Solusi Environment Asia Tbk, SolusiEnvironmentAsia</v>
      </c>
      <c r="I815" t="str">
        <f t="shared" si="135"/>
        <v>SOLUSI ENVIRONMENT ASIA</v>
      </c>
      <c r="J815" t="str">
        <f t="shared" si="139"/>
        <v>SOFA, PT Solusi Environment Asia, Solusi Environment Asia, Solusi Environment Asia Tbk, SolusiEnvironmentAsia</v>
      </c>
      <c r="K815" t="str">
        <f t="shared" si="140"/>
        <v>SOFA, PT Solusi Environment Asia, Solusi Environment Asia, Solusi Environment Asia Tbk, SolusiEnvironmentAsia</v>
      </c>
      <c r="L815" t="str">
        <f t="shared" si="136"/>
        <v>SolusiEnvironmentAsia</v>
      </c>
      <c r="M815" t="str">
        <f t="shared" si="141"/>
        <v>SOFA, PT Solusi Environment Asia, Solusi Environment Asia, Solusi Environment Asia Tbk</v>
      </c>
      <c r="N815" t="str">
        <f t="shared" si="142"/>
        <v>SOFA, PT Solusi Environment Asia, Solusi Environment Asia, Solusi Environment Asia Tbk</v>
      </c>
    </row>
    <row r="816" spans="1:14" x14ac:dyDescent="0.2">
      <c r="A816" t="s">
        <v>1885</v>
      </c>
      <c r="B816" t="s">
        <v>1886</v>
      </c>
      <c r="C816" t="s">
        <v>8615</v>
      </c>
      <c r="D816" t="str">
        <f t="shared" si="132"/>
        <v>SOHO, PT Soho Global Health, SOHO GLOBAL HEALTH, Soho Global Health, Soho Global Health Tbk, SohoGlobalHealth, soho global health</v>
      </c>
      <c r="E816" t="str">
        <f t="shared" si="133"/>
        <v>SOHO, PT Soho Global Health, SOHO GLOBAL HEALTH, Soho Global Health, Soho Global Health Tbk, SohoGlobalHealth, soho global health</v>
      </c>
      <c r="F816" t="str">
        <f t="shared" si="134"/>
        <v>soho global health</v>
      </c>
      <c r="G816" t="str">
        <f t="shared" si="137"/>
        <v>SOHO, PT Soho Global Health, SOHO GLOBAL HEALTH, Soho Global Health, Soho Global Health Tbk, SohoGlobalHealth</v>
      </c>
      <c r="H816" t="str">
        <f t="shared" si="138"/>
        <v>SOHO, PT Soho Global Health, SOHO GLOBAL HEALTH, Soho Global Health, Soho Global Health Tbk, SohoGlobalHealth</v>
      </c>
      <c r="I816" t="str">
        <f t="shared" si="135"/>
        <v>SOHO GLOBAL HEALTH</v>
      </c>
      <c r="J816" t="str">
        <f t="shared" si="139"/>
        <v>SOHO, PT Soho Global Health, Soho Global Health, Soho Global Health Tbk, SohoGlobalHealth</v>
      </c>
      <c r="K816" t="str">
        <f t="shared" si="140"/>
        <v>SOHO, PT Soho Global Health, Soho Global Health, Soho Global Health Tbk, SohoGlobalHealth</v>
      </c>
      <c r="L816" t="str">
        <f t="shared" si="136"/>
        <v>SohoGlobalHealth</v>
      </c>
      <c r="M816" t="str">
        <f t="shared" si="141"/>
        <v>SOHO, PT Soho Global Health, Soho Global Health, Soho Global Health Tbk</v>
      </c>
      <c r="N816" t="str">
        <f t="shared" si="142"/>
        <v>SOHO, PT Soho Global Health, Soho Global Health, Soho Global Health Tbk</v>
      </c>
    </row>
    <row r="817" spans="1:14" x14ac:dyDescent="0.2">
      <c r="A817" t="s">
        <v>2460</v>
      </c>
      <c r="B817" t="s">
        <v>2461</v>
      </c>
      <c r="C817" t="s">
        <v>8616</v>
      </c>
      <c r="D817" t="str">
        <f t="shared" si="132"/>
        <v>SOLA, PT Xolare RCR Energy, XOLARE RCR ENERGY, Xolare RCR Energy, Xolare RCR Energy Tbk, XolareRCREnergy, xolare rcr energy</v>
      </c>
      <c r="E817" t="str">
        <f t="shared" si="133"/>
        <v>SOLA, PT Xolare RCR Energy, XOLARE RCR ENERGY, Xolare RCR Energy, Xolare RCR Energy Tbk, XolareRCREnergy, xolare rcr energy</v>
      </c>
      <c r="F817" t="str">
        <f t="shared" si="134"/>
        <v>xolare rcr energy</v>
      </c>
      <c r="G817" t="str">
        <f t="shared" si="137"/>
        <v>SOLA, PT Xolare RCR Energy, XOLARE RCR ENERGY, Xolare RCR Energy, Xolare RCR Energy Tbk, XolareRCREnergy</v>
      </c>
      <c r="H817" t="str">
        <f t="shared" si="138"/>
        <v>SOLA, PT Xolare RCR Energy, XOLARE RCR ENERGY, Xolare RCR Energy, Xolare RCR Energy Tbk, XolareRCREnergy</v>
      </c>
      <c r="I817" t="str">
        <f t="shared" si="135"/>
        <v>XOLARE RCR ENERGY</v>
      </c>
      <c r="J817" t="str">
        <f t="shared" si="139"/>
        <v>SOLA, PT Xolare RCR Energy, Xolare RCR Energy, Xolare RCR Energy Tbk, XolareRCREnergy</v>
      </c>
      <c r="K817" t="str">
        <f t="shared" si="140"/>
        <v>SOLA, PT Xolare RCR Energy, Xolare RCR Energy, Xolare RCR Energy Tbk, XolareRCREnergy</v>
      </c>
      <c r="L817" t="str">
        <f t="shared" si="136"/>
        <v>XolareRCREnergy</v>
      </c>
      <c r="M817" t="str">
        <f t="shared" si="141"/>
        <v>SOLA, PT Xolare RCR Energy, Xolare RCR Energy, Xolare RCR Energy Tbk</v>
      </c>
      <c r="N817" t="str">
        <f t="shared" si="142"/>
        <v>SOLA, PT Xolare RCR Energy, Xolare RCR Energy, Xolare RCR Energy Tbk</v>
      </c>
    </row>
    <row r="818" spans="1:14" x14ac:dyDescent="0.2">
      <c r="A818" t="s">
        <v>1143</v>
      </c>
      <c r="B818" t="s">
        <v>3680</v>
      </c>
      <c r="C818" t="s">
        <v>8617</v>
      </c>
      <c r="D818" t="str">
        <f t="shared" si="132"/>
        <v>SONA, PT Sona Topas Tourism Industry, SONA TOPAS TOURISM INDUSTRY, Sona Topas Tourism Industry, Sona Topas Tourism Industry Tbk, SonaTopasTourismIndustry, sona topas tourism industry</v>
      </c>
      <c r="E818" t="str">
        <f t="shared" si="133"/>
        <v>SONA, PT Sona Topas Tourism Industry, SONA TOPAS TOURISM INDUSTRY, Sona Topas Tourism Industry, Sona Topas Tourism Industry Tbk, SonaTopasTourismIndustry, sona topas tourism industry</v>
      </c>
      <c r="F818" t="str">
        <f t="shared" si="134"/>
        <v>sona topas tourism industry</v>
      </c>
      <c r="G818" t="str">
        <f t="shared" si="137"/>
        <v>SONA, PT Sona Topas Tourism Industry, SONA TOPAS TOURISM INDUSTRY, Sona Topas Tourism Industry, Sona Topas Tourism Industry Tbk, SonaTopasTourismIndustry</v>
      </c>
      <c r="H818" t="str">
        <f t="shared" si="138"/>
        <v>SONA, PT Sona Topas Tourism Industry, SONA TOPAS TOURISM INDUSTRY, Sona Topas Tourism Industry, Sona Topas Tourism Industry Tbk, SonaTopasTourismIndustry</v>
      </c>
      <c r="I818" t="str">
        <f t="shared" si="135"/>
        <v>SONA TOPAS TOURISM INDUSTRY</v>
      </c>
      <c r="J818" t="str">
        <f t="shared" si="139"/>
        <v>SONA, PT Sona Topas Tourism Industry, Sona Topas Tourism Industry, Sona Topas Tourism Industry Tbk, SonaTopasTourismIndustry</v>
      </c>
      <c r="K818" t="str">
        <f t="shared" si="140"/>
        <v>SONA, PT Sona Topas Tourism Industry, Sona Topas Tourism Industry, Sona Topas Tourism Industry Tbk, SonaTopasTourismIndustry</v>
      </c>
      <c r="L818" t="str">
        <f t="shared" si="136"/>
        <v>SonaTopasTourismIndustry</v>
      </c>
      <c r="M818" t="str">
        <f t="shared" si="141"/>
        <v>SONA, PT Sona Topas Tourism Industry, Sona Topas Tourism Industry, Sona Topas Tourism Industry Tbk</v>
      </c>
      <c r="N818" t="str">
        <f t="shared" si="142"/>
        <v>SONA, PT Sona Topas Tourism Industry, Sona Topas Tourism Industry, Sona Topas Tourism Industry Tbk</v>
      </c>
    </row>
    <row r="819" spans="1:14" x14ac:dyDescent="0.2">
      <c r="A819" t="s">
        <v>1617</v>
      </c>
      <c r="B819" t="s">
        <v>1618</v>
      </c>
      <c r="C819" t="s">
        <v>8618</v>
      </c>
      <c r="D819" t="str">
        <f t="shared" si="132"/>
        <v>SOSS, PT Shield On Service, SHIELD ON SERVICE, Shield On Service, Shield On Service Tbk, ShieldOnService, shield on service</v>
      </c>
      <c r="E819" t="str">
        <f t="shared" si="133"/>
        <v>SOSS, PT Shield On Service, SHIELD ON SERVICE, Shield On Service, Shield On Service Tbk, ShieldOnService, shield on service</v>
      </c>
      <c r="F819" t="str">
        <f t="shared" si="134"/>
        <v>shield on service</v>
      </c>
      <c r="G819" t="str">
        <f t="shared" si="137"/>
        <v>SOSS, PT Shield On Service, SHIELD ON SERVICE, Shield On Service, Shield On Service Tbk, ShieldOnService</v>
      </c>
      <c r="H819" t="str">
        <f t="shared" si="138"/>
        <v>SOSS, PT Shield On Service, SHIELD ON SERVICE, Shield On Service, Shield On Service Tbk, ShieldOnService</v>
      </c>
      <c r="I819" t="str">
        <f t="shared" si="135"/>
        <v>SHIELD ON SERVICE</v>
      </c>
      <c r="J819" t="str">
        <f t="shared" si="139"/>
        <v>SOSS, PT Shield On Service, Shield On Service, Shield On Service Tbk, ShieldOnService</v>
      </c>
      <c r="K819" t="str">
        <f t="shared" si="140"/>
        <v>SOSS, PT Shield On Service, Shield On Service, Shield On Service Tbk, ShieldOnService</v>
      </c>
      <c r="L819" t="str">
        <f t="shared" si="136"/>
        <v>ShieldOnService</v>
      </c>
      <c r="M819" t="str">
        <f t="shared" si="141"/>
        <v>SOSS, PT Shield On Service, Shield On Service, Shield On Service Tbk</v>
      </c>
      <c r="N819" t="str">
        <f t="shared" si="142"/>
        <v>SOSS, PT Shield On Service, Shield On Service, Shield On Service Tbk</v>
      </c>
    </row>
    <row r="820" spans="1:14" x14ac:dyDescent="0.2">
      <c r="A820" t="s">
        <v>1633</v>
      </c>
      <c r="B820" t="s">
        <v>1634</v>
      </c>
      <c r="C820" t="s">
        <v>8619</v>
      </c>
      <c r="D820" t="str">
        <f t="shared" si="132"/>
        <v>SOTS, PT Satria Mega Kencana, SATRIA MEGA KENCANA, Satria Mega Kencana, Satria Mega Kencana Tbk, SatriaMegaKencana, satria mega kencana</v>
      </c>
      <c r="E820" t="str">
        <f t="shared" si="133"/>
        <v>SOTS, PT Satria Mega Kencana, SATRIA MEGA KENCANA, Satria Mega Kencana, Satria Mega Kencana Tbk, SatriaMegaKencana, satria mega kencana</v>
      </c>
      <c r="F820" t="str">
        <f t="shared" si="134"/>
        <v>satria mega kencana</v>
      </c>
      <c r="G820" t="str">
        <f t="shared" si="137"/>
        <v>SOTS, PT Satria Mega Kencana, SATRIA MEGA KENCANA, Satria Mega Kencana, Satria Mega Kencana Tbk, SatriaMegaKencana</v>
      </c>
      <c r="H820" t="str">
        <f t="shared" si="138"/>
        <v>SOTS, PT Satria Mega Kencana, SATRIA MEGA KENCANA, Satria Mega Kencana, Satria Mega Kencana Tbk, SatriaMegaKencana</v>
      </c>
      <c r="I820" t="str">
        <f t="shared" si="135"/>
        <v>SATRIA MEGA KENCANA</v>
      </c>
      <c r="J820" t="str">
        <f t="shared" si="139"/>
        <v>SOTS, PT Satria Mega Kencana, Satria Mega Kencana, Satria Mega Kencana Tbk, SatriaMegaKencana</v>
      </c>
      <c r="K820" t="str">
        <f t="shared" si="140"/>
        <v>SOTS, PT Satria Mega Kencana, Satria Mega Kencana, Satria Mega Kencana Tbk, SatriaMegaKencana</v>
      </c>
      <c r="L820" t="str">
        <f t="shared" si="136"/>
        <v>SatriaMegaKencana</v>
      </c>
      <c r="M820" t="str">
        <f t="shared" si="141"/>
        <v>SOTS, PT Satria Mega Kencana, Satria Mega Kencana, Satria Mega Kencana Tbk</v>
      </c>
      <c r="N820" t="str">
        <f t="shared" si="142"/>
        <v>SOTS, PT Satria Mega Kencana, Satria Mega Kencana, Satria Mega Kencana Tbk</v>
      </c>
    </row>
    <row r="821" spans="1:14" x14ac:dyDescent="0.2">
      <c r="A821" t="s">
        <v>2216</v>
      </c>
      <c r="B821" t="s">
        <v>2217</v>
      </c>
      <c r="C821" t="s">
        <v>8620</v>
      </c>
      <c r="D821" t="str">
        <f t="shared" si="132"/>
        <v>SOUL, MITRA TIRTA BUWANA, Mitra Tirta Buwana, Mitra Tirta Buwana Tbk, MitraTirtaBuwana, PT Mitra Tirta Buwana, mitra tirta buwana</v>
      </c>
      <c r="E821" t="str">
        <f t="shared" si="133"/>
        <v>SOUL, MITRA TIRTA BUWANA, Mitra Tirta Buwana, Mitra Tirta Buwana Tbk, MitraTirtaBuwana, PT Mitra Tirta Buwana, mitra tirta buwana</v>
      </c>
      <c r="F821" t="str">
        <f t="shared" si="134"/>
        <v>mitra tirta buwana</v>
      </c>
      <c r="G821" t="str">
        <f t="shared" si="137"/>
        <v>SOUL, MITRA TIRTA BUWANA, Mitra Tirta Buwana, Mitra Tirta Buwana Tbk, MitraTirtaBuwana, PT Mitra Tirta Buwana</v>
      </c>
      <c r="H821" t="str">
        <f t="shared" si="138"/>
        <v>SOUL, MITRA TIRTA BUWANA, Mitra Tirta Buwana, Mitra Tirta Buwana Tbk, MitraTirtaBuwana, PT Mitra Tirta Buwana</v>
      </c>
      <c r="I821" t="str">
        <f t="shared" si="135"/>
        <v>MITRA TIRTA BUWANA</v>
      </c>
      <c r="J821" t="str">
        <f t="shared" si="139"/>
        <v>SOUL, Mitra Tirta Buwana, Mitra Tirta Buwana Tbk, MitraTirtaBuwana, PT Mitra Tirta Buwana</v>
      </c>
      <c r="K821" t="str">
        <f t="shared" si="140"/>
        <v>SOUL, Mitra Tirta Buwana, Mitra Tirta Buwana Tbk, MitraTirtaBuwana, PT Mitra Tirta Buwana</v>
      </c>
      <c r="L821" t="str">
        <f t="shared" si="136"/>
        <v>MitraTirtaBuwana</v>
      </c>
      <c r="M821" t="str">
        <f t="shared" si="141"/>
        <v>SOUL, Mitra Tirta Buwana, Mitra Tirta Buwana Tbk, PT Mitra Tirta Buwana</v>
      </c>
      <c r="N821" t="str">
        <f t="shared" si="142"/>
        <v>SOUL, Mitra Tirta Buwana, Mitra Tirta Buwana Tbk, PT Mitra Tirta Buwana</v>
      </c>
    </row>
    <row r="822" spans="1:14" x14ac:dyDescent="0.2">
      <c r="A822" t="s">
        <v>1145</v>
      </c>
      <c r="B822" t="s">
        <v>1146</v>
      </c>
      <c r="C822" t="s">
        <v>8621</v>
      </c>
      <c r="D822" t="str">
        <f t="shared" si="132"/>
        <v>SPMA, PT Suparma, SUPARMA, Suparma, Suparma Tbk, suparma</v>
      </c>
      <c r="E822" t="str">
        <f t="shared" si="133"/>
        <v>SPMA, PT Suparma, SUPARMA, Suparma, Suparma Tbk, suparma</v>
      </c>
      <c r="F822" t="str">
        <f t="shared" si="134"/>
        <v>suparma</v>
      </c>
      <c r="G822" t="str">
        <f t="shared" si="137"/>
        <v>SPMA, PT Suparma, SUPARMA, Suparma, Suparma Tbk</v>
      </c>
      <c r="H822" t="str">
        <f t="shared" si="138"/>
        <v>SPMA, PT Suparma, SUPARMA, Suparma, Suparma Tbk</v>
      </c>
      <c r="I822" t="str">
        <f t="shared" si="135"/>
        <v>SUPARMA</v>
      </c>
      <c r="J822" t="str">
        <f t="shared" si="139"/>
        <v>SPMA, PT Suparma, Suparma, Suparma Tbk</v>
      </c>
      <c r="K822" t="str">
        <f t="shared" si="140"/>
        <v>SPMA, PT Suparma, Suparma, Suparma Tbk</v>
      </c>
      <c r="L822" t="str">
        <f t="shared" si="136"/>
        <v>Suparma</v>
      </c>
      <c r="M822" t="str">
        <f t="shared" si="141"/>
        <v>SPMA, PT Suparma Tbk</v>
      </c>
      <c r="N822" t="str">
        <f t="shared" si="142"/>
        <v>SPMA, PT Suparma Tbk</v>
      </c>
    </row>
    <row r="823" spans="1:14" x14ac:dyDescent="0.2">
      <c r="A823" t="s">
        <v>2466</v>
      </c>
      <c r="B823" t="s">
        <v>2467</v>
      </c>
      <c r="C823" t="s">
        <v>8622</v>
      </c>
      <c r="D823" t="str">
        <f t="shared" si="132"/>
        <v>SPRE, PT Soraya Berjaya Indonesia, SORAYA BERJAYA INDONESIA, Soraya Berjaya Indonesia, Soraya Berjaya Indonesia Tbk, SorayaBerjayaIndonesia, soraya berjaya indonesia</v>
      </c>
      <c r="E823" t="str">
        <f t="shared" si="133"/>
        <v>SPRE, PT Soraya Berjaya Indonesia, SORAYA BERJAYA INDONESIA, Soraya Berjaya Indonesia, Soraya Berjaya Indonesia Tbk, SorayaBerjayaIndonesia, soraya berjaya indonesia</v>
      </c>
      <c r="F823" t="str">
        <f t="shared" si="134"/>
        <v>soraya berjaya indonesia</v>
      </c>
      <c r="G823" t="str">
        <f t="shared" si="137"/>
        <v>SPRE, PT Soraya Berjaya Indonesia, SORAYA BERJAYA INDONESIA, Soraya Berjaya Indonesia, Soraya Berjaya Indonesia Tbk, SorayaBerjayaIndonesia</v>
      </c>
      <c r="H823" t="str">
        <f t="shared" si="138"/>
        <v>SPRE, PT Soraya Berjaya Indonesia, SORAYA BERJAYA INDONESIA, Soraya Berjaya Indonesia, Soraya Berjaya Indonesia Tbk, SorayaBerjayaIndonesia</v>
      </c>
      <c r="I823" t="str">
        <f t="shared" si="135"/>
        <v>SORAYA BERJAYA INDONESIA</v>
      </c>
      <c r="J823" t="str">
        <f t="shared" si="139"/>
        <v>SPRE, PT Soraya Berjaya Indonesia, Soraya Berjaya Indonesia, Soraya Berjaya Indonesia Tbk, SorayaBerjayaIndonesia</v>
      </c>
      <c r="K823" t="str">
        <f t="shared" si="140"/>
        <v>SPRE, PT Soraya Berjaya Indonesia, Soraya Berjaya Indonesia, Soraya Berjaya Indonesia Tbk, SorayaBerjayaIndonesia</v>
      </c>
      <c r="L823" t="str">
        <f t="shared" si="136"/>
        <v>SorayaBerjayaIndonesia</v>
      </c>
      <c r="M823" t="str">
        <f t="shared" si="141"/>
        <v>SPRE, PT Soraya Berjaya Indonesia, Soraya Berjaya Indonesia, Soraya Berjaya Indonesia Tbk</v>
      </c>
      <c r="N823" t="str">
        <f t="shared" si="142"/>
        <v>SPRE, PT Soraya Berjaya Indonesia, Soraya Berjaya Indonesia, Soraya Berjaya Indonesia Tbk</v>
      </c>
    </row>
    <row r="824" spans="1:14" x14ac:dyDescent="0.2">
      <c r="A824" t="s">
        <v>1518</v>
      </c>
      <c r="B824" t="s">
        <v>1519</v>
      </c>
      <c r="C824" t="s">
        <v>8623</v>
      </c>
      <c r="D824" t="str">
        <f t="shared" si="132"/>
        <v>SPTO, PT Surya Pertiwi, SURYA PERTIWI, Surya Pertiwi, Surya Pertiwi Tbk, SuryaPertiwi, surya pertiwi</v>
      </c>
      <c r="E824" t="str">
        <f t="shared" si="133"/>
        <v>SPTO, PT Surya Pertiwi, SURYA PERTIWI, Surya Pertiwi, Surya Pertiwi Tbk, SuryaPertiwi, surya pertiwi</v>
      </c>
      <c r="F824" t="str">
        <f t="shared" si="134"/>
        <v>surya pertiwi</v>
      </c>
      <c r="G824" t="str">
        <f t="shared" si="137"/>
        <v>SPTO, PT Surya Pertiwi, SURYA PERTIWI, Surya Pertiwi, Surya Pertiwi Tbk, SuryaPertiwi</v>
      </c>
      <c r="H824" t="str">
        <f t="shared" si="138"/>
        <v>SPTO, PT Surya Pertiwi, SURYA PERTIWI, Surya Pertiwi, Surya Pertiwi Tbk, SuryaPertiwi</v>
      </c>
      <c r="I824" t="str">
        <f t="shared" si="135"/>
        <v>SURYA PERTIWI</v>
      </c>
      <c r="J824" t="str">
        <f t="shared" si="139"/>
        <v>SPTO, PT Surya Pertiwi, Surya Pertiwi, Surya Pertiwi Tbk, SuryaPertiwi</v>
      </c>
      <c r="K824" t="str">
        <f t="shared" si="140"/>
        <v>SPTO, PT Surya Pertiwi, Surya Pertiwi, Surya Pertiwi Tbk, SuryaPertiwi</v>
      </c>
      <c r="L824" t="str">
        <f t="shared" si="136"/>
        <v>SuryaPertiwi</v>
      </c>
      <c r="M824" t="str">
        <f t="shared" si="141"/>
        <v>SPTO, PT Surya Pertiwi, Surya Pertiwi, Surya Pertiwi Tbk</v>
      </c>
      <c r="N824" t="str">
        <f t="shared" si="142"/>
        <v>SPTO, PT Surya Pertiwi, Surya Pertiwi, Surya Pertiwi Tbk</v>
      </c>
    </row>
    <row r="825" spans="1:14" x14ac:dyDescent="0.2">
      <c r="A825" t="s">
        <v>1148</v>
      </c>
      <c r="B825" t="s">
        <v>1149</v>
      </c>
      <c r="C825" t="s">
        <v>8624</v>
      </c>
      <c r="D825" t="str">
        <f t="shared" si="132"/>
        <v>SQMI, PT Wilton Makmur Indonesia, WILTON MAKMUR INDONESIA, Wilton Makmur Indonesia, Wilton Makmur Indonesia Tbk, WiltonMakmurIndonesia, wilton makmur indonesia</v>
      </c>
      <c r="E825" t="str">
        <f t="shared" si="133"/>
        <v>SQMI, PT Wilton Makmur Indonesia, WILTON MAKMUR INDONESIA, Wilton Makmur Indonesia, Wilton Makmur Indonesia Tbk, WiltonMakmurIndonesia, wilton makmur indonesia</v>
      </c>
      <c r="F825" t="str">
        <f t="shared" si="134"/>
        <v>wilton makmur indonesia</v>
      </c>
      <c r="G825" t="str">
        <f t="shared" si="137"/>
        <v>SQMI, PT Wilton Makmur Indonesia, WILTON MAKMUR INDONESIA, Wilton Makmur Indonesia, Wilton Makmur Indonesia Tbk, WiltonMakmurIndonesia</v>
      </c>
      <c r="H825" t="str">
        <f t="shared" si="138"/>
        <v>SQMI, PT Wilton Makmur Indonesia, WILTON MAKMUR INDONESIA, Wilton Makmur Indonesia, Wilton Makmur Indonesia Tbk, WiltonMakmurIndonesia</v>
      </c>
      <c r="I825" t="str">
        <f t="shared" si="135"/>
        <v>WILTON MAKMUR INDONESIA</v>
      </c>
      <c r="J825" t="str">
        <f t="shared" si="139"/>
        <v>SQMI, PT Wilton Makmur Indonesia, Wilton Makmur Indonesia, Wilton Makmur Indonesia Tbk, WiltonMakmurIndonesia</v>
      </c>
      <c r="K825" t="str">
        <f t="shared" si="140"/>
        <v>SQMI, PT Wilton Makmur Indonesia, Wilton Makmur Indonesia, Wilton Makmur Indonesia Tbk, WiltonMakmurIndonesia</v>
      </c>
      <c r="L825" t="str">
        <f t="shared" si="136"/>
        <v>WiltonMakmurIndonesia</v>
      </c>
      <c r="M825" t="str">
        <f t="shared" si="141"/>
        <v>SQMI, PT Wilton Makmur Indonesia, Wilton Makmur Indonesia, Wilton Makmur Indonesia Tbk</v>
      </c>
      <c r="N825" t="str">
        <f t="shared" si="142"/>
        <v>SQMI, PT Wilton Makmur Indonesia, Wilton Makmur Indonesia, Wilton Makmur Indonesia Tbk</v>
      </c>
    </row>
    <row r="826" spans="1:14" x14ac:dyDescent="0.2">
      <c r="A826" t="s">
        <v>1151</v>
      </c>
      <c r="B826" t="s">
        <v>1152</v>
      </c>
      <c r="C826" t="s">
        <v>8625</v>
      </c>
      <c r="D826" t="str">
        <f t="shared" si="132"/>
        <v>SRAJ, PT Sejahteraraya Anugrahjaya, SEJAHTERARAYA ANUGRAHJAYA, Sejahteraraya Anugrahjaya, Sejahteraraya Anugrahjaya Tbk, SejahterarayaAnugrahjaya, sejahteraraya anugrahjaya</v>
      </c>
      <c r="E826" t="str">
        <f t="shared" si="133"/>
        <v>SRAJ, PT Sejahteraraya Anugrahjaya, SEJAHTERARAYA ANUGRAHJAYA, Sejahteraraya Anugrahjaya, Sejahteraraya Anugrahjaya Tbk, SejahterarayaAnugrahjaya, sejahteraraya anugrahjaya</v>
      </c>
      <c r="F826" t="str">
        <f t="shared" si="134"/>
        <v>sejahteraraya anugrahjaya</v>
      </c>
      <c r="G826" t="str">
        <f t="shared" si="137"/>
        <v>SRAJ, PT Sejahteraraya Anugrahjaya, SEJAHTERARAYA ANUGRAHJAYA, Sejahteraraya Anugrahjaya, Sejahteraraya Anugrahjaya Tbk, SejahterarayaAnugrahjaya</v>
      </c>
      <c r="H826" t="str">
        <f t="shared" si="138"/>
        <v>SRAJ, PT Sejahteraraya Anugrahjaya, SEJAHTERARAYA ANUGRAHJAYA, Sejahteraraya Anugrahjaya, Sejahteraraya Anugrahjaya Tbk, SejahterarayaAnugrahjaya</v>
      </c>
      <c r="I826" t="str">
        <f t="shared" si="135"/>
        <v>SEJAHTERARAYA ANUGRAHJAYA</v>
      </c>
      <c r="J826" t="str">
        <f t="shared" si="139"/>
        <v>SRAJ, PT Sejahteraraya Anugrahjaya, Sejahteraraya Anugrahjaya, Sejahteraraya Anugrahjaya Tbk, SejahterarayaAnugrahjaya</v>
      </c>
      <c r="K826" t="str">
        <f t="shared" si="140"/>
        <v>SRAJ, PT Sejahteraraya Anugrahjaya, Sejahteraraya Anugrahjaya, Sejahteraraya Anugrahjaya Tbk, SejahterarayaAnugrahjaya</v>
      </c>
      <c r="L826" t="str">
        <f t="shared" si="136"/>
        <v>SejahterarayaAnugrahjaya</v>
      </c>
      <c r="M826" t="str">
        <f t="shared" si="141"/>
        <v>SRAJ, PT Sejahteraraya Anugrahjaya, Sejahteraraya Anugrahjaya, Sejahteraraya Anugrahjaya Tbk</v>
      </c>
      <c r="N826" t="str">
        <f t="shared" si="142"/>
        <v>SRAJ, PT Sejahteraraya Anugrahjaya, Sejahteraraya Anugrahjaya, Sejahteraraya Anugrahjaya Tbk</v>
      </c>
    </row>
    <row r="827" spans="1:14" x14ac:dyDescent="0.2">
      <c r="A827" t="s">
        <v>1154</v>
      </c>
      <c r="B827" t="s">
        <v>1155</v>
      </c>
      <c r="C827" t="s">
        <v>8626</v>
      </c>
      <c r="D827" t="str">
        <f t="shared" si="132"/>
        <v>SRIL, PT Sri Rejeki Isman, SRI REJEKI ISMAN, Sri Rejeki Isman, Sri Rejeki Isman Tbk, SriRejekiIsman, sri rejeki isman</v>
      </c>
      <c r="E827" t="str">
        <f t="shared" si="133"/>
        <v>SRIL, PT Sri Rejeki Isman, SRI REJEKI ISMAN, Sri Rejeki Isman, Sri Rejeki Isman Tbk, SriRejekiIsman, sri rejeki isman</v>
      </c>
      <c r="F827" t="str">
        <f t="shared" si="134"/>
        <v>sri rejeki isman</v>
      </c>
      <c r="G827" t="str">
        <f t="shared" si="137"/>
        <v>SRIL, PT Sri Rejeki Isman, SRI REJEKI ISMAN, Sri Rejeki Isman, Sri Rejeki Isman Tbk, SriRejekiIsman</v>
      </c>
      <c r="H827" t="str">
        <f t="shared" si="138"/>
        <v>SRIL, PT Sri Rejeki Isman, SRI REJEKI ISMAN, Sri Rejeki Isman, Sri Rejeki Isman Tbk, SriRejekiIsman</v>
      </c>
      <c r="I827" t="str">
        <f t="shared" si="135"/>
        <v>SRI REJEKI ISMAN</v>
      </c>
      <c r="J827" t="str">
        <f t="shared" si="139"/>
        <v>SRIL, PT Sri Rejeki Isman, Sri Rejeki Isman, Sri Rejeki Isman Tbk, SriRejekiIsman</v>
      </c>
      <c r="K827" t="str">
        <f t="shared" si="140"/>
        <v>SRIL, PT Sri Rejeki Isman, Sri Rejeki Isman, Sri Rejeki Isman Tbk, SriRejekiIsman</v>
      </c>
      <c r="L827" t="str">
        <f t="shared" si="136"/>
        <v>SriRejekiIsman</v>
      </c>
      <c r="M827" t="str">
        <f t="shared" si="141"/>
        <v>SRIL, PT Sri Rejeki Isman, Sri Rejeki Isman, Sri Rejeki Isman Tbk</v>
      </c>
      <c r="N827" t="str">
        <f t="shared" si="142"/>
        <v>SRIL, PT Sri Rejeki Isman, Sri Rejeki Isman, Sri Rejeki Isman Tbk</v>
      </c>
    </row>
    <row r="828" spans="1:14" x14ac:dyDescent="0.2">
      <c r="A828" t="s">
        <v>1157</v>
      </c>
      <c r="B828" t="s">
        <v>3681</v>
      </c>
      <c r="C828" t="s">
        <v>8627</v>
      </c>
      <c r="D828" t="str">
        <f t="shared" si="132"/>
        <v>SRSN, INDO ACIDATAMA, Indo Acidatama, Indo Acidatama Tbk, IndoAcidatama, PT Indo Acidatama, indo acidatama</v>
      </c>
      <c r="E828" t="str">
        <f t="shared" si="133"/>
        <v>SRSN, INDO ACIDATAMA, Indo Acidatama, Indo Acidatama Tbk, IndoAcidatama, PT Indo Acidatama, indo acidatama</v>
      </c>
      <c r="F828" t="str">
        <f t="shared" si="134"/>
        <v>indo acidatama</v>
      </c>
      <c r="G828" t="str">
        <f t="shared" si="137"/>
        <v>SRSN, INDO ACIDATAMA, Indo Acidatama, Indo Acidatama Tbk, IndoAcidatama, PT Indo Acidatama</v>
      </c>
      <c r="H828" t="str">
        <f t="shared" si="138"/>
        <v>SRSN, INDO ACIDATAMA, Indo Acidatama, Indo Acidatama Tbk, IndoAcidatama, PT Indo Acidatama</v>
      </c>
      <c r="I828" t="str">
        <f t="shared" si="135"/>
        <v>INDO ACIDATAMA</v>
      </c>
      <c r="J828" t="str">
        <f t="shared" si="139"/>
        <v>SRSN, Indo Acidatama, Indo Acidatama Tbk, IndoAcidatama, PT Indo Acidatama</v>
      </c>
      <c r="K828" t="str">
        <f t="shared" si="140"/>
        <v>SRSN, Indo Acidatama, Indo Acidatama Tbk, IndoAcidatama, PT Indo Acidatama</v>
      </c>
      <c r="L828" t="str">
        <f t="shared" si="136"/>
        <v>IndoAcidatama</v>
      </c>
      <c r="M828" t="str">
        <f t="shared" si="141"/>
        <v>SRSN, Indo Acidatama, Indo Acidatama Tbk, PT Indo Acidatama</v>
      </c>
      <c r="N828" t="str">
        <f t="shared" si="142"/>
        <v>SRSN, Indo Acidatama, Indo Acidatama Tbk, PT Indo Acidatama</v>
      </c>
    </row>
    <row r="829" spans="1:14" x14ac:dyDescent="0.2">
      <c r="A829" t="s">
        <v>1160</v>
      </c>
      <c r="B829" t="s">
        <v>1161</v>
      </c>
      <c r="C829" t="s">
        <v>8628</v>
      </c>
      <c r="D829" t="str">
        <f t="shared" si="132"/>
        <v>SRTG, PT Saratoga Investama Sedaya, SARATOGA INVESTAMA SEDAYA, Saratoga Investama Sedaya, Saratoga Investama Sedaya Tbk, SaratogaInvestamaSedaya, saratoga investama sedaya</v>
      </c>
      <c r="E829" t="str">
        <f t="shared" si="133"/>
        <v>SRTG, PT Saratoga Investama Sedaya, SARATOGA INVESTAMA SEDAYA, Saratoga Investama Sedaya, Saratoga Investama Sedaya Tbk, SaratogaInvestamaSedaya, saratoga investama sedaya</v>
      </c>
      <c r="F829" t="str">
        <f t="shared" si="134"/>
        <v>saratoga investama sedaya</v>
      </c>
      <c r="G829" t="str">
        <f t="shared" si="137"/>
        <v>SRTG, PT Saratoga Investama Sedaya, SARATOGA INVESTAMA SEDAYA, Saratoga Investama Sedaya, Saratoga Investama Sedaya Tbk, SaratogaInvestamaSedaya</v>
      </c>
      <c r="H829" t="str">
        <f t="shared" si="138"/>
        <v>SRTG, PT Saratoga Investama Sedaya, SARATOGA INVESTAMA SEDAYA, Saratoga Investama Sedaya, Saratoga Investama Sedaya Tbk, SaratogaInvestamaSedaya</v>
      </c>
      <c r="I829" t="str">
        <f t="shared" si="135"/>
        <v>SARATOGA INVESTAMA SEDAYA</v>
      </c>
      <c r="J829" t="str">
        <f t="shared" si="139"/>
        <v>SRTG, PT Saratoga Investama Sedaya, Saratoga Investama Sedaya, Saratoga Investama Sedaya Tbk, SaratogaInvestamaSedaya</v>
      </c>
      <c r="K829" t="str">
        <f t="shared" si="140"/>
        <v>SRTG, PT Saratoga Investama Sedaya, Saratoga Investama Sedaya, Saratoga Investama Sedaya Tbk, SaratogaInvestamaSedaya</v>
      </c>
      <c r="L829" t="str">
        <f t="shared" si="136"/>
        <v>SaratogaInvestamaSedaya</v>
      </c>
      <c r="M829" t="str">
        <f t="shared" si="141"/>
        <v>SRTG, PT Saratoga Investama Sedaya, Saratoga Investama Sedaya, Saratoga Investama Sedaya Tbk</v>
      </c>
      <c r="N829" t="str">
        <f t="shared" si="142"/>
        <v>SRTG, PT Saratoga Investama Sedaya, Saratoga Investama Sedaya, Saratoga Investama Sedaya Tbk</v>
      </c>
    </row>
    <row r="830" spans="1:14" x14ac:dyDescent="0.2">
      <c r="A830" t="s">
        <v>1163</v>
      </c>
      <c r="B830" t="s">
        <v>1164</v>
      </c>
      <c r="C830" t="s">
        <v>8629</v>
      </c>
      <c r="D830" t="str">
        <f t="shared" si="132"/>
        <v>SSIA, PT Surya Semesta Internusa, SURYA SEMESTA INTERNUSA, Surya Semesta Internusa, Surya Semesta Internusa Tbk, SuryaSemestaInternusa, surya semesta internusa</v>
      </c>
      <c r="E830" t="str">
        <f t="shared" si="133"/>
        <v>SSIA, PT Surya Semesta Internusa, SURYA SEMESTA INTERNUSA, Surya Semesta Internusa, Surya Semesta Internusa Tbk, SuryaSemestaInternusa, surya semesta internusa</v>
      </c>
      <c r="F830" t="str">
        <f t="shared" si="134"/>
        <v>surya semesta internusa</v>
      </c>
      <c r="G830" t="str">
        <f t="shared" si="137"/>
        <v>SSIA, PT Surya Semesta Internusa, SURYA SEMESTA INTERNUSA, Surya Semesta Internusa, Surya Semesta Internusa Tbk, SuryaSemestaInternusa</v>
      </c>
      <c r="H830" t="str">
        <f t="shared" si="138"/>
        <v>SSIA, PT Surya Semesta Internusa, SURYA SEMESTA INTERNUSA, Surya Semesta Internusa, Surya Semesta Internusa Tbk, SuryaSemestaInternusa</v>
      </c>
      <c r="I830" t="str">
        <f t="shared" si="135"/>
        <v>SURYA SEMESTA INTERNUSA</v>
      </c>
      <c r="J830" t="str">
        <f t="shared" si="139"/>
        <v>SSIA, PT Surya Semesta Internusa, Surya Semesta Internusa, Surya Semesta Internusa Tbk, SuryaSemestaInternusa</v>
      </c>
      <c r="K830" t="str">
        <f t="shared" si="140"/>
        <v>SSIA, PT Surya Semesta Internusa, Surya Semesta Internusa, Surya Semesta Internusa Tbk, SuryaSemestaInternusa</v>
      </c>
      <c r="L830" t="str">
        <f t="shared" si="136"/>
        <v>SuryaSemestaInternusa</v>
      </c>
      <c r="M830" t="str">
        <f t="shared" si="141"/>
        <v>SSIA, PT Surya Semesta Internusa, Surya Semesta Internusa, Surya Semesta Internusa Tbk</v>
      </c>
      <c r="N830" t="str">
        <f t="shared" si="142"/>
        <v>SSIA, PT Surya Semesta Internusa, Surya Semesta Internusa, Surya Semesta Internusa Tbk</v>
      </c>
    </row>
    <row r="831" spans="1:14" x14ac:dyDescent="0.2">
      <c r="A831" t="s">
        <v>1166</v>
      </c>
      <c r="B831" t="s">
        <v>1167</v>
      </c>
      <c r="C831" t="s">
        <v>8630</v>
      </c>
      <c r="D831" t="str">
        <f t="shared" si="132"/>
        <v>SSMS, PT Sawit Sumbermas Sarana, SAWIT SUMBERMAS SARANA, Sawit Sumbermas Sarana, Sawit Sumbermas Sarana Tbk, SawitSumbermasSarana, sawit sumbermas sarana</v>
      </c>
      <c r="E831" t="str">
        <f t="shared" si="133"/>
        <v>SSMS, PT Sawit Sumbermas Sarana, SAWIT SUMBERMAS SARANA, Sawit Sumbermas Sarana, Sawit Sumbermas Sarana Tbk, SawitSumbermasSarana, sawit sumbermas sarana</v>
      </c>
      <c r="F831" t="str">
        <f t="shared" si="134"/>
        <v>sawit sumbermas sarana</v>
      </c>
      <c r="G831" t="str">
        <f t="shared" si="137"/>
        <v>SSMS, PT Sawit Sumbermas Sarana, SAWIT SUMBERMAS SARANA, Sawit Sumbermas Sarana, Sawit Sumbermas Sarana Tbk, SawitSumbermasSarana</v>
      </c>
      <c r="H831" t="str">
        <f t="shared" si="138"/>
        <v>SSMS, PT Sawit Sumbermas Sarana, SAWIT SUMBERMAS SARANA, Sawit Sumbermas Sarana, Sawit Sumbermas Sarana Tbk, SawitSumbermasSarana</v>
      </c>
      <c r="I831" t="str">
        <f t="shared" si="135"/>
        <v>SAWIT SUMBERMAS SARANA</v>
      </c>
      <c r="J831" t="str">
        <f t="shared" si="139"/>
        <v>SSMS, PT Sawit Sumbermas Sarana, Sawit Sumbermas Sarana, Sawit Sumbermas Sarana Tbk, SawitSumbermasSarana</v>
      </c>
      <c r="K831" t="str">
        <f t="shared" si="140"/>
        <v>SSMS, PT Sawit Sumbermas Sarana, Sawit Sumbermas Sarana, Sawit Sumbermas Sarana Tbk, SawitSumbermasSarana</v>
      </c>
      <c r="L831" t="str">
        <f t="shared" si="136"/>
        <v>SawitSumbermasSarana</v>
      </c>
      <c r="M831" t="str">
        <f t="shared" si="141"/>
        <v>SSMS, PT Sawit Sumbermas Sarana, Sawit Sumbermas Sarana, Sawit Sumbermas Sarana Tbk</v>
      </c>
      <c r="N831" t="str">
        <f t="shared" si="142"/>
        <v>SSMS, PT Sawit Sumbermas Sarana, Sawit Sumbermas Sarana, Sawit Sumbermas Sarana Tbk</v>
      </c>
    </row>
    <row r="832" spans="1:14" x14ac:dyDescent="0.2">
      <c r="A832" t="s">
        <v>1169</v>
      </c>
      <c r="B832" t="s">
        <v>3682</v>
      </c>
      <c r="C832" t="s">
        <v>8631</v>
      </c>
      <c r="D832" t="str">
        <f t="shared" si="132"/>
        <v>SSTM, PT Sunson Textile Manufacture, SUNSON TEXTILE MANUFACTURE, Sunson Textile Manufacture, Sunson Textile Manufacture Tbk, SunsonTextileManufacture, sunson textile manufacture</v>
      </c>
      <c r="E832" t="str">
        <f t="shared" si="133"/>
        <v>SSTM, PT Sunson Textile Manufacture, SUNSON TEXTILE MANUFACTURE, Sunson Textile Manufacture, Sunson Textile Manufacture Tbk, SunsonTextileManufacture, sunson textile manufacture</v>
      </c>
      <c r="F832" t="str">
        <f t="shared" si="134"/>
        <v>sunson textile manufacture</v>
      </c>
      <c r="G832" t="str">
        <f t="shared" si="137"/>
        <v>SSTM, PT Sunson Textile Manufacture, SUNSON TEXTILE MANUFACTURE, Sunson Textile Manufacture, Sunson Textile Manufacture Tbk, SunsonTextileManufacture</v>
      </c>
      <c r="H832" t="str">
        <f t="shared" si="138"/>
        <v>SSTM, PT Sunson Textile Manufacture, SUNSON TEXTILE MANUFACTURE, Sunson Textile Manufacture, Sunson Textile Manufacture Tbk, SunsonTextileManufacture</v>
      </c>
      <c r="I832" t="str">
        <f t="shared" si="135"/>
        <v>SUNSON TEXTILE MANUFACTURE</v>
      </c>
      <c r="J832" t="str">
        <f t="shared" si="139"/>
        <v>SSTM, PT Sunson Textile Manufacture, Sunson Textile Manufacture, Sunson Textile Manufacture Tbk, SunsonTextileManufacture</v>
      </c>
      <c r="K832" t="str">
        <f t="shared" si="140"/>
        <v>SSTM, PT Sunson Textile Manufacture, Sunson Textile Manufacture, Sunson Textile Manufacture Tbk, SunsonTextileManufacture</v>
      </c>
      <c r="L832" t="str">
        <f t="shared" si="136"/>
        <v>SunsonTextileManufacture</v>
      </c>
      <c r="M832" t="str">
        <f t="shared" si="141"/>
        <v>SSTM, PT Sunson Textile Manufacture, Sunson Textile Manufacture, Sunson Textile Manufacture Tbk</v>
      </c>
      <c r="N832" t="str">
        <f t="shared" si="142"/>
        <v>SSTM, PT Sunson Textile Manufacture, Sunson Textile Manufacture, Sunson Textile Manufacture Tbk</v>
      </c>
    </row>
    <row r="833" spans="1:14" x14ac:dyDescent="0.2">
      <c r="A833" t="s">
        <v>2083</v>
      </c>
      <c r="B833" t="s">
        <v>3683</v>
      </c>
      <c r="C833" t="s">
        <v>8632</v>
      </c>
      <c r="D833" t="str">
        <f t="shared" si="132"/>
        <v>STAA, PT Sumber Tani Agung Resources, SUMBER TANI AGUNG RESOURCES, Sumber Tani Agung Resources, Sumber Tani Agung Resources Tbk, SumberTaniAgungResources, sumber tani agung resources</v>
      </c>
      <c r="E833" t="str">
        <f t="shared" si="133"/>
        <v>STAA, PT Sumber Tani Agung Resources, SUMBER TANI AGUNG RESOURCES, Sumber Tani Agung Resources, Sumber Tani Agung Resources Tbk, SumberTaniAgungResources, sumber tani agung resources</v>
      </c>
      <c r="F833" t="str">
        <f t="shared" si="134"/>
        <v>sumber tani agung resources</v>
      </c>
      <c r="G833" t="str">
        <f t="shared" si="137"/>
        <v>STAA, PT Sumber Tani Agung Resources, SUMBER TANI AGUNG RESOURCES, Sumber Tani Agung Resources, Sumber Tani Agung Resources Tbk, SumberTaniAgungResources</v>
      </c>
      <c r="H833" t="str">
        <f t="shared" si="138"/>
        <v>STAA, PT Sumber Tani Agung Resources, SUMBER TANI AGUNG RESOURCES, Sumber Tani Agung Resources, Sumber Tani Agung Resources Tbk, SumberTaniAgungResources</v>
      </c>
      <c r="I833" t="str">
        <f t="shared" si="135"/>
        <v>SUMBER TANI AGUNG RESOURCES</v>
      </c>
      <c r="J833" t="str">
        <f t="shared" si="139"/>
        <v>STAA, PT Sumber Tani Agung Resources, Sumber Tani Agung Resources, Sumber Tani Agung Resources Tbk, SumberTaniAgungResources</v>
      </c>
      <c r="K833" t="str">
        <f t="shared" si="140"/>
        <v>STAA, PT Sumber Tani Agung Resources, Sumber Tani Agung Resources, Sumber Tani Agung Resources Tbk, SumberTaniAgungResources</v>
      </c>
      <c r="L833" t="str">
        <f t="shared" si="136"/>
        <v>SumberTaniAgungResources</v>
      </c>
      <c r="M833" t="str">
        <f t="shared" si="141"/>
        <v>STAA, PT Sumber Tani Agung Resources, Sumber Tani Agung Resources, Sumber Tani Agung Resources Tbk</v>
      </c>
      <c r="N833" t="str">
        <f t="shared" si="142"/>
        <v>STAA, PT Sumber Tani Agung Resources, Sumber Tani Agung Resources, Sumber Tani Agung Resources Tbk</v>
      </c>
    </row>
    <row r="834" spans="1:14" x14ac:dyDescent="0.2">
      <c r="A834" t="s">
        <v>1171</v>
      </c>
      <c r="B834" t="s">
        <v>1172</v>
      </c>
      <c r="C834" t="s">
        <v>8633</v>
      </c>
      <c r="D834" t="str">
        <f t="shared" ref="D834:D897" si="143">SUBSTITUTE(C834, _xlfn.CONCAT(", ", B834), "")</f>
        <v>STAR, BUANA ARTHA ANUGERAH, Buana Artha Anugerah, Buana Artha Anugerah Tbk, BuanaArthaAnugerah, PT Buana Artha Anugerah, buana artha anugerah</v>
      </c>
      <c r="E834" t="str">
        <f t="shared" ref="E834:E897" si="144">SUBSTITUTE(D834, _xlfn.CONCAT(B834, ", "), "")</f>
        <v>STAR, BUANA ARTHA ANUGERAH, Buana Artha Anugerah, Buana Artha Anugerah Tbk, BuanaArthaAnugerah, PT Buana Artha Anugerah, buana artha anugerah</v>
      </c>
      <c r="F834" t="str">
        <f t="shared" ref="F834:F897" si="145">LOWER(MID(B834, 1, FIND(" Tbk.", B834)-1))</f>
        <v>buana artha anugerah</v>
      </c>
      <c r="G834" t="str">
        <f t="shared" si="137"/>
        <v>STAR, BUANA ARTHA ANUGERAH, Buana Artha Anugerah, Buana Artha Anugerah Tbk, BuanaArthaAnugerah, PT Buana Artha Anugerah</v>
      </c>
      <c r="H834" t="str">
        <f t="shared" si="138"/>
        <v>STAR, BUANA ARTHA ANUGERAH, Buana Artha Anugerah, Buana Artha Anugerah Tbk, BuanaArthaAnugerah, PT Buana Artha Anugerah</v>
      </c>
      <c r="I834" t="str">
        <f t="shared" ref="I834:I897" si="146">UPPER(MID(B834, 1, FIND(" Tbk.", B834)-1))</f>
        <v>BUANA ARTHA ANUGERAH</v>
      </c>
      <c r="J834" t="str">
        <f t="shared" si="139"/>
        <v>STAR, Buana Artha Anugerah, Buana Artha Anugerah Tbk, BuanaArthaAnugerah, PT Buana Artha Anugerah</v>
      </c>
      <c r="K834" t="str">
        <f t="shared" si="140"/>
        <v>STAR, Buana Artha Anugerah, Buana Artha Anugerah Tbk, BuanaArthaAnugerah, PT Buana Artha Anugerah</v>
      </c>
      <c r="L834" t="str">
        <f t="shared" ref="L834:L897" si="147">SUBSTITUTE(MID(B834, 1, FIND(" Tbk.", B834)-1), " ", "")</f>
        <v>BuanaArthaAnugerah</v>
      </c>
      <c r="M834" t="str">
        <f t="shared" si="141"/>
        <v>STAR, Buana Artha Anugerah, Buana Artha Anugerah Tbk, PT Buana Artha Anugerah</v>
      </c>
      <c r="N834" t="str">
        <f t="shared" si="142"/>
        <v>STAR, Buana Artha Anugerah, Buana Artha Anugerah Tbk, PT Buana Artha Anugerah</v>
      </c>
    </row>
    <row r="835" spans="1:14" x14ac:dyDescent="0.2">
      <c r="A835" t="s">
        <v>2390</v>
      </c>
      <c r="B835" t="s">
        <v>2391</v>
      </c>
      <c r="C835" t="s">
        <v>8634</v>
      </c>
      <c r="D835" t="str">
        <f t="shared" si="143"/>
        <v>STRK, LOVINA BEACH BREWERY, Lovina Beach Brewery, Lovina Beach Brewery Tbk, LovinaBeachBrewery, PT Lovina Beach Brewery, lovina beach brewery</v>
      </c>
      <c r="E835" t="str">
        <f t="shared" si="144"/>
        <v>STRK, LOVINA BEACH BREWERY, Lovina Beach Brewery, Lovina Beach Brewery Tbk, LovinaBeachBrewery, PT Lovina Beach Brewery, lovina beach brewery</v>
      </c>
      <c r="F835" t="str">
        <f t="shared" si="145"/>
        <v>lovina beach brewery</v>
      </c>
      <c r="G835" t="str">
        <f t="shared" ref="G835:G898" si="148">SUBSTITUTE(E835, _xlfn.CONCAT(", ", F835), "")</f>
        <v>STRK, LOVINA BEACH BREWERY, Lovina Beach Brewery, Lovina Beach Brewery Tbk, LovinaBeachBrewery, PT Lovina Beach Brewery</v>
      </c>
      <c r="H835" t="str">
        <f t="shared" ref="H835:H898" si="149">SUBSTITUTE(G835, _xlfn.CONCAT(F835, ", "), "")</f>
        <v>STRK, LOVINA BEACH BREWERY, Lovina Beach Brewery, Lovina Beach Brewery Tbk, LovinaBeachBrewery, PT Lovina Beach Brewery</v>
      </c>
      <c r="I835" t="str">
        <f t="shared" si="146"/>
        <v>LOVINA BEACH BREWERY</v>
      </c>
      <c r="J835" t="str">
        <f t="shared" ref="J835:J898" si="150">SUBSTITUTE(H835, _xlfn.CONCAT(", ", I835), "")</f>
        <v>STRK, Lovina Beach Brewery, Lovina Beach Brewery Tbk, LovinaBeachBrewery, PT Lovina Beach Brewery</v>
      </c>
      <c r="K835" t="str">
        <f t="shared" ref="K835:K898" si="151">SUBSTITUTE(J835, _xlfn.CONCAT(I835, ", "), "")</f>
        <v>STRK, Lovina Beach Brewery, Lovina Beach Brewery Tbk, LovinaBeachBrewery, PT Lovina Beach Brewery</v>
      </c>
      <c r="L835" t="str">
        <f t="shared" si="147"/>
        <v>LovinaBeachBrewery</v>
      </c>
      <c r="M835" t="str">
        <f t="shared" ref="M835:M898" si="152">SUBSTITUTE(K835, _xlfn.CONCAT(", ", L835), "")</f>
        <v>STRK, Lovina Beach Brewery, Lovina Beach Brewery Tbk, PT Lovina Beach Brewery</v>
      </c>
      <c r="N835" t="str">
        <f t="shared" ref="N835:N898" si="153">SUBSTITUTE(M835, _xlfn.CONCAT(L835, ", "), "")</f>
        <v>STRK, Lovina Beach Brewery, Lovina Beach Brewery Tbk, PT Lovina Beach Brewery</v>
      </c>
    </row>
    <row r="836" spans="1:14" x14ac:dyDescent="0.2">
      <c r="A836" t="s">
        <v>1174</v>
      </c>
      <c r="B836" t="s">
        <v>1175</v>
      </c>
      <c r="C836" t="s">
        <v>8635</v>
      </c>
      <c r="D836" t="str">
        <f t="shared" si="143"/>
        <v>STTP, PT Siantar Top, SIANTAR TOP, Siantar Top, Siantar Top Tbk, SiantarTop, siantar top</v>
      </c>
      <c r="E836" t="str">
        <f t="shared" si="144"/>
        <v>STTP, PT Siantar Top, SIANTAR TOP, Siantar Top, Siantar Top Tbk, SiantarTop, siantar top</v>
      </c>
      <c r="F836" t="str">
        <f t="shared" si="145"/>
        <v>siantar top</v>
      </c>
      <c r="G836" t="str">
        <f t="shared" si="148"/>
        <v>STTP, PT Siantar Top, SIANTAR TOP, Siantar Top, Siantar Top Tbk, SiantarTop</v>
      </c>
      <c r="H836" t="str">
        <f t="shared" si="149"/>
        <v>STTP, PT Siantar Top, SIANTAR TOP, Siantar Top, Siantar Top Tbk, SiantarTop</v>
      </c>
      <c r="I836" t="str">
        <f t="shared" si="146"/>
        <v>SIANTAR TOP</v>
      </c>
      <c r="J836" t="str">
        <f t="shared" si="150"/>
        <v>STTP, PT Siantar Top, Siantar Top, Siantar Top Tbk, SiantarTop</v>
      </c>
      <c r="K836" t="str">
        <f t="shared" si="151"/>
        <v>STTP, PT Siantar Top, Siantar Top, Siantar Top Tbk, SiantarTop</v>
      </c>
      <c r="L836" t="str">
        <f t="shared" si="147"/>
        <v>SiantarTop</v>
      </c>
      <c r="M836" t="str">
        <f t="shared" si="152"/>
        <v>STTP, PT Siantar Top, Siantar Top, Siantar Top Tbk</v>
      </c>
      <c r="N836" t="str">
        <f t="shared" si="153"/>
        <v>STTP, PT Siantar Top, Siantar Top, Siantar Top Tbk</v>
      </c>
    </row>
    <row r="837" spans="1:14" x14ac:dyDescent="0.2">
      <c r="A837" t="s">
        <v>1177</v>
      </c>
      <c r="B837" t="s">
        <v>1178</v>
      </c>
      <c r="C837" t="s">
        <v>8636</v>
      </c>
      <c r="D837" t="str">
        <f t="shared" si="143"/>
        <v>SUGI, PT Sugih Energy, SUGIH ENERGY, Sugih Energy, Sugih Energy Tbk, SugihEnergy, sugih energy</v>
      </c>
      <c r="E837" t="str">
        <f t="shared" si="144"/>
        <v>SUGI, PT Sugih Energy, SUGIH ENERGY, Sugih Energy, Sugih Energy Tbk, SugihEnergy, sugih energy</v>
      </c>
      <c r="F837" t="str">
        <f t="shared" si="145"/>
        <v>sugih energy</v>
      </c>
      <c r="G837" t="str">
        <f t="shared" si="148"/>
        <v>SUGI, PT Sugih Energy, SUGIH ENERGY, Sugih Energy, Sugih Energy Tbk, SugihEnergy</v>
      </c>
      <c r="H837" t="str">
        <f t="shared" si="149"/>
        <v>SUGI, PT Sugih Energy, SUGIH ENERGY, Sugih Energy, Sugih Energy Tbk, SugihEnergy</v>
      </c>
      <c r="I837" t="str">
        <f t="shared" si="146"/>
        <v>SUGIH ENERGY</v>
      </c>
      <c r="J837" t="str">
        <f t="shared" si="150"/>
        <v>SUGI, PT Sugih Energy, Sugih Energy, Sugih Energy Tbk, SugihEnergy</v>
      </c>
      <c r="K837" t="str">
        <f t="shared" si="151"/>
        <v>SUGI, PT Sugih Energy, Sugih Energy, Sugih Energy Tbk, SugihEnergy</v>
      </c>
      <c r="L837" t="str">
        <f t="shared" si="147"/>
        <v>SugihEnergy</v>
      </c>
      <c r="M837" t="str">
        <f t="shared" si="152"/>
        <v>SUGI, PT Sugih Energy, Sugih Energy, Sugih Energy Tbk</v>
      </c>
      <c r="N837" t="str">
        <f t="shared" si="153"/>
        <v>SUGI, PT Sugih Energy, Sugih Energy, Sugih Energy Tbk</v>
      </c>
    </row>
    <row r="838" spans="1:14" x14ac:dyDescent="0.2">
      <c r="A838" t="s">
        <v>1180</v>
      </c>
      <c r="B838" t="s">
        <v>1181</v>
      </c>
      <c r="C838" t="s">
        <v>8637</v>
      </c>
      <c r="D838" t="str">
        <f t="shared" si="143"/>
        <v>SULI, PT SLJ Global, SLJ GLOBAL, SLJ Global, SLJ Global Tbk, SLJGlobal, slj global</v>
      </c>
      <c r="E838" t="str">
        <f t="shared" si="144"/>
        <v>SULI, PT SLJ Global, SLJ GLOBAL, SLJ Global, SLJ Global Tbk, SLJGlobal, slj global</v>
      </c>
      <c r="F838" t="str">
        <f t="shared" si="145"/>
        <v>slj global</v>
      </c>
      <c r="G838" t="str">
        <f t="shared" si="148"/>
        <v>SULI, PT SLJ Global, SLJ GLOBAL, SLJ Global, SLJ Global Tbk, SLJGlobal</v>
      </c>
      <c r="H838" t="str">
        <f t="shared" si="149"/>
        <v>SULI, PT SLJ Global, SLJ GLOBAL, SLJ Global, SLJ Global Tbk, SLJGlobal</v>
      </c>
      <c r="I838" t="str">
        <f t="shared" si="146"/>
        <v>SLJ GLOBAL</v>
      </c>
      <c r="J838" t="str">
        <f t="shared" si="150"/>
        <v>SULI, PT SLJ Global, SLJ Global, SLJ Global Tbk, SLJGlobal</v>
      </c>
      <c r="K838" t="str">
        <f t="shared" si="151"/>
        <v>SULI, PT SLJ Global, SLJ Global, SLJ Global Tbk, SLJGlobal</v>
      </c>
      <c r="L838" t="str">
        <f t="shared" si="147"/>
        <v>SLJGlobal</v>
      </c>
      <c r="M838" t="str">
        <f t="shared" si="152"/>
        <v>SULI, PT SLJ Global, SLJ Global, SLJ Global Tbk</v>
      </c>
      <c r="N838" t="str">
        <f t="shared" si="153"/>
        <v>SULI, PT SLJ Global, SLJ Global, SLJ Global Tbk</v>
      </c>
    </row>
    <row r="839" spans="1:14" x14ac:dyDescent="0.2">
      <c r="A839" t="s">
        <v>2228</v>
      </c>
      <c r="B839" t="s">
        <v>2229</v>
      </c>
      <c r="C839" t="s">
        <v>8638</v>
      </c>
      <c r="D839" t="str">
        <f t="shared" si="143"/>
        <v>SUNI, PT Sunindo Pratama, SUNINDO PRATAMA, Sunindo Pratama, Sunindo Pratama Tbk, SunindoPratama, sunindo pratama</v>
      </c>
      <c r="E839" t="str">
        <f t="shared" si="144"/>
        <v>SUNI, PT Sunindo Pratama, SUNINDO PRATAMA, Sunindo Pratama, Sunindo Pratama Tbk, SunindoPratama, sunindo pratama</v>
      </c>
      <c r="F839" t="str">
        <f t="shared" si="145"/>
        <v>sunindo pratama</v>
      </c>
      <c r="G839" t="str">
        <f t="shared" si="148"/>
        <v>SUNI, PT Sunindo Pratama, SUNINDO PRATAMA, Sunindo Pratama, Sunindo Pratama Tbk, SunindoPratama</v>
      </c>
      <c r="H839" t="str">
        <f t="shared" si="149"/>
        <v>SUNI, PT Sunindo Pratama, SUNINDO PRATAMA, Sunindo Pratama, Sunindo Pratama Tbk, SunindoPratama</v>
      </c>
      <c r="I839" t="str">
        <f t="shared" si="146"/>
        <v>SUNINDO PRATAMA</v>
      </c>
      <c r="J839" t="str">
        <f t="shared" si="150"/>
        <v>SUNI, PT Sunindo Pratama, Sunindo Pratama, Sunindo Pratama Tbk, SunindoPratama</v>
      </c>
      <c r="K839" t="str">
        <f t="shared" si="151"/>
        <v>SUNI, PT Sunindo Pratama, Sunindo Pratama, Sunindo Pratama Tbk, SunindoPratama</v>
      </c>
      <c r="L839" t="str">
        <f t="shared" si="147"/>
        <v>SunindoPratama</v>
      </c>
      <c r="M839" t="str">
        <f t="shared" si="152"/>
        <v>SUNI, PT Sunindo Pratama, Sunindo Pratama, Sunindo Pratama Tbk</v>
      </c>
      <c r="N839" t="str">
        <f t="shared" si="153"/>
        <v>SUNI, PT Sunindo Pratama, Sunindo Pratama, Sunindo Pratama Tbk</v>
      </c>
    </row>
    <row r="840" spans="1:14" x14ac:dyDescent="0.2">
      <c r="A840" t="s">
        <v>2566</v>
      </c>
      <c r="B840" t="s">
        <v>2567</v>
      </c>
      <c r="C840" t="s">
        <v>8639</v>
      </c>
      <c r="D840" t="str">
        <f t="shared" si="143"/>
        <v>SUPA, PT Super Bank Indonesia, SUPER BANK INDONESIA, Super Bank Indonesia, Super Bank Indonesia Tbk, SuperBankIndonesia, super bank indonesia</v>
      </c>
      <c r="E840" t="str">
        <f t="shared" si="144"/>
        <v>SUPA, PT Super Bank Indonesia, SUPER BANK INDONESIA, Super Bank Indonesia, Super Bank Indonesia Tbk, SuperBankIndonesia, super bank indonesia</v>
      </c>
      <c r="F840" t="str">
        <f t="shared" si="145"/>
        <v>super bank indonesia</v>
      </c>
      <c r="G840" t="str">
        <f t="shared" si="148"/>
        <v>SUPA, PT Super Bank Indonesia, SUPER BANK INDONESIA, Super Bank Indonesia, Super Bank Indonesia Tbk, SuperBankIndonesia</v>
      </c>
      <c r="H840" t="str">
        <f t="shared" si="149"/>
        <v>SUPA, PT Super Bank Indonesia, SUPER BANK INDONESIA, Super Bank Indonesia, Super Bank Indonesia Tbk, SuperBankIndonesia</v>
      </c>
      <c r="I840" t="str">
        <f t="shared" si="146"/>
        <v>SUPER BANK INDONESIA</v>
      </c>
      <c r="J840" t="str">
        <f t="shared" si="150"/>
        <v>SUPA, PT Super Bank Indonesia, Super Bank Indonesia, Super Bank Indonesia Tbk, SuperBankIndonesia</v>
      </c>
      <c r="K840" t="str">
        <f t="shared" si="151"/>
        <v>SUPA, PT Super Bank Indonesia, Super Bank Indonesia, Super Bank Indonesia Tbk, SuperBankIndonesia</v>
      </c>
      <c r="L840" t="str">
        <f t="shared" si="147"/>
        <v>SuperBankIndonesia</v>
      </c>
      <c r="M840" t="str">
        <f t="shared" si="152"/>
        <v>SUPA, PT Super Bank Indonesia, Super Bank Indonesia, Super Bank Indonesia Tbk</v>
      </c>
      <c r="N840" t="str">
        <f t="shared" si="153"/>
        <v>SUPA, PT Super Bank Indonesia, Super Bank Indonesia, Super Bank Indonesia Tbk</v>
      </c>
    </row>
    <row r="841" spans="1:14" x14ac:dyDescent="0.2">
      <c r="A841" t="s">
        <v>1183</v>
      </c>
      <c r="B841" t="s">
        <v>1184</v>
      </c>
      <c r="C841" t="s">
        <v>8640</v>
      </c>
      <c r="D841" t="str">
        <f t="shared" si="143"/>
        <v>SUPR, PT Solusi Tunas Pratama, SOLUSI TUNAS PRATAMA, Solusi Tunas Pratama, Solusi Tunas Pratama Tbk, SolusiTunasPratama, solusi tunas pratama</v>
      </c>
      <c r="E841" t="str">
        <f t="shared" si="144"/>
        <v>SUPR, PT Solusi Tunas Pratama, SOLUSI TUNAS PRATAMA, Solusi Tunas Pratama, Solusi Tunas Pratama Tbk, SolusiTunasPratama, solusi tunas pratama</v>
      </c>
      <c r="F841" t="str">
        <f t="shared" si="145"/>
        <v>solusi tunas pratama</v>
      </c>
      <c r="G841" t="str">
        <f t="shared" si="148"/>
        <v>SUPR, PT Solusi Tunas Pratama, SOLUSI TUNAS PRATAMA, Solusi Tunas Pratama, Solusi Tunas Pratama Tbk, SolusiTunasPratama</v>
      </c>
      <c r="H841" t="str">
        <f t="shared" si="149"/>
        <v>SUPR, PT Solusi Tunas Pratama, SOLUSI TUNAS PRATAMA, Solusi Tunas Pratama, Solusi Tunas Pratama Tbk, SolusiTunasPratama</v>
      </c>
      <c r="I841" t="str">
        <f t="shared" si="146"/>
        <v>SOLUSI TUNAS PRATAMA</v>
      </c>
      <c r="J841" t="str">
        <f t="shared" si="150"/>
        <v>SUPR, PT Solusi Tunas Pratama, Solusi Tunas Pratama, Solusi Tunas Pratama Tbk, SolusiTunasPratama</v>
      </c>
      <c r="K841" t="str">
        <f t="shared" si="151"/>
        <v>SUPR, PT Solusi Tunas Pratama, Solusi Tunas Pratama, Solusi Tunas Pratama Tbk, SolusiTunasPratama</v>
      </c>
      <c r="L841" t="str">
        <f t="shared" si="147"/>
        <v>SolusiTunasPratama</v>
      </c>
      <c r="M841" t="str">
        <f t="shared" si="152"/>
        <v>SUPR, PT Solusi Tunas Pratama, Solusi Tunas Pratama, Solusi Tunas Pratama Tbk</v>
      </c>
      <c r="N841" t="str">
        <f t="shared" si="153"/>
        <v>SUPR, PT Solusi Tunas Pratama, Solusi Tunas Pratama, Solusi Tunas Pratama Tbk</v>
      </c>
    </row>
    <row r="842" spans="1:14" x14ac:dyDescent="0.2">
      <c r="A842" t="s">
        <v>1592</v>
      </c>
      <c r="B842" t="s">
        <v>1593</v>
      </c>
      <c r="C842" t="s">
        <v>8641</v>
      </c>
      <c r="D842" t="str">
        <f t="shared" si="143"/>
        <v>SURE, PT Super Energy, SUPER ENERGY, Super Energy, Super Energy Tbk, SuperEnergy, super energy</v>
      </c>
      <c r="E842" t="str">
        <f t="shared" si="144"/>
        <v>SURE, PT Super Energy, SUPER ENERGY, Super Energy, Super Energy Tbk, SuperEnergy, super energy</v>
      </c>
      <c r="F842" t="str">
        <f t="shared" si="145"/>
        <v>super energy</v>
      </c>
      <c r="G842" t="str">
        <f t="shared" si="148"/>
        <v>SURE, PT Super Energy, SUPER ENERGY, Super Energy, Super Energy Tbk, SuperEnergy</v>
      </c>
      <c r="H842" t="str">
        <f t="shared" si="149"/>
        <v>SURE, PT Super Energy, SUPER ENERGY, Super Energy, Super Energy Tbk, SuperEnergy</v>
      </c>
      <c r="I842" t="str">
        <f t="shared" si="146"/>
        <v>SUPER ENERGY</v>
      </c>
      <c r="J842" t="str">
        <f t="shared" si="150"/>
        <v>SURE, PT Super Energy, Super Energy, Super Energy Tbk, SuperEnergy</v>
      </c>
      <c r="K842" t="str">
        <f t="shared" si="151"/>
        <v>SURE, PT Super Energy, Super Energy, Super Energy Tbk, SuperEnergy</v>
      </c>
      <c r="L842" t="str">
        <f t="shared" si="147"/>
        <v>SuperEnergy</v>
      </c>
      <c r="M842" t="str">
        <f t="shared" si="152"/>
        <v>SURE, PT Super Energy, Super Energy, Super Energy Tbk</v>
      </c>
      <c r="N842" t="str">
        <f t="shared" si="153"/>
        <v>SURE, PT Super Energy, Super Energy, Super Energy Tbk</v>
      </c>
    </row>
    <row r="843" spans="1:14" x14ac:dyDescent="0.2">
      <c r="A843" t="s">
        <v>2412</v>
      </c>
      <c r="B843" t="s">
        <v>2413</v>
      </c>
      <c r="C843" t="s">
        <v>8642</v>
      </c>
      <c r="D843" t="str">
        <f t="shared" si="143"/>
        <v>SURI, MAJA AGUNG LATEXINDO, Maja Agung Latexindo, Maja Agung Latexindo Tbk, MajaAgungLatexindo, PT Maja Agung Latexindo, maja agung latexindo</v>
      </c>
      <c r="E843" t="str">
        <f t="shared" si="144"/>
        <v>SURI, MAJA AGUNG LATEXINDO, Maja Agung Latexindo, Maja Agung Latexindo Tbk, MajaAgungLatexindo, PT Maja Agung Latexindo, maja agung latexindo</v>
      </c>
      <c r="F843" t="str">
        <f t="shared" si="145"/>
        <v>maja agung latexindo</v>
      </c>
      <c r="G843" t="str">
        <f t="shared" si="148"/>
        <v>SURI, MAJA AGUNG LATEXINDO, Maja Agung Latexindo, Maja Agung Latexindo Tbk, MajaAgungLatexindo, PT Maja Agung Latexindo</v>
      </c>
      <c r="H843" t="str">
        <f t="shared" si="149"/>
        <v>SURI, MAJA AGUNG LATEXINDO, Maja Agung Latexindo, Maja Agung Latexindo Tbk, MajaAgungLatexindo, PT Maja Agung Latexindo</v>
      </c>
      <c r="I843" t="str">
        <f t="shared" si="146"/>
        <v>MAJA AGUNG LATEXINDO</v>
      </c>
      <c r="J843" t="str">
        <f t="shared" si="150"/>
        <v>SURI, Maja Agung Latexindo, Maja Agung Latexindo Tbk, MajaAgungLatexindo, PT Maja Agung Latexindo</v>
      </c>
      <c r="K843" t="str">
        <f t="shared" si="151"/>
        <v>SURI, Maja Agung Latexindo, Maja Agung Latexindo Tbk, MajaAgungLatexindo, PT Maja Agung Latexindo</v>
      </c>
      <c r="L843" t="str">
        <f t="shared" si="147"/>
        <v>MajaAgungLatexindo</v>
      </c>
      <c r="M843" t="str">
        <f t="shared" si="152"/>
        <v>SURI, Maja Agung Latexindo, Maja Agung Latexindo Tbk, PT Maja Agung Latexindo</v>
      </c>
      <c r="N843" t="str">
        <f t="shared" si="153"/>
        <v>SURI, Maja Agung Latexindo, Maja Agung Latexindo Tbk, PT Maja Agung Latexindo</v>
      </c>
    </row>
    <row r="844" spans="1:14" x14ac:dyDescent="0.2">
      <c r="A844" t="s">
        <v>1538</v>
      </c>
      <c r="B844" t="s">
        <v>1539</v>
      </c>
      <c r="C844" t="s">
        <v>8643</v>
      </c>
      <c r="D844" t="str">
        <f t="shared" si="143"/>
        <v>SWAT, PT Sriwahana Adityakarta, SRIWAHANA ADITYAKARTA, Sriwahana Adityakarta, Sriwahana Adityakarta Tbk, SriwahanaAdityakarta, sriwahana adityakarta</v>
      </c>
      <c r="E844" t="str">
        <f t="shared" si="144"/>
        <v>SWAT, PT Sriwahana Adityakarta, SRIWAHANA ADITYAKARTA, Sriwahana Adityakarta, Sriwahana Adityakarta Tbk, SriwahanaAdityakarta, sriwahana adityakarta</v>
      </c>
      <c r="F844" t="str">
        <f t="shared" si="145"/>
        <v>sriwahana adityakarta</v>
      </c>
      <c r="G844" t="str">
        <f t="shared" si="148"/>
        <v>SWAT, PT Sriwahana Adityakarta, SRIWAHANA ADITYAKARTA, Sriwahana Adityakarta, Sriwahana Adityakarta Tbk, SriwahanaAdityakarta</v>
      </c>
      <c r="H844" t="str">
        <f t="shared" si="149"/>
        <v>SWAT, PT Sriwahana Adityakarta, SRIWAHANA ADITYAKARTA, Sriwahana Adityakarta, Sriwahana Adityakarta Tbk, SriwahanaAdityakarta</v>
      </c>
      <c r="I844" t="str">
        <f t="shared" si="146"/>
        <v>SRIWAHANA ADITYAKARTA</v>
      </c>
      <c r="J844" t="str">
        <f t="shared" si="150"/>
        <v>SWAT, PT Sriwahana Adityakarta, Sriwahana Adityakarta, Sriwahana Adityakarta Tbk, SriwahanaAdityakarta</v>
      </c>
      <c r="K844" t="str">
        <f t="shared" si="151"/>
        <v>SWAT, PT Sriwahana Adityakarta, Sriwahana Adityakarta, Sriwahana Adityakarta Tbk, SriwahanaAdityakarta</v>
      </c>
      <c r="L844" t="str">
        <f t="shared" si="147"/>
        <v>SriwahanaAdityakarta</v>
      </c>
      <c r="M844" t="str">
        <f t="shared" si="152"/>
        <v>SWAT, PT Sriwahana Adityakarta, Sriwahana Adityakarta, Sriwahana Adityakarta Tbk</v>
      </c>
      <c r="N844" t="str">
        <f t="shared" si="153"/>
        <v>SWAT, PT Sriwahana Adityakarta, Sriwahana Adityakarta, Sriwahana Adityakarta Tbk</v>
      </c>
    </row>
    <row r="845" spans="1:14" x14ac:dyDescent="0.2">
      <c r="A845" t="s">
        <v>2115</v>
      </c>
      <c r="B845" t="s">
        <v>3684</v>
      </c>
      <c r="C845" t="s">
        <v>8644</v>
      </c>
      <c r="D845" t="str">
        <f t="shared" si="143"/>
        <v>SWID, PT Saraswanti Indoland Development, SARASWANTI INDOLAND DEVELOPMENT, Saraswanti Indoland Development, Saraswanti Indoland Development Tbk, SaraswantiIndolandDevelopment, saraswanti indoland development</v>
      </c>
      <c r="E845" t="str">
        <f t="shared" si="144"/>
        <v>SWID, PT Saraswanti Indoland Development, SARASWANTI INDOLAND DEVELOPMENT, Saraswanti Indoland Development, Saraswanti Indoland Development Tbk, SaraswantiIndolandDevelopment, saraswanti indoland development</v>
      </c>
      <c r="F845" t="str">
        <f t="shared" si="145"/>
        <v>saraswanti indoland development</v>
      </c>
      <c r="G845" t="str">
        <f t="shared" si="148"/>
        <v>SWID, PT Saraswanti Indoland Development, SARASWANTI INDOLAND DEVELOPMENT, Saraswanti Indoland Development, Saraswanti Indoland Development Tbk, SaraswantiIndolandDevelopment</v>
      </c>
      <c r="H845" t="str">
        <f t="shared" si="149"/>
        <v>SWID, PT Saraswanti Indoland Development, SARASWANTI INDOLAND DEVELOPMENT, Saraswanti Indoland Development, Saraswanti Indoland Development Tbk, SaraswantiIndolandDevelopment</v>
      </c>
      <c r="I845" t="str">
        <f t="shared" si="146"/>
        <v>SARASWANTI INDOLAND DEVELOPMENT</v>
      </c>
      <c r="J845" t="str">
        <f t="shared" si="150"/>
        <v>SWID, PT Saraswanti Indoland Development, Saraswanti Indoland Development, Saraswanti Indoland Development Tbk, SaraswantiIndolandDevelopment</v>
      </c>
      <c r="K845" t="str">
        <f t="shared" si="151"/>
        <v>SWID, PT Saraswanti Indoland Development, Saraswanti Indoland Development, Saraswanti Indoland Development Tbk, SaraswantiIndolandDevelopment</v>
      </c>
      <c r="L845" t="str">
        <f t="shared" si="147"/>
        <v>SaraswantiIndolandDevelopment</v>
      </c>
      <c r="M845" t="str">
        <f t="shared" si="152"/>
        <v>SWID, PT Saraswanti Indoland Development, Saraswanti Indoland Development, Saraswanti Indoland Development Tbk</v>
      </c>
      <c r="N845" t="str">
        <f t="shared" si="153"/>
        <v>SWID, PT Saraswanti Indoland Development, Saraswanti Indoland Development, Saraswanti Indoland Development Tbk</v>
      </c>
    </row>
    <row r="846" spans="1:14" x14ac:dyDescent="0.2">
      <c r="A846" t="s">
        <v>1186</v>
      </c>
      <c r="B846" t="s">
        <v>1187</v>
      </c>
      <c r="C846" t="s">
        <v>8645</v>
      </c>
      <c r="D846" t="str">
        <f t="shared" si="143"/>
        <v>TALF, PT Tunas Alfin, TUNAS ALFIN, Tunas Alfin, Tunas Alfin Tbk, TunasAlfin, tunas alfin</v>
      </c>
      <c r="E846" t="str">
        <f t="shared" si="144"/>
        <v>TALF, PT Tunas Alfin, TUNAS ALFIN, Tunas Alfin, Tunas Alfin Tbk, TunasAlfin, tunas alfin</v>
      </c>
      <c r="F846" t="str">
        <f t="shared" si="145"/>
        <v>tunas alfin</v>
      </c>
      <c r="G846" t="str">
        <f t="shared" si="148"/>
        <v>TALF, PT Tunas Alfin, TUNAS ALFIN, Tunas Alfin, Tunas Alfin Tbk, TunasAlfin</v>
      </c>
      <c r="H846" t="str">
        <f t="shared" si="149"/>
        <v>TALF, PT Tunas Alfin, TUNAS ALFIN, Tunas Alfin, Tunas Alfin Tbk, TunasAlfin</v>
      </c>
      <c r="I846" t="str">
        <f t="shared" si="146"/>
        <v>TUNAS ALFIN</v>
      </c>
      <c r="J846" t="str">
        <f t="shared" si="150"/>
        <v>TALF, PT Tunas Alfin, Tunas Alfin, Tunas Alfin Tbk, TunasAlfin</v>
      </c>
      <c r="K846" t="str">
        <f t="shared" si="151"/>
        <v>TALF, PT Tunas Alfin, Tunas Alfin, Tunas Alfin Tbk, TunasAlfin</v>
      </c>
      <c r="L846" t="str">
        <f t="shared" si="147"/>
        <v>TunasAlfin</v>
      </c>
      <c r="M846" t="str">
        <f t="shared" si="152"/>
        <v>TALF, PT Tunas Alfin, Tunas Alfin, Tunas Alfin Tbk</v>
      </c>
      <c r="N846" t="str">
        <f t="shared" si="153"/>
        <v>TALF, PT Tunas Alfin, Tunas Alfin, Tunas Alfin Tbk</v>
      </c>
    </row>
    <row r="847" spans="1:14" x14ac:dyDescent="0.2">
      <c r="A847" t="s">
        <v>1819</v>
      </c>
      <c r="B847" t="s">
        <v>1820</v>
      </c>
      <c r="C847" t="s">
        <v>8646</v>
      </c>
      <c r="D847" t="str">
        <f t="shared" si="143"/>
        <v>TAMA, LANCARTAMA SEJATI, Lancartama Sejati, Lancartama Sejati Tbk, LancartamaSejati, PT Lancartama Sejati, lancartama sejati</v>
      </c>
      <c r="E847" t="str">
        <f t="shared" si="144"/>
        <v>TAMA, LANCARTAMA SEJATI, Lancartama Sejati, Lancartama Sejati Tbk, LancartamaSejati, PT Lancartama Sejati, lancartama sejati</v>
      </c>
      <c r="F847" t="str">
        <f t="shared" si="145"/>
        <v>lancartama sejati</v>
      </c>
      <c r="G847" t="str">
        <f t="shared" si="148"/>
        <v>TAMA, LANCARTAMA SEJATI, Lancartama Sejati, Lancartama Sejati Tbk, LancartamaSejati, PT Lancartama Sejati</v>
      </c>
      <c r="H847" t="str">
        <f t="shared" si="149"/>
        <v>TAMA, LANCARTAMA SEJATI, Lancartama Sejati, Lancartama Sejati Tbk, LancartamaSejati, PT Lancartama Sejati</v>
      </c>
      <c r="I847" t="str">
        <f t="shared" si="146"/>
        <v>LANCARTAMA SEJATI</v>
      </c>
      <c r="J847" t="str">
        <f t="shared" si="150"/>
        <v>TAMA, Lancartama Sejati, Lancartama Sejati Tbk, LancartamaSejati, PT Lancartama Sejati</v>
      </c>
      <c r="K847" t="str">
        <f t="shared" si="151"/>
        <v>TAMA, Lancartama Sejati, Lancartama Sejati Tbk, LancartamaSejati, PT Lancartama Sejati</v>
      </c>
      <c r="L847" t="str">
        <f t="shared" si="147"/>
        <v>LancartamaSejati</v>
      </c>
      <c r="M847" t="str">
        <f t="shared" si="152"/>
        <v>TAMA, Lancartama Sejati, Lancartama Sejati Tbk, PT Lancartama Sejati</v>
      </c>
      <c r="N847" t="str">
        <f t="shared" si="153"/>
        <v>TAMA, Lancartama Sejati, Lancartama Sejati Tbk, PT Lancartama Sejati</v>
      </c>
    </row>
    <row r="848" spans="1:14" x14ac:dyDescent="0.2">
      <c r="A848" t="s">
        <v>1402</v>
      </c>
      <c r="B848" t="s">
        <v>1403</v>
      </c>
      <c r="C848" t="s">
        <v>8647</v>
      </c>
      <c r="D848" t="str">
        <f t="shared" si="143"/>
        <v>TAMU, PELAYARAN TAMARIN SAMUDRA, PT Pelayaran Tamarin Samudra, Pelayaran Tamarin Samudra, Pelayaran Tamarin Samudra Tbk, PelayaranTamarinSamudra, pelayaran tamarin samudra</v>
      </c>
      <c r="E848" t="str">
        <f t="shared" si="144"/>
        <v>TAMU, PELAYARAN TAMARIN SAMUDRA, PT Pelayaran Tamarin Samudra, Pelayaran Tamarin Samudra, Pelayaran Tamarin Samudra Tbk, PelayaranTamarinSamudra, pelayaran tamarin samudra</v>
      </c>
      <c r="F848" t="str">
        <f t="shared" si="145"/>
        <v>pelayaran tamarin samudra</v>
      </c>
      <c r="G848" t="str">
        <f t="shared" si="148"/>
        <v>TAMU, PELAYARAN TAMARIN SAMUDRA, PT Pelayaran Tamarin Samudra, Pelayaran Tamarin Samudra, Pelayaran Tamarin Samudra Tbk, PelayaranTamarinSamudra</v>
      </c>
      <c r="H848" t="str">
        <f t="shared" si="149"/>
        <v>TAMU, PELAYARAN TAMARIN SAMUDRA, PT Pelayaran Tamarin Samudra, Pelayaran Tamarin Samudra, Pelayaran Tamarin Samudra Tbk, PelayaranTamarinSamudra</v>
      </c>
      <c r="I848" t="str">
        <f t="shared" si="146"/>
        <v>PELAYARAN TAMARIN SAMUDRA</v>
      </c>
      <c r="J848" t="str">
        <f t="shared" si="150"/>
        <v>TAMU, PT Pelayaran Tamarin Samudra, Pelayaran Tamarin Samudra, Pelayaran Tamarin Samudra Tbk, PelayaranTamarinSamudra</v>
      </c>
      <c r="K848" t="str">
        <f t="shared" si="151"/>
        <v>TAMU, PT Pelayaran Tamarin Samudra, Pelayaran Tamarin Samudra, Pelayaran Tamarin Samudra Tbk, PelayaranTamarinSamudra</v>
      </c>
      <c r="L848" t="str">
        <f t="shared" si="147"/>
        <v>PelayaranTamarinSamudra</v>
      </c>
      <c r="M848" t="str">
        <f t="shared" si="152"/>
        <v>TAMU, PT Pelayaran Tamarin Samudra, Pelayaran Tamarin Samudra, Pelayaran Tamarin Samudra Tbk</v>
      </c>
      <c r="N848" t="str">
        <f t="shared" si="153"/>
        <v>TAMU, PT Pelayaran Tamarin Samudra, Pelayaran Tamarin Samudra, Pelayaran Tamarin Samudra Tbk</v>
      </c>
    </row>
    <row r="849" spans="1:14" x14ac:dyDescent="0.2">
      <c r="A849" t="s">
        <v>1936</v>
      </c>
      <c r="B849" t="s">
        <v>1937</v>
      </c>
      <c r="C849" t="s">
        <v>8648</v>
      </c>
      <c r="D849" t="str">
        <f t="shared" si="143"/>
        <v>TAPG, PT Triputra Agro Persada, TRIPUTRA AGRO PERSADA, Triputra Agro Persada, Triputra Agro Persada Tbk, TriputraAgroPersada, triputra agro persada</v>
      </c>
      <c r="E849" t="str">
        <f t="shared" si="144"/>
        <v>TAPG, PT Triputra Agro Persada, TRIPUTRA AGRO PERSADA, Triputra Agro Persada, Triputra Agro Persada Tbk, TriputraAgroPersada, triputra agro persada</v>
      </c>
      <c r="F849" t="str">
        <f t="shared" si="145"/>
        <v>triputra agro persada</v>
      </c>
      <c r="G849" t="str">
        <f t="shared" si="148"/>
        <v>TAPG, PT Triputra Agro Persada, TRIPUTRA AGRO PERSADA, Triputra Agro Persada, Triputra Agro Persada Tbk, TriputraAgroPersada</v>
      </c>
      <c r="H849" t="str">
        <f t="shared" si="149"/>
        <v>TAPG, PT Triputra Agro Persada, TRIPUTRA AGRO PERSADA, Triputra Agro Persada, Triputra Agro Persada Tbk, TriputraAgroPersada</v>
      </c>
      <c r="I849" t="str">
        <f t="shared" si="146"/>
        <v>TRIPUTRA AGRO PERSADA</v>
      </c>
      <c r="J849" t="str">
        <f t="shared" si="150"/>
        <v>TAPG, PT Triputra Agro Persada, Triputra Agro Persada, Triputra Agro Persada Tbk, TriputraAgroPersada</v>
      </c>
      <c r="K849" t="str">
        <f t="shared" si="151"/>
        <v>TAPG, PT Triputra Agro Persada, Triputra Agro Persada, Triputra Agro Persada Tbk, TriputraAgroPersada</v>
      </c>
      <c r="L849" t="str">
        <f t="shared" si="147"/>
        <v>TriputraAgroPersada</v>
      </c>
      <c r="M849" t="str">
        <f t="shared" si="152"/>
        <v>TAPG, PT Triputra Agro Persada, Triputra Agro Persada, Triputra Agro Persada Tbk</v>
      </c>
      <c r="N849" t="str">
        <f t="shared" si="153"/>
        <v>TAPG, PT Triputra Agro Persada, Triputra Agro Persada, Triputra Agro Persada Tbk</v>
      </c>
    </row>
    <row r="850" spans="1:14" x14ac:dyDescent="0.2">
      <c r="A850" t="s">
        <v>1189</v>
      </c>
      <c r="B850" t="s">
        <v>1190</v>
      </c>
      <c r="C850" t="s">
        <v>8649</v>
      </c>
      <c r="D850" t="str">
        <f t="shared" si="143"/>
        <v>TARA, AGUNG SEMESTA SEJAHTERA, Agung Semesta Sejahtera, Agung Semesta Sejahtera Tbk, AgungSemestaSejahtera, PT Agung Semesta Sejahtera, agung semesta sejahtera</v>
      </c>
      <c r="E850" t="str">
        <f t="shared" si="144"/>
        <v>TARA, AGUNG SEMESTA SEJAHTERA, Agung Semesta Sejahtera, Agung Semesta Sejahtera Tbk, AgungSemestaSejahtera, PT Agung Semesta Sejahtera, agung semesta sejahtera</v>
      </c>
      <c r="F850" t="str">
        <f t="shared" si="145"/>
        <v>agung semesta sejahtera</v>
      </c>
      <c r="G850" t="str">
        <f t="shared" si="148"/>
        <v>TARA, AGUNG SEMESTA SEJAHTERA, Agung Semesta Sejahtera, Agung Semesta Sejahtera Tbk, AgungSemestaSejahtera, PT Agung Semesta Sejahtera</v>
      </c>
      <c r="H850" t="str">
        <f t="shared" si="149"/>
        <v>TARA, AGUNG SEMESTA SEJAHTERA, Agung Semesta Sejahtera, Agung Semesta Sejahtera Tbk, AgungSemestaSejahtera, PT Agung Semesta Sejahtera</v>
      </c>
      <c r="I850" t="str">
        <f t="shared" si="146"/>
        <v>AGUNG SEMESTA SEJAHTERA</v>
      </c>
      <c r="J850" t="str">
        <f t="shared" si="150"/>
        <v>TARA, Agung Semesta Sejahtera, Agung Semesta Sejahtera Tbk, AgungSemestaSejahtera, PT Agung Semesta Sejahtera</v>
      </c>
      <c r="K850" t="str">
        <f t="shared" si="151"/>
        <v>TARA, Agung Semesta Sejahtera, Agung Semesta Sejahtera Tbk, AgungSemestaSejahtera, PT Agung Semesta Sejahtera</v>
      </c>
      <c r="L850" t="str">
        <f t="shared" si="147"/>
        <v>AgungSemestaSejahtera</v>
      </c>
      <c r="M850" t="str">
        <f t="shared" si="152"/>
        <v>TARA, Agung Semesta Sejahtera, Agung Semesta Sejahtera Tbk, PT Agung Semesta Sejahtera</v>
      </c>
      <c r="N850" t="str">
        <f t="shared" si="153"/>
        <v>TARA, Agung Semesta Sejahtera, Agung Semesta Sejahtera Tbk, PT Agung Semesta Sejahtera</v>
      </c>
    </row>
    <row r="851" spans="1:14" x14ac:dyDescent="0.2">
      <c r="A851" t="s">
        <v>1192</v>
      </c>
      <c r="B851" t="s">
        <v>1193</v>
      </c>
      <c r="C851" t="s">
        <v>8650</v>
      </c>
      <c r="D851" t="str">
        <f t="shared" si="143"/>
        <v>TAXI, EXPRESS TRANSINDO UTAMA, Express Transindo Utama, Express Transindo Utama Tbk, ExpressTransindoUtama, PT Express Transindo Utama, express transindo utama</v>
      </c>
      <c r="E851" t="str">
        <f t="shared" si="144"/>
        <v>TAXI, EXPRESS TRANSINDO UTAMA, Express Transindo Utama, Express Transindo Utama Tbk, ExpressTransindoUtama, PT Express Transindo Utama, express transindo utama</v>
      </c>
      <c r="F851" t="str">
        <f t="shared" si="145"/>
        <v>express transindo utama</v>
      </c>
      <c r="G851" t="str">
        <f t="shared" si="148"/>
        <v>TAXI, EXPRESS TRANSINDO UTAMA, Express Transindo Utama, Express Transindo Utama Tbk, ExpressTransindoUtama, PT Express Transindo Utama</v>
      </c>
      <c r="H851" t="str">
        <f t="shared" si="149"/>
        <v>TAXI, EXPRESS TRANSINDO UTAMA, Express Transindo Utama, Express Transindo Utama Tbk, ExpressTransindoUtama, PT Express Transindo Utama</v>
      </c>
      <c r="I851" t="str">
        <f t="shared" si="146"/>
        <v>EXPRESS TRANSINDO UTAMA</v>
      </c>
      <c r="J851" t="str">
        <f t="shared" si="150"/>
        <v>TAXI, Express Transindo Utama, Express Transindo Utama Tbk, ExpressTransindoUtama, PT Express Transindo Utama</v>
      </c>
      <c r="K851" t="str">
        <f t="shared" si="151"/>
        <v>TAXI, Express Transindo Utama, Express Transindo Utama Tbk, ExpressTransindoUtama, PT Express Transindo Utama</v>
      </c>
      <c r="L851" t="str">
        <f t="shared" si="147"/>
        <v>ExpressTransindoUtama</v>
      </c>
      <c r="M851" t="str">
        <f t="shared" si="152"/>
        <v>TAXI, Express Transindo Utama, Express Transindo Utama Tbk, PT Express Transindo Utama</v>
      </c>
      <c r="N851" t="str">
        <f t="shared" si="153"/>
        <v>TAXI, Express Transindo Utama, Express Transindo Utama Tbk, PT Express Transindo Utama</v>
      </c>
    </row>
    <row r="852" spans="1:14" x14ac:dyDescent="0.2">
      <c r="A852" t="s">
        <v>2034</v>
      </c>
      <c r="B852" t="s">
        <v>2035</v>
      </c>
      <c r="C852" t="s">
        <v>8651</v>
      </c>
      <c r="D852" t="str">
        <f t="shared" si="143"/>
        <v>TAYS, JAYA SWARASA AGUNG, Jaya Swarasa Agung, Jaya Swarasa Agung Tbk, JayaSwarasaAgung, PT Jaya Swarasa Agung, jaya swarasa agung</v>
      </c>
      <c r="E852" t="str">
        <f t="shared" si="144"/>
        <v>TAYS, JAYA SWARASA AGUNG, Jaya Swarasa Agung, Jaya Swarasa Agung Tbk, JayaSwarasaAgung, PT Jaya Swarasa Agung, jaya swarasa agung</v>
      </c>
      <c r="F852" t="str">
        <f t="shared" si="145"/>
        <v>jaya swarasa agung</v>
      </c>
      <c r="G852" t="str">
        <f t="shared" si="148"/>
        <v>TAYS, JAYA SWARASA AGUNG, Jaya Swarasa Agung, Jaya Swarasa Agung Tbk, JayaSwarasaAgung, PT Jaya Swarasa Agung</v>
      </c>
      <c r="H852" t="str">
        <f t="shared" si="149"/>
        <v>TAYS, JAYA SWARASA AGUNG, Jaya Swarasa Agung, Jaya Swarasa Agung Tbk, JayaSwarasaAgung, PT Jaya Swarasa Agung</v>
      </c>
      <c r="I852" t="str">
        <f t="shared" si="146"/>
        <v>JAYA SWARASA AGUNG</v>
      </c>
      <c r="J852" t="str">
        <f t="shared" si="150"/>
        <v>TAYS, Jaya Swarasa Agung, Jaya Swarasa Agung Tbk, JayaSwarasaAgung, PT Jaya Swarasa Agung</v>
      </c>
      <c r="K852" t="str">
        <f t="shared" si="151"/>
        <v>TAYS, Jaya Swarasa Agung, Jaya Swarasa Agung Tbk, JayaSwarasaAgung, PT Jaya Swarasa Agung</v>
      </c>
      <c r="L852" t="str">
        <f t="shared" si="147"/>
        <v>JayaSwarasaAgung</v>
      </c>
      <c r="M852" t="str">
        <f t="shared" si="152"/>
        <v>TAYS, Jaya Swarasa Agung, Jaya Swarasa Agung Tbk, PT Jaya Swarasa Agung</v>
      </c>
      <c r="N852" t="str">
        <f t="shared" si="153"/>
        <v>TAYS, Jaya Swarasa Agung, Jaya Swarasa Agung Tbk, PT Jaya Swarasa Agung</v>
      </c>
    </row>
    <row r="853" spans="1:14" x14ac:dyDescent="0.2">
      <c r="A853" t="s">
        <v>1195</v>
      </c>
      <c r="B853" t="s">
        <v>3685</v>
      </c>
      <c r="C853" t="s">
        <v>8652</v>
      </c>
      <c r="D853" t="str">
        <f t="shared" si="143"/>
        <v>TBIG, PT Tower Bersama Infrastructure, TOWER BERSAMA INFRASTRUCTURE, Tower Bersama Infrastructure, Tower Bersama Infrastructure Tbk, TowerBersamaInfrastructure, tower bersama infrastructure</v>
      </c>
      <c r="E853" t="str">
        <f t="shared" si="144"/>
        <v>TBIG, PT Tower Bersama Infrastructure, TOWER BERSAMA INFRASTRUCTURE, Tower Bersama Infrastructure, Tower Bersama Infrastructure Tbk, TowerBersamaInfrastructure, tower bersama infrastructure</v>
      </c>
      <c r="F853" t="str">
        <f t="shared" si="145"/>
        <v>tower bersama infrastructure</v>
      </c>
      <c r="G853" t="str">
        <f t="shared" si="148"/>
        <v>TBIG, PT Tower Bersama Infrastructure, TOWER BERSAMA INFRASTRUCTURE, Tower Bersama Infrastructure, Tower Bersama Infrastructure Tbk, TowerBersamaInfrastructure</v>
      </c>
      <c r="H853" t="str">
        <f t="shared" si="149"/>
        <v>TBIG, PT Tower Bersama Infrastructure, TOWER BERSAMA INFRASTRUCTURE, Tower Bersama Infrastructure, Tower Bersama Infrastructure Tbk, TowerBersamaInfrastructure</v>
      </c>
      <c r="I853" t="str">
        <f t="shared" si="146"/>
        <v>TOWER BERSAMA INFRASTRUCTURE</v>
      </c>
      <c r="J853" t="str">
        <f t="shared" si="150"/>
        <v>TBIG, PT Tower Bersama Infrastructure, Tower Bersama Infrastructure, Tower Bersama Infrastructure Tbk, TowerBersamaInfrastructure</v>
      </c>
      <c r="K853" t="str">
        <f t="shared" si="151"/>
        <v>TBIG, PT Tower Bersama Infrastructure, Tower Bersama Infrastructure, Tower Bersama Infrastructure Tbk, TowerBersamaInfrastructure</v>
      </c>
      <c r="L853" t="str">
        <f t="shared" si="147"/>
        <v>TowerBersamaInfrastructure</v>
      </c>
      <c r="M853" t="str">
        <f t="shared" si="152"/>
        <v>TBIG, PT Tower Bersama Infrastructure, Tower Bersama Infrastructure, Tower Bersama Infrastructure Tbk</v>
      </c>
      <c r="N853" t="str">
        <f t="shared" si="153"/>
        <v>TBIG, PT Tower Bersama Infrastructure, Tower Bersama Infrastructure, Tower Bersama Infrastructure Tbk</v>
      </c>
    </row>
    <row r="854" spans="1:14" x14ac:dyDescent="0.2">
      <c r="A854" t="s">
        <v>1197</v>
      </c>
      <c r="B854" t="s">
        <v>1198</v>
      </c>
      <c r="C854" t="s">
        <v>8653</v>
      </c>
      <c r="D854" t="str">
        <f t="shared" si="143"/>
        <v>TBLA, PT Tunas Baru Lampung, TUNAS BARU LAMPUNG, Tunas Baru Lampung, Tunas Baru Lampung Tbk, TunasBaruLampung, tunas baru lampung</v>
      </c>
      <c r="E854" t="str">
        <f t="shared" si="144"/>
        <v>TBLA, PT Tunas Baru Lampung, TUNAS BARU LAMPUNG, Tunas Baru Lampung, Tunas Baru Lampung Tbk, TunasBaruLampung, tunas baru lampung</v>
      </c>
      <c r="F854" t="str">
        <f t="shared" si="145"/>
        <v>tunas baru lampung</v>
      </c>
      <c r="G854" t="str">
        <f t="shared" si="148"/>
        <v>TBLA, PT Tunas Baru Lampung, TUNAS BARU LAMPUNG, Tunas Baru Lampung, Tunas Baru Lampung Tbk, TunasBaruLampung</v>
      </c>
      <c r="H854" t="str">
        <f t="shared" si="149"/>
        <v>TBLA, PT Tunas Baru Lampung, TUNAS BARU LAMPUNG, Tunas Baru Lampung, Tunas Baru Lampung Tbk, TunasBaruLampung</v>
      </c>
      <c r="I854" t="str">
        <f t="shared" si="146"/>
        <v>TUNAS BARU LAMPUNG</v>
      </c>
      <c r="J854" t="str">
        <f t="shared" si="150"/>
        <v>TBLA, PT Tunas Baru Lampung, Tunas Baru Lampung, Tunas Baru Lampung Tbk, TunasBaruLampung</v>
      </c>
      <c r="K854" t="str">
        <f t="shared" si="151"/>
        <v>TBLA, PT Tunas Baru Lampung, Tunas Baru Lampung, Tunas Baru Lampung Tbk, TunasBaruLampung</v>
      </c>
      <c r="L854" t="str">
        <f t="shared" si="147"/>
        <v>TunasBaruLampung</v>
      </c>
      <c r="M854" t="str">
        <f t="shared" si="152"/>
        <v>TBLA, PT Tunas Baru Lampung, Tunas Baru Lampung, Tunas Baru Lampung Tbk</v>
      </c>
      <c r="N854" t="str">
        <f t="shared" si="153"/>
        <v>TBLA, PT Tunas Baru Lampung, Tunas Baru Lampung, Tunas Baru Lampung Tbk</v>
      </c>
    </row>
    <row r="855" spans="1:14" x14ac:dyDescent="0.2">
      <c r="A855" t="s">
        <v>1200</v>
      </c>
      <c r="B855" t="s">
        <v>1201</v>
      </c>
      <c r="C855" t="s">
        <v>8654</v>
      </c>
      <c r="D855" t="str">
        <f t="shared" si="143"/>
        <v>TBMS, PT Tembaga Mulia Semanan, TEMBAGA MULIA SEMANAN, Tembaga Mulia Semanan, Tembaga Mulia Semanan Tbk, TembagaMuliaSemanan, tembaga mulia semanan</v>
      </c>
      <c r="E855" t="str">
        <f t="shared" si="144"/>
        <v>TBMS, PT Tembaga Mulia Semanan, TEMBAGA MULIA SEMANAN, Tembaga Mulia Semanan, Tembaga Mulia Semanan Tbk, TembagaMuliaSemanan, tembaga mulia semanan</v>
      </c>
      <c r="F855" t="str">
        <f t="shared" si="145"/>
        <v>tembaga mulia semanan</v>
      </c>
      <c r="G855" t="str">
        <f t="shared" si="148"/>
        <v>TBMS, PT Tembaga Mulia Semanan, TEMBAGA MULIA SEMANAN, Tembaga Mulia Semanan, Tembaga Mulia Semanan Tbk, TembagaMuliaSemanan</v>
      </c>
      <c r="H855" t="str">
        <f t="shared" si="149"/>
        <v>TBMS, PT Tembaga Mulia Semanan, TEMBAGA MULIA SEMANAN, Tembaga Mulia Semanan, Tembaga Mulia Semanan Tbk, TembagaMuliaSemanan</v>
      </c>
      <c r="I855" t="str">
        <f t="shared" si="146"/>
        <v>TEMBAGA MULIA SEMANAN</v>
      </c>
      <c r="J855" t="str">
        <f t="shared" si="150"/>
        <v>TBMS, PT Tembaga Mulia Semanan, Tembaga Mulia Semanan, Tembaga Mulia Semanan Tbk, TembagaMuliaSemanan</v>
      </c>
      <c r="K855" t="str">
        <f t="shared" si="151"/>
        <v>TBMS, PT Tembaga Mulia Semanan, Tembaga Mulia Semanan, Tembaga Mulia Semanan Tbk, TembagaMuliaSemanan</v>
      </c>
      <c r="L855" t="str">
        <f t="shared" si="147"/>
        <v>TembagaMuliaSemanan</v>
      </c>
      <c r="M855" t="str">
        <f t="shared" si="152"/>
        <v>TBMS, PT Tembaga Mulia Semanan, Tembaga Mulia Semanan, Tembaga Mulia Semanan Tbk</v>
      </c>
      <c r="N855" t="str">
        <f t="shared" si="153"/>
        <v>TBMS, PT Tembaga Mulia Semanan, Tembaga Mulia Semanan, Tembaga Mulia Semanan Tbk</v>
      </c>
    </row>
    <row r="856" spans="1:14" x14ac:dyDescent="0.2">
      <c r="A856" t="s">
        <v>1203</v>
      </c>
      <c r="B856" t="s">
        <v>1204</v>
      </c>
      <c r="C856" t="s">
        <v>8655</v>
      </c>
      <c r="D856" t="str">
        <f t="shared" si="143"/>
        <v>TCID, MANDOM INDONESIA, Mandom Indonesia, Mandom Indonesia Tbk, MandomIndonesia, PT Mandom Indonesia, mandom indonesia</v>
      </c>
      <c r="E856" t="str">
        <f t="shared" si="144"/>
        <v>TCID, MANDOM INDONESIA, Mandom Indonesia, Mandom Indonesia Tbk, MandomIndonesia, PT Mandom Indonesia, mandom indonesia</v>
      </c>
      <c r="F856" t="str">
        <f t="shared" si="145"/>
        <v>mandom indonesia</v>
      </c>
      <c r="G856" t="str">
        <f t="shared" si="148"/>
        <v>TCID, MANDOM INDONESIA, Mandom Indonesia, Mandom Indonesia Tbk, MandomIndonesia, PT Mandom Indonesia</v>
      </c>
      <c r="H856" t="str">
        <f t="shared" si="149"/>
        <v>TCID, MANDOM INDONESIA, Mandom Indonesia, Mandom Indonesia Tbk, MandomIndonesia, PT Mandom Indonesia</v>
      </c>
      <c r="I856" t="str">
        <f t="shared" si="146"/>
        <v>MANDOM INDONESIA</v>
      </c>
      <c r="J856" t="str">
        <f t="shared" si="150"/>
        <v>TCID, Mandom Indonesia, Mandom Indonesia Tbk, MandomIndonesia, PT Mandom Indonesia</v>
      </c>
      <c r="K856" t="str">
        <f t="shared" si="151"/>
        <v>TCID, Mandom Indonesia, Mandom Indonesia Tbk, MandomIndonesia, PT Mandom Indonesia</v>
      </c>
      <c r="L856" t="str">
        <f t="shared" si="147"/>
        <v>MandomIndonesia</v>
      </c>
      <c r="M856" t="str">
        <f t="shared" si="152"/>
        <v>TCID, Mandom Indonesia, Mandom Indonesia Tbk, PT Mandom Indonesia</v>
      </c>
      <c r="N856" t="str">
        <f t="shared" si="153"/>
        <v>TCID, Mandom Indonesia, Mandom Indonesia Tbk, PT Mandom Indonesia</v>
      </c>
    </row>
    <row r="857" spans="1:14" x14ac:dyDescent="0.2">
      <c r="A857" t="s">
        <v>1547</v>
      </c>
      <c r="B857" t="s">
        <v>1548</v>
      </c>
      <c r="C857" t="s">
        <v>8656</v>
      </c>
      <c r="D857" t="str">
        <f t="shared" si="143"/>
        <v>TCPI, PT Transcoal Pacific, TRANSCOAL PACIFIC, Transcoal Pacific, Transcoal Pacific Tbk, TranscoalPacific, transcoal pacific</v>
      </c>
      <c r="E857" t="str">
        <f t="shared" si="144"/>
        <v>TCPI, PT Transcoal Pacific, TRANSCOAL PACIFIC, Transcoal Pacific, Transcoal Pacific Tbk, TranscoalPacific, transcoal pacific</v>
      </c>
      <c r="F857" t="str">
        <f t="shared" si="145"/>
        <v>transcoal pacific</v>
      </c>
      <c r="G857" t="str">
        <f t="shared" si="148"/>
        <v>TCPI, PT Transcoal Pacific, TRANSCOAL PACIFIC, Transcoal Pacific, Transcoal Pacific Tbk, TranscoalPacific</v>
      </c>
      <c r="H857" t="str">
        <f t="shared" si="149"/>
        <v>TCPI, PT Transcoal Pacific, TRANSCOAL PACIFIC, Transcoal Pacific, Transcoal Pacific Tbk, TranscoalPacific</v>
      </c>
      <c r="I857" t="str">
        <f t="shared" si="146"/>
        <v>TRANSCOAL PACIFIC</v>
      </c>
      <c r="J857" t="str">
        <f t="shared" si="150"/>
        <v>TCPI, PT Transcoal Pacific, Transcoal Pacific, Transcoal Pacific Tbk, TranscoalPacific</v>
      </c>
      <c r="K857" t="str">
        <f t="shared" si="151"/>
        <v>TCPI, PT Transcoal Pacific, Transcoal Pacific, Transcoal Pacific Tbk, TranscoalPacific</v>
      </c>
      <c r="L857" t="str">
        <f t="shared" si="147"/>
        <v>TranscoalPacific</v>
      </c>
      <c r="M857" t="str">
        <f t="shared" si="152"/>
        <v>TCPI, PT Transcoal Pacific, Transcoal Pacific, Transcoal Pacific Tbk</v>
      </c>
      <c r="N857" t="str">
        <f t="shared" si="153"/>
        <v>TCPI, PT Transcoal Pacific, Transcoal Pacific, Transcoal Pacific Tbk</v>
      </c>
    </row>
    <row r="858" spans="1:14" x14ac:dyDescent="0.2">
      <c r="A858" t="s">
        <v>1507</v>
      </c>
      <c r="B858" t="s">
        <v>3686</v>
      </c>
      <c r="C858" t="s">
        <v>8657</v>
      </c>
      <c r="D858" t="str">
        <f t="shared" si="143"/>
        <v>TDPM, PT Tianrong Chemicals Industry, TIANRONG CHEMICALS INDUSTRY, Tianrong Chemicals Industry, Tianrong Chemicals Industry Tbk, TianrongChemicalsIndustry, tianrong chemicals industry</v>
      </c>
      <c r="E858" t="str">
        <f t="shared" si="144"/>
        <v>TDPM, PT Tianrong Chemicals Industry, TIANRONG CHEMICALS INDUSTRY, Tianrong Chemicals Industry, Tianrong Chemicals Industry Tbk, TianrongChemicalsIndustry, tianrong chemicals industry</v>
      </c>
      <c r="F858" t="str">
        <f t="shared" si="145"/>
        <v>tianrong chemicals industry</v>
      </c>
      <c r="G858" t="str">
        <f t="shared" si="148"/>
        <v>TDPM, PT Tianrong Chemicals Industry, TIANRONG CHEMICALS INDUSTRY, Tianrong Chemicals Industry, Tianrong Chemicals Industry Tbk, TianrongChemicalsIndustry</v>
      </c>
      <c r="H858" t="str">
        <f t="shared" si="149"/>
        <v>TDPM, PT Tianrong Chemicals Industry, TIANRONG CHEMICALS INDUSTRY, Tianrong Chemicals Industry, Tianrong Chemicals Industry Tbk, TianrongChemicalsIndustry</v>
      </c>
      <c r="I858" t="str">
        <f t="shared" si="146"/>
        <v>TIANRONG CHEMICALS INDUSTRY</v>
      </c>
      <c r="J858" t="str">
        <f t="shared" si="150"/>
        <v>TDPM, PT Tianrong Chemicals Industry, Tianrong Chemicals Industry, Tianrong Chemicals Industry Tbk, TianrongChemicalsIndustry</v>
      </c>
      <c r="K858" t="str">
        <f t="shared" si="151"/>
        <v>TDPM, PT Tianrong Chemicals Industry, Tianrong Chemicals Industry, Tianrong Chemicals Industry Tbk, TianrongChemicalsIndustry</v>
      </c>
      <c r="L858" t="str">
        <f t="shared" si="147"/>
        <v>TianrongChemicalsIndustry</v>
      </c>
      <c r="M858" t="str">
        <f t="shared" si="152"/>
        <v>TDPM, PT Tianrong Chemicals Industry, Tianrong Chemicals Industry, Tianrong Chemicals Industry Tbk</v>
      </c>
      <c r="N858" t="str">
        <f t="shared" si="153"/>
        <v>TDPM, PT Tianrong Chemicals Industry, Tianrong Chemicals Industry, Tianrong Chemicals Industry Tbk</v>
      </c>
    </row>
    <row r="859" spans="1:14" x14ac:dyDescent="0.2">
      <c r="A859" t="s">
        <v>1765</v>
      </c>
      <c r="B859" t="s">
        <v>1766</v>
      </c>
      <c r="C859" t="s">
        <v>8658</v>
      </c>
      <c r="D859" t="str">
        <f t="shared" si="143"/>
        <v>TEBE, DANA BRATA LUHUR, Dana Brata Luhur, Dana Brata Luhur Tbk, DanaBrataLuhur, PT Dana Brata Luhur, dana brata luhur</v>
      </c>
      <c r="E859" t="str">
        <f t="shared" si="144"/>
        <v>TEBE, DANA BRATA LUHUR, Dana Brata Luhur, Dana Brata Luhur Tbk, DanaBrataLuhur, PT Dana Brata Luhur, dana brata luhur</v>
      </c>
      <c r="F859" t="str">
        <f t="shared" si="145"/>
        <v>dana brata luhur</v>
      </c>
      <c r="G859" t="str">
        <f t="shared" si="148"/>
        <v>TEBE, DANA BRATA LUHUR, Dana Brata Luhur, Dana Brata Luhur Tbk, DanaBrataLuhur, PT Dana Brata Luhur</v>
      </c>
      <c r="H859" t="str">
        <f t="shared" si="149"/>
        <v>TEBE, DANA BRATA LUHUR, Dana Brata Luhur, Dana Brata Luhur Tbk, DanaBrataLuhur, PT Dana Brata Luhur</v>
      </c>
      <c r="I859" t="str">
        <f t="shared" si="146"/>
        <v>DANA BRATA LUHUR</v>
      </c>
      <c r="J859" t="str">
        <f t="shared" si="150"/>
        <v>TEBE, Dana Brata Luhur, Dana Brata Luhur Tbk, DanaBrataLuhur, PT Dana Brata Luhur</v>
      </c>
      <c r="K859" t="str">
        <f t="shared" si="151"/>
        <v>TEBE, Dana Brata Luhur, Dana Brata Luhur Tbk, DanaBrataLuhur, PT Dana Brata Luhur</v>
      </c>
      <c r="L859" t="str">
        <f t="shared" si="147"/>
        <v>DanaBrataLuhur</v>
      </c>
      <c r="M859" t="str">
        <f t="shared" si="152"/>
        <v>TEBE, Dana Brata Luhur, Dana Brata Luhur Tbk, PT Dana Brata Luhur</v>
      </c>
      <c r="N859" t="str">
        <f t="shared" si="153"/>
        <v>TEBE, Dana Brata Luhur, Dana Brata Luhur Tbk, PT Dana Brata Luhur</v>
      </c>
    </row>
    <row r="860" spans="1:14" x14ac:dyDescent="0.2">
      <c r="A860" t="s">
        <v>1848</v>
      </c>
      <c r="B860" t="s">
        <v>1849</v>
      </c>
      <c r="C860" t="s">
        <v>8659</v>
      </c>
      <c r="D860" t="str">
        <f t="shared" si="143"/>
        <v>TECH, INDOSTERLING TECHNOMEDIA, Indosterling Technomedia, Indosterling Technomedia Tbk, IndosterlingTechnomedia, PT Indosterling Technomedia, indosterling technomedia</v>
      </c>
      <c r="E860" t="str">
        <f t="shared" si="144"/>
        <v>TECH, INDOSTERLING TECHNOMEDIA, Indosterling Technomedia, Indosterling Technomedia Tbk, IndosterlingTechnomedia, PT Indosterling Technomedia, indosterling technomedia</v>
      </c>
      <c r="F860" t="str">
        <f t="shared" si="145"/>
        <v>indosterling technomedia</v>
      </c>
      <c r="G860" t="str">
        <f t="shared" si="148"/>
        <v>TECH, INDOSTERLING TECHNOMEDIA, Indosterling Technomedia, Indosterling Technomedia Tbk, IndosterlingTechnomedia, PT Indosterling Technomedia</v>
      </c>
      <c r="H860" t="str">
        <f t="shared" si="149"/>
        <v>TECH, INDOSTERLING TECHNOMEDIA, Indosterling Technomedia, Indosterling Technomedia Tbk, IndosterlingTechnomedia, PT Indosterling Technomedia</v>
      </c>
      <c r="I860" t="str">
        <f t="shared" si="146"/>
        <v>INDOSTERLING TECHNOMEDIA</v>
      </c>
      <c r="J860" t="str">
        <f t="shared" si="150"/>
        <v>TECH, Indosterling Technomedia, Indosterling Technomedia Tbk, IndosterlingTechnomedia, PT Indosterling Technomedia</v>
      </c>
      <c r="K860" t="str">
        <f t="shared" si="151"/>
        <v>TECH, Indosterling Technomedia, Indosterling Technomedia Tbk, IndosterlingTechnomedia, PT Indosterling Technomedia</v>
      </c>
      <c r="L860" t="str">
        <f t="shared" si="147"/>
        <v>IndosterlingTechnomedia</v>
      </c>
      <c r="M860" t="str">
        <f t="shared" si="152"/>
        <v>TECH, Indosterling Technomedia, Indosterling Technomedia Tbk, PT Indosterling Technomedia</v>
      </c>
      <c r="N860" t="str">
        <f t="shared" si="153"/>
        <v>TECH, Indosterling Technomedia, Indosterling Technomedia Tbk, PT Indosterling Technomedia</v>
      </c>
    </row>
    <row r="861" spans="1:14" x14ac:dyDescent="0.2">
      <c r="A861" t="s">
        <v>1206</v>
      </c>
      <c r="B861" t="s">
        <v>1207</v>
      </c>
      <c r="C861" t="s">
        <v>8660</v>
      </c>
      <c r="D861" t="str">
        <f t="shared" si="143"/>
        <v>TELE, OMNI INOVASI INDONESIA, Omni Inovasi Indonesia, Omni Inovasi Indonesia Tbk, OmniInovasiIndonesia, PT Omni Inovasi Indonesia, omni inovasi indonesia</v>
      </c>
      <c r="E861" t="str">
        <f t="shared" si="144"/>
        <v>TELE, OMNI INOVASI INDONESIA, Omni Inovasi Indonesia, Omni Inovasi Indonesia Tbk, OmniInovasiIndonesia, PT Omni Inovasi Indonesia, omni inovasi indonesia</v>
      </c>
      <c r="F861" t="str">
        <f t="shared" si="145"/>
        <v>omni inovasi indonesia</v>
      </c>
      <c r="G861" t="str">
        <f t="shared" si="148"/>
        <v>TELE, OMNI INOVASI INDONESIA, Omni Inovasi Indonesia, Omni Inovasi Indonesia Tbk, OmniInovasiIndonesia, PT Omni Inovasi Indonesia</v>
      </c>
      <c r="H861" t="str">
        <f t="shared" si="149"/>
        <v>TELE, OMNI INOVASI INDONESIA, Omni Inovasi Indonesia, Omni Inovasi Indonesia Tbk, OmniInovasiIndonesia, PT Omni Inovasi Indonesia</v>
      </c>
      <c r="I861" t="str">
        <f t="shared" si="146"/>
        <v>OMNI INOVASI INDONESIA</v>
      </c>
      <c r="J861" t="str">
        <f t="shared" si="150"/>
        <v>TELE, Omni Inovasi Indonesia, Omni Inovasi Indonesia Tbk, OmniInovasiIndonesia, PT Omni Inovasi Indonesia</v>
      </c>
      <c r="K861" t="str">
        <f t="shared" si="151"/>
        <v>TELE, Omni Inovasi Indonesia, Omni Inovasi Indonesia Tbk, OmniInovasiIndonesia, PT Omni Inovasi Indonesia</v>
      </c>
      <c r="L861" t="str">
        <f t="shared" si="147"/>
        <v>OmniInovasiIndonesia</v>
      </c>
      <c r="M861" t="str">
        <f t="shared" si="152"/>
        <v>TELE, Omni Inovasi Indonesia, Omni Inovasi Indonesia Tbk, PT Omni Inovasi Indonesia</v>
      </c>
      <c r="N861" t="str">
        <f t="shared" si="153"/>
        <v>TELE, Omni Inovasi Indonesia, Omni Inovasi Indonesia Tbk, PT Omni Inovasi Indonesia</v>
      </c>
    </row>
    <row r="862" spans="1:14" x14ac:dyDescent="0.2">
      <c r="A862" t="s">
        <v>1735</v>
      </c>
      <c r="B862" t="s">
        <v>1736</v>
      </c>
      <c r="C862" t="s">
        <v>8661</v>
      </c>
      <c r="D862" t="str">
        <f t="shared" si="143"/>
        <v>TFAS, PT Telefast Indonesia, TELEFAST INDONESIA, Telefast Indonesia, Telefast Indonesia Tbk, TelefastIndonesia, telefast indonesia</v>
      </c>
      <c r="E862" t="str">
        <f t="shared" si="144"/>
        <v>TFAS, PT Telefast Indonesia, TELEFAST INDONESIA, Telefast Indonesia, Telefast Indonesia Tbk, TelefastIndonesia, telefast indonesia</v>
      </c>
      <c r="F862" t="str">
        <f t="shared" si="145"/>
        <v>telefast indonesia</v>
      </c>
      <c r="G862" t="str">
        <f t="shared" si="148"/>
        <v>TFAS, PT Telefast Indonesia, TELEFAST INDONESIA, Telefast Indonesia, Telefast Indonesia Tbk, TelefastIndonesia</v>
      </c>
      <c r="H862" t="str">
        <f t="shared" si="149"/>
        <v>TFAS, PT Telefast Indonesia, TELEFAST INDONESIA, Telefast Indonesia, Telefast Indonesia Tbk, TelefastIndonesia</v>
      </c>
      <c r="I862" t="str">
        <f t="shared" si="146"/>
        <v>TELEFAST INDONESIA</v>
      </c>
      <c r="J862" t="str">
        <f t="shared" si="150"/>
        <v>TFAS, PT Telefast Indonesia, Telefast Indonesia, Telefast Indonesia Tbk, TelefastIndonesia</v>
      </c>
      <c r="K862" t="str">
        <f t="shared" si="151"/>
        <v>TFAS, PT Telefast Indonesia, Telefast Indonesia, Telefast Indonesia Tbk, TelefastIndonesia</v>
      </c>
      <c r="L862" t="str">
        <f t="shared" si="147"/>
        <v>TelefastIndonesia</v>
      </c>
      <c r="M862" t="str">
        <f t="shared" si="152"/>
        <v>TFAS, PT Telefast Indonesia, Telefast Indonesia, Telefast Indonesia Tbk</v>
      </c>
      <c r="N862" t="str">
        <f t="shared" si="153"/>
        <v>TFAS, PT Telefast Indonesia, Telefast Indonesia, Telefast Indonesia Tbk</v>
      </c>
    </row>
    <row r="863" spans="1:14" x14ac:dyDescent="0.2">
      <c r="A863" t="s">
        <v>1209</v>
      </c>
      <c r="B863" t="s">
        <v>1210</v>
      </c>
      <c r="C863" t="s">
        <v>8662</v>
      </c>
      <c r="D863" t="str">
        <f t="shared" si="143"/>
        <v>TFCO, PT Tifico Fiber Indonesia, TIFICO FIBER INDONESIA, Tifico Fiber Indonesia, Tifico Fiber Indonesia Tbk, TificoFiberIndonesia, tifico fiber indonesia</v>
      </c>
      <c r="E863" t="str">
        <f t="shared" si="144"/>
        <v>TFCO, PT Tifico Fiber Indonesia, TIFICO FIBER INDONESIA, Tifico Fiber Indonesia, Tifico Fiber Indonesia Tbk, TificoFiberIndonesia, tifico fiber indonesia</v>
      </c>
      <c r="F863" t="str">
        <f t="shared" si="145"/>
        <v>tifico fiber indonesia</v>
      </c>
      <c r="G863" t="str">
        <f t="shared" si="148"/>
        <v>TFCO, PT Tifico Fiber Indonesia, TIFICO FIBER INDONESIA, Tifico Fiber Indonesia, Tifico Fiber Indonesia Tbk, TificoFiberIndonesia</v>
      </c>
      <c r="H863" t="str">
        <f t="shared" si="149"/>
        <v>TFCO, PT Tifico Fiber Indonesia, TIFICO FIBER INDONESIA, Tifico Fiber Indonesia, Tifico Fiber Indonesia Tbk, TificoFiberIndonesia</v>
      </c>
      <c r="I863" t="str">
        <f t="shared" si="146"/>
        <v>TIFICO FIBER INDONESIA</v>
      </c>
      <c r="J863" t="str">
        <f t="shared" si="150"/>
        <v>TFCO, PT Tifico Fiber Indonesia, Tifico Fiber Indonesia, Tifico Fiber Indonesia Tbk, TificoFiberIndonesia</v>
      </c>
      <c r="K863" t="str">
        <f t="shared" si="151"/>
        <v>TFCO, PT Tifico Fiber Indonesia, Tifico Fiber Indonesia, Tifico Fiber Indonesia Tbk, TificoFiberIndonesia</v>
      </c>
      <c r="L863" t="str">
        <f t="shared" si="147"/>
        <v>TificoFiberIndonesia</v>
      </c>
      <c r="M863" t="str">
        <f t="shared" si="152"/>
        <v>TFCO, PT Tifico Fiber Indonesia, Tifico Fiber Indonesia, Tifico Fiber Indonesia Tbk</v>
      </c>
      <c r="N863" t="str">
        <f t="shared" si="153"/>
        <v>TFCO, PT Tifico Fiber Indonesia, Tifico Fiber Indonesia, Tifico Fiber Indonesia Tbk</v>
      </c>
    </row>
    <row r="864" spans="1:14" x14ac:dyDescent="0.2">
      <c r="A864" t="s">
        <v>1212</v>
      </c>
      <c r="B864" t="s">
        <v>1213</v>
      </c>
      <c r="C864" t="s">
        <v>8663</v>
      </c>
      <c r="D864" t="str">
        <f t="shared" si="143"/>
        <v>TGKA, PT Tigaraksa Satria, TIGARAKSA SATRIA, Tigaraksa Satria, Tigaraksa Satria Tbk, TigaraksaSatria, tigaraksa satria</v>
      </c>
      <c r="E864" t="str">
        <f t="shared" si="144"/>
        <v>TGKA, PT Tigaraksa Satria, TIGARAKSA SATRIA, Tigaraksa Satria, Tigaraksa Satria Tbk, TigaraksaSatria, tigaraksa satria</v>
      </c>
      <c r="F864" t="str">
        <f t="shared" si="145"/>
        <v>tigaraksa satria</v>
      </c>
      <c r="G864" t="str">
        <f t="shared" si="148"/>
        <v>TGKA, PT Tigaraksa Satria, TIGARAKSA SATRIA, Tigaraksa Satria, Tigaraksa Satria Tbk, TigaraksaSatria</v>
      </c>
      <c r="H864" t="str">
        <f t="shared" si="149"/>
        <v>TGKA, PT Tigaraksa Satria, TIGARAKSA SATRIA, Tigaraksa Satria, Tigaraksa Satria Tbk, TigaraksaSatria</v>
      </c>
      <c r="I864" t="str">
        <f t="shared" si="146"/>
        <v>TIGARAKSA SATRIA</v>
      </c>
      <c r="J864" t="str">
        <f t="shared" si="150"/>
        <v>TGKA, PT Tigaraksa Satria, Tigaraksa Satria, Tigaraksa Satria Tbk, TigaraksaSatria</v>
      </c>
      <c r="K864" t="str">
        <f t="shared" si="151"/>
        <v>TGKA, PT Tigaraksa Satria, Tigaraksa Satria, Tigaraksa Satria Tbk, TigaraksaSatria</v>
      </c>
      <c r="L864" t="str">
        <f t="shared" si="147"/>
        <v>TigaraksaSatria</v>
      </c>
      <c r="M864" t="str">
        <f t="shared" si="152"/>
        <v>TGKA, PT Tigaraksa Satria, Tigaraksa Satria, Tigaraksa Satria Tbk</v>
      </c>
      <c r="N864" t="str">
        <f t="shared" si="153"/>
        <v>TGKA, PT Tigaraksa Satria, Tigaraksa Satria, Tigaraksa Satria Tbk</v>
      </c>
    </row>
    <row r="865" spans="1:14" x14ac:dyDescent="0.2">
      <c r="A865" t="s">
        <v>1407</v>
      </c>
      <c r="B865" t="s">
        <v>1408</v>
      </c>
      <c r="C865" t="s">
        <v>8664</v>
      </c>
      <c r="D865" t="str">
        <f t="shared" si="143"/>
        <v>TGRA, PT Terregra Asia Energy, TERREGRA ASIA ENERGY, Terregra Asia Energy, Terregra Asia Energy Tbk, TerregraAsiaEnergy, terregra asia energy</v>
      </c>
      <c r="E865" t="str">
        <f t="shared" si="144"/>
        <v>TGRA, PT Terregra Asia Energy, TERREGRA ASIA ENERGY, Terregra Asia Energy, Terregra Asia Energy Tbk, TerregraAsiaEnergy, terregra asia energy</v>
      </c>
      <c r="F865" t="str">
        <f t="shared" si="145"/>
        <v>terregra asia energy</v>
      </c>
      <c r="G865" t="str">
        <f t="shared" si="148"/>
        <v>TGRA, PT Terregra Asia Energy, TERREGRA ASIA ENERGY, Terregra Asia Energy, Terregra Asia Energy Tbk, TerregraAsiaEnergy</v>
      </c>
      <c r="H865" t="str">
        <f t="shared" si="149"/>
        <v>TGRA, PT Terregra Asia Energy, TERREGRA ASIA ENERGY, Terregra Asia Energy, Terregra Asia Energy Tbk, TerregraAsiaEnergy</v>
      </c>
      <c r="I865" t="str">
        <f t="shared" si="146"/>
        <v>TERREGRA ASIA ENERGY</v>
      </c>
      <c r="J865" t="str">
        <f t="shared" si="150"/>
        <v>TGRA, PT Terregra Asia Energy, Terregra Asia Energy, Terregra Asia Energy Tbk, TerregraAsiaEnergy</v>
      </c>
      <c r="K865" t="str">
        <f t="shared" si="151"/>
        <v>TGRA, PT Terregra Asia Energy, Terregra Asia Energy, Terregra Asia Energy Tbk, TerregraAsiaEnergy</v>
      </c>
      <c r="L865" t="str">
        <f t="shared" si="147"/>
        <v>TerregraAsiaEnergy</v>
      </c>
      <c r="M865" t="str">
        <f t="shared" si="152"/>
        <v>TGRA, PT Terregra Asia Energy, Terregra Asia Energy, Terregra Asia Energy Tbk</v>
      </c>
      <c r="N865" t="str">
        <f t="shared" si="153"/>
        <v>TGRA, PT Terregra Asia Energy, Terregra Asia Energy, Terregra Asia Energy Tbk</v>
      </c>
    </row>
    <row r="866" spans="1:14" x14ac:dyDescent="0.2">
      <c r="A866" t="s">
        <v>2330</v>
      </c>
      <c r="B866" t="s">
        <v>2331</v>
      </c>
      <c r="C866" t="s">
        <v>8665</v>
      </c>
      <c r="D866" t="str">
        <f t="shared" si="143"/>
        <v>TGUK, PLATINUM WAHAB NUSANTARA, PT Platinum Wahab Nusantara, Platinum Wahab Nusantara, Platinum Wahab Nusantara Tbk, PlatinumWahabNusantara, platinum wahab nusantara</v>
      </c>
      <c r="E866" t="str">
        <f t="shared" si="144"/>
        <v>TGUK, PLATINUM WAHAB NUSANTARA, PT Platinum Wahab Nusantara, Platinum Wahab Nusantara, Platinum Wahab Nusantara Tbk, PlatinumWahabNusantara, platinum wahab nusantara</v>
      </c>
      <c r="F866" t="str">
        <f t="shared" si="145"/>
        <v>platinum wahab nusantara</v>
      </c>
      <c r="G866" t="str">
        <f t="shared" si="148"/>
        <v>TGUK, PLATINUM WAHAB NUSANTARA, PT Platinum Wahab Nusantara, Platinum Wahab Nusantara, Platinum Wahab Nusantara Tbk, PlatinumWahabNusantara</v>
      </c>
      <c r="H866" t="str">
        <f t="shared" si="149"/>
        <v>TGUK, PLATINUM WAHAB NUSANTARA, PT Platinum Wahab Nusantara, Platinum Wahab Nusantara, Platinum Wahab Nusantara Tbk, PlatinumWahabNusantara</v>
      </c>
      <c r="I866" t="str">
        <f t="shared" si="146"/>
        <v>PLATINUM WAHAB NUSANTARA</v>
      </c>
      <c r="J866" t="str">
        <f t="shared" si="150"/>
        <v>TGUK, PT Platinum Wahab Nusantara, Platinum Wahab Nusantara, Platinum Wahab Nusantara Tbk, PlatinumWahabNusantara</v>
      </c>
      <c r="K866" t="str">
        <f t="shared" si="151"/>
        <v>TGUK, PT Platinum Wahab Nusantara, Platinum Wahab Nusantara, Platinum Wahab Nusantara Tbk, PlatinumWahabNusantara</v>
      </c>
      <c r="L866" t="str">
        <f t="shared" si="147"/>
        <v>PlatinumWahabNusantara</v>
      </c>
      <c r="M866" t="str">
        <f t="shared" si="152"/>
        <v>TGUK, PT Platinum Wahab Nusantara, Platinum Wahab Nusantara, Platinum Wahab Nusantara Tbk</v>
      </c>
      <c r="N866" t="str">
        <f t="shared" si="153"/>
        <v>TGUK, PT Platinum Wahab Nusantara, Platinum Wahab Nusantara, Platinum Wahab Nusantara Tbk</v>
      </c>
    </row>
    <row r="867" spans="1:14" x14ac:dyDescent="0.2">
      <c r="A867" t="s">
        <v>1215</v>
      </c>
      <c r="B867" t="s">
        <v>1216</v>
      </c>
      <c r="C867" t="s">
        <v>8666</v>
      </c>
      <c r="D867" t="str">
        <f t="shared" si="143"/>
        <v>TIFA, KDB TIFA FINANCE, KDB Tifa Finance, KDB Tifa Finance Tbk, KDBTifaFinance, PT KDB Tifa Finance, kdb tifa finance</v>
      </c>
      <c r="E867" t="str">
        <f t="shared" si="144"/>
        <v>TIFA, KDB TIFA FINANCE, KDB Tifa Finance, KDB Tifa Finance Tbk, KDBTifaFinance, PT KDB Tifa Finance, kdb tifa finance</v>
      </c>
      <c r="F867" t="str">
        <f t="shared" si="145"/>
        <v>kdb tifa finance</v>
      </c>
      <c r="G867" t="str">
        <f t="shared" si="148"/>
        <v>TIFA, KDB TIFA FINANCE, KDB Tifa Finance, KDB Tifa Finance Tbk, KDBTifaFinance, PT KDB Tifa Finance</v>
      </c>
      <c r="H867" t="str">
        <f t="shared" si="149"/>
        <v>TIFA, KDB TIFA FINANCE, KDB Tifa Finance, KDB Tifa Finance Tbk, KDBTifaFinance, PT KDB Tifa Finance</v>
      </c>
      <c r="I867" t="str">
        <f t="shared" si="146"/>
        <v>KDB TIFA FINANCE</v>
      </c>
      <c r="J867" t="str">
        <f t="shared" si="150"/>
        <v>TIFA, KDB Tifa Finance, KDB Tifa Finance Tbk, KDBTifaFinance, PT KDB Tifa Finance</v>
      </c>
      <c r="K867" t="str">
        <f t="shared" si="151"/>
        <v>TIFA, KDB Tifa Finance, KDB Tifa Finance Tbk, KDBTifaFinance, PT KDB Tifa Finance</v>
      </c>
      <c r="L867" t="str">
        <f t="shared" si="147"/>
        <v>KDBTifaFinance</v>
      </c>
      <c r="M867" t="str">
        <f t="shared" si="152"/>
        <v>TIFA, KDB Tifa Finance, KDB Tifa Finance Tbk, PT KDB Tifa Finance</v>
      </c>
      <c r="N867" t="str">
        <f t="shared" si="153"/>
        <v>TIFA, KDB Tifa Finance, KDB Tifa Finance Tbk, PT KDB Tifa Finance</v>
      </c>
    </row>
    <row r="868" spans="1:14" x14ac:dyDescent="0.2">
      <c r="A868" t="s">
        <v>1218</v>
      </c>
      <c r="B868" t="s">
        <v>1219</v>
      </c>
      <c r="C868" t="s">
        <v>8667</v>
      </c>
      <c r="D868" t="str">
        <f t="shared" si="143"/>
        <v>TINS, PT Timah, TIMAH, Timah, Timah Tbk, timah</v>
      </c>
      <c r="E868" t="str">
        <f t="shared" si="144"/>
        <v>TINS, PT Timah, TIMAH, Timah, Timah Tbk, timah</v>
      </c>
      <c r="F868" t="str">
        <f t="shared" si="145"/>
        <v>timah</v>
      </c>
      <c r="G868" t="str">
        <f t="shared" si="148"/>
        <v>TINS, PT Timah, TIMAH, Timah, Timah Tbk</v>
      </c>
      <c r="H868" t="str">
        <f t="shared" si="149"/>
        <v>TINS, PT Timah, TIMAH, Timah, Timah Tbk</v>
      </c>
      <c r="I868" t="str">
        <f t="shared" si="146"/>
        <v>TIMAH</v>
      </c>
      <c r="J868" t="str">
        <f t="shared" si="150"/>
        <v>TINS, PT Timah, Timah, Timah Tbk</v>
      </c>
      <c r="K868" t="str">
        <f t="shared" si="151"/>
        <v>TINS, PT Timah, Timah, Timah Tbk</v>
      </c>
      <c r="L868" t="str">
        <f t="shared" si="147"/>
        <v>Timah</v>
      </c>
      <c r="M868" t="str">
        <f t="shared" si="152"/>
        <v>TINS, PT Timah Tbk</v>
      </c>
      <c r="N868" t="str">
        <f t="shared" si="153"/>
        <v>TINS, PT Timah Tbk</v>
      </c>
    </row>
    <row r="869" spans="1:14" x14ac:dyDescent="0.2">
      <c r="A869" t="s">
        <v>1221</v>
      </c>
      <c r="B869" t="s">
        <v>3687</v>
      </c>
      <c r="C869" t="s">
        <v>8668</v>
      </c>
      <c r="D869" t="str">
        <f t="shared" si="143"/>
        <v>TIRA, PT Tira Austenite, TIRA AUSTENITE, Tira Austenite, Tira Austenite Tbk, TiraAustenite, tira austenite</v>
      </c>
      <c r="E869" t="str">
        <f t="shared" si="144"/>
        <v>TIRA, PT Tira Austenite, TIRA AUSTENITE, Tira Austenite, Tira Austenite Tbk, TiraAustenite, tira austenite</v>
      </c>
      <c r="F869" t="str">
        <f t="shared" si="145"/>
        <v>tira austenite</v>
      </c>
      <c r="G869" t="str">
        <f t="shared" si="148"/>
        <v>TIRA, PT Tira Austenite, TIRA AUSTENITE, Tira Austenite, Tira Austenite Tbk, TiraAustenite</v>
      </c>
      <c r="H869" t="str">
        <f t="shared" si="149"/>
        <v>TIRA, PT Tira Austenite, TIRA AUSTENITE, Tira Austenite, Tira Austenite Tbk, TiraAustenite</v>
      </c>
      <c r="I869" t="str">
        <f t="shared" si="146"/>
        <v>TIRA AUSTENITE</v>
      </c>
      <c r="J869" t="str">
        <f t="shared" si="150"/>
        <v>TIRA, PT Tira Austenite, Tira Austenite, Tira Austenite Tbk, TiraAustenite</v>
      </c>
      <c r="K869" t="str">
        <f t="shared" si="151"/>
        <v>TIRA, PT Tira Austenite, Tira Austenite, Tira Austenite Tbk, TiraAustenite</v>
      </c>
      <c r="L869" t="str">
        <f t="shared" si="147"/>
        <v>TiraAustenite</v>
      </c>
      <c r="M869" t="str">
        <f t="shared" si="152"/>
        <v>TIRA, PT Tira Austenite, Tira Austenite, Tira Austenite Tbk</v>
      </c>
      <c r="N869" t="str">
        <f t="shared" si="153"/>
        <v>TIRA, PT Tira Austenite, Tira Austenite, Tira Austenite Tbk</v>
      </c>
    </row>
    <row r="870" spans="1:14" x14ac:dyDescent="0.2">
      <c r="A870" t="s">
        <v>1224</v>
      </c>
      <c r="B870" t="s">
        <v>3688</v>
      </c>
      <c r="C870" t="s">
        <v>8669</v>
      </c>
      <c r="D870" t="str">
        <f t="shared" si="143"/>
        <v>TIRT, PT Tirta Mahakam Resources, TIRTA MAHAKAM RESOURCES, Tirta Mahakam Resources, Tirta Mahakam Resources Tbk, TirtaMahakamResources, tirta mahakam resources</v>
      </c>
      <c r="E870" t="str">
        <f t="shared" si="144"/>
        <v>TIRT, PT Tirta Mahakam Resources, TIRTA MAHAKAM RESOURCES, Tirta Mahakam Resources, Tirta Mahakam Resources Tbk, TirtaMahakamResources, tirta mahakam resources</v>
      </c>
      <c r="F870" t="str">
        <f t="shared" si="145"/>
        <v>tirta mahakam resources</v>
      </c>
      <c r="G870" t="str">
        <f t="shared" si="148"/>
        <v>TIRT, PT Tirta Mahakam Resources, TIRTA MAHAKAM RESOURCES, Tirta Mahakam Resources, Tirta Mahakam Resources Tbk, TirtaMahakamResources</v>
      </c>
      <c r="H870" t="str">
        <f t="shared" si="149"/>
        <v>TIRT, PT Tirta Mahakam Resources, TIRTA MAHAKAM RESOURCES, Tirta Mahakam Resources, Tirta Mahakam Resources Tbk, TirtaMahakamResources</v>
      </c>
      <c r="I870" t="str">
        <f t="shared" si="146"/>
        <v>TIRTA MAHAKAM RESOURCES</v>
      </c>
      <c r="J870" t="str">
        <f t="shared" si="150"/>
        <v>TIRT, PT Tirta Mahakam Resources, Tirta Mahakam Resources, Tirta Mahakam Resources Tbk, TirtaMahakamResources</v>
      </c>
      <c r="K870" t="str">
        <f t="shared" si="151"/>
        <v>TIRT, PT Tirta Mahakam Resources, Tirta Mahakam Resources, Tirta Mahakam Resources Tbk, TirtaMahakamResources</v>
      </c>
      <c r="L870" t="str">
        <f t="shared" si="147"/>
        <v>TirtaMahakamResources</v>
      </c>
      <c r="M870" t="str">
        <f t="shared" si="152"/>
        <v>TIRT, PT Tirta Mahakam Resources, Tirta Mahakam Resources, Tirta Mahakam Resources Tbk</v>
      </c>
      <c r="N870" t="str">
        <f t="shared" si="153"/>
        <v>TIRT, PT Tirta Mahakam Resources, Tirta Mahakam Resources, Tirta Mahakam Resources Tbk</v>
      </c>
    </row>
    <row r="871" spans="1:14" x14ac:dyDescent="0.2">
      <c r="A871" t="s">
        <v>1227</v>
      </c>
      <c r="B871" t="s">
        <v>1228</v>
      </c>
      <c r="C871" t="s">
        <v>8670</v>
      </c>
      <c r="D871" t="str">
        <f t="shared" si="143"/>
        <v>TKIM, PABRIK KERTAS TJIWI KIMIA, PT Pabrik Kertas Tjiwi Kimia, Pabrik Kertas Tjiwi Kimia, Pabrik Kertas Tjiwi Kimia Tbk, PabrikKertasTjiwiKimia, pabrik kertas tjiwi kimia</v>
      </c>
      <c r="E871" t="str">
        <f t="shared" si="144"/>
        <v>TKIM, PABRIK KERTAS TJIWI KIMIA, PT Pabrik Kertas Tjiwi Kimia, Pabrik Kertas Tjiwi Kimia, Pabrik Kertas Tjiwi Kimia Tbk, PabrikKertasTjiwiKimia, pabrik kertas tjiwi kimia</v>
      </c>
      <c r="F871" t="str">
        <f t="shared" si="145"/>
        <v>pabrik kertas tjiwi kimia</v>
      </c>
      <c r="G871" t="str">
        <f t="shared" si="148"/>
        <v>TKIM, PABRIK KERTAS TJIWI KIMIA, PT Pabrik Kertas Tjiwi Kimia, Pabrik Kertas Tjiwi Kimia, Pabrik Kertas Tjiwi Kimia Tbk, PabrikKertasTjiwiKimia</v>
      </c>
      <c r="H871" t="str">
        <f t="shared" si="149"/>
        <v>TKIM, PABRIK KERTAS TJIWI KIMIA, PT Pabrik Kertas Tjiwi Kimia, Pabrik Kertas Tjiwi Kimia, Pabrik Kertas Tjiwi Kimia Tbk, PabrikKertasTjiwiKimia</v>
      </c>
      <c r="I871" t="str">
        <f t="shared" si="146"/>
        <v>PABRIK KERTAS TJIWI KIMIA</v>
      </c>
      <c r="J871" t="str">
        <f t="shared" si="150"/>
        <v>TKIM, PT Pabrik Kertas Tjiwi Kimia, Pabrik Kertas Tjiwi Kimia, Pabrik Kertas Tjiwi Kimia Tbk, PabrikKertasTjiwiKimia</v>
      </c>
      <c r="K871" t="str">
        <f t="shared" si="151"/>
        <v>TKIM, PT Pabrik Kertas Tjiwi Kimia, Pabrik Kertas Tjiwi Kimia, Pabrik Kertas Tjiwi Kimia Tbk, PabrikKertasTjiwiKimia</v>
      </c>
      <c r="L871" t="str">
        <f t="shared" si="147"/>
        <v>PabrikKertasTjiwiKimia</v>
      </c>
      <c r="M871" t="str">
        <f t="shared" si="152"/>
        <v>TKIM, PT Pabrik Kertas Tjiwi Kimia, Pabrik Kertas Tjiwi Kimia, Pabrik Kertas Tjiwi Kimia Tbk</v>
      </c>
      <c r="N871" t="str">
        <f t="shared" si="153"/>
        <v>TKIM, PT Pabrik Kertas Tjiwi Kimia, Pabrik Kertas Tjiwi Kimia, Pabrik Kertas Tjiwi Kimia Tbk</v>
      </c>
    </row>
    <row r="872" spans="1:14" x14ac:dyDescent="0.2">
      <c r="A872" t="s">
        <v>2100</v>
      </c>
      <c r="B872" t="s">
        <v>2101</v>
      </c>
      <c r="C872" t="s">
        <v>8671</v>
      </c>
      <c r="D872" t="str">
        <f t="shared" si="143"/>
        <v>TLDN, PT Teladan Prima Agro, TELADAN PRIMA AGRO, Teladan Prima Agro, Teladan Prima Agro Tbk, TeladanPrimaAgro, teladan prima agro</v>
      </c>
      <c r="E872" t="str">
        <f t="shared" si="144"/>
        <v>TLDN, PT Teladan Prima Agro, TELADAN PRIMA AGRO, Teladan Prima Agro, Teladan Prima Agro Tbk, TeladanPrimaAgro, teladan prima agro</v>
      </c>
      <c r="F872" t="str">
        <f t="shared" si="145"/>
        <v>teladan prima agro</v>
      </c>
      <c r="G872" t="str">
        <f t="shared" si="148"/>
        <v>TLDN, PT Teladan Prima Agro, TELADAN PRIMA AGRO, Teladan Prima Agro, Teladan Prima Agro Tbk, TeladanPrimaAgro</v>
      </c>
      <c r="H872" t="str">
        <f t="shared" si="149"/>
        <v>TLDN, PT Teladan Prima Agro, TELADAN PRIMA AGRO, Teladan Prima Agro, Teladan Prima Agro Tbk, TeladanPrimaAgro</v>
      </c>
      <c r="I872" t="str">
        <f t="shared" si="146"/>
        <v>TELADAN PRIMA AGRO</v>
      </c>
      <c r="J872" t="str">
        <f t="shared" si="150"/>
        <v>TLDN, PT Teladan Prima Agro, Teladan Prima Agro, Teladan Prima Agro Tbk, TeladanPrimaAgro</v>
      </c>
      <c r="K872" t="str">
        <f t="shared" si="151"/>
        <v>TLDN, PT Teladan Prima Agro, Teladan Prima Agro, Teladan Prima Agro Tbk, TeladanPrimaAgro</v>
      </c>
      <c r="L872" t="str">
        <f t="shared" si="147"/>
        <v>TeladanPrimaAgro</v>
      </c>
      <c r="M872" t="str">
        <f t="shared" si="152"/>
        <v>TLDN, PT Teladan Prima Agro, Teladan Prima Agro, Teladan Prima Agro Tbk</v>
      </c>
      <c r="N872" t="str">
        <f t="shared" si="153"/>
        <v>TLDN, PT Teladan Prima Agro, Teladan Prima Agro, Teladan Prima Agro Tbk</v>
      </c>
    </row>
    <row r="873" spans="1:14" x14ac:dyDescent="0.2">
      <c r="A873" t="s">
        <v>1230</v>
      </c>
      <c r="B873" t="s">
        <v>3446</v>
      </c>
      <c r="C873" t="s">
        <v>8672</v>
      </c>
      <c r="D873" t="str">
        <f t="shared" si="143"/>
        <v>TLKM, PT Telkom Indonesia (Persero), TELKOM INDONESIA (PERSERO), Telkom Indonesia (Persero), Telkom Indonesia (Persero) Tbk, TelkomIndonesia(Persero), telkom indonesia (persero)</v>
      </c>
      <c r="E873" t="str">
        <f t="shared" si="144"/>
        <v>TLKM, PT Telkom Indonesia (Persero), TELKOM INDONESIA (PERSERO), Telkom Indonesia (Persero), Telkom Indonesia (Persero) Tbk, TelkomIndonesia(Persero), telkom indonesia (persero)</v>
      </c>
      <c r="F873" t="str">
        <f t="shared" si="145"/>
        <v>telkom indonesia (persero)</v>
      </c>
      <c r="G873" t="str">
        <f t="shared" si="148"/>
        <v>TLKM, PT Telkom Indonesia (Persero), TELKOM INDONESIA (PERSERO), Telkom Indonesia (Persero), Telkom Indonesia (Persero) Tbk, TelkomIndonesia(Persero)</v>
      </c>
      <c r="H873" t="str">
        <f t="shared" si="149"/>
        <v>TLKM, PT Telkom Indonesia (Persero), TELKOM INDONESIA (PERSERO), Telkom Indonesia (Persero), Telkom Indonesia (Persero) Tbk, TelkomIndonesia(Persero)</v>
      </c>
      <c r="I873" t="str">
        <f t="shared" si="146"/>
        <v>TELKOM INDONESIA (PERSERO)</v>
      </c>
      <c r="J873" t="str">
        <f t="shared" si="150"/>
        <v>TLKM, PT Telkom Indonesia (Persero), Telkom Indonesia (Persero), Telkom Indonesia (Persero) Tbk, TelkomIndonesia(Persero)</v>
      </c>
      <c r="K873" t="str">
        <f t="shared" si="151"/>
        <v>TLKM, PT Telkom Indonesia (Persero), Telkom Indonesia (Persero), Telkom Indonesia (Persero) Tbk, TelkomIndonesia(Persero)</v>
      </c>
      <c r="L873" t="str">
        <f t="shared" si="147"/>
        <v>TelkomIndonesia(Persero)</v>
      </c>
      <c r="M873" t="str">
        <f t="shared" si="152"/>
        <v>TLKM, PT Telkom Indonesia (Persero), Telkom Indonesia (Persero), Telkom Indonesia (Persero) Tbk</v>
      </c>
      <c r="N873" t="str">
        <f t="shared" si="153"/>
        <v>TLKM, PT Telkom Indonesia (Persero), Telkom Indonesia (Persero), Telkom Indonesia (Persero) Tbk</v>
      </c>
    </row>
    <row r="874" spans="1:14" x14ac:dyDescent="0.2">
      <c r="A874" t="s">
        <v>1232</v>
      </c>
      <c r="B874" t="s">
        <v>1233</v>
      </c>
      <c r="C874" t="s">
        <v>8673</v>
      </c>
      <c r="D874" t="str">
        <f t="shared" si="143"/>
        <v>TMAS, PT Temas, TEMAS, Temas, Temas Tbk, temas</v>
      </c>
      <c r="E874" t="str">
        <f t="shared" si="144"/>
        <v>TMAS, PT Temas, TEMAS, Temas, Temas Tbk, temas</v>
      </c>
      <c r="F874" t="str">
        <f t="shared" si="145"/>
        <v>temas</v>
      </c>
      <c r="G874" t="str">
        <f t="shared" si="148"/>
        <v>TMAS, PT Temas, TEMAS, Temas, Temas Tbk</v>
      </c>
      <c r="H874" t="str">
        <f t="shared" si="149"/>
        <v>TMAS, PT Temas, TEMAS, Temas, Temas Tbk</v>
      </c>
      <c r="I874" t="str">
        <f t="shared" si="146"/>
        <v>TEMAS</v>
      </c>
      <c r="J874" t="str">
        <f t="shared" si="150"/>
        <v>TMAS, PT Temas, Temas, Temas Tbk</v>
      </c>
      <c r="K874" t="str">
        <f t="shared" si="151"/>
        <v>TMAS, PT Temas, Temas, Temas Tbk</v>
      </c>
      <c r="L874" t="str">
        <f t="shared" si="147"/>
        <v>Temas</v>
      </c>
      <c r="M874" t="str">
        <f t="shared" si="152"/>
        <v>TMAS, PT Temas Tbk</v>
      </c>
      <c r="N874" t="str">
        <f t="shared" si="153"/>
        <v>TMAS, PT Temas Tbk</v>
      </c>
    </row>
    <row r="875" spans="1:14" x14ac:dyDescent="0.2">
      <c r="A875" t="s">
        <v>1235</v>
      </c>
      <c r="B875" t="s">
        <v>1236</v>
      </c>
      <c r="C875" t="s">
        <v>8674</v>
      </c>
      <c r="D875" t="str">
        <f t="shared" si="143"/>
        <v>TMPO, PT Tempo Intimedia, TEMPO INTIMEDIA, Tempo Intimedia, Tempo Intimedia Tbk, TempoIntimedia, tempo intimedia</v>
      </c>
      <c r="E875" t="str">
        <f t="shared" si="144"/>
        <v>TMPO, PT Tempo Intimedia, TEMPO INTIMEDIA, Tempo Intimedia, Tempo Intimedia Tbk, TempoIntimedia, tempo intimedia</v>
      </c>
      <c r="F875" t="str">
        <f t="shared" si="145"/>
        <v>tempo intimedia</v>
      </c>
      <c r="G875" t="str">
        <f t="shared" si="148"/>
        <v>TMPO, PT Tempo Intimedia, TEMPO INTIMEDIA, Tempo Intimedia, Tempo Intimedia Tbk, TempoIntimedia</v>
      </c>
      <c r="H875" t="str">
        <f t="shared" si="149"/>
        <v>TMPO, PT Tempo Intimedia, TEMPO INTIMEDIA, Tempo Intimedia, Tempo Intimedia Tbk, TempoIntimedia</v>
      </c>
      <c r="I875" t="str">
        <f t="shared" si="146"/>
        <v>TEMPO INTIMEDIA</v>
      </c>
      <c r="J875" t="str">
        <f t="shared" si="150"/>
        <v>TMPO, PT Tempo Intimedia, Tempo Intimedia, Tempo Intimedia Tbk, TempoIntimedia</v>
      </c>
      <c r="K875" t="str">
        <f t="shared" si="151"/>
        <v>TMPO, PT Tempo Intimedia, Tempo Intimedia, Tempo Intimedia Tbk, TempoIntimedia</v>
      </c>
      <c r="L875" t="str">
        <f t="shared" si="147"/>
        <v>TempoIntimedia</v>
      </c>
      <c r="M875" t="str">
        <f t="shared" si="152"/>
        <v>TMPO, PT Tempo Intimedia, Tempo Intimedia, Tempo Intimedia Tbk</v>
      </c>
      <c r="N875" t="str">
        <f t="shared" si="153"/>
        <v>TMPO, PT Tempo Intimedia, Tempo Intimedia, Tempo Intimedia Tbk</v>
      </c>
    </row>
    <row r="876" spans="1:14" x14ac:dyDescent="0.2">
      <c r="A876" t="s">
        <v>1541</v>
      </c>
      <c r="B876" t="s">
        <v>1542</v>
      </c>
      <c r="C876" t="s">
        <v>8675</v>
      </c>
      <c r="D876" t="str">
        <f t="shared" si="143"/>
        <v>TNCA, PT Trimuda Nuansa Citra, TRIMUDA NUANSA CITRA, Trimuda Nuansa Citra, Trimuda Nuansa Citra Tbk, TrimudaNuansaCitra, trimuda nuansa citra</v>
      </c>
      <c r="E876" t="str">
        <f t="shared" si="144"/>
        <v>TNCA, PT Trimuda Nuansa Citra, TRIMUDA NUANSA CITRA, Trimuda Nuansa Citra, Trimuda Nuansa Citra Tbk, TrimudaNuansaCitra, trimuda nuansa citra</v>
      </c>
      <c r="F876" t="str">
        <f t="shared" si="145"/>
        <v>trimuda nuansa citra</v>
      </c>
      <c r="G876" t="str">
        <f t="shared" si="148"/>
        <v>TNCA, PT Trimuda Nuansa Citra, TRIMUDA NUANSA CITRA, Trimuda Nuansa Citra, Trimuda Nuansa Citra Tbk, TrimudaNuansaCitra</v>
      </c>
      <c r="H876" t="str">
        <f t="shared" si="149"/>
        <v>TNCA, PT Trimuda Nuansa Citra, TRIMUDA NUANSA CITRA, Trimuda Nuansa Citra, Trimuda Nuansa Citra Tbk, TrimudaNuansaCitra</v>
      </c>
      <c r="I876" t="str">
        <f t="shared" si="146"/>
        <v>TRIMUDA NUANSA CITRA</v>
      </c>
      <c r="J876" t="str">
        <f t="shared" si="150"/>
        <v>TNCA, PT Trimuda Nuansa Citra, Trimuda Nuansa Citra, Trimuda Nuansa Citra Tbk, TrimudaNuansaCitra</v>
      </c>
      <c r="K876" t="str">
        <f t="shared" si="151"/>
        <v>TNCA, PT Trimuda Nuansa Citra, Trimuda Nuansa Citra, Trimuda Nuansa Citra Tbk, TrimudaNuansaCitra</v>
      </c>
      <c r="L876" t="str">
        <f t="shared" si="147"/>
        <v>TrimudaNuansaCitra</v>
      </c>
      <c r="M876" t="str">
        <f t="shared" si="152"/>
        <v>TNCA, PT Trimuda Nuansa Citra, Trimuda Nuansa Citra, Trimuda Nuansa Citra Tbk</v>
      </c>
      <c r="N876" t="str">
        <f t="shared" si="153"/>
        <v>TNCA, PT Trimuda Nuansa Citra, Trimuda Nuansa Citra, Trimuda Nuansa Citra Tbk</v>
      </c>
    </row>
    <row r="877" spans="1:14" x14ac:dyDescent="0.2">
      <c r="A877" t="s">
        <v>1238</v>
      </c>
      <c r="B877" t="s">
        <v>1239</v>
      </c>
      <c r="C877" t="s">
        <v>8676</v>
      </c>
      <c r="D877" t="str">
        <f t="shared" si="143"/>
        <v>TOBA, PT TBS Energi Utama, TBS ENERGI UTAMA, TBS Energi Utama, TBS Energi Utama Tbk, TBSEnergiUtama, tbs energi utama</v>
      </c>
      <c r="E877" t="str">
        <f t="shared" si="144"/>
        <v>TOBA, PT TBS Energi Utama, TBS ENERGI UTAMA, TBS Energi Utama, TBS Energi Utama Tbk, TBSEnergiUtama, tbs energi utama</v>
      </c>
      <c r="F877" t="str">
        <f t="shared" si="145"/>
        <v>tbs energi utama</v>
      </c>
      <c r="G877" t="str">
        <f t="shared" si="148"/>
        <v>TOBA, PT TBS Energi Utama, TBS ENERGI UTAMA, TBS Energi Utama, TBS Energi Utama Tbk, TBSEnergiUtama</v>
      </c>
      <c r="H877" t="str">
        <f t="shared" si="149"/>
        <v>TOBA, PT TBS Energi Utama, TBS ENERGI UTAMA, TBS Energi Utama, TBS Energi Utama Tbk, TBSEnergiUtama</v>
      </c>
      <c r="I877" t="str">
        <f t="shared" si="146"/>
        <v>TBS ENERGI UTAMA</v>
      </c>
      <c r="J877" t="str">
        <f t="shared" si="150"/>
        <v>TOBA, PT TBS Energi Utama, TBS Energi Utama, TBS Energi Utama Tbk, TBSEnergiUtama</v>
      </c>
      <c r="K877" t="str">
        <f t="shared" si="151"/>
        <v>TOBA, PT TBS Energi Utama, TBS Energi Utama, TBS Energi Utama Tbk, TBSEnergiUtama</v>
      </c>
      <c r="L877" t="str">
        <f t="shared" si="147"/>
        <v>TBSEnergiUtama</v>
      </c>
      <c r="M877" t="str">
        <f t="shared" si="152"/>
        <v>TOBA, PT TBS Energi Utama, TBS Energi Utama, TBS Energi Utama Tbk</v>
      </c>
      <c r="N877" t="str">
        <f t="shared" si="153"/>
        <v>TOBA, PT TBS Energi Utama, TBS Energi Utama, TBS Energi Utama Tbk</v>
      </c>
    </row>
    <row r="878" spans="1:14" x14ac:dyDescent="0.2">
      <c r="A878" t="s">
        <v>2162</v>
      </c>
      <c r="B878" t="s">
        <v>2163</v>
      </c>
      <c r="C878" t="s">
        <v>8677</v>
      </c>
      <c r="D878" t="str">
        <f t="shared" si="143"/>
        <v>TOOL, PT Rohartindo Nusantara Luas, ROHARTINDO NUSANTARA LUAS, Rohartindo Nusantara Luas, Rohartindo Nusantara Luas Tbk, RohartindoNusantaraLuas, rohartindo nusantara luas</v>
      </c>
      <c r="E878" t="str">
        <f t="shared" si="144"/>
        <v>TOOL, PT Rohartindo Nusantara Luas, ROHARTINDO NUSANTARA LUAS, Rohartindo Nusantara Luas, Rohartindo Nusantara Luas Tbk, RohartindoNusantaraLuas, rohartindo nusantara luas</v>
      </c>
      <c r="F878" t="str">
        <f t="shared" si="145"/>
        <v>rohartindo nusantara luas</v>
      </c>
      <c r="G878" t="str">
        <f t="shared" si="148"/>
        <v>TOOL, PT Rohartindo Nusantara Luas, ROHARTINDO NUSANTARA LUAS, Rohartindo Nusantara Luas, Rohartindo Nusantara Luas Tbk, RohartindoNusantaraLuas</v>
      </c>
      <c r="H878" t="str">
        <f t="shared" si="149"/>
        <v>TOOL, PT Rohartindo Nusantara Luas, ROHARTINDO NUSANTARA LUAS, Rohartindo Nusantara Luas, Rohartindo Nusantara Luas Tbk, RohartindoNusantaraLuas</v>
      </c>
      <c r="I878" t="str">
        <f t="shared" si="146"/>
        <v>ROHARTINDO NUSANTARA LUAS</v>
      </c>
      <c r="J878" t="str">
        <f t="shared" si="150"/>
        <v>TOOL, PT Rohartindo Nusantara Luas, Rohartindo Nusantara Luas, Rohartindo Nusantara Luas Tbk, RohartindoNusantaraLuas</v>
      </c>
      <c r="K878" t="str">
        <f t="shared" si="151"/>
        <v>TOOL, PT Rohartindo Nusantara Luas, Rohartindo Nusantara Luas, Rohartindo Nusantara Luas Tbk, RohartindoNusantaraLuas</v>
      </c>
      <c r="L878" t="str">
        <f t="shared" si="147"/>
        <v>RohartindoNusantaraLuas</v>
      </c>
      <c r="M878" t="str">
        <f t="shared" si="152"/>
        <v>TOOL, PT Rohartindo Nusantara Luas, Rohartindo Nusantara Luas, Rohartindo Nusantara Luas Tbk</v>
      </c>
      <c r="N878" t="str">
        <f t="shared" si="153"/>
        <v>TOOL, PT Rohartindo Nusantara Luas, Rohartindo Nusantara Luas, Rohartindo Nusantara Luas Tbk</v>
      </c>
    </row>
    <row r="879" spans="1:14" x14ac:dyDescent="0.2">
      <c r="A879" t="s">
        <v>1413</v>
      </c>
      <c r="B879" t="s">
        <v>1414</v>
      </c>
      <c r="C879" t="s">
        <v>8678</v>
      </c>
      <c r="D879" t="str">
        <f t="shared" si="143"/>
        <v>TOPS, PT Totalindo Eka Persada, TOTALINDO EKA PERSADA, Totalindo Eka Persada, Totalindo Eka Persada Tbk, TotalindoEkaPersada, totalindo eka persada</v>
      </c>
      <c r="E879" t="str">
        <f t="shared" si="144"/>
        <v>TOPS, PT Totalindo Eka Persada, TOTALINDO EKA PERSADA, Totalindo Eka Persada, Totalindo Eka Persada Tbk, TotalindoEkaPersada, totalindo eka persada</v>
      </c>
      <c r="F879" t="str">
        <f t="shared" si="145"/>
        <v>totalindo eka persada</v>
      </c>
      <c r="G879" t="str">
        <f t="shared" si="148"/>
        <v>TOPS, PT Totalindo Eka Persada, TOTALINDO EKA PERSADA, Totalindo Eka Persada, Totalindo Eka Persada Tbk, TotalindoEkaPersada</v>
      </c>
      <c r="H879" t="str">
        <f t="shared" si="149"/>
        <v>TOPS, PT Totalindo Eka Persada, TOTALINDO EKA PERSADA, Totalindo Eka Persada, Totalindo Eka Persada Tbk, TotalindoEkaPersada</v>
      </c>
      <c r="I879" t="str">
        <f t="shared" si="146"/>
        <v>TOTALINDO EKA PERSADA</v>
      </c>
      <c r="J879" t="str">
        <f t="shared" si="150"/>
        <v>TOPS, PT Totalindo Eka Persada, Totalindo Eka Persada, Totalindo Eka Persada Tbk, TotalindoEkaPersada</v>
      </c>
      <c r="K879" t="str">
        <f t="shared" si="151"/>
        <v>TOPS, PT Totalindo Eka Persada, Totalindo Eka Persada, Totalindo Eka Persada Tbk, TotalindoEkaPersada</v>
      </c>
      <c r="L879" t="str">
        <f t="shared" si="147"/>
        <v>TotalindoEkaPersada</v>
      </c>
      <c r="M879" t="str">
        <f t="shared" si="152"/>
        <v>TOPS, PT Totalindo Eka Persada, Totalindo Eka Persada, Totalindo Eka Persada Tbk</v>
      </c>
      <c r="N879" t="str">
        <f t="shared" si="153"/>
        <v>TOPS, PT Totalindo Eka Persada, Totalindo Eka Persada, Totalindo Eka Persada Tbk</v>
      </c>
    </row>
    <row r="880" spans="1:14" x14ac:dyDescent="0.2">
      <c r="A880" t="s">
        <v>2424</v>
      </c>
      <c r="B880" t="s">
        <v>2425</v>
      </c>
      <c r="C880" t="s">
        <v>8679</v>
      </c>
      <c r="D880" t="str">
        <f t="shared" si="143"/>
        <v>TOSK, PT Topindo Solusi Komunika, TOPINDO SOLUSI KOMUNIKA, Topindo Solusi Komunika, Topindo Solusi Komunika Tbk, TopindoSolusiKomunika, topindo solusi komunika</v>
      </c>
      <c r="E880" t="str">
        <f t="shared" si="144"/>
        <v>TOSK, PT Topindo Solusi Komunika, TOPINDO SOLUSI KOMUNIKA, Topindo Solusi Komunika, Topindo Solusi Komunika Tbk, TopindoSolusiKomunika, topindo solusi komunika</v>
      </c>
      <c r="F880" t="str">
        <f t="shared" si="145"/>
        <v>topindo solusi komunika</v>
      </c>
      <c r="G880" t="str">
        <f t="shared" si="148"/>
        <v>TOSK, PT Topindo Solusi Komunika, TOPINDO SOLUSI KOMUNIKA, Topindo Solusi Komunika, Topindo Solusi Komunika Tbk, TopindoSolusiKomunika</v>
      </c>
      <c r="H880" t="str">
        <f t="shared" si="149"/>
        <v>TOSK, PT Topindo Solusi Komunika, TOPINDO SOLUSI KOMUNIKA, Topindo Solusi Komunika, Topindo Solusi Komunika Tbk, TopindoSolusiKomunika</v>
      </c>
      <c r="I880" t="str">
        <f t="shared" si="146"/>
        <v>TOPINDO SOLUSI KOMUNIKA</v>
      </c>
      <c r="J880" t="str">
        <f t="shared" si="150"/>
        <v>TOSK, PT Topindo Solusi Komunika, Topindo Solusi Komunika, Topindo Solusi Komunika Tbk, TopindoSolusiKomunika</v>
      </c>
      <c r="K880" t="str">
        <f t="shared" si="151"/>
        <v>TOSK, PT Topindo Solusi Komunika, Topindo Solusi Komunika, Topindo Solusi Komunika Tbk, TopindoSolusiKomunika</v>
      </c>
      <c r="L880" t="str">
        <f t="shared" si="147"/>
        <v>TopindoSolusiKomunika</v>
      </c>
      <c r="M880" t="str">
        <f t="shared" si="152"/>
        <v>TOSK, PT Topindo Solusi Komunika, Topindo Solusi Komunika, Topindo Solusi Komunika Tbk</v>
      </c>
      <c r="N880" t="str">
        <f t="shared" si="153"/>
        <v>TOSK, PT Topindo Solusi Komunika, Topindo Solusi Komunika, Topindo Solusi Komunika Tbk</v>
      </c>
    </row>
    <row r="881" spans="1:14" x14ac:dyDescent="0.2">
      <c r="A881" t="s">
        <v>1241</v>
      </c>
      <c r="B881" t="s">
        <v>1242</v>
      </c>
      <c r="C881" t="s">
        <v>8680</v>
      </c>
      <c r="D881" t="str">
        <f t="shared" si="143"/>
        <v>TOTL, PT Total Bangun Persada, TOTAL BANGUN PERSADA, Total Bangun Persada, Total Bangun Persada Tbk, TotalBangunPersada, total bangun persada</v>
      </c>
      <c r="E881" t="str">
        <f t="shared" si="144"/>
        <v>TOTL, PT Total Bangun Persada, TOTAL BANGUN PERSADA, Total Bangun Persada, Total Bangun Persada Tbk, TotalBangunPersada, total bangun persada</v>
      </c>
      <c r="F881" t="str">
        <f t="shared" si="145"/>
        <v>total bangun persada</v>
      </c>
      <c r="G881" t="str">
        <f t="shared" si="148"/>
        <v>TOTL, PT Total Bangun Persada, TOTAL BANGUN PERSADA, Total Bangun Persada, Total Bangun Persada Tbk, TotalBangunPersada</v>
      </c>
      <c r="H881" t="str">
        <f t="shared" si="149"/>
        <v>TOTL, PT Total Bangun Persada, TOTAL BANGUN PERSADA, Total Bangun Persada, Total Bangun Persada Tbk, TotalBangunPersada</v>
      </c>
      <c r="I881" t="str">
        <f t="shared" si="146"/>
        <v>TOTAL BANGUN PERSADA</v>
      </c>
      <c r="J881" t="str">
        <f t="shared" si="150"/>
        <v>TOTL, PT Total Bangun Persada, Total Bangun Persada, Total Bangun Persada Tbk, TotalBangunPersada</v>
      </c>
      <c r="K881" t="str">
        <f t="shared" si="151"/>
        <v>TOTL, PT Total Bangun Persada, Total Bangun Persada, Total Bangun Persada Tbk, TotalBangunPersada</v>
      </c>
      <c r="L881" t="str">
        <f t="shared" si="147"/>
        <v>TotalBangunPersada</v>
      </c>
      <c r="M881" t="str">
        <f t="shared" si="152"/>
        <v>TOTL, PT Total Bangun Persada, Total Bangun Persada, Total Bangun Persada Tbk</v>
      </c>
      <c r="N881" t="str">
        <f t="shared" si="153"/>
        <v>TOTL, PT Total Bangun Persada, Total Bangun Persada, Total Bangun Persada Tbk</v>
      </c>
    </row>
    <row r="882" spans="1:14" x14ac:dyDescent="0.2">
      <c r="A882" t="s">
        <v>1244</v>
      </c>
      <c r="B882" t="s">
        <v>1245</v>
      </c>
      <c r="C882" t="s">
        <v>8681</v>
      </c>
      <c r="D882" t="str">
        <f t="shared" si="143"/>
        <v>TOTO, PT Surya Toto Indonesia, SURYA TOTO INDONESIA, Surya Toto Indonesia, Surya Toto Indonesia Tbk, SuryaTotoIndonesia, surya toto indonesia</v>
      </c>
      <c r="E882" t="str">
        <f t="shared" si="144"/>
        <v>TOTO, PT Surya Toto Indonesia, SURYA TOTO INDONESIA, Surya Toto Indonesia, Surya Toto Indonesia Tbk, SuryaTotoIndonesia, surya toto indonesia</v>
      </c>
      <c r="F882" t="str">
        <f t="shared" si="145"/>
        <v>surya toto indonesia</v>
      </c>
      <c r="G882" t="str">
        <f t="shared" si="148"/>
        <v>TOTO, PT Surya Toto Indonesia, SURYA TOTO INDONESIA, Surya Toto Indonesia, Surya Toto Indonesia Tbk, SuryaTotoIndonesia</v>
      </c>
      <c r="H882" t="str">
        <f t="shared" si="149"/>
        <v>TOTO, PT Surya Toto Indonesia, SURYA TOTO INDONESIA, Surya Toto Indonesia, Surya Toto Indonesia Tbk, SuryaTotoIndonesia</v>
      </c>
      <c r="I882" t="str">
        <f t="shared" si="146"/>
        <v>SURYA TOTO INDONESIA</v>
      </c>
      <c r="J882" t="str">
        <f t="shared" si="150"/>
        <v>TOTO, PT Surya Toto Indonesia, Surya Toto Indonesia, Surya Toto Indonesia Tbk, SuryaTotoIndonesia</v>
      </c>
      <c r="K882" t="str">
        <f t="shared" si="151"/>
        <v>TOTO, PT Surya Toto Indonesia, Surya Toto Indonesia, Surya Toto Indonesia Tbk, SuryaTotoIndonesia</v>
      </c>
      <c r="L882" t="str">
        <f t="shared" si="147"/>
        <v>SuryaTotoIndonesia</v>
      </c>
      <c r="M882" t="str">
        <f t="shared" si="152"/>
        <v>TOTO, PT Surya Toto Indonesia, Surya Toto Indonesia, Surya Toto Indonesia Tbk</v>
      </c>
      <c r="N882" t="str">
        <f t="shared" si="153"/>
        <v>TOTO, PT Surya Toto Indonesia, Surya Toto Indonesia, Surya Toto Indonesia Tbk</v>
      </c>
    </row>
    <row r="883" spans="1:14" x14ac:dyDescent="0.2">
      <c r="A883" t="s">
        <v>1247</v>
      </c>
      <c r="B883" t="s">
        <v>1248</v>
      </c>
      <c r="C883" t="s">
        <v>8682</v>
      </c>
      <c r="D883" t="str">
        <f t="shared" si="143"/>
        <v>TOWR, PT Sarana Menara Nusantara, SARANA MENARA NUSANTARA, Sarana Menara Nusantara, Sarana Menara Nusantara Tbk, SaranaMenaraNusantara, sarana menara nusantara</v>
      </c>
      <c r="E883" t="str">
        <f t="shared" si="144"/>
        <v>TOWR, PT Sarana Menara Nusantara, SARANA MENARA NUSANTARA, Sarana Menara Nusantara, Sarana Menara Nusantara Tbk, SaranaMenaraNusantara, sarana menara nusantara</v>
      </c>
      <c r="F883" t="str">
        <f t="shared" si="145"/>
        <v>sarana menara nusantara</v>
      </c>
      <c r="G883" t="str">
        <f t="shared" si="148"/>
        <v>TOWR, PT Sarana Menara Nusantara, SARANA MENARA NUSANTARA, Sarana Menara Nusantara, Sarana Menara Nusantara Tbk, SaranaMenaraNusantara</v>
      </c>
      <c r="H883" t="str">
        <f t="shared" si="149"/>
        <v>TOWR, PT Sarana Menara Nusantara, SARANA MENARA NUSANTARA, Sarana Menara Nusantara, Sarana Menara Nusantara Tbk, SaranaMenaraNusantara</v>
      </c>
      <c r="I883" t="str">
        <f t="shared" si="146"/>
        <v>SARANA MENARA NUSANTARA</v>
      </c>
      <c r="J883" t="str">
        <f t="shared" si="150"/>
        <v>TOWR, PT Sarana Menara Nusantara, Sarana Menara Nusantara, Sarana Menara Nusantara Tbk, SaranaMenaraNusantara</v>
      </c>
      <c r="K883" t="str">
        <f t="shared" si="151"/>
        <v>TOWR, PT Sarana Menara Nusantara, Sarana Menara Nusantara, Sarana Menara Nusantara Tbk, SaranaMenaraNusantara</v>
      </c>
      <c r="L883" t="str">
        <f t="shared" si="147"/>
        <v>SaranaMenaraNusantara</v>
      </c>
      <c r="M883" t="str">
        <f t="shared" si="152"/>
        <v>TOWR, PT Sarana Menara Nusantara, Sarana Menara Nusantara, Sarana Menara Nusantara Tbk</v>
      </c>
      <c r="N883" t="str">
        <f t="shared" si="153"/>
        <v>TOWR, PT Sarana Menara Nusantara, Sarana Menara Nusantara, Sarana Menara Nusantara Tbk</v>
      </c>
    </row>
    <row r="884" spans="1:14" x14ac:dyDescent="0.2">
      <c r="A884" t="s">
        <v>1865</v>
      </c>
      <c r="B884" t="s">
        <v>1866</v>
      </c>
      <c r="C884" t="s">
        <v>8683</v>
      </c>
      <c r="D884" t="str">
        <f t="shared" si="143"/>
        <v>TOYS, PT Sunindo Adipersada, SUNINDO ADIPERSADA, Sunindo Adipersada, Sunindo Adipersada Tbk, SunindoAdipersada, sunindo adipersada</v>
      </c>
      <c r="E884" t="str">
        <f t="shared" si="144"/>
        <v>TOYS, PT Sunindo Adipersada, SUNINDO ADIPERSADA, Sunindo Adipersada, Sunindo Adipersada Tbk, SunindoAdipersada, sunindo adipersada</v>
      </c>
      <c r="F884" t="str">
        <f t="shared" si="145"/>
        <v>sunindo adipersada</v>
      </c>
      <c r="G884" t="str">
        <f t="shared" si="148"/>
        <v>TOYS, PT Sunindo Adipersada, SUNINDO ADIPERSADA, Sunindo Adipersada, Sunindo Adipersada Tbk, SunindoAdipersada</v>
      </c>
      <c r="H884" t="str">
        <f t="shared" si="149"/>
        <v>TOYS, PT Sunindo Adipersada, SUNINDO ADIPERSADA, Sunindo Adipersada, Sunindo Adipersada Tbk, SunindoAdipersada</v>
      </c>
      <c r="I884" t="str">
        <f t="shared" si="146"/>
        <v>SUNINDO ADIPERSADA</v>
      </c>
      <c r="J884" t="str">
        <f t="shared" si="150"/>
        <v>TOYS, PT Sunindo Adipersada, Sunindo Adipersada, Sunindo Adipersada Tbk, SunindoAdipersada</v>
      </c>
      <c r="K884" t="str">
        <f t="shared" si="151"/>
        <v>TOYS, PT Sunindo Adipersada, Sunindo Adipersada, Sunindo Adipersada Tbk, SunindoAdipersada</v>
      </c>
      <c r="L884" t="str">
        <f t="shared" si="147"/>
        <v>SunindoAdipersada</v>
      </c>
      <c r="M884" t="str">
        <f t="shared" si="152"/>
        <v>TOYS, PT Sunindo Adipersada, Sunindo Adipersada, Sunindo Adipersada Tbk</v>
      </c>
      <c r="N884" t="str">
        <f t="shared" si="153"/>
        <v>TOYS, PT Sunindo Adipersada, Sunindo Adipersada, Sunindo Adipersada Tbk</v>
      </c>
    </row>
    <row r="885" spans="1:14" x14ac:dyDescent="0.2">
      <c r="A885" t="s">
        <v>1250</v>
      </c>
      <c r="B885" t="s">
        <v>1251</v>
      </c>
      <c r="C885" t="s">
        <v>8684</v>
      </c>
      <c r="D885" t="str">
        <f t="shared" si="143"/>
        <v>TPIA, CHANDRA ASRI PACIFIC, Chandra Asri Pacific, Chandra Asri Pacific Tbk, ChandraAsriPacific, PT Chandra Asri Pacific, chandra asri pacific</v>
      </c>
      <c r="E885" t="str">
        <f t="shared" si="144"/>
        <v>TPIA, CHANDRA ASRI PACIFIC, Chandra Asri Pacific, Chandra Asri Pacific Tbk, ChandraAsriPacific, PT Chandra Asri Pacific, chandra asri pacific</v>
      </c>
      <c r="F885" t="str">
        <f t="shared" si="145"/>
        <v>chandra asri pacific</v>
      </c>
      <c r="G885" t="str">
        <f t="shared" si="148"/>
        <v>TPIA, CHANDRA ASRI PACIFIC, Chandra Asri Pacific, Chandra Asri Pacific Tbk, ChandraAsriPacific, PT Chandra Asri Pacific</v>
      </c>
      <c r="H885" t="str">
        <f t="shared" si="149"/>
        <v>TPIA, CHANDRA ASRI PACIFIC, Chandra Asri Pacific, Chandra Asri Pacific Tbk, ChandraAsriPacific, PT Chandra Asri Pacific</v>
      </c>
      <c r="I885" t="str">
        <f t="shared" si="146"/>
        <v>CHANDRA ASRI PACIFIC</v>
      </c>
      <c r="J885" t="str">
        <f t="shared" si="150"/>
        <v>TPIA, Chandra Asri Pacific, Chandra Asri Pacific Tbk, ChandraAsriPacific, PT Chandra Asri Pacific</v>
      </c>
      <c r="K885" t="str">
        <f t="shared" si="151"/>
        <v>TPIA, Chandra Asri Pacific, Chandra Asri Pacific Tbk, ChandraAsriPacific, PT Chandra Asri Pacific</v>
      </c>
      <c r="L885" t="str">
        <f t="shared" si="147"/>
        <v>ChandraAsriPacific</v>
      </c>
      <c r="M885" t="str">
        <f t="shared" si="152"/>
        <v>TPIA, Chandra Asri Pacific, Chandra Asri Pacific Tbk, PT Chandra Asri Pacific</v>
      </c>
      <c r="N885" t="str">
        <f t="shared" si="153"/>
        <v>TPIA, Chandra Asri Pacific, Chandra Asri Pacific Tbk, PT Chandra Asri Pacific</v>
      </c>
    </row>
    <row r="886" spans="1:14" x14ac:dyDescent="0.2">
      <c r="A886" t="s">
        <v>1253</v>
      </c>
      <c r="B886" t="s">
        <v>1254</v>
      </c>
      <c r="C886" t="s">
        <v>8685</v>
      </c>
      <c r="D886" t="str">
        <f t="shared" si="143"/>
        <v>TPMA, PT Trans Power Marine, TRANS POWER MARINE, Trans Power Marine, Trans Power Marine Tbk, TransPowerMarine, trans power marine</v>
      </c>
      <c r="E886" t="str">
        <f t="shared" si="144"/>
        <v>TPMA, PT Trans Power Marine, TRANS POWER MARINE, Trans Power Marine, Trans Power Marine Tbk, TransPowerMarine, trans power marine</v>
      </c>
      <c r="F886" t="str">
        <f t="shared" si="145"/>
        <v>trans power marine</v>
      </c>
      <c r="G886" t="str">
        <f t="shared" si="148"/>
        <v>TPMA, PT Trans Power Marine, TRANS POWER MARINE, Trans Power Marine, Trans Power Marine Tbk, TransPowerMarine</v>
      </c>
      <c r="H886" t="str">
        <f t="shared" si="149"/>
        <v>TPMA, PT Trans Power Marine, TRANS POWER MARINE, Trans Power Marine, Trans Power Marine Tbk, TransPowerMarine</v>
      </c>
      <c r="I886" t="str">
        <f t="shared" si="146"/>
        <v>TRANS POWER MARINE</v>
      </c>
      <c r="J886" t="str">
        <f t="shared" si="150"/>
        <v>TPMA, PT Trans Power Marine, Trans Power Marine, Trans Power Marine Tbk, TransPowerMarine</v>
      </c>
      <c r="K886" t="str">
        <f t="shared" si="151"/>
        <v>TPMA, PT Trans Power Marine, Trans Power Marine, Trans Power Marine Tbk, TransPowerMarine</v>
      </c>
      <c r="L886" t="str">
        <f t="shared" si="147"/>
        <v>TransPowerMarine</v>
      </c>
      <c r="M886" t="str">
        <f t="shared" si="152"/>
        <v>TPMA, PT Trans Power Marine, Trans Power Marine, Trans Power Marine Tbk</v>
      </c>
      <c r="N886" t="str">
        <f t="shared" si="153"/>
        <v>TPMA, PT Trans Power Marine, Trans Power Marine, Trans Power Marine Tbk</v>
      </c>
    </row>
    <row r="887" spans="1:14" x14ac:dyDescent="0.2">
      <c r="A887" t="s">
        <v>1256</v>
      </c>
      <c r="B887" t="s">
        <v>1257</v>
      </c>
      <c r="C887" t="s">
        <v>8686</v>
      </c>
      <c r="D887" t="str">
        <f t="shared" si="143"/>
        <v>TRAM, PT Trada Alam Minera, TRADA ALAM MINERA, Trada Alam Minera, Trada Alam Minera Tbk, TradaAlamMinera, trada alam minera</v>
      </c>
      <c r="E887" t="str">
        <f t="shared" si="144"/>
        <v>TRAM, PT Trada Alam Minera, TRADA ALAM MINERA, Trada Alam Minera, Trada Alam Minera Tbk, TradaAlamMinera, trada alam minera</v>
      </c>
      <c r="F887" t="str">
        <f t="shared" si="145"/>
        <v>trada alam minera</v>
      </c>
      <c r="G887" t="str">
        <f t="shared" si="148"/>
        <v>TRAM, PT Trada Alam Minera, TRADA ALAM MINERA, Trada Alam Minera, Trada Alam Minera Tbk, TradaAlamMinera</v>
      </c>
      <c r="H887" t="str">
        <f t="shared" si="149"/>
        <v>TRAM, PT Trada Alam Minera, TRADA ALAM MINERA, Trada Alam Minera, Trada Alam Minera Tbk, TradaAlamMinera</v>
      </c>
      <c r="I887" t="str">
        <f t="shared" si="146"/>
        <v>TRADA ALAM MINERA</v>
      </c>
      <c r="J887" t="str">
        <f t="shared" si="150"/>
        <v>TRAM, PT Trada Alam Minera, Trada Alam Minera, Trada Alam Minera Tbk, TradaAlamMinera</v>
      </c>
      <c r="K887" t="str">
        <f t="shared" si="151"/>
        <v>TRAM, PT Trada Alam Minera, Trada Alam Minera, Trada Alam Minera Tbk, TradaAlamMinera</v>
      </c>
      <c r="L887" t="str">
        <f t="shared" si="147"/>
        <v>TradaAlamMinera</v>
      </c>
      <c r="M887" t="str">
        <f t="shared" si="152"/>
        <v>TRAM, PT Trada Alam Minera, Trada Alam Minera, Trada Alam Minera Tbk</v>
      </c>
      <c r="N887" t="str">
        <f t="shared" si="153"/>
        <v>TRAM, PT Trada Alam Minera, Trada Alam Minera, Trada Alam Minera Tbk</v>
      </c>
    </row>
    <row r="888" spans="1:14" x14ac:dyDescent="0.2">
      <c r="A888" t="s">
        <v>2117</v>
      </c>
      <c r="B888" t="s">
        <v>2118</v>
      </c>
      <c r="C888" t="s">
        <v>8687</v>
      </c>
      <c r="D888" t="str">
        <f t="shared" si="143"/>
        <v>TRGU, CERESTAR INDONESIA, Cerestar Indonesia, Cerestar Indonesia Tbk, CerestarIndonesia, PT Cerestar Indonesia, cerestar indonesia</v>
      </c>
      <c r="E888" t="str">
        <f t="shared" si="144"/>
        <v>TRGU, CERESTAR INDONESIA, Cerestar Indonesia, Cerestar Indonesia Tbk, CerestarIndonesia, PT Cerestar Indonesia, cerestar indonesia</v>
      </c>
      <c r="F888" t="str">
        <f t="shared" si="145"/>
        <v>cerestar indonesia</v>
      </c>
      <c r="G888" t="str">
        <f t="shared" si="148"/>
        <v>TRGU, CERESTAR INDONESIA, Cerestar Indonesia, Cerestar Indonesia Tbk, CerestarIndonesia, PT Cerestar Indonesia</v>
      </c>
      <c r="H888" t="str">
        <f t="shared" si="149"/>
        <v>TRGU, CERESTAR INDONESIA, Cerestar Indonesia, Cerestar Indonesia Tbk, CerestarIndonesia, PT Cerestar Indonesia</v>
      </c>
      <c r="I888" t="str">
        <f t="shared" si="146"/>
        <v>CERESTAR INDONESIA</v>
      </c>
      <c r="J888" t="str">
        <f t="shared" si="150"/>
        <v>TRGU, Cerestar Indonesia, Cerestar Indonesia Tbk, CerestarIndonesia, PT Cerestar Indonesia</v>
      </c>
      <c r="K888" t="str">
        <f t="shared" si="151"/>
        <v>TRGU, Cerestar Indonesia, Cerestar Indonesia Tbk, CerestarIndonesia, PT Cerestar Indonesia</v>
      </c>
      <c r="L888" t="str">
        <f t="shared" si="147"/>
        <v>CerestarIndonesia</v>
      </c>
      <c r="M888" t="str">
        <f t="shared" si="152"/>
        <v>TRGU, Cerestar Indonesia, Cerestar Indonesia Tbk, PT Cerestar Indonesia</v>
      </c>
      <c r="N888" t="str">
        <f t="shared" si="153"/>
        <v>TRGU, Cerestar Indonesia, Cerestar Indonesia Tbk, PT Cerestar Indonesia</v>
      </c>
    </row>
    <row r="889" spans="1:14" x14ac:dyDescent="0.2">
      <c r="A889" t="s">
        <v>1259</v>
      </c>
      <c r="B889" t="s">
        <v>1260</v>
      </c>
      <c r="C889" t="s">
        <v>8688</v>
      </c>
      <c r="D889" t="str">
        <f t="shared" si="143"/>
        <v>TRIL, PT Triwira Insanlestari, TRIWIRA INSANLESTARI, Triwira Insanlestari, Triwira Insanlestari Tbk, TriwiraInsanlestari, triwira insanlestari</v>
      </c>
      <c r="E889" t="str">
        <f t="shared" si="144"/>
        <v>TRIL, PT Triwira Insanlestari, TRIWIRA INSANLESTARI, Triwira Insanlestari, Triwira Insanlestari Tbk, TriwiraInsanlestari, triwira insanlestari</v>
      </c>
      <c r="F889" t="str">
        <f t="shared" si="145"/>
        <v>triwira insanlestari</v>
      </c>
      <c r="G889" t="str">
        <f t="shared" si="148"/>
        <v>TRIL, PT Triwira Insanlestari, TRIWIRA INSANLESTARI, Triwira Insanlestari, Triwira Insanlestari Tbk, TriwiraInsanlestari</v>
      </c>
      <c r="H889" t="str">
        <f t="shared" si="149"/>
        <v>TRIL, PT Triwira Insanlestari, TRIWIRA INSANLESTARI, Triwira Insanlestari, Triwira Insanlestari Tbk, TriwiraInsanlestari</v>
      </c>
      <c r="I889" t="str">
        <f t="shared" si="146"/>
        <v>TRIWIRA INSANLESTARI</v>
      </c>
      <c r="J889" t="str">
        <f t="shared" si="150"/>
        <v>TRIL, PT Triwira Insanlestari, Triwira Insanlestari, Triwira Insanlestari Tbk, TriwiraInsanlestari</v>
      </c>
      <c r="K889" t="str">
        <f t="shared" si="151"/>
        <v>TRIL, PT Triwira Insanlestari, Triwira Insanlestari, Triwira Insanlestari Tbk, TriwiraInsanlestari</v>
      </c>
      <c r="L889" t="str">
        <f t="shared" si="147"/>
        <v>TriwiraInsanlestari</v>
      </c>
      <c r="M889" t="str">
        <f t="shared" si="152"/>
        <v>TRIL, PT Triwira Insanlestari, Triwira Insanlestari, Triwira Insanlestari Tbk</v>
      </c>
      <c r="N889" t="str">
        <f t="shared" si="153"/>
        <v>TRIL, PT Triwira Insanlestari, Triwira Insanlestari, Triwira Insanlestari Tbk</v>
      </c>
    </row>
    <row r="890" spans="1:14" x14ac:dyDescent="0.2">
      <c r="A890" t="s">
        <v>1261</v>
      </c>
      <c r="B890" t="s">
        <v>3689</v>
      </c>
      <c r="C890" t="s">
        <v>8689</v>
      </c>
      <c r="D890" t="str">
        <f t="shared" si="143"/>
        <v>TRIM, PT Trimegah Sekuritas Indonesia, TRIMEGAH SEKURITAS INDONESIA, Trimegah Sekuritas Indonesia, Trimegah Sekuritas Indonesia Tbk, TrimegahSekuritasIndonesia, trimegah sekuritas indonesia</v>
      </c>
      <c r="E890" t="str">
        <f t="shared" si="144"/>
        <v>TRIM, PT Trimegah Sekuritas Indonesia, TRIMEGAH SEKURITAS INDONESIA, Trimegah Sekuritas Indonesia, Trimegah Sekuritas Indonesia Tbk, TrimegahSekuritasIndonesia, trimegah sekuritas indonesia</v>
      </c>
      <c r="F890" t="str">
        <f t="shared" si="145"/>
        <v>trimegah sekuritas indonesia</v>
      </c>
      <c r="G890" t="str">
        <f t="shared" si="148"/>
        <v>TRIM, PT Trimegah Sekuritas Indonesia, TRIMEGAH SEKURITAS INDONESIA, Trimegah Sekuritas Indonesia, Trimegah Sekuritas Indonesia Tbk, TrimegahSekuritasIndonesia</v>
      </c>
      <c r="H890" t="str">
        <f t="shared" si="149"/>
        <v>TRIM, PT Trimegah Sekuritas Indonesia, TRIMEGAH SEKURITAS INDONESIA, Trimegah Sekuritas Indonesia, Trimegah Sekuritas Indonesia Tbk, TrimegahSekuritasIndonesia</v>
      </c>
      <c r="I890" t="str">
        <f t="shared" si="146"/>
        <v>TRIMEGAH SEKURITAS INDONESIA</v>
      </c>
      <c r="J890" t="str">
        <f t="shared" si="150"/>
        <v>TRIM, PT Trimegah Sekuritas Indonesia, Trimegah Sekuritas Indonesia, Trimegah Sekuritas Indonesia Tbk, TrimegahSekuritasIndonesia</v>
      </c>
      <c r="K890" t="str">
        <f t="shared" si="151"/>
        <v>TRIM, PT Trimegah Sekuritas Indonesia, Trimegah Sekuritas Indonesia, Trimegah Sekuritas Indonesia Tbk, TrimegahSekuritasIndonesia</v>
      </c>
      <c r="L890" t="str">
        <f t="shared" si="147"/>
        <v>TrimegahSekuritasIndonesia</v>
      </c>
      <c r="M890" t="str">
        <f t="shared" si="152"/>
        <v>TRIM, PT Trimegah Sekuritas Indonesia, Trimegah Sekuritas Indonesia, Trimegah Sekuritas Indonesia Tbk</v>
      </c>
      <c r="N890" t="str">
        <f t="shared" si="153"/>
        <v>TRIM, PT Trimegah Sekuritas Indonesia, Trimegah Sekuritas Indonesia, Trimegah Sekuritas Indonesia Tbk</v>
      </c>
    </row>
    <row r="891" spans="1:14" x14ac:dyDescent="0.2">
      <c r="A891" t="s">
        <v>1807</v>
      </c>
      <c r="B891" t="s">
        <v>1808</v>
      </c>
      <c r="C891" t="s">
        <v>8690</v>
      </c>
      <c r="D891" t="str">
        <f t="shared" si="143"/>
        <v>TRIN, PERINTIS TRINITI PROPERTI, PT Perintis Triniti Properti, Perintis Triniti Properti, Perintis Triniti Properti Tbk, PerintisTrinitiProperti, perintis triniti properti</v>
      </c>
      <c r="E891" t="str">
        <f t="shared" si="144"/>
        <v>TRIN, PERINTIS TRINITI PROPERTI, PT Perintis Triniti Properti, Perintis Triniti Properti, Perintis Triniti Properti Tbk, PerintisTrinitiProperti, perintis triniti properti</v>
      </c>
      <c r="F891" t="str">
        <f t="shared" si="145"/>
        <v>perintis triniti properti</v>
      </c>
      <c r="G891" t="str">
        <f t="shared" si="148"/>
        <v>TRIN, PERINTIS TRINITI PROPERTI, PT Perintis Triniti Properti, Perintis Triniti Properti, Perintis Triniti Properti Tbk, PerintisTrinitiProperti</v>
      </c>
      <c r="H891" t="str">
        <f t="shared" si="149"/>
        <v>TRIN, PERINTIS TRINITI PROPERTI, PT Perintis Triniti Properti, Perintis Triniti Properti, Perintis Triniti Properti Tbk, PerintisTrinitiProperti</v>
      </c>
      <c r="I891" t="str">
        <f t="shared" si="146"/>
        <v>PERINTIS TRINITI PROPERTI</v>
      </c>
      <c r="J891" t="str">
        <f t="shared" si="150"/>
        <v>TRIN, PT Perintis Triniti Properti, Perintis Triniti Properti, Perintis Triniti Properti Tbk, PerintisTrinitiProperti</v>
      </c>
      <c r="K891" t="str">
        <f t="shared" si="151"/>
        <v>TRIN, PT Perintis Triniti Properti, Perintis Triniti Properti, Perintis Triniti Properti Tbk, PerintisTrinitiProperti</v>
      </c>
      <c r="L891" t="str">
        <f t="shared" si="147"/>
        <v>PerintisTrinitiProperti</v>
      </c>
      <c r="M891" t="str">
        <f t="shared" si="152"/>
        <v>TRIN, PT Perintis Triniti Properti, Perintis Triniti Properti, Perintis Triniti Properti Tbk</v>
      </c>
      <c r="N891" t="str">
        <f t="shared" si="153"/>
        <v>TRIN, PT Perintis Triniti Properti, Perintis Triniti Properti, Perintis Triniti Properti Tbk</v>
      </c>
    </row>
    <row r="892" spans="1:14" x14ac:dyDescent="0.2">
      <c r="A892" t="s">
        <v>1263</v>
      </c>
      <c r="B892" t="s">
        <v>1264</v>
      </c>
      <c r="C892" t="s">
        <v>8691</v>
      </c>
      <c r="D892" t="str">
        <f t="shared" si="143"/>
        <v>TRIO, PT Trikomsel Oke, TRIKOMSEL OKE, Trikomsel Oke, Trikomsel Oke Tbk, TrikomselOke, trikomsel oke</v>
      </c>
      <c r="E892" t="str">
        <f t="shared" si="144"/>
        <v>TRIO, PT Trikomsel Oke, TRIKOMSEL OKE, Trikomsel Oke, Trikomsel Oke Tbk, TrikomselOke, trikomsel oke</v>
      </c>
      <c r="F892" t="str">
        <f t="shared" si="145"/>
        <v>trikomsel oke</v>
      </c>
      <c r="G892" t="str">
        <f t="shared" si="148"/>
        <v>TRIO, PT Trikomsel Oke, TRIKOMSEL OKE, Trikomsel Oke, Trikomsel Oke Tbk, TrikomselOke</v>
      </c>
      <c r="H892" t="str">
        <f t="shared" si="149"/>
        <v>TRIO, PT Trikomsel Oke, TRIKOMSEL OKE, Trikomsel Oke, Trikomsel Oke Tbk, TrikomselOke</v>
      </c>
      <c r="I892" t="str">
        <f t="shared" si="146"/>
        <v>TRIKOMSEL OKE</v>
      </c>
      <c r="J892" t="str">
        <f t="shared" si="150"/>
        <v>TRIO, PT Trikomsel Oke, Trikomsel Oke, Trikomsel Oke Tbk, TrikomselOke</v>
      </c>
      <c r="K892" t="str">
        <f t="shared" si="151"/>
        <v>TRIO, PT Trikomsel Oke, Trikomsel Oke, Trikomsel Oke Tbk, TrikomselOke</v>
      </c>
      <c r="L892" t="str">
        <f t="shared" si="147"/>
        <v>TrikomselOke</v>
      </c>
      <c r="M892" t="str">
        <f t="shared" si="152"/>
        <v>TRIO, PT Trikomsel Oke, Trikomsel Oke, Trikomsel Oke Tbk</v>
      </c>
      <c r="N892" t="str">
        <f t="shared" si="153"/>
        <v>TRIO, PT Trikomsel Oke, Trikomsel Oke, Trikomsel Oke Tbk</v>
      </c>
    </row>
    <row r="893" spans="1:14" x14ac:dyDescent="0.2">
      <c r="A893" t="s">
        <v>1266</v>
      </c>
      <c r="B893" t="s">
        <v>1267</v>
      </c>
      <c r="C893" t="s">
        <v>8692</v>
      </c>
      <c r="D893" t="str">
        <f t="shared" si="143"/>
        <v>TRIS, PT Trisula International, TRISULA INTERNATIONAL, Trisula International, Trisula International Tbk, TrisulaInternational, trisula international</v>
      </c>
      <c r="E893" t="str">
        <f t="shared" si="144"/>
        <v>TRIS, PT Trisula International, TRISULA INTERNATIONAL, Trisula International, Trisula International Tbk, TrisulaInternational, trisula international</v>
      </c>
      <c r="F893" t="str">
        <f t="shared" si="145"/>
        <v>trisula international</v>
      </c>
      <c r="G893" t="str">
        <f t="shared" si="148"/>
        <v>TRIS, PT Trisula International, TRISULA INTERNATIONAL, Trisula International, Trisula International Tbk, TrisulaInternational</v>
      </c>
      <c r="H893" t="str">
        <f t="shared" si="149"/>
        <v>TRIS, PT Trisula International, TRISULA INTERNATIONAL, Trisula International, Trisula International Tbk, TrisulaInternational</v>
      </c>
      <c r="I893" t="str">
        <f t="shared" si="146"/>
        <v>TRISULA INTERNATIONAL</v>
      </c>
      <c r="J893" t="str">
        <f t="shared" si="150"/>
        <v>TRIS, PT Trisula International, Trisula International, Trisula International Tbk, TrisulaInternational</v>
      </c>
      <c r="K893" t="str">
        <f t="shared" si="151"/>
        <v>TRIS, PT Trisula International, Trisula International, Trisula International Tbk, TrisulaInternational</v>
      </c>
      <c r="L893" t="str">
        <f t="shared" si="147"/>
        <v>TrisulaInternational</v>
      </c>
      <c r="M893" t="str">
        <f t="shared" si="152"/>
        <v>TRIS, PT Trisula International, Trisula International, Trisula International Tbk</v>
      </c>
      <c r="N893" t="str">
        <f t="shared" si="153"/>
        <v>TRIS, PT Trisula International, Trisula International, Trisula International Tbk</v>
      </c>
    </row>
    <row r="894" spans="1:14" x14ac:dyDescent="0.2">
      <c r="A894" t="s">
        <v>1871</v>
      </c>
      <c r="B894" t="s">
        <v>1872</v>
      </c>
      <c r="C894" t="s">
        <v>8693</v>
      </c>
      <c r="D894" t="str">
        <f t="shared" si="143"/>
        <v>TRJA, PT Transkon Jaya, TRANSKON JAYA, Transkon Jaya, Transkon Jaya Tbk, TranskonJaya, transkon jaya</v>
      </c>
      <c r="E894" t="str">
        <f t="shared" si="144"/>
        <v>TRJA, PT Transkon Jaya, TRANSKON JAYA, Transkon Jaya, Transkon Jaya Tbk, TranskonJaya, transkon jaya</v>
      </c>
      <c r="F894" t="str">
        <f t="shared" si="145"/>
        <v>transkon jaya</v>
      </c>
      <c r="G894" t="str">
        <f t="shared" si="148"/>
        <v>TRJA, PT Transkon Jaya, TRANSKON JAYA, Transkon Jaya, Transkon Jaya Tbk, TranskonJaya</v>
      </c>
      <c r="H894" t="str">
        <f t="shared" si="149"/>
        <v>TRJA, PT Transkon Jaya, TRANSKON JAYA, Transkon Jaya, Transkon Jaya Tbk, TranskonJaya</v>
      </c>
      <c r="I894" t="str">
        <f t="shared" si="146"/>
        <v>TRANSKON JAYA</v>
      </c>
      <c r="J894" t="str">
        <f t="shared" si="150"/>
        <v>TRJA, PT Transkon Jaya, Transkon Jaya, Transkon Jaya Tbk, TranskonJaya</v>
      </c>
      <c r="K894" t="str">
        <f t="shared" si="151"/>
        <v>TRJA, PT Transkon Jaya, Transkon Jaya, Transkon Jaya Tbk, TranskonJaya</v>
      </c>
      <c r="L894" t="str">
        <f t="shared" si="147"/>
        <v>TranskonJaya</v>
      </c>
      <c r="M894" t="str">
        <f t="shared" si="152"/>
        <v>TRJA, PT Transkon Jaya, Transkon Jaya, Transkon Jaya Tbk</v>
      </c>
      <c r="N894" t="str">
        <f t="shared" si="153"/>
        <v>TRJA, PT Transkon Jaya, Transkon Jaya, Transkon Jaya Tbk</v>
      </c>
    </row>
    <row r="895" spans="1:14" x14ac:dyDescent="0.2">
      <c r="A895" t="s">
        <v>2284</v>
      </c>
      <c r="B895" t="s">
        <v>3690</v>
      </c>
      <c r="C895" t="s">
        <v>8694</v>
      </c>
      <c r="D895" t="str">
        <f t="shared" si="143"/>
        <v>TRON, PT Teknologi Karya Digital Nusa, TEKNOLOGI KARYA DIGITAL NUSA, Teknologi Karya Digital Nusa, Teknologi Karya Digital Nusa Tbk, TeknologiKaryaDigitalNusa, teknologi karya digital nusa</v>
      </c>
      <c r="E895" t="str">
        <f t="shared" si="144"/>
        <v>TRON, PT Teknologi Karya Digital Nusa, TEKNOLOGI KARYA DIGITAL NUSA, Teknologi Karya Digital Nusa, Teknologi Karya Digital Nusa Tbk, TeknologiKaryaDigitalNusa, teknologi karya digital nusa</v>
      </c>
      <c r="F895" t="str">
        <f t="shared" si="145"/>
        <v>teknologi karya digital nusa</v>
      </c>
      <c r="G895" t="str">
        <f t="shared" si="148"/>
        <v>TRON, PT Teknologi Karya Digital Nusa, TEKNOLOGI KARYA DIGITAL NUSA, Teknologi Karya Digital Nusa, Teknologi Karya Digital Nusa Tbk, TeknologiKaryaDigitalNusa</v>
      </c>
      <c r="H895" t="str">
        <f t="shared" si="149"/>
        <v>TRON, PT Teknologi Karya Digital Nusa, TEKNOLOGI KARYA DIGITAL NUSA, Teknologi Karya Digital Nusa, Teknologi Karya Digital Nusa Tbk, TeknologiKaryaDigitalNusa</v>
      </c>
      <c r="I895" t="str">
        <f t="shared" si="146"/>
        <v>TEKNOLOGI KARYA DIGITAL NUSA</v>
      </c>
      <c r="J895" t="str">
        <f t="shared" si="150"/>
        <v>TRON, PT Teknologi Karya Digital Nusa, Teknologi Karya Digital Nusa, Teknologi Karya Digital Nusa Tbk, TeknologiKaryaDigitalNusa</v>
      </c>
      <c r="K895" t="str">
        <f t="shared" si="151"/>
        <v>TRON, PT Teknologi Karya Digital Nusa, Teknologi Karya Digital Nusa, Teknologi Karya Digital Nusa Tbk, TeknologiKaryaDigitalNusa</v>
      </c>
      <c r="L895" t="str">
        <f t="shared" si="147"/>
        <v>TeknologiKaryaDigitalNusa</v>
      </c>
      <c r="M895" t="str">
        <f t="shared" si="152"/>
        <v>TRON, PT Teknologi Karya Digital Nusa, Teknologi Karya Digital Nusa, Teknologi Karya Digital Nusa Tbk</v>
      </c>
      <c r="N895" t="str">
        <f t="shared" si="153"/>
        <v>TRON, PT Teknologi Karya Digital Nusa, Teknologi Karya Digital Nusa, Teknologi Karya Digital Nusa Tbk</v>
      </c>
    </row>
    <row r="896" spans="1:14" x14ac:dyDescent="0.2">
      <c r="A896" t="s">
        <v>1269</v>
      </c>
      <c r="B896" t="s">
        <v>1270</v>
      </c>
      <c r="C896" t="s">
        <v>8695</v>
      </c>
      <c r="D896" t="str">
        <f t="shared" si="143"/>
        <v>TRST, PT Trias Sentosa, TRIAS SENTOSA, Trias Sentosa, Trias Sentosa Tbk, TriasSentosa, trias sentosa</v>
      </c>
      <c r="E896" t="str">
        <f t="shared" si="144"/>
        <v>TRST, PT Trias Sentosa, TRIAS SENTOSA, Trias Sentosa, Trias Sentosa Tbk, TriasSentosa, trias sentosa</v>
      </c>
      <c r="F896" t="str">
        <f t="shared" si="145"/>
        <v>trias sentosa</v>
      </c>
      <c r="G896" t="str">
        <f t="shared" si="148"/>
        <v>TRST, PT Trias Sentosa, TRIAS SENTOSA, Trias Sentosa, Trias Sentosa Tbk, TriasSentosa</v>
      </c>
      <c r="H896" t="str">
        <f t="shared" si="149"/>
        <v>TRST, PT Trias Sentosa, TRIAS SENTOSA, Trias Sentosa, Trias Sentosa Tbk, TriasSentosa</v>
      </c>
      <c r="I896" t="str">
        <f t="shared" si="146"/>
        <v>TRIAS SENTOSA</v>
      </c>
      <c r="J896" t="str">
        <f t="shared" si="150"/>
        <v>TRST, PT Trias Sentosa, Trias Sentosa, Trias Sentosa Tbk, TriasSentosa</v>
      </c>
      <c r="K896" t="str">
        <f t="shared" si="151"/>
        <v>TRST, PT Trias Sentosa, Trias Sentosa, Trias Sentosa Tbk, TriasSentosa</v>
      </c>
      <c r="L896" t="str">
        <f t="shared" si="147"/>
        <v>TriasSentosa</v>
      </c>
      <c r="M896" t="str">
        <f t="shared" si="152"/>
        <v>TRST, PT Trias Sentosa, Trias Sentosa, Trias Sentosa Tbk</v>
      </c>
      <c r="N896" t="str">
        <f t="shared" si="153"/>
        <v>TRST, PT Trias Sentosa, Trias Sentosa, Trias Sentosa Tbk</v>
      </c>
    </row>
    <row r="897" spans="1:14" x14ac:dyDescent="0.2">
      <c r="A897" t="s">
        <v>1954</v>
      </c>
      <c r="B897" t="s">
        <v>1955</v>
      </c>
      <c r="C897" t="s">
        <v>8696</v>
      </c>
      <c r="D897" t="str">
        <f t="shared" si="143"/>
        <v>TRUE, PT Triniti Dinamik, TRINITI DINAMIK, Triniti Dinamik, Triniti Dinamik Tbk, TrinitiDinamik, triniti dinamik</v>
      </c>
      <c r="E897" t="str">
        <f t="shared" si="144"/>
        <v>TRUE, PT Triniti Dinamik, TRINITI DINAMIK, Triniti Dinamik, Triniti Dinamik Tbk, TrinitiDinamik, triniti dinamik</v>
      </c>
      <c r="F897" t="str">
        <f t="shared" si="145"/>
        <v>triniti dinamik</v>
      </c>
      <c r="G897" t="str">
        <f t="shared" si="148"/>
        <v>TRUE, PT Triniti Dinamik, TRINITI DINAMIK, Triniti Dinamik, Triniti Dinamik Tbk, TrinitiDinamik</v>
      </c>
      <c r="H897" t="str">
        <f t="shared" si="149"/>
        <v>TRUE, PT Triniti Dinamik, TRINITI DINAMIK, Triniti Dinamik, Triniti Dinamik Tbk, TrinitiDinamik</v>
      </c>
      <c r="I897" t="str">
        <f t="shared" si="146"/>
        <v>TRINITI DINAMIK</v>
      </c>
      <c r="J897" t="str">
        <f t="shared" si="150"/>
        <v>TRUE, PT Triniti Dinamik, Triniti Dinamik, Triniti Dinamik Tbk, TrinitiDinamik</v>
      </c>
      <c r="K897" t="str">
        <f t="shared" si="151"/>
        <v>TRUE, PT Triniti Dinamik, Triniti Dinamik, Triniti Dinamik Tbk, TrinitiDinamik</v>
      </c>
      <c r="L897" t="str">
        <f t="shared" si="147"/>
        <v>TrinitiDinamik</v>
      </c>
      <c r="M897" t="str">
        <f t="shared" si="152"/>
        <v>TRUE, PT Triniti Dinamik, Triniti Dinamik, Triniti Dinamik Tbk</v>
      </c>
      <c r="N897" t="str">
        <f t="shared" si="153"/>
        <v>TRUE, PT Triniti Dinamik, Triniti Dinamik, Triniti Dinamik Tbk</v>
      </c>
    </row>
    <row r="898" spans="1:14" x14ac:dyDescent="0.2">
      <c r="A898" t="s">
        <v>1527</v>
      </c>
      <c r="B898" t="s">
        <v>1528</v>
      </c>
      <c r="C898" t="s">
        <v>8697</v>
      </c>
      <c r="D898" t="str">
        <f t="shared" ref="D898:D958" si="154">SUBSTITUTE(C898, _xlfn.CONCAT(", ", B898), "")</f>
        <v>TRUK, GUNA TIMUR RAYA, Guna Timur Raya, Guna Timur Raya Tbk, GunaTimurRaya, PT Guna Timur Raya, guna timur raya</v>
      </c>
      <c r="E898" t="str">
        <f t="shared" ref="E898:E958" si="155">SUBSTITUTE(D898, _xlfn.CONCAT(B898, ", "), "")</f>
        <v>TRUK, GUNA TIMUR RAYA, Guna Timur Raya, Guna Timur Raya Tbk, GunaTimurRaya, PT Guna Timur Raya, guna timur raya</v>
      </c>
      <c r="F898" t="str">
        <f t="shared" ref="F898:F958" si="156">LOWER(MID(B898, 1, FIND(" Tbk.", B898)-1))</f>
        <v>guna timur raya</v>
      </c>
      <c r="G898" t="str">
        <f t="shared" si="148"/>
        <v>TRUK, GUNA TIMUR RAYA, Guna Timur Raya, Guna Timur Raya Tbk, GunaTimurRaya, PT Guna Timur Raya</v>
      </c>
      <c r="H898" t="str">
        <f t="shared" si="149"/>
        <v>TRUK, GUNA TIMUR RAYA, Guna Timur Raya, Guna Timur Raya Tbk, GunaTimurRaya, PT Guna Timur Raya</v>
      </c>
      <c r="I898" t="str">
        <f t="shared" ref="I898:I958" si="157">UPPER(MID(B898, 1, FIND(" Tbk.", B898)-1))</f>
        <v>GUNA TIMUR RAYA</v>
      </c>
      <c r="J898" t="str">
        <f t="shared" si="150"/>
        <v>TRUK, Guna Timur Raya, Guna Timur Raya Tbk, GunaTimurRaya, PT Guna Timur Raya</v>
      </c>
      <c r="K898" t="str">
        <f t="shared" si="151"/>
        <v>TRUK, Guna Timur Raya, Guna Timur Raya Tbk, GunaTimurRaya, PT Guna Timur Raya</v>
      </c>
      <c r="L898" t="str">
        <f t="shared" ref="L898:L958" si="158">SUBSTITUTE(MID(B898, 1, FIND(" Tbk.", B898)-1), " ", "")</f>
        <v>GunaTimurRaya</v>
      </c>
      <c r="M898" t="str">
        <f t="shared" si="152"/>
        <v>TRUK, Guna Timur Raya, Guna Timur Raya Tbk, PT Guna Timur Raya</v>
      </c>
      <c r="N898" t="str">
        <f t="shared" si="153"/>
        <v>TRUK, Guna Timur Raya, Guna Timur Raya Tbk, PT Guna Timur Raya</v>
      </c>
    </row>
    <row r="899" spans="1:14" x14ac:dyDescent="0.2">
      <c r="A899" t="s">
        <v>1272</v>
      </c>
      <c r="B899" t="s">
        <v>3691</v>
      </c>
      <c r="C899" t="s">
        <v>8698</v>
      </c>
      <c r="D899" t="str">
        <f t="shared" si="154"/>
        <v>TRUS, PT Trust Finance Indonesia, TRUST FINANCE INDONESIA, Trust Finance Indonesia, Trust Finance Indonesia Tbk, TrustFinanceIndonesia, trust finance indonesia</v>
      </c>
      <c r="E899" t="str">
        <f t="shared" si="155"/>
        <v>TRUS, PT Trust Finance Indonesia, TRUST FINANCE INDONESIA, Trust Finance Indonesia, Trust Finance Indonesia Tbk, TrustFinanceIndonesia, trust finance indonesia</v>
      </c>
      <c r="F899" t="str">
        <f t="shared" si="156"/>
        <v>trust finance indonesia</v>
      </c>
      <c r="G899" t="str">
        <f t="shared" ref="G899:G958" si="159">SUBSTITUTE(E899, _xlfn.CONCAT(", ", F899), "")</f>
        <v>TRUS, PT Trust Finance Indonesia, TRUST FINANCE INDONESIA, Trust Finance Indonesia, Trust Finance Indonesia Tbk, TrustFinanceIndonesia</v>
      </c>
      <c r="H899" t="str">
        <f t="shared" ref="H899:H958" si="160">SUBSTITUTE(G899, _xlfn.CONCAT(F899, ", "), "")</f>
        <v>TRUS, PT Trust Finance Indonesia, TRUST FINANCE INDONESIA, Trust Finance Indonesia, Trust Finance Indonesia Tbk, TrustFinanceIndonesia</v>
      </c>
      <c r="I899" t="str">
        <f t="shared" si="157"/>
        <v>TRUST FINANCE INDONESIA</v>
      </c>
      <c r="J899" t="str">
        <f t="shared" ref="J899:J958" si="161">SUBSTITUTE(H899, _xlfn.CONCAT(", ", I899), "")</f>
        <v>TRUS, PT Trust Finance Indonesia, Trust Finance Indonesia, Trust Finance Indonesia Tbk, TrustFinanceIndonesia</v>
      </c>
      <c r="K899" t="str">
        <f t="shared" ref="K899:K958" si="162">SUBSTITUTE(J899, _xlfn.CONCAT(I899, ", "), "")</f>
        <v>TRUS, PT Trust Finance Indonesia, Trust Finance Indonesia, Trust Finance Indonesia Tbk, TrustFinanceIndonesia</v>
      </c>
      <c r="L899" t="str">
        <f t="shared" si="158"/>
        <v>TrustFinanceIndonesia</v>
      </c>
      <c r="M899" t="str">
        <f t="shared" ref="M899:M958" si="163">SUBSTITUTE(K899, _xlfn.CONCAT(", ", L899), "")</f>
        <v>TRUS, PT Trust Finance Indonesia, Trust Finance Indonesia, Trust Finance Indonesia Tbk</v>
      </c>
      <c r="N899" t="str">
        <f t="shared" ref="N899:N958" si="164">SUBSTITUTE(M899, _xlfn.CONCAT(L899, ", "), "")</f>
        <v>TRUS, PT Trust Finance Indonesia, Trust Finance Indonesia, Trust Finance Indonesia Tbk</v>
      </c>
    </row>
    <row r="900" spans="1:14" x14ac:dyDescent="0.2">
      <c r="A900" t="s">
        <v>1275</v>
      </c>
      <c r="B900" t="s">
        <v>1276</v>
      </c>
      <c r="C900" t="s">
        <v>8699</v>
      </c>
      <c r="D900" t="str">
        <f t="shared" si="154"/>
        <v>TSPC, PT Tempo Scan Pacific, TEMPO SCAN PACIFIC, Tempo Scan Pacific, Tempo Scan Pacific Tbk, TempoScanPacific, tempo scan pacific</v>
      </c>
      <c r="E900" t="str">
        <f t="shared" si="155"/>
        <v>TSPC, PT Tempo Scan Pacific, TEMPO SCAN PACIFIC, Tempo Scan Pacific, Tempo Scan Pacific Tbk, TempoScanPacific, tempo scan pacific</v>
      </c>
      <c r="F900" t="str">
        <f t="shared" si="156"/>
        <v>tempo scan pacific</v>
      </c>
      <c r="G900" t="str">
        <f t="shared" si="159"/>
        <v>TSPC, PT Tempo Scan Pacific, TEMPO SCAN PACIFIC, Tempo Scan Pacific, Tempo Scan Pacific Tbk, TempoScanPacific</v>
      </c>
      <c r="H900" t="str">
        <f t="shared" si="160"/>
        <v>TSPC, PT Tempo Scan Pacific, TEMPO SCAN PACIFIC, Tempo Scan Pacific, Tempo Scan Pacific Tbk, TempoScanPacific</v>
      </c>
      <c r="I900" t="str">
        <f t="shared" si="157"/>
        <v>TEMPO SCAN PACIFIC</v>
      </c>
      <c r="J900" t="str">
        <f t="shared" si="161"/>
        <v>TSPC, PT Tempo Scan Pacific, Tempo Scan Pacific, Tempo Scan Pacific Tbk, TempoScanPacific</v>
      </c>
      <c r="K900" t="str">
        <f t="shared" si="162"/>
        <v>TSPC, PT Tempo Scan Pacific, Tempo Scan Pacific, Tempo Scan Pacific Tbk, TempoScanPacific</v>
      </c>
      <c r="L900" t="str">
        <f t="shared" si="158"/>
        <v>TempoScanPacific</v>
      </c>
      <c r="M900" t="str">
        <f t="shared" si="163"/>
        <v>TSPC, PT Tempo Scan Pacific, Tempo Scan Pacific, Tempo Scan Pacific Tbk</v>
      </c>
      <c r="N900" t="str">
        <f t="shared" si="164"/>
        <v>TSPC, PT Tempo Scan Pacific, Tempo Scan Pacific, Tempo Scan Pacific Tbk</v>
      </c>
    </row>
    <row r="901" spans="1:14" x14ac:dyDescent="0.2">
      <c r="A901" t="s">
        <v>1533</v>
      </c>
      <c r="B901" t="s">
        <v>3692</v>
      </c>
      <c r="C901" t="s">
        <v>8700</v>
      </c>
      <c r="D901" t="str">
        <f t="shared" si="154"/>
        <v>ATPI, ASURANSI TUGU PRATAMA INDONESIA, Asuransi Tugu Pratama Indonesia, Asuransi Tugu Pratama Indonesia Tbk, AsuransiTuguPratamaIndonesia, PT Asuransi Tugu Pratama Indonesia, TUGU, asuransi tugu pratama indonesia</v>
      </c>
      <c r="E901" t="str">
        <f t="shared" si="155"/>
        <v>ATPI, ASURANSI TUGU PRATAMA INDONESIA, Asuransi Tugu Pratama Indonesia, Asuransi Tugu Pratama Indonesia Tbk, AsuransiTuguPratamaIndonesia, PT Asuransi Tugu Pratama Indonesia, TUGU, asuransi tugu pratama indonesia</v>
      </c>
      <c r="F901" t="str">
        <f t="shared" si="156"/>
        <v>asuransi tugu pratama indonesia</v>
      </c>
      <c r="G901" t="str">
        <f t="shared" si="159"/>
        <v>ATPI, ASURANSI TUGU PRATAMA INDONESIA, Asuransi Tugu Pratama Indonesia, Asuransi Tugu Pratama Indonesia Tbk, AsuransiTuguPratamaIndonesia, PT Asuransi Tugu Pratama Indonesia, TUGU</v>
      </c>
      <c r="H901" t="str">
        <f t="shared" si="160"/>
        <v>ATPI, ASURANSI TUGU PRATAMA INDONESIA, Asuransi Tugu Pratama Indonesia, Asuransi Tugu Pratama Indonesia Tbk, AsuransiTuguPratamaIndonesia, PT Asuransi Tugu Pratama Indonesia, TUGU</v>
      </c>
      <c r="I901" t="str">
        <f t="shared" si="157"/>
        <v>ASURANSI TUGU PRATAMA INDONESIA</v>
      </c>
      <c r="J901" t="str">
        <f t="shared" si="161"/>
        <v>ATPI, Asuransi Tugu Pratama Indonesia, Asuransi Tugu Pratama Indonesia Tbk, AsuransiTuguPratamaIndonesia, PT Asuransi Tugu Pratama Indonesia, TUGU</v>
      </c>
      <c r="K901" t="str">
        <f t="shared" si="162"/>
        <v>ATPI, Asuransi Tugu Pratama Indonesia, Asuransi Tugu Pratama Indonesia Tbk, AsuransiTuguPratamaIndonesia, PT Asuransi Tugu Pratama Indonesia, TUGU</v>
      </c>
      <c r="L901" t="str">
        <f t="shared" si="158"/>
        <v>AsuransiTuguPratamaIndonesia</v>
      </c>
      <c r="M901" t="str">
        <f t="shared" si="163"/>
        <v>ATPI, Asuransi Tugu Pratama Indonesia, Asuransi Tugu Pratama Indonesia Tbk, PT Asuransi Tugu Pratama Indonesia, TUGU</v>
      </c>
      <c r="N901" t="str">
        <f t="shared" si="164"/>
        <v>ATPI, Asuransi Tugu Pratama Indonesia, Asuransi Tugu Pratama Indonesia Tbk, PT Asuransi Tugu Pratama Indonesia, TUGU</v>
      </c>
    </row>
    <row r="902" spans="1:14" x14ac:dyDescent="0.2">
      <c r="A902" t="s">
        <v>2300</v>
      </c>
      <c r="B902" t="s">
        <v>2301</v>
      </c>
      <c r="C902" t="s">
        <v>8701</v>
      </c>
      <c r="D902" t="str">
        <f t="shared" si="154"/>
        <v>TYRE, KING TIRE INDONESIA, King Tire Indonesia, King Tire Indonesia Tbk, KingTireIndonesia, PT King Tire Indonesia, king tire indonesia</v>
      </c>
      <c r="E902" t="str">
        <f t="shared" si="155"/>
        <v>TYRE, KING TIRE INDONESIA, King Tire Indonesia, King Tire Indonesia Tbk, KingTireIndonesia, PT King Tire Indonesia, king tire indonesia</v>
      </c>
      <c r="F902" t="str">
        <f t="shared" si="156"/>
        <v>king tire indonesia</v>
      </c>
      <c r="G902" t="str">
        <f t="shared" si="159"/>
        <v>TYRE, KING TIRE INDONESIA, King Tire Indonesia, King Tire Indonesia Tbk, KingTireIndonesia, PT King Tire Indonesia</v>
      </c>
      <c r="H902" t="str">
        <f t="shared" si="160"/>
        <v>TYRE, KING TIRE INDONESIA, King Tire Indonesia, King Tire Indonesia Tbk, KingTireIndonesia, PT King Tire Indonesia</v>
      </c>
      <c r="I902" t="str">
        <f t="shared" si="157"/>
        <v>KING TIRE INDONESIA</v>
      </c>
      <c r="J902" t="str">
        <f t="shared" si="161"/>
        <v>TYRE, King Tire Indonesia, King Tire Indonesia Tbk, KingTireIndonesia, PT King Tire Indonesia</v>
      </c>
      <c r="K902" t="str">
        <f t="shared" si="162"/>
        <v>TYRE, King Tire Indonesia, King Tire Indonesia Tbk, KingTireIndonesia, PT King Tire Indonesia</v>
      </c>
      <c r="L902" t="str">
        <f t="shared" si="158"/>
        <v>KingTireIndonesia</v>
      </c>
      <c r="M902" t="str">
        <f t="shared" si="163"/>
        <v>TYRE, King Tire Indonesia, King Tire Indonesia Tbk, PT King Tire Indonesia</v>
      </c>
      <c r="N902" t="str">
        <f t="shared" si="164"/>
        <v>TYRE, King Tire Indonesia, King Tire Indonesia Tbk, PT King Tire Indonesia</v>
      </c>
    </row>
    <row r="903" spans="1:14" x14ac:dyDescent="0.2">
      <c r="A903" t="s">
        <v>1853</v>
      </c>
      <c r="B903" t="s">
        <v>1854</v>
      </c>
      <c r="C903" t="s">
        <v>8702</v>
      </c>
      <c r="D903" t="str">
        <f t="shared" si="154"/>
        <v>UANG, PAKUAN, PT Pakuan, Pakuan, Pakuan Tbk, pakuan</v>
      </c>
      <c r="E903" t="str">
        <f t="shared" si="155"/>
        <v>UANG, PAKUAN, PT Pakuan, Pakuan, Pakuan Tbk, pakuan</v>
      </c>
      <c r="F903" t="str">
        <f t="shared" si="156"/>
        <v>pakuan</v>
      </c>
      <c r="G903" t="str">
        <f t="shared" si="159"/>
        <v>UANG, PAKUAN, PT Pakuan, Pakuan, Pakuan Tbk</v>
      </c>
      <c r="H903" t="str">
        <f t="shared" si="160"/>
        <v>UANG, PAKUAN, PT Pakuan, Pakuan, Pakuan Tbk</v>
      </c>
      <c r="I903" t="str">
        <f t="shared" si="157"/>
        <v>PAKUAN</v>
      </c>
      <c r="J903" t="str">
        <f t="shared" si="161"/>
        <v>UANG, PT Pakuan, Pakuan, Pakuan Tbk</v>
      </c>
      <c r="K903" t="str">
        <f t="shared" si="162"/>
        <v>UANG, PT Pakuan, Pakuan, Pakuan Tbk</v>
      </c>
      <c r="L903" t="str">
        <f t="shared" si="158"/>
        <v>Pakuan</v>
      </c>
      <c r="M903" t="str">
        <f t="shared" si="163"/>
        <v>UANG, PT Pakuan Tbk</v>
      </c>
      <c r="N903" t="str">
        <f t="shared" si="164"/>
        <v>UANG, PT Pakuan Tbk</v>
      </c>
    </row>
    <row r="904" spans="1:14" x14ac:dyDescent="0.2">
      <c r="A904" t="s">
        <v>1787</v>
      </c>
      <c r="B904" t="s">
        <v>1788</v>
      </c>
      <c r="C904" t="s">
        <v>8703</v>
      </c>
      <c r="D904" t="str">
        <f t="shared" si="154"/>
        <v>UCID, PT Uni-Charm Indonesia, UNI-CHARM INDONESIA, Uni-Charm Indonesia, Uni-Charm Indonesia Tbk, Uni-CharmIndonesia, uni-charm indonesia</v>
      </c>
      <c r="E904" t="str">
        <f t="shared" si="155"/>
        <v>UCID, PT Uni-Charm Indonesia, UNI-CHARM INDONESIA, Uni-Charm Indonesia, Uni-Charm Indonesia Tbk, Uni-CharmIndonesia, uni-charm indonesia</v>
      </c>
      <c r="F904" t="str">
        <f t="shared" si="156"/>
        <v>uni-charm indonesia</v>
      </c>
      <c r="G904" t="str">
        <f t="shared" si="159"/>
        <v>UCID, PT Uni-Charm Indonesia, UNI-CHARM INDONESIA, Uni-Charm Indonesia, Uni-Charm Indonesia Tbk, Uni-CharmIndonesia</v>
      </c>
      <c r="H904" t="str">
        <f t="shared" si="160"/>
        <v>UCID, PT Uni-Charm Indonesia, UNI-CHARM INDONESIA, Uni-Charm Indonesia, Uni-Charm Indonesia Tbk, Uni-CharmIndonesia</v>
      </c>
      <c r="I904" t="str">
        <f t="shared" si="157"/>
        <v>UNI-CHARM INDONESIA</v>
      </c>
      <c r="J904" t="str">
        <f t="shared" si="161"/>
        <v>UCID, PT Uni-Charm Indonesia, Uni-Charm Indonesia, Uni-Charm Indonesia Tbk, Uni-CharmIndonesia</v>
      </c>
      <c r="K904" t="str">
        <f t="shared" si="162"/>
        <v>UCID, PT Uni-Charm Indonesia, Uni-Charm Indonesia, Uni-Charm Indonesia Tbk, Uni-CharmIndonesia</v>
      </c>
      <c r="L904" t="str">
        <f t="shared" si="158"/>
        <v>Uni-CharmIndonesia</v>
      </c>
      <c r="M904" t="str">
        <f t="shared" si="163"/>
        <v>UCID, PT Uni-Charm Indonesia, Uni-Charm Indonesia, Uni-Charm Indonesia Tbk</v>
      </c>
      <c r="N904" t="str">
        <f t="shared" si="164"/>
        <v>UCID, PT Uni-Charm Indonesia, Uni-Charm Indonesia, Uni-Charm Indonesia Tbk</v>
      </c>
    </row>
    <row r="905" spans="1:14" x14ac:dyDescent="0.2">
      <c r="A905" t="s">
        <v>2398</v>
      </c>
      <c r="B905" t="s">
        <v>2399</v>
      </c>
      <c r="C905" t="s">
        <v>8704</v>
      </c>
      <c r="D905" t="str">
        <f t="shared" si="154"/>
        <v>UDNG, AGRO BAHARI NUSANTARA, Agro Bahari Nusantara, Agro Bahari Nusantara Tbk, AgroBahariNusantara, PT Agro Bahari Nusantara, agro bahari nusantara</v>
      </c>
      <c r="E905" t="str">
        <f t="shared" si="155"/>
        <v>UDNG, AGRO BAHARI NUSANTARA, Agro Bahari Nusantara, Agro Bahari Nusantara Tbk, AgroBahariNusantara, PT Agro Bahari Nusantara, agro bahari nusantara</v>
      </c>
      <c r="F905" t="str">
        <f t="shared" si="156"/>
        <v>agro bahari nusantara</v>
      </c>
      <c r="G905" t="str">
        <f t="shared" si="159"/>
        <v>UDNG, AGRO BAHARI NUSANTARA, Agro Bahari Nusantara, Agro Bahari Nusantara Tbk, AgroBahariNusantara, PT Agro Bahari Nusantara</v>
      </c>
      <c r="H905" t="str">
        <f t="shared" si="160"/>
        <v>UDNG, AGRO BAHARI NUSANTARA, Agro Bahari Nusantara, Agro Bahari Nusantara Tbk, AgroBahariNusantara, PT Agro Bahari Nusantara</v>
      </c>
      <c r="I905" t="str">
        <f t="shared" si="157"/>
        <v>AGRO BAHARI NUSANTARA</v>
      </c>
      <c r="J905" t="str">
        <f t="shared" si="161"/>
        <v>UDNG, Agro Bahari Nusantara, Agro Bahari Nusantara Tbk, AgroBahariNusantara, PT Agro Bahari Nusantara</v>
      </c>
      <c r="K905" t="str">
        <f t="shared" si="162"/>
        <v>UDNG, Agro Bahari Nusantara, Agro Bahari Nusantara Tbk, AgroBahariNusantara, PT Agro Bahari Nusantara</v>
      </c>
      <c r="L905" t="str">
        <f t="shared" si="158"/>
        <v>AgroBahariNusantara</v>
      </c>
      <c r="M905" t="str">
        <f t="shared" si="163"/>
        <v>UDNG, Agro Bahari Nusantara, Agro Bahari Nusantara Tbk, PT Agro Bahari Nusantara</v>
      </c>
      <c r="N905" t="str">
        <f t="shared" si="164"/>
        <v>UDNG, Agro Bahari Nusantara, Agro Bahari Nusantara Tbk, PT Agro Bahari Nusantara</v>
      </c>
    </row>
    <row r="906" spans="1:14" x14ac:dyDescent="0.2">
      <c r="A906" t="s">
        <v>2657</v>
      </c>
      <c r="B906" t="s">
        <v>2658</v>
      </c>
      <c r="C906" t="s">
        <v>8705</v>
      </c>
      <c r="D906" t="str">
        <f t="shared" si="154"/>
        <v>UFOE, DAMAI SEJAHTERA ABADI, Damai Sejahtera Abadi, Damai Sejahtera Abadi Tbk, DamaiSejahteraAbadi, PT Damai Sejahtera Abadi, damai sejahtera abadi</v>
      </c>
      <c r="E906" t="str">
        <f t="shared" si="155"/>
        <v>UFOE, DAMAI SEJAHTERA ABADI, Damai Sejahtera Abadi, Damai Sejahtera Abadi Tbk, DamaiSejahteraAbadi, PT Damai Sejahtera Abadi, damai sejahtera abadi</v>
      </c>
      <c r="F906" t="str">
        <f t="shared" si="156"/>
        <v>damai sejahtera abadi</v>
      </c>
      <c r="G906" t="str">
        <f t="shared" si="159"/>
        <v>UFOE, DAMAI SEJAHTERA ABADI, Damai Sejahtera Abadi, Damai Sejahtera Abadi Tbk, DamaiSejahteraAbadi, PT Damai Sejahtera Abadi</v>
      </c>
      <c r="H906" t="str">
        <f t="shared" si="160"/>
        <v>UFOE, DAMAI SEJAHTERA ABADI, Damai Sejahtera Abadi, Damai Sejahtera Abadi Tbk, DamaiSejahteraAbadi, PT Damai Sejahtera Abadi</v>
      </c>
      <c r="I906" t="str">
        <f t="shared" si="157"/>
        <v>DAMAI SEJAHTERA ABADI</v>
      </c>
      <c r="J906" t="str">
        <f t="shared" si="161"/>
        <v>UFOE, Damai Sejahtera Abadi, Damai Sejahtera Abadi Tbk, DamaiSejahteraAbadi, PT Damai Sejahtera Abadi</v>
      </c>
      <c r="K906" t="str">
        <f t="shared" si="162"/>
        <v>UFOE, Damai Sejahtera Abadi, Damai Sejahtera Abadi Tbk, DamaiSejahteraAbadi, PT Damai Sejahtera Abadi</v>
      </c>
      <c r="L906" t="str">
        <f t="shared" si="158"/>
        <v>DamaiSejahteraAbadi</v>
      </c>
      <c r="M906" t="str">
        <f t="shared" si="163"/>
        <v>UFOE, Damai Sejahtera Abadi, Damai Sejahtera Abadi Tbk, PT Damai Sejahtera Abadi</v>
      </c>
      <c r="N906" t="str">
        <f t="shared" si="164"/>
        <v>UFOE, Damai Sejahtera Abadi, Damai Sejahtera Abadi Tbk, PT Damai Sejahtera Abadi</v>
      </c>
    </row>
    <row r="907" spans="1:14" x14ac:dyDescent="0.2">
      <c r="A907" t="s">
        <v>1278</v>
      </c>
      <c r="B907" t="s">
        <v>3693</v>
      </c>
      <c r="C907" t="s">
        <v>8706</v>
      </c>
      <c r="D907" t="str">
        <f t="shared" si="154"/>
        <v>ULTJ, PT Ultrajaya Milk Industry &amp; Trading Company, ULTRAJAYA MILK INDUSTRY &amp; TRADING COMPANY, Ultrajaya Milk Industry &amp; Trading Company, Ultrajaya Milk Industry &amp; Trading Company Tbk, UltrajayaMilkIndustry&amp;TradingCompany, ultrajaya milk industry &amp; trading company</v>
      </c>
      <c r="E907" t="str">
        <f t="shared" si="155"/>
        <v>ULTJ, PT Ultrajaya Milk Industry &amp; Trading Company, ULTRAJAYA MILK INDUSTRY &amp; TRADING COMPANY, Ultrajaya Milk Industry &amp; Trading Company, Ultrajaya Milk Industry &amp; Trading Company Tbk, UltrajayaMilkIndustry&amp;TradingCompany, ultrajaya milk industry &amp; trading company</v>
      </c>
      <c r="F907" t="str">
        <f t="shared" si="156"/>
        <v>ultrajaya milk industry &amp; trading company</v>
      </c>
      <c r="G907" t="str">
        <f t="shared" si="159"/>
        <v>ULTJ, PT Ultrajaya Milk Industry &amp; Trading Company, ULTRAJAYA MILK INDUSTRY &amp; TRADING COMPANY, Ultrajaya Milk Industry &amp; Trading Company, Ultrajaya Milk Industry &amp; Trading Company Tbk, UltrajayaMilkIndustry&amp;TradingCompany</v>
      </c>
      <c r="H907" t="str">
        <f t="shared" si="160"/>
        <v>ULTJ, PT Ultrajaya Milk Industry &amp; Trading Company, ULTRAJAYA MILK INDUSTRY &amp; TRADING COMPANY, Ultrajaya Milk Industry &amp; Trading Company, Ultrajaya Milk Industry &amp; Trading Company Tbk, UltrajayaMilkIndustry&amp;TradingCompany</v>
      </c>
      <c r="I907" t="str">
        <f t="shared" si="157"/>
        <v>ULTRAJAYA MILK INDUSTRY &amp; TRADING COMPANY</v>
      </c>
      <c r="J907" t="str">
        <f t="shared" si="161"/>
        <v>ULTJ, PT Ultrajaya Milk Industry &amp; Trading Company, Ultrajaya Milk Industry &amp; Trading Company, Ultrajaya Milk Industry &amp; Trading Company Tbk, UltrajayaMilkIndustry&amp;TradingCompany</v>
      </c>
      <c r="K907" t="str">
        <f t="shared" si="162"/>
        <v>ULTJ, PT Ultrajaya Milk Industry &amp; Trading Company, Ultrajaya Milk Industry &amp; Trading Company, Ultrajaya Milk Industry &amp; Trading Company Tbk, UltrajayaMilkIndustry&amp;TradingCompany</v>
      </c>
      <c r="L907" t="str">
        <f t="shared" si="158"/>
        <v>UltrajayaMilkIndustry&amp;TradingCompany</v>
      </c>
      <c r="M907" t="str">
        <f t="shared" si="163"/>
        <v>ULTJ, PT Ultrajaya Milk Industry &amp; Trading Company, Ultrajaya Milk Industry &amp; Trading Company, Ultrajaya Milk Industry &amp; Trading Company Tbk</v>
      </c>
      <c r="N907" t="str">
        <f t="shared" si="164"/>
        <v>ULTJ, PT Ultrajaya Milk Industry &amp; Trading Company, Ultrajaya Milk Industry &amp; Trading Company, Ultrajaya Milk Industry &amp; Trading Company Tbk</v>
      </c>
    </row>
    <row r="908" spans="1:14" x14ac:dyDescent="0.2">
      <c r="A908" t="s">
        <v>1280</v>
      </c>
      <c r="B908" t="s">
        <v>1281</v>
      </c>
      <c r="C908" t="s">
        <v>8707</v>
      </c>
      <c r="D908" t="str">
        <f t="shared" si="154"/>
        <v>UNIC, PT Unggul Indah Cahaya, UNGGUL INDAH CAHAYA, Unggul Indah Cahaya, Unggul Indah Cahaya Tbk, UnggulIndahCahaya, unggul indah cahaya</v>
      </c>
      <c r="E908" t="str">
        <f t="shared" si="155"/>
        <v>UNIC, PT Unggul Indah Cahaya, UNGGUL INDAH CAHAYA, Unggul Indah Cahaya, Unggul Indah Cahaya Tbk, UnggulIndahCahaya, unggul indah cahaya</v>
      </c>
      <c r="F908" t="str">
        <f t="shared" si="156"/>
        <v>unggul indah cahaya</v>
      </c>
      <c r="G908" t="str">
        <f t="shared" si="159"/>
        <v>UNIC, PT Unggul Indah Cahaya, UNGGUL INDAH CAHAYA, Unggul Indah Cahaya, Unggul Indah Cahaya Tbk, UnggulIndahCahaya</v>
      </c>
      <c r="H908" t="str">
        <f t="shared" si="160"/>
        <v>UNIC, PT Unggul Indah Cahaya, UNGGUL INDAH CAHAYA, Unggul Indah Cahaya, Unggul Indah Cahaya Tbk, UnggulIndahCahaya</v>
      </c>
      <c r="I908" t="str">
        <f t="shared" si="157"/>
        <v>UNGGUL INDAH CAHAYA</v>
      </c>
      <c r="J908" t="str">
        <f t="shared" si="161"/>
        <v>UNIC, PT Unggul Indah Cahaya, Unggul Indah Cahaya, Unggul Indah Cahaya Tbk, UnggulIndahCahaya</v>
      </c>
      <c r="K908" t="str">
        <f t="shared" si="162"/>
        <v>UNIC, PT Unggul Indah Cahaya, Unggul Indah Cahaya, Unggul Indah Cahaya Tbk, UnggulIndahCahaya</v>
      </c>
      <c r="L908" t="str">
        <f t="shared" si="158"/>
        <v>UnggulIndahCahaya</v>
      </c>
      <c r="M908" t="str">
        <f t="shared" si="163"/>
        <v>UNIC, PT Unggul Indah Cahaya, Unggul Indah Cahaya, Unggul Indah Cahaya Tbk</v>
      </c>
      <c r="N908" t="str">
        <f t="shared" si="164"/>
        <v>UNIC, PT Unggul Indah Cahaya, Unggul Indah Cahaya, Unggul Indah Cahaya Tbk</v>
      </c>
    </row>
    <row r="909" spans="1:14" x14ac:dyDescent="0.2">
      <c r="A909" t="s">
        <v>1918</v>
      </c>
      <c r="B909" t="s">
        <v>1919</v>
      </c>
      <c r="C909" t="s">
        <v>8708</v>
      </c>
      <c r="D909" t="str">
        <f t="shared" si="154"/>
        <v>UNIQ, PT Ulima Nitra, ULIMA NITRA, Ulima Nitra, Ulima Nitra Tbk, UlimaNitra, ulima nitra</v>
      </c>
      <c r="E909" t="str">
        <f t="shared" si="155"/>
        <v>UNIQ, PT Ulima Nitra, ULIMA NITRA, Ulima Nitra, Ulima Nitra Tbk, UlimaNitra, ulima nitra</v>
      </c>
      <c r="F909" t="str">
        <f t="shared" si="156"/>
        <v>ulima nitra</v>
      </c>
      <c r="G909" t="str">
        <f t="shared" si="159"/>
        <v>UNIQ, PT Ulima Nitra, ULIMA NITRA, Ulima Nitra, Ulima Nitra Tbk, UlimaNitra</v>
      </c>
      <c r="H909" t="str">
        <f t="shared" si="160"/>
        <v>UNIQ, PT Ulima Nitra, ULIMA NITRA, Ulima Nitra, Ulima Nitra Tbk, UlimaNitra</v>
      </c>
      <c r="I909" t="str">
        <f t="shared" si="157"/>
        <v>ULIMA NITRA</v>
      </c>
      <c r="J909" t="str">
        <f t="shared" si="161"/>
        <v>UNIQ, PT Ulima Nitra, Ulima Nitra, Ulima Nitra Tbk, UlimaNitra</v>
      </c>
      <c r="K909" t="str">
        <f t="shared" si="162"/>
        <v>UNIQ, PT Ulima Nitra, Ulima Nitra, Ulima Nitra Tbk, UlimaNitra</v>
      </c>
      <c r="L909" t="str">
        <f t="shared" si="158"/>
        <v>UlimaNitra</v>
      </c>
      <c r="M909" t="str">
        <f t="shared" si="163"/>
        <v>UNIQ, PT Ulima Nitra, Ulima Nitra, Ulima Nitra Tbk</v>
      </c>
      <c r="N909" t="str">
        <f t="shared" si="164"/>
        <v>UNIQ, PT Ulima Nitra, Ulima Nitra, Ulima Nitra Tbk</v>
      </c>
    </row>
    <row r="910" spans="1:14" x14ac:dyDescent="0.2">
      <c r="A910" t="s">
        <v>1283</v>
      </c>
      <c r="B910" t="s">
        <v>3694</v>
      </c>
      <c r="C910" t="s">
        <v>8709</v>
      </c>
      <c r="D910" t="str">
        <f t="shared" si="154"/>
        <v>UNIT, NUSANTARA INTI CORPORA, Nusantara Inti Corpora, Nusantara Inti Corpora Tbk, NusantaraIntiCorpora, PT Nusantara Inti Corpora, nusantara inti corpora</v>
      </c>
      <c r="E910" t="str">
        <f t="shared" si="155"/>
        <v>UNIT, NUSANTARA INTI CORPORA, Nusantara Inti Corpora, Nusantara Inti Corpora Tbk, NusantaraIntiCorpora, PT Nusantara Inti Corpora, nusantara inti corpora</v>
      </c>
      <c r="F910" t="str">
        <f t="shared" si="156"/>
        <v>nusantara inti corpora</v>
      </c>
      <c r="G910" t="str">
        <f t="shared" si="159"/>
        <v>UNIT, NUSANTARA INTI CORPORA, Nusantara Inti Corpora, Nusantara Inti Corpora Tbk, NusantaraIntiCorpora, PT Nusantara Inti Corpora</v>
      </c>
      <c r="H910" t="str">
        <f t="shared" si="160"/>
        <v>UNIT, NUSANTARA INTI CORPORA, Nusantara Inti Corpora, Nusantara Inti Corpora Tbk, NusantaraIntiCorpora, PT Nusantara Inti Corpora</v>
      </c>
      <c r="I910" t="str">
        <f t="shared" si="157"/>
        <v>NUSANTARA INTI CORPORA</v>
      </c>
      <c r="J910" t="str">
        <f t="shared" si="161"/>
        <v>UNIT, Nusantara Inti Corpora, Nusantara Inti Corpora Tbk, NusantaraIntiCorpora, PT Nusantara Inti Corpora</v>
      </c>
      <c r="K910" t="str">
        <f t="shared" si="162"/>
        <v>UNIT, Nusantara Inti Corpora, Nusantara Inti Corpora Tbk, NusantaraIntiCorpora, PT Nusantara Inti Corpora</v>
      </c>
      <c r="L910" t="str">
        <f t="shared" si="158"/>
        <v>NusantaraIntiCorpora</v>
      </c>
      <c r="M910" t="str">
        <f t="shared" si="163"/>
        <v>UNIT, Nusantara Inti Corpora, Nusantara Inti Corpora Tbk, PT Nusantara Inti Corpora</v>
      </c>
      <c r="N910" t="str">
        <f t="shared" si="164"/>
        <v>UNIT, Nusantara Inti Corpora, Nusantara Inti Corpora Tbk, PT Nusantara Inti Corpora</v>
      </c>
    </row>
    <row r="911" spans="1:14" x14ac:dyDescent="0.2">
      <c r="A911" t="s">
        <v>1286</v>
      </c>
      <c r="B911" t="s">
        <v>3695</v>
      </c>
      <c r="C911" t="s">
        <v>8710</v>
      </c>
      <c r="D911" t="str">
        <f t="shared" si="154"/>
        <v>UNSP, BAKRIE SUMATERA PLANTATIONS, Bakrie Sumatera Plantations, Bakrie Sumatera Plantations Tbk, BakrieSumateraPlantations, PT Bakrie Sumatera Plantations, bakrie sumatera plantations</v>
      </c>
      <c r="E911" t="str">
        <f t="shared" si="155"/>
        <v>UNSP, BAKRIE SUMATERA PLANTATIONS, Bakrie Sumatera Plantations, Bakrie Sumatera Plantations Tbk, BakrieSumateraPlantations, PT Bakrie Sumatera Plantations, bakrie sumatera plantations</v>
      </c>
      <c r="F911" t="str">
        <f t="shared" si="156"/>
        <v>bakrie sumatera plantations</v>
      </c>
      <c r="G911" t="str">
        <f t="shared" si="159"/>
        <v>UNSP, BAKRIE SUMATERA PLANTATIONS, Bakrie Sumatera Plantations, Bakrie Sumatera Plantations Tbk, BakrieSumateraPlantations, PT Bakrie Sumatera Plantations</v>
      </c>
      <c r="H911" t="str">
        <f t="shared" si="160"/>
        <v>UNSP, BAKRIE SUMATERA PLANTATIONS, Bakrie Sumatera Plantations, Bakrie Sumatera Plantations Tbk, BakrieSumateraPlantations, PT Bakrie Sumatera Plantations</v>
      </c>
      <c r="I911" t="str">
        <f t="shared" si="157"/>
        <v>BAKRIE SUMATERA PLANTATIONS</v>
      </c>
      <c r="J911" t="str">
        <f t="shared" si="161"/>
        <v>UNSP, Bakrie Sumatera Plantations, Bakrie Sumatera Plantations Tbk, BakrieSumateraPlantations, PT Bakrie Sumatera Plantations</v>
      </c>
      <c r="K911" t="str">
        <f t="shared" si="162"/>
        <v>UNSP, Bakrie Sumatera Plantations, Bakrie Sumatera Plantations Tbk, BakrieSumateraPlantations, PT Bakrie Sumatera Plantations</v>
      </c>
      <c r="L911" t="str">
        <f t="shared" si="158"/>
        <v>BakrieSumateraPlantations</v>
      </c>
      <c r="M911" t="str">
        <f t="shared" si="163"/>
        <v>UNSP, Bakrie Sumatera Plantations, Bakrie Sumatera Plantations Tbk, PT Bakrie Sumatera Plantations</v>
      </c>
      <c r="N911" t="str">
        <f t="shared" si="164"/>
        <v>UNSP, Bakrie Sumatera Plantations, Bakrie Sumatera Plantations Tbk, PT Bakrie Sumatera Plantations</v>
      </c>
    </row>
    <row r="912" spans="1:14" x14ac:dyDescent="0.2">
      <c r="A912" t="s">
        <v>2421</v>
      </c>
      <c r="B912" t="s">
        <v>2422</v>
      </c>
      <c r="C912" t="s">
        <v>8711</v>
      </c>
      <c r="D912" t="str">
        <f t="shared" si="154"/>
        <v>UNTD, PT Terang Dunia Internusa, TERANG DUNIA INTERNUSA, Terang Dunia Internusa, Terang Dunia Internusa Tbk, TerangDuniaInternusa, terang dunia internusa</v>
      </c>
      <c r="E912" t="str">
        <f t="shared" si="155"/>
        <v>UNTD, PT Terang Dunia Internusa, TERANG DUNIA INTERNUSA, Terang Dunia Internusa, Terang Dunia Internusa Tbk, TerangDuniaInternusa, terang dunia internusa</v>
      </c>
      <c r="F912" t="str">
        <f t="shared" si="156"/>
        <v>terang dunia internusa</v>
      </c>
      <c r="G912" t="str">
        <f t="shared" si="159"/>
        <v>UNTD, PT Terang Dunia Internusa, TERANG DUNIA INTERNUSA, Terang Dunia Internusa, Terang Dunia Internusa Tbk, TerangDuniaInternusa</v>
      </c>
      <c r="H912" t="str">
        <f t="shared" si="160"/>
        <v>UNTD, PT Terang Dunia Internusa, TERANG DUNIA INTERNUSA, Terang Dunia Internusa, Terang Dunia Internusa Tbk, TerangDuniaInternusa</v>
      </c>
      <c r="I912" t="str">
        <f t="shared" si="157"/>
        <v>TERANG DUNIA INTERNUSA</v>
      </c>
      <c r="J912" t="str">
        <f t="shared" si="161"/>
        <v>UNTD, PT Terang Dunia Internusa, Terang Dunia Internusa, Terang Dunia Internusa Tbk, TerangDuniaInternusa</v>
      </c>
      <c r="K912" t="str">
        <f t="shared" si="162"/>
        <v>UNTD, PT Terang Dunia Internusa, Terang Dunia Internusa, Terang Dunia Internusa Tbk, TerangDuniaInternusa</v>
      </c>
      <c r="L912" t="str">
        <f t="shared" si="158"/>
        <v>TerangDuniaInternusa</v>
      </c>
      <c r="M912" t="str">
        <f t="shared" si="163"/>
        <v>UNTD, PT Terang Dunia Internusa, Terang Dunia Internusa, Terang Dunia Internusa Tbk</v>
      </c>
      <c r="N912" t="str">
        <f t="shared" si="164"/>
        <v>UNTD, PT Terang Dunia Internusa, Terang Dunia Internusa, Terang Dunia Internusa Tbk</v>
      </c>
    </row>
    <row r="913" spans="1:14" x14ac:dyDescent="0.2">
      <c r="A913" t="s">
        <v>1288</v>
      </c>
      <c r="B913" t="s">
        <v>1289</v>
      </c>
      <c r="C913" t="s">
        <v>8712</v>
      </c>
      <c r="D913" t="str">
        <f t="shared" si="154"/>
        <v>UNTR, UT, PT United Tractors, UNITED TRACTORS, United Tractors, United Tractors Tbk, UnitedTractors, united tractors</v>
      </c>
      <c r="E913" t="str">
        <f t="shared" si="155"/>
        <v>UNTR, UT, PT United Tractors, UNITED TRACTORS, United Tractors, United Tractors Tbk, UnitedTractors, united tractors</v>
      </c>
      <c r="F913" t="str">
        <f t="shared" si="156"/>
        <v>united tractors</v>
      </c>
      <c r="G913" t="str">
        <f t="shared" si="159"/>
        <v>UNTR, UT, PT United Tractors, UNITED TRACTORS, United Tractors, United Tractors Tbk, UnitedTractors</v>
      </c>
      <c r="H913" t="str">
        <f t="shared" si="160"/>
        <v>UNTR, UT, PT United Tractors, UNITED TRACTORS, United Tractors, United Tractors Tbk, UnitedTractors</v>
      </c>
      <c r="I913" t="str">
        <f t="shared" si="157"/>
        <v>UNITED TRACTORS</v>
      </c>
      <c r="J913" t="str">
        <f t="shared" si="161"/>
        <v>UNTR, UT, PT United Tractors, United Tractors, United Tractors Tbk, UnitedTractors</v>
      </c>
      <c r="K913" t="str">
        <f t="shared" si="162"/>
        <v>UNTR, UT, PT United Tractors, United Tractors, United Tractors Tbk, UnitedTractors</v>
      </c>
      <c r="L913" t="str">
        <f t="shared" si="158"/>
        <v>UnitedTractors</v>
      </c>
      <c r="M913" t="str">
        <f t="shared" si="163"/>
        <v>UNTR, UT, PT United Tractors, United Tractors, United Tractors Tbk</v>
      </c>
      <c r="N913" t="str">
        <f t="shared" si="164"/>
        <v>UNTR, UT, PT United Tractors, United Tractors, United Tractors Tbk</v>
      </c>
    </row>
    <row r="914" spans="1:14" x14ac:dyDescent="0.2">
      <c r="A914" t="s">
        <v>1291</v>
      </c>
      <c r="B914" t="s">
        <v>1292</v>
      </c>
      <c r="C914" t="s">
        <v>8713</v>
      </c>
      <c r="D914" t="str">
        <f t="shared" si="154"/>
        <v>UNVR, Unilever, PT Unilever Indonesia, UNILEVER INDONESIA, Unilever Indonesia, Unilever Indonesia Tbk, UnileverIndonesia, unilever indonesia</v>
      </c>
      <c r="E914" t="str">
        <f t="shared" si="155"/>
        <v>UNVR, Unilever, PT Unilever Indonesia, UNILEVER INDONESIA, Unilever Indonesia, Unilever Indonesia Tbk, UnileverIndonesia, unilever indonesia</v>
      </c>
      <c r="F914" t="str">
        <f t="shared" si="156"/>
        <v>unilever indonesia</v>
      </c>
      <c r="G914" t="str">
        <f t="shared" si="159"/>
        <v>UNVR, Unilever, PT Unilever Indonesia, UNILEVER INDONESIA, Unilever Indonesia, Unilever Indonesia Tbk, UnileverIndonesia</v>
      </c>
      <c r="H914" t="str">
        <f t="shared" si="160"/>
        <v>UNVR, Unilever, PT Unilever Indonesia, UNILEVER INDONESIA, Unilever Indonesia, Unilever Indonesia Tbk, UnileverIndonesia</v>
      </c>
      <c r="I914" t="str">
        <f t="shared" si="157"/>
        <v>UNILEVER INDONESIA</v>
      </c>
      <c r="J914" t="str">
        <f t="shared" si="161"/>
        <v>UNVR, Unilever, PT Unilever Indonesia, Unilever Indonesia, Unilever Indonesia Tbk, UnileverIndonesia</v>
      </c>
      <c r="K914" t="str">
        <f t="shared" si="162"/>
        <v>UNVR, Unilever, PT Unilever Indonesia, Unilever Indonesia, Unilever Indonesia Tbk, UnileverIndonesia</v>
      </c>
      <c r="L914" t="str">
        <f t="shared" si="158"/>
        <v>UnileverIndonesia</v>
      </c>
      <c r="M914" t="str">
        <f t="shared" si="163"/>
        <v>UNVR, Unilever, PT Unilever Indonesia, Unilever Indonesia, Unilever Indonesia Tbk</v>
      </c>
      <c r="N914" t="str">
        <f t="shared" si="164"/>
        <v>UNVR, Unilever, PT Unilever Indonesia, Unilever Indonesia, Unilever Indonesia Tbk</v>
      </c>
    </row>
    <row r="915" spans="1:14" x14ac:dyDescent="0.2">
      <c r="A915" t="s">
        <v>1630</v>
      </c>
      <c r="B915" t="s">
        <v>1631</v>
      </c>
      <c r="C915" t="s">
        <v>8714</v>
      </c>
      <c r="D915" t="str">
        <f t="shared" si="154"/>
        <v>URBN, PT Urban Jakarta Propertindo, URBAN JAKARTA PROPERTINDO, Urban Jakarta Propertindo, Urban Jakarta Propertindo Tbk, UrbanJakartaPropertindo, urban jakarta propertindo</v>
      </c>
      <c r="E915" t="str">
        <f t="shared" si="155"/>
        <v>URBN, PT Urban Jakarta Propertindo, URBAN JAKARTA PROPERTINDO, Urban Jakarta Propertindo, Urban Jakarta Propertindo Tbk, UrbanJakartaPropertindo, urban jakarta propertindo</v>
      </c>
      <c r="F915" t="str">
        <f t="shared" si="156"/>
        <v>urban jakarta propertindo</v>
      </c>
      <c r="G915" t="str">
        <f t="shared" si="159"/>
        <v>URBN, PT Urban Jakarta Propertindo, URBAN JAKARTA PROPERTINDO, Urban Jakarta Propertindo, Urban Jakarta Propertindo Tbk, UrbanJakartaPropertindo</v>
      </c>
      <c r="H915" t="str">
        <f t="shared" si="160"/>
        <v>URBN, PT Urban Jakarta Propertindo, URBAN JAKARTA PROPERTINDO, Urban Jakarta Propertindo, Urban Jakarta Propertindo Tbk, UrbanJakartaPropertindo</v>
      </c>
      <c r="I915" t="str">
        <f t="shared" si="157"/>
        <v>URBAN JAKARTA PROPERTINDO</v>
      </c>
      <c r="J915" t="str">
        <f t="shared" si="161"/>
        <v>URBN, PT Urban Jakarta Propertindo, Urban Jakarta Propertindo, Urban Jakarta Propertindo Tbk, UrbanJakartaPropertindo</v>
      </c>
      <c r="K915" t="str">
        <f t="shared" si="162"/>
        <v>URBN, PT Urban Jakarta Propertindo, Urban Jakarta Propertindo, Urban Jakarta Propertindo Tbk, UrbanJakartaPropertindo</v>
      </c>
      <c r="L915" t="str">
        <f t="shared" si="158"/>
        <v>UrbanJakartaPropertindo</v>
      </c>
      <c r="M915" t="str">
        <f t="shared" si="163"/>
        <v>URBN, PT Urban Jakarta Propertindo, Urban Jakarta Propertindo, Urban Jakarta Propertindo Tbk</v>
      </c>
      <c r="N915" t="str">
        <f t="shared" si="164"/>
        <v>URBN, PT Urban Jakarta Propertindo, Urban Jakarta Propertindo, Urban Jakarta Propertindo Tbk</v>
      </c>
    </row>
    <row r="916" spans="1:14" x14ac:dyDescent="0.2">
      <c r="A916" t="s">
        <v>1977</v>
      </c>
      <c r="B916" t="s">
        <v>1978</v>
      </c>
      <c r="C916" t="s">
        <v>8715</v>
      </c>
      <c r="D916" t="str">
        <f t="shared" si="154"/>
        <v>UVCR, PT Trimegah Karya Pratama, TRIMEGAH KARYA PRATAMA, Trimegah Karya Pratama, Trimegah Karya Pratama Tbk, TrimegahKaryaPratama, trimegah karya pratama</v>
      </c>
      <c r="E916" t="str">
        <f t="shared" si="155"/>
        <v>UVCR, PT Trimegah Karya Pratama, TRIMEGAH KARYA PRATAMA, Trimegah Karya Pratama, Trimegah Karya Pratama Tbk, TrimegahKaryaPratama, trimegah karya pratama</v>
      </c>
      <c r="F916" t="str">
        <f t="shared" si="156"/>
        <v>trimegah karya pratama</v>
      </c>
      <c r="G916" t="str">
        <f t="shared" si="159"/>
        <v>UVCR, PT Trimegah Karya Pratama, TRIMEGAH KARYA PRATAMA, Trimegah Karya Pratama, Trimegah Karya Pratama Tbk, TrimegahKaryaPratama</v>
      </c>
      <c r="H916" t="str">
        <f t="shared" si="160"/>
        <v>UVCR, PT Trimegah Karya Pratama, TRIMEGAH KARYA PRATAMA, Trimegah Karya Pratama, Trimegah Karya Pratama Tbk, TrimegahKaryaPratama</v>
      </c>
      <c r="I916" t="str">
        <f t="shared" si="157"/>
        <v>TRIMEGAH KARYA PRATAMA</v>
      </c>
      <c r="J916" t="str">
        <f t="shared" si="161"/>
        <v>UVCR, PT Trimegah Karya Pratama, Trimegah Karya Pratama, Trimegah Karya Pratama Tbk, TrimegahKaryaPratama</v>
      </c>
      <c r="K916" t="str">
        <f t="shared" si="162"/>
        <v>UVCR, PT Trimegah Karya Pratama, Trimegah Karya Pratama, Trimegah Karya Pratama Tbk, TrimegahKaryaPratama</v>
      </c>
      <c r="L916" t="str">
        <f t="shared" si="158"/>
        <v>TrimegahKaryaPratama</v>
      </c>
      <c r="M916" t="str">
        <f t="shared" si="163"/>
        <v>UVCR, PT Trimegah Karya Pratama, Trimegah Karya Pratama, Trimegah Karya Pratama Tbk</v>
      </c>
      <c r="N916" t="str">
        <f t="shared" si="164"/>
        <v>UVCR, PT Trimegah Karya Pratama, Trimegah Karya Pratama, Trimegah Karya Pratama Tbk</v>
      </c>
    </row>
    <row r="917" spans="1:14" x14ac:dyDescent="0.2">
      <c r="A917" t="s">
        <v>2255</v>
      </c>
      <c r="B917" t="s">
        <v>2256</v>
      </c>
      <c r="C917" t="s">
        <v>8716</v>
      </c>
      <c r="D917" t="str">
        <f t="shared" si="154"/>
        <v>VAST, PT Vastland Indonesia, VASTLAND INDONESIA, Vastland Indonesia, Vastland Indonesia Tbk, VastlandIndonesia, vastland indonesia</v>
      </c>
      <c r="E917" t="str">
        <f t="shared" si="155"/>
        <v>VAST, PT Vastland Indonesia, VASTLAND INDONESIA, Vastland Indonesia, Vastland Indonesia Tbk, VastlandIndonesia, vastland indonesia</v>
      </c>
      <c r="F917" t="str">
        <f t="shared" si="156"/>
        <v>vastland indonesia</v>
      </c>
      <c r="G917" t="str">
        <f t="shared" si="159"/>
        <v>VAST, PT Vastland Indonesia, VASTLAND INDONESIA, Vastland Indonesia, Vastland Indonesia Tbk, VastlandIndonesia</v>
      </c>
      <c r="H917" t="str">
        <f t="shared" si="160"/>
        <v>VAST, PT Vastland Indonesia, VASTLAND INDONESIA, Vastland Indonesia, Vastland Indonesia Tbk, VastlandIndonesia</v>
      </c>
      <c r="I917" t="str">
        <f t="shared" si="157"/>
        <v>VASTLAND INDONESIA</v>
      </c>
      <c r="J917" t="str">
        <f t="shared" si="161"/>
        <v>VAST, PT Vastland Indonesia, Vastland Indonesia, Vastland Indonesia Tbk, VastlandIndonesia</v>
      </c>
      <c r="K917" t="str">
        <f t="shared" si="162"/>
        <v>VAST, PT Vastland Indonesia, Vastland Indonesia, Vastland Indonesia Tbk, VastlandIndonesia</v>
      </c>
      <c r="L917" t="str">
        <f t="shared" si="158"/>
        <v>VastlandIndonesia</v>
      </c>
      <c r="M917" t="str">
        <f t="shared" si="163"/>
        <v>VAST, PT Vastland Indonesia, Vastland Indonesia, Vastland Indonesia Tbk</v>
      </c>
      <c r="N917" t="str">
        <f t="shared" si="164"/>
        <v>VAST, PT Vastland Indonesia, Vastland Indonesia, Vastland Indonesia Tbk</v>
      </c>
    </row>
    <row r="918" spans="1:14" x14ac:dyDescent="0.2">
      <c r="A918" t="s">
        <v>2494</v>
      </c>
      <c r="B918" t="s">
        <v>2495</v>
      </c>
      <c r="C918" t="s">
        <v>8717</v>
      </c>
      <c r="D918" t="str">
        <f t="shared" si="154"/>
        <v>VERN, PT Verona Indah Pictures, VERONA INDAH PICTURES, Verona Indah Pictures, Verona Indah Pictures Tbk, VeronaIndahPictures, verona indah pictures</v>
      </c>
      <c r="E918" t="str">
        <f t="shared" si="155"/>
        <v>VERN, PT Verona Indah Pictures, VERONA INDAH PICTURES, Verona Indah Pictures, Verona Indah Pictures Tbk, VeronaIndahPictures, verona indah pictures</v>
      </c>
      <c r="F918" t="str">
        <f t="shared" si="156"/>
        <v>verona indah pictures</v>
      </c>
      <c r="G918" t="str">
        <f t="shared" si="159"/>
        <v>VERN, PT Verona Indah Pictures, VERONA INDAH PICTURES, Verona Indah Pictures, Verona Indah Pictures Tbk, VeronaIndahPictures</v>
      </c>
      <c r="H918" t="str">
        <f t="shared" si="160"/>
        <v>VERN, PT Verona Indah Pictures, VERONA INDAH PICTURES, Verona Indah Pictures, Verona Indah Pictures Tbk, VeronaIndahPictures</v>
      </c>
      <c r="I918" t="str">
        <f t="shared" si="157"/>
        <v>VERONA INDAH PICTURES</v>
      </c>
      <c r="J918" t="str">
        <f t="shared" si="161"/>
        <v>VERN, PT Verona Indah Pictures, Verona Indah Pictures, Verona Indah Pictures Tbk, VeronaIndahPictures</v>
      </c>
      <c r="K918" t="str">
        <f t="shared" si="162"/>
        <v>VERN, PT Verona Indah Pictures, Verona Indah Pictures, Verona Indah Pictures Tbk, VeronaIndahPictures</v>
      </c>
      <c r="L918" t="str">
        <f t="shared" si="158"/>
        <v>VeronaIndahPictures</v>
      </c>
      <c r="M918" t="str">
        <f t="shared" si="163"/>
        <v>VERN, PT Verona Indah Pictures, Verona Indah Pictures, Verona Indah Pictures Tbk</v>
      </c>
      <c r="N918" t="str">
        <f t="shared" si="164"/>
        <v>VERN, PT Verona Indah Pictures, Verona Indah Pictures, Verona Indah Pictures Tbk</v>
      </c>
    </row>
    <row r="919" spans="1:14" x14ac:dyDescent="0.2">
      <c r="A919" t="s">
        <v>1903</v>
      </c>
      <c r="B919" t="s">
        <v>1904</v>
      </c>
      <c r="C919" t="s">
        <v>8718</v>
      </c>
      <c r="D919" t="str">
        <f t="shared" si="154"/>
        <v>VICI, PT Victoria Care Indonesia, VICTORIA CARE INDONESIA, Victoria Care Indonesia, Victoria Care Indonesia Tbk, VictoriaCareIndonesia, victoria care indonesia</v>
      </c>
      <c r="E919" t="str">
        <f t="shared" si="155"/>
        <v>VICI, PT Victoria Care Indonesia, VICTORIA CARE INDONESIA, Victoria Care Indonesia, Victoria Care Indonesia Tbk, VictoriaCareIndonesia, victoria care indonesia</v>
      </c>
      <c r="F919" t="str">
        <f t="shared" si="156"/>
        <v>victoria care indonesia</v>
      </c>
      <c r="G919" t="str">
        <f t="shared" si="159"/>
        <v>VICI, PT Victoria Care Indonesia, VICTORIA CARE INDONESIA, Victoria Care Indonesia, Victoria Care Indonesia Tbk, VictoriaCareIndonesia</v>
      </c>
      <c r="H919" t="str">
        <f t="shared" si="160"/>
        <v>VICI, PT Victoria Care Indonesia, VICTORIA CARE INDONESIA, Victoria Care Indonesia, Victoria Care Indonesia Tbk, VictoriaCareIndonesia</v>
      </c>
      <c r="I919" t="str">
        <f t="shared" si="157"/>
        <v>VICTORIA CARE INDONESIA</v>
      </c>
      <c r="J919" t="str">
        <f t="shared" si="161"/>
        <v>VICI, PT Victoria Care Indonesia, Victoria Care Indonesia, Victoria Care Indonesia Tbk, VictoriaCareIndonesia</v>
      </c>
      <c r="K919" t="str">
        <f t="shared" si="162"/>
        <v>VICI, PT Victoria Care Indonesia, Victoria Care Indonesia, Victoria Care Indonesia Tbk, VictoriaCareIndonesia</v>
      </c>
      <c r="L919" t="str">
        <f t="shared" si="158"/>
        <v>VictoriaCareIndonesia</v>
      </c>
      <c r="M919" t="str">
        <f t="shared" si="163"/>
        <v>VICI, PT Victoria Care Indonesia, Victoria Care Indonesia, Victoria Care Indonesia Tbk</v>
      </c>
      <c r="N919" t="str">
        <f t="shared" si="164"/>
        <v>VICI, PT Victoria Care Indonesia, Victoria Care Indonesia, Victoria Care Indonesia Tbk</v>
      </c>
    </row>
    <row r="920" spans="1:14" x14ac:dyDescent="0.2">
      <c r="A920" t="s">
        <v>1294</v>
      </c>
      <c r="B920" t="s">
        <v>1295</v>
      </c>
      <c r="C920" t="s">
        <v>8719</v>
      </c>
      <c r="D920" t="str">
        <f t="shared" si="154"/>
        <v>VICO, PT Victoria Investama, VICTORIA INVESTAMA, Victoria Investama, Victoria Investama Tbk, VictoriaInvestama, victoria investama</v>
      </c>
      <c r="E920" t="str">
        <f t="shared" si="155"/>
        <v>VICO, PT Victoria Investama, VICTORIA INVESTAMA, Victoria Investama, Victoria Investama Tbk, VictoriaInvestama, victoria investama</v>
      </c>
      <c r="F920" t="str">
        <f t="shared" si="156"/>
        <v>victoria investama</v>
      </c>
      <c r="G920" t="str">
        <f t="shared" si="159"/>
        <v>VICO, PT Victoria Investama, VICTORIA INVESTAMA, Victoria Investama, Victoria Investama Tbk, VictoriaInvestama</v>
      </c>
      <c r="H920" t="str">
        <f t="shared" si="160"/>
        <v>VICO, PT Victoria Investama, VICTORIA INVESTAMA, Victoria Investama, Victoria Investama Tbk, VictoriaInvestama</v>
      </c>
      <c r="I920" t="str">
        <f t="shared" si="157"/>
        <v>VICTORIA INVESTAMA</v>
      </c>
      <c r="J920" t="str">
        <f t="shared" si="161"/>
        <v>VICO, PT Victoria Investama, Victoria Investama, Victoria Investama Tbk, VictoriaInvestama</v>
      </c>
      <c r="K920" t="str">
        <f t="shared" si="162"/>
        <v>VICO, PT Victoria Investama, Victoria Investama, Victoria Investama Tbk, VictoriaInvestama</v>
      </c>
      <c r="L920" t="str">
        <f t="shared" si="158"/>
        <v>VictoriaInvestama</v>
      </c>
      <c r="M920" t="str">
        <f t="shared" si="163"/>
        <v>VICO, PT Victoria Investama, Victoria Investama, Victoria Investama Tbk</v>
      </c>
      <c r="N920" t="str">
        <f t="shared" si="164"/>
        <v>VICO, PT Victoria Investama, Victoria Investama, Victoria Investama Tbk</v>
      </c>
    </row>
    <row r="921" spans="1:14" x14ac:dyDescent="0.2">
      <c r="A921" t="s">
        <v>1297</v>
      </c>
      <c r="B921" t="s">
        <v>1298</v>
      </c>
      <c r="C921" t="s">
        <v>8720</v>
      </c>
      <c r="D921" t="str">
        <f t="shared" si="154"/>
        <v>VINS, PT Victoria Insurance, VICTORIA INSURANCE, Victoria Insurance, Victoria Insurance Tbk, VictoriaInsurance, victoria insurance</v>
      </c>
      <c r="E921" t="str">
        <f t="shared" si="155"/>
        <v>VINS, PT Victoria Insurance, VICTORIA INSURANCE, Victoria Insurance, Victoria Insurance Tbk, VictoriaInsurance, victoria insurance</v>
      </c>
      <c r="F921" t="str">
        <f t="shared" si="156"/>
        <v>victoria insurance</v>
      </c>
      <c r="G921" t="str">
        <f t="shared" si="159"/>
        <v>VINS, PT Victoria Insurance, VICTORIA INSURANCE, Victoria Insurance, Victoria Insurance Tbk, VictoriaInsurance</v>
      </c>
      <c r="H921" t="str">
        <f t="shared" si="160"/>
        <v>VINS, PT Victoria Insurance, VICTORIA INSURANCE, Victoria Insurance, Victoria Insurance Tbk, VictoriaInsurance</v>
      </c>
      <c r="I921" t="str">
        <f t="shared" si="157"/>
        <v>VICTORIA INSURANCE</v>
      </c>
      <c r="J921" t="str">
        <f t="shared" si="161"/>
        <v>VINS, PT Victoria Insurance, Victoria Insurance, Victoria Insurance Tbk, VictoriaInsurance</v>
      </c>
      <c r="K921" t="str">
        <f t="shared" si="162"/>
        <v>VINS, PT Victoria Insurance, Victoria Insurance, Victoria Insurance Tbk, VictoriaInsurance</v>
      </c>
      <c r="L921" t="str">
        <f t="shared" si="158"/>
        <v>VictoriaInsurance</v>
      </c>
      <c r="M921" t="str">
        <f t="shared" si="163"/>
        <v>VINS, PT Victoria Insurance, Victoria Insurance, Victoria Insurance Tbk</v>
      </c>
      <c r="N921" t="str">
        <f t="shared" si="164"/>
        <v>VINS, PT Victoria Insurance, Victoria Insurance, Victoria Insurance Tbk</v>
      </c>
    </row>
    <row r="922" spans="1:14" x14ac:dyDescent="0.2">
      <c r="A922" t="s">
        <v>2447</v>
      </c>
      <c r="B922" t="s">
        <v>2448</v>
      </c>
      <c r="C922" t="s">
        <v>8721</v>
      </c>
      <c r="D922" t="str">
        <f t="shared" si="154"/>
        <v>VISI, PT Satu Visi Putra, SATU VISI PUTRA, Satu Visi Putra, Satu Visi Putra Tbk, SatuVisiPutra, satu visi putra</v>
      </c>
      <c r="E922" t="str">
        <f t="shared" si="155"/>
        <v>VISI, PT Satu Visi Putra, SATU VISI PUTRA, Satu Visi Putra, Satu Visi Putra Tbk, SatuVisiPutra, satu visi putra</v>
      </c>
      <c r="F922" t="str">
        <f t="shared" si="156"/>
        <v>satu visi putra</v>
      </c>
      <c r="G922" t="str">
        <f t="shared" si="159"/>
        <v>VISI, PT Satu Visi Putra, SATU VISI PUTRA, Satu Visi Putra, Satu Visi Putra Tbk, SatuVisiPutra</v>
      </c>
      <c r="H922" t="str">
        <f t="shared" si="160"/>
        <v>VISI, PT Satu Visi Putra, SATU VISI PUTRA, Satu Visi Putra, Satu Visi Putra Tbk, SatuVisiPutra</v>
      </c>
      <c r="I922" t="str">
        <f t="shared" si="157"/>
        <v>SATU VISI PUTRA</v>
      </c>
      <c r="J922" t="str">
        <f t="shared" si="161"/>
        <v>VISI, PT Satu Visi Putra, Satu Visi Putra, Satu Visi Putra Tbk, SatuVisiPutra</v>
      </c>
      <c r="K922" t="str">
        <f t="shared" si="162"/>
        <v>VISI, PT Satu Visi Putra, Satu Visi Putra, Satu Visi Putra Tbk, SatuVisiPutra</v>
      </c>
      <c r="L922" t="str">
        <f t="shared" si="158"/>
        <v>SatuVisiPutra</v>
      </c>
      <c r="M922" t="str">
        <f t="shared" si="163"/>
        <v>VISI, PT Satu Visi Putra, Satu Visi Putra, Satu Visi Putra Tbk</v>
      </c>
      <c r="N922" t="str">
        <f t="shared" si="164"/>
        <v>VISI, PT Satu Visi Putra, Satu Visi Putra, Satu Visi Putra Tbk</v>
      </c>
    </row>
    <row r="923" spans="1:14" x14ac:dyDescent="0.2">
      <c r="A923" t="s">
        <v>1300</v>
      </c>
      <c r="B923" t="s">
        <v>1301</v>
      </c>
      <c r="C923" t="s">
        <v>8722</v>
      </c>
      <c r="D923" t="str">
        <f t="shared" si="154"/>
        <v>VIVA, PT Visi Media Asia, VISI MEDIA ASIA, Visi Media Asia, Visi Media Asia Tbk, VisiMediaAsia, visi media asia</v>
      </c>
      <c r="E923" t="str">
        <f t="shared" si="155"/>
        <v>VIVA, PT Visi Media Asia, VISI MEDIA ASIA, Visi Media Asia, Visi Media Asia Tbk, VisiMediaAsia, visi media asia</v>
      </c>
      <c r="F923" t="str">
        <f t="shared" si="156"/>
        <v>visi media asia</v>
      </c>
      <c r="G923" t="str">
        <f t="shared" si="159"/>
        <v>VIVA, PT Visi Media Asia, VISI MEDIA ASIA, Visi Media Asia, Visi Media Asia Tbk, VisiMediaAsia</v>
      </c>
      <c r="H923" t="str">
        <f t="shared" si="160"/>
        <v>VIVA, PT Visi Media Asia, VISI MEDIA ASIA, Visi Media Asia, Visi Media Asia Tbk, VisiMediaAsia</v>
      </c>
      <c r="I923" t="str">
        <f t="shared" si="157"/>
        <v>VISI MEDIA ASIA</v>
      </c>
      <c r="J923" t="str">
        <f t="shared" si="161"/>
        <v>VIVA, PT Visi Media Asia, Visi Media Asia, Visi Media Asia Tbk, VisiMediaAsia</v>
      </c>
      <c r="K923" t="str">
        <f t="shared" si="162"/>
        <v>VIVA, PT Visi Media Asia, Visi Media Asia, Visi Media Asia Tbk, VisiMediaAsia</v>
      </c>
      <c r="L923" t="str">
        <f t="shared" si="158"/>
        <v>VisiMediaAsia</v>
      </c>
      <c r="M923" t="str">
        <f t="shared" si="163"/>
        <v>VIVA, PT Visi Media Asia, Visi Media Asia, Visi Media Asia Tbk</v>
      </c>
      <c r="N923" t="str">
        <f t="shared" si="164"/>
        <v>VIVA, PT Visi Media Asia, Visi Media Asia, Visi Media Asia Tbk</v>
      </c>
    </row>
    <row r="924" spans="1:14" x14ac:dyDescent="0.2">
      <c r="A924" t="s">
        <v>2313</v>
      </c>
      <c r="B924" t="s">
        <v>2314</v>
      </c>
      <c r="C924" t="s">
        <v>8723</v>
      </c>
      <c r="D924" t="str">
        <f t="shared" si="154"/>
        <v>VKTR, PT VKTR Teknologi Mobilitas, VKTR TEKNOLOGI MOBILITAS, VKTR Teknologi Mobilitas, VKTR Teknologi Mobilitas Tbk, VKTRTeknologiMobilitas, vktr teknologi mobilitas</v>
      </c>
      <c r="E924" t="str">
        <f t="shared" si="155"/>
        <v>VKTR, PT VKTR Teknologi Mobilitas, VKTR TEKNOLOGI MOBILITAS, VKTR Teknologi Mobilitas, VKTR Teknologi Mobilitas Tbk, VKTRTeknologiMobilitas, vktr teknologi mobilitas</v>
      </c>
      <c r="F924" t="str">
        <f t="shared" si="156"/>
        <v>vktr teknologi mobilitas</v>
      </c>
      <c r="G924" t="str">
        <f t="shared" si="159"/>
        <v>VKTR, PT VKTR Teknologi Mobilitas, VKTR TEKNOLOGI MOBILITAS, VKTR Teknologi Mobilitas, VKTR Teknologi Mobilitas Tbk, VKTRTeknologiMobilitas</v>
      </c>
      <c r="H924" t="str">
        <f t="shared" si="160"/>
        <v>VKTR, PT VKTR Teknologi Mobilitas, VKTR TEKNOLOGI MOBILITAS, VKTR Teknologi Mobilitas, VKTR Teknologi Mobilitas Tbk, VKTRTeknologiMobilitas</v>
      </c>
      <c r="I924" t="str">
        <f t="shared" si="157"/>
        <v>VKTR TEKNOLOGI MOBILITAS</v>
      </c>
      <c r="J924" t="str">
        <f t="shared" si="161"/>
        <v>VKTR, PT VKTR Teknologi Mobilitas, VKTR Teknologi Mobilitas, VKTR Teknologi Mobilitas Tbk, VKTRTeknologiMobilitas</v>
      </c>
      <c r="K924" t="str">
        <f t="shared" si="162"/>
        <v>VKTR, PT VKTR Teknologi Mobilitas, VKTR Teknologi Mobilitas, VKTR Teknologi Mobilitas Tbk, VKTRTeknologiMobilitas</v>
      </c>
      <c r="L924" t="str">
        <f t="shared" si="158"/>
        <v>VKTRTeknologiMobilitas</v>
      </c>
      <c r="M924" t="str">
        <f t="shared" si="163"/>
        <v>VKTR, PT VKTR Teknologi Mobilitas, VKTR Teknologi Mobilitas, VKTR Teknologi Mobilitas Tbk</v>
      </c>
      <c r="N924" t="str">
        <f t="shared" si="164"/>
        <v>VKTR, PT VKTR Teknologi Mobilitas, VKTR Teknologi Mobilitas, VKTR Teknologi Mobilitas Tbk</v>
      </c>
    </row>
    <row r="925" spans="1:14" x14ac:dyDescent="0.2">
      <c r="A925" t="s">
        <v>1303</v>
      </c>
      <c r="B925" t="s">
        <v>1304</v>
      </c>
      <c r="C925" t="s">
        <v>8724</v>
      </c>
      <c r="D925" t="str">
        <f t="shared" si="154"/>
        <v>VOKS, PT Voksel Electric, VOKSEL ELECTRIC, Voksel Electric, Voksel Electric Tbk, VokselElectric, voksel electric</v>
      </c>
      <c r="E925" t="str">
        <f t="shared" si="155"/>
        <v>VOKS, PT Voksel Electric, VOKSEL ELECTRIC, Voksel Electric, Voksel Electric Tbk, VokselElectric, voksel electric</v>
      </c>
      <c r="F925" t="str">
        <f t="shared" si="156"/>
        <v>voksel electric</v>
      </c>
      <c r="G925" t="str">
        <f t="shared" si="159"/>
        <v>VOKS, PT Voksel Electric, VOKSEL ELECTRIC, Voksel Electric, Voksel Electric Tbk, VokselElectric</v>
      </c>
      <c r="H925" t="str">
        <f t="shared" si="160"/>
        <v>VOKS, PT Voksel Electric, VOKSEL ELECTRIC, Voksel Electric, Voksel Electric Tbk, VokselElectric</v>
      </c>
      <c r="I925" t="str">
        <f t="shared" si="157"/>
        <v>VOKSEL ELECTRIC</v>
      </c>
      <c r="J925" t="str">
        <f t="shared" si="161"/>
        <v>VOKS, PT Voksel Electric, Voksel Electric, Voksel Electric Tbk, VokselElectric</v>
      </c>
      <c r="K925" t="str">
        <f t="shared" si="162"/>
        <v>VOKS, PT Voksel Electric, Voksel Electric, Voksel Electric Tbk, VokselElectric</v>
      </c>
      <c r="L925" t="str">
        <f t="shared" si="158"/>
        <v>VokselElectric</v>
      </c>
      <c r="M925" t="str">
        <f t="shared" si="163"/>
        <v>VOKS, PT Voksel Electric, Voksel Electric, Voksel Electric Tbk</v>
      </c>
      <c r="N925" t="str">
        <f t="shared" si="164"/>
        <v>VOKS, PT Voksel Electric, Voksel Electric, Voksel Electric Tbk</v>
      </c>
    </row>
    <row r="926" spans="1:14" x14ac:dyDescent="0.2">
      <c r="A926" t="s">
        <v>1306</v>
      </c>
      <c r="B926" t="s">
        <v>1307</v>
      </c>
      <c r="C926" t="s">
        <v>8725</v>
      </c>
      <c r="D926" t="str">
        <f t="shared" si="154"/>
        <v>VRNA, MIZUHO LEASING INDONESIA, Mizuho Leasing Indonesia, Mizuho Leasing Indonesia Tbk, MizuhoLeasingIndonesia, PT Mizuho Leasing Indonesia, mizuho leasing indonesia</v>
      </c>
      <c r="E926" t="str">
        <f t="shared" si="155"/>
        <v>VRNA, MIZUHO LEASING INDONESIA, Mizuho Leasing Indonesia, Mizuho Leasing Indonesia Tbk, MizuhoLeasingIndonesia, PT Mizuho Leasing Indonesia, mizuho leasing indonesia</v>
      </c>
      <c r="F926" t="str">
        <f t="shared" si="156"/>
        <v>mizuho leasing indonesia</v>
      </c>
      <c r="G926" t="str">
        <f t="shared" si="159"/>
        <v>VRNA, MIZUHO LEASING INDONESIA, Mizuho Leasing Indonesia, Mizuho Leasing Indonesia Tbk, MizuhoLeasingIndonesia, PT Mizuho Leasing Indonesia</v>
      </c>
      <c r="H926" t="str">
        <f t="shared" si="160"/>
        <v>VRNA, MIZUHO LEASING INDONESIA, Mizuho Leasing Indonesia, Mizuho Leasing Indonesia Tbk, MizuhoLeasingIndonesia, PT Mizuho Leasing Indonesia</v>
      </c>
      <c r="I926" t="str">
        <f t="shared" si="157"/>
        <v>MIZUHO LEASING INDONESIA</v>
      </c>
      <c r="J926" t="str">
        <f t="shared" si="161"/>
        <v>VRNA, Mizuho Leasing Indonesia, Mizuho Leasing Indonesia Tbk, MizuhoLeasingIndonesia, PT Mizuho Leasing Indonesia</v>
      </c>
      <c r="K926" t="str">
        <f t="shared" si="162"/>
        <v>VRNA, Mizuho Leasing Indonesia, Mizuho Leasing Indonesia Tbk, MizuhoLeasingIndonesia, PT Mizuho Leasing Indonesia</v>
      </c>
      <c r="L926" t="str">
        <f t="shared" si="158"/>
        <v>MizuhoLeasingIndonesia</v>
      </c>
      <c r="M926" t="str">
        <f t="shared" si="163"/>
        <v>VRNA, Mizuho Leasing Indonesia, Mizuho Leasing Indonesia Tbk, PT Mizuho Leasing Indonesia</v>
      </c>
      <c r="N926" t="str">
        <f t="shared" si="164"/>
        <v>VRNA, Mizuho Leasing Indonesia, Mizuho Leasing Indonesia Tbk, PT Mizuho Leasing Indonesia</v>
      </c>
    </row>
    <row r="927" spans="1:14" x14ac:dyDescent="0.2">
      <c r="A927" t="s">
        <v>2214</v>
      </c>
      <c r="B927" t="s">
        <v>3894</v>
      </c>
      <c r="C927" t="s">
        <v>8726</v>
      </c>
      <c r="D927" t="str">
        <f t="shared" si="154"/>
        <v>VTNY, PT Venteny Fortuna International, VENTENY FORTUNA INTERNATIONAL, Venteny Fortuna International, Venteny Fortuna International Tbk, VentenyFortunaInternational, venteny fortuna international</v>
      </c>
      <c r="E927" t="str">
        <f t="shared" si="155"/>
        <v>VTNY, PT Venteny Fortuna International, VENTENY FORTUNA INTERNATIONAL, Venteny Fortuna International, Venteny Fortuna International Tbk, VentenyFortunaInternational, venteny fortuna international</v>
      </c>
      <c r="F927" t="str">
        <f t="shared" si="156"/>
        <v>venteny fortuna international</v>
      </c>
      <c r="G927" t="str">
        <f t="shared" si="159"/>
        <v>VTNY, PT Venteny Fortuna International, VENTENY FORTUNA INTERNATIONAL, Venteny Fortuna International, Venteny Fortuna International Tbk, VentenyFortunaInternational</v>
      </c>
      <c r="H927" t="str">
        <f t="shared" si="160"/>
        <v>VTNY, PT Venteny Fortuna International, VENTENY FORTUNA INTERNATIONAL, Venteny Fortuna International, Venteny Fortuna International Tbk, VentenyFortunaInternational</v>
      </c>
      <c r="I927" t="str">
        <f t="shared" si="157"/>
        <v>VENTENY FORTUNA INTERNATIONAL</v>
      </c>
      <c r="J927" t="str">
        <f t="shared" si="161"/>
        <v>VTNY, PT Venteny Fortuna International, Venteny Fortuna International, Venteny Fortuna International Tbk, VentenyFortunaInternational</v>
      </c>
      <c r="K927" t="str">
        <f t="shared" si="162"/>
        <v>VTNY, PT Venteny Fortuna International, Venteny Fortuna International, Venteny Fortuna International Tbk, VentenyFortunaInternational</v>
      </c>
      <c r="L927" t="str">
        <f t="shared" si="158"/>
        <v>VentenyFortunaInternational</v>
      </c>
      <c r="M927" t="str">
        <f t="shared" si="163"/>
        <v>VTNY, PT Venteny Fortuna International, Venteny Fortuna International, Venteny Fortuna International Tbk</v>
      </c>
      <c r="N927" t="str">
        <f t="shared" si="164"/>
        <v>VTNY, PT Venteny Fortuna International, Venteny Fortuna International, Venteny Fortuna International Tbk</v>
      </c>
    </row>
    <row r="928" spans="1:14" x14ac:dyDescent="0.2">
      <c r="A928" t="s">
        <v>1309</v>
      </c>
      <c r="B928" t="s">
        <v>1310</v>
      </c>
      <c r="C928" t="s">
        <v>8727</v>
      </c>
      <c r="D928" t="str">
        <f t="shared" si="154"/>
        <v>WAPO, PT Wahana Pronatural, WAHANA PRONATURAL, Wahana Pronatural, Wahana Pronatural Tbk, WahanaPronatural, wahana pronatural</v>
      </c>
      <c r="E928" t="str">
        <f t="shared" si="155"/>
        <v>WAPO, PT Wahana Pronatural, WAHANA PRONATURAL, Wahana Pronatural, Wahana Pronatural Tbk, WahanaPronatural, wahana pronatural</v>
      </c>
      <c r="F928" t="str">
        <f t="shared" si="156"/>
        <v>wahana pronatural</v>
      </c>
      <c r="G928" t="str">
        <f t="shared" si="159"/>
        <v>WAPO, PT Wahana Pronatural, WAHANA PRONATURAL, Wahana Pronatural, Wahana Pronatural Tbk, WahanaPronatural</v>
      </c>
      <c r="H928" t="str">
        <f t="shared" si="160"/>
        <v>WAPO, PT Wahana Pronatural, WAHANA PRONATURAL, Wahana Pronatural, Wahana Pronatural Tbk, WahanaPronatural</v>
      </c>
      <c r="I928" t="str">
        <f t="shared" si="157"/>
        <v>WAHANA PRONATURAL</v>
      </c>
      <c r="J928" t="str">
        <f t="shared" si="161"/>
        <v>WAPO, PT Wahana Pronatural, Wahana Pronatural, Wahana Pronatural Tbk, WahanaPronatural</v>
      </c>
      <c r="K928" t="str">
        <f t="shared" si="162"/>
        <v>WAPO, PT Wahana Pronatural, Wahana Pronatural, Wahana Pronatural Tbk, WahanaPronatural</v>
      </c>
      <c r="L928" t="str">
        <f t="shared" si="158"/>
        <v>WahanaPronatural</v>
      </c>
      <c r="M928" t="str">
        <f t="shared" si="163"/>
        <v>WAPO, PT Wahana Pronatural, Wahana Pronatural, Wahana Pronatural Tbk</v>
      </c>
      <c r="N928" t="str">
        <f t="shared" si="164"/>
        <v>WAPO, PT Wahana Pronatural, Wahana Pronatural, Wahana Pronatural Tbk</v>
      </c>
    </row>
    <row r="929" spans="1:14" x14ac:dyDescent="0.2">
      <c r="A929" t="s">
        <v>1468</v>
      </c>
      <c r="B929" t="s">
        <v>3696</v>
      </c>
      <c r="C929" t="s">
        <v>8728</v>
      </c>
      <c r="D929" t="str">
        <f t="shared" si="154"/>
        <v>WEGE, PT Wijaya Karya Bangunan Gedung, WIJAYA KARYA BANGUNAN GEDUNG, Wijaya Karya Bangunan Gedung, Wijaya Karya Bangunan Gedung Tbk, WijayaKaryaBangunanGedung, wijaya karya bangunan gedung</v>
      </c>
      <c r="E929" t="str">
        <f t="shared" si="155"/>
        <v>WEGE, PT Wijaya Karya Bangunan Gedung, WIJAYA KARYA BANGUNAN GEDUNG, Wijaya Karya Bangunan Gedung, Wijaya Karya Bangunan Gedung Tbk, WijayaKaryaBangunanGedung, wijaya karya bangunan gedung</v>
      </c>
      <c r="F929" t="str">
        <f t="shared" si="156"/>
        <v>wijaya karya bangunan gedung</v>
      </c>
      <c r="G929" t="str">
        <f t="shared" si="159"/>
        <v>WEGE, PT Wijaya Karya Bangunan Gedung, WIJAYA KARYA BANGUNAN GEDUNG, Wijaya Karya Bangunan Gedung, Wijaya Karya Bangunan Gedung Tbk, WijayaKaryaBangunanGedung</v>
      </c>
      <c r="H929" t="str">
        <f t="shared" si="160"/>
        <v>WEGE, PT Wijaya Karya Bangunan Gedung, WIJAYA KARYA BANGUNAN GEDUNG, Wijaya Karya Bangunan Gedung, Wijaya Karya Bangunan Gedung Tbk, WijayaKaryaBangunanGedung</v>
      </c>
      <c r="I929" t="str">
        <f t="shared" si="157"/>
        <v>WIJAYA KARYA BANGUNAN GEDUNG</v>
      </c>
      <c r="J929" t="str">
        <f t="shared" si="161"/>
        <v>WEGE, PT Wijaya Karya Bangunan Gedung, Wijaya Karya Bangunan Gedung, Wijaya Karya Bangunan Gedung Tbk, WijayaKaryaBangunanGedung</v>
      </c>
      <c r="K929" t="str">
        <f t="shared" si="162"/>
        <v>WEGE, PT Wijaya Karya Bangunan Gedung, Wijaya Karya Bangunan Gedung, Wijaya Karya Bangunan Gedung Tbk, WijayaKaryaBangunanGedung</v>
      </c>
      <c r="L929" t="str">
        <f t="shared" si="158"/>
        <v>WijayaKaryaBangunanGedung</v>
      </c>
      <c r="M929" t="str">
        <f t="shared" si="163"/>
        <v>WEGE, PT Wijaya Karya Bangunan Gedung, Wijaya Karya Bangunan Gedung, Wijaya Karya Bangunan Gedung Tbk</v>
      </c>
      <c r="N929" t="str">
        <f t="shared" si="164"/>
        <v>WEGE, PT Wijaya Karya Bangunan Gedung, Wijaya Karya Bangunan Gedung, Wijaya Karya Bangunan Gedung Tbk</v>
      </c>
    </row>
    <row r="930" spans="1:14" x14ac:dyDescent="0.2">
      <c r="A930" t="s">
        <v>1312</v>
      </c>
      <c r="B930" t="s">
        <v>3697</v>
      </c>
      <c r="C930" t="s">
        <v>8729</v>
      </c>
      <c r="D930" t="str">
        <f t="shared" si="154"/>
        <v>WEHA, PT WEHA Transportasi Indonesia, WEHA TRANSPORTASI INDONESIA, WEHA Transportasi Indonesia, WEHA Transportasi Indonesia Tbk, WEHATransportasiIndonesia, weha transportasi indonesia</v>
      </c>
      <c r="E930" t="str">
        <f t="shared" si="155"/>
        <v>WEHA, PT WEHA Transportasi Indonesia, WEHA TRANSPORTASI INDONESIA, WEHA Transportasi Indonesia, WEHA Transportasi Indonesia Tbk, WEHATransportasiIndonesia, weha transportasi indonesia</v>
      </c>
      <c r="F930" t="str">
        <f t="shared" si="156"/>
        <v>weha transportasi indonesia</v>
      </c>
      <c r="G930" t="str">
        <f t="shared" si="159"/>
        <v>WEHA, PT WEHA Transportasi Indonesia, WEHA TRANSPORTASI INDONESIA, WEHA Transportasi Indonesia, WEHA Transportasi Indonesia Tbk, WEHATransportasiIndonesia</v>
      </c>
      <c r="H930" t="str">
        <f t="shared" si="160"/>
        <v>WEHA, PT WEHA Transportasi Indonesia, WEHA TRANSPORTASI INDONESIA, WEHA Transportasi Indonesia, WEHA Transportasi Indonesia Tbk, WEHATransportasiIndonesia</v>
      </c>
      <c r="I930" t="str">
        <f t="shared" si="157"/>
        <v>WEHA TRANSPORTASI INDONESIA</v>
      </c>
      <c r="J930" t="str">
        <f t="shared" si="161"/>
        <v>WEHA, PT WEHA Transportasi Indonesia, WEHA Transportasi Indonesia, WEHA Transportasi Indonesia Tbk, WEHATransportasiIndonesia</v>
      </c>
      <c r="K930" t="str">
        <f t="shared" si="162"/>
        <v>WEHA, PT WEHA Transportasi Indonesia, WEHA Transportasi Indonesia, WEHA Transportasi Indonesia Tbk, WEHATransportasiIndonesia</v>
      </c>
      <c r="L930" t="str">
        <f t="shared" si="158"/>
        <v>WEHATransportasiIndonesia</v>
      </c>
      <c r="M930" t="str">
        <f t="shared" si="163"/>
        <v>WEHA, PT WEHA Transportasi Indonesia, WEHA Transportasi Indonesia, WEHA Transportasi Indonesia Tbk</v>
      </c>
      <c r="N930" t="str">
        <f t="shared" si="164"/>
        <v>WEHA, PT WEHA Transportasi Indonesia, WEHA Transportasi Indonesia, WEHA Transportasi Indonesia Tbk</v>
      </c>
    </row>
    <row r="931" spans="1:14" x14ac:dyDescent="0.2">
      <c r="A931" t="s">
        <v>2031</v>
      </c>
      <c r="B931" t="s">
        <v>2032</v>
      </c>
      <c r="C931" t="s">
        <v>8730</v>
      </c>
      <c r="D931" t="str">
        <f t="shared" si="154"/>
        <v>WGSH, PT Wira Global Solusi, WIRA GLOBAL SOLUSI, Wira Global Solusi, Wira Global Solusi Tbk, WiraGlobalSolusi, wira global solusi</v>
      </c>
      <c r="E931" t="str">
        <f t="shared" si="155"/>
        <v>WGSH, PT Wira Global Solusi, WIRA GLOBAL SOLUSI, Wira Global Solusi, Wira Global Solusi Tbk, WiraGlobalSolusi, wira global solusi</v>
      </c>
      <c r="F931" t="str">
        <f t="shared" si="156"/>
        <v>wira global solusi</v>
      </c>
      <c r="G931" t="str">
        <f t="shared" si="159"/>
        <v>WGSH, PT Wira Global Solusi, WIRA GLOBAL SOLUSI, Wira Global Solusi, Wira Global Solusi Tbk, WiraGlobalSolusi</v>
      </c>
      <c r="H931" t="str">
        <f t="shared" si="160"/>
        <v>WGSH, PT Wira Global Solusi, WIRA GLOBAL SOLUSI, Wira Global Solusi, Wira Global Solusi Tbk, WiraGlobalSolusi</v>
      </c>
      <c r="I931" t="str">
        <f t="shared" si="157"/>
        <v>WIRA GLOBAL SOLUSI</v>
      </c>
      <c r="J931" t="str">
        <f t="shared" si="161"/>
        <v>WGSH, PT Wira Global Solusi, Wira Global Solusi, Wira Global Solusi Tbk, WiraGlobalSolusi</v>
      </c>
      <c r="K931" t="str">
        <f t="shared" si="162"/>
        <v>WGSH, PT Wira Global Solusi, Wira Global Solusi, Wira Global Solusi Tbk, WiraGlobalSolusi</v>
      </c>
      <c r="L931" t="str">
        <f t="shared" si="158"/>
        <v>WiraGlobalSolusi</v>
      </c>
      <c r="M931" t="str">
        <f t="shared" si="163"/>
        <v>WGSH, PT Wira Global Solusi, Wira Global Solusi, Wira Global Solusi Tbk</v>
      </c>
      <c r="N931" t="str">
        <f t="shared" si="164"/>
        <v>WGSH, PT Wira Global Solusi, Wira Global Solusi, Wira Global Solusi Tbk</v>
      </c>
    </row>
    <row r="932" spans="1:14" x14ac:dyDescent="0.2">
      <c r="A932" t="s">
        <v>1314</v>
      </c>
      <c r="B932" t="s">
        <v>3698</v>
      </c>
      <c r="C932" t="s">
        <v>8731</v>
      </c>
      <c r="D932" t="str">
        <f t="shared" si="154"/>
        <v>WICO, PT Wicaksana Overseas International, WICAKSANA OVERSEAS INTERNATIONAL, Wicaksana Overseas International, Wicaksana Overseas International Tbk, WicaksanaOverseasInternational, wicaksana overseas international</v>
      </c>
      <c r="E932" t="str">
        <f t="shared" si="155"/>
        <v>WICO, PT Wicaksana Overseas International, WICAKSANA OVERSEAS INTERNATIONAL, Wicaksana Overseas International, Wicaksana Overseas International Tbk, WicaksanaOverseasInternational, wicaksana overseas international</v>
      </c>
      <c r="F932" t="str">
        <f t="shared" si="156"/>
        <v>wicaksana overseas international</v>
      </c>
      <c r="G932" t="str">
        <f t="shared" si="159"/>
        <v>WICO, PT Wicaksana Overseas International, WICAKSANA OVERSEAS INTERNATIONAL, Wicaksana Overseas International, Wicaksana Overseas International Tbk, WicaksanaOverseasInternational</v>
      </c>
      <c r="H932" t="str">
        <f t="shared" si="160"/>
        <v>WICO, PT Wicaksana Overseas International, WICAKSANA OVERSEAS INTERNATIONAL, Wicaksana Overseas International, Wicaksana Overseas International Tbk, WicaksanaOverseasInternational</v>
      </c>
      <c r="I932" t="str">
        <f t="shared" si="157"/>
        <v>WICAKSANA OVERSEAS INTERNATIONAL</v>
      </c>
      <c r="J932" t="str">
        <f t="shared" si="161"/>
        <v>WICO, PT Wicaksana Overseas International, Wicaksana Overseas International, Wicaksana Overseas International Tbk, WicaksanaOverseasInternational</v>
      </c>
      <c r="K932" t="str">
        <f t="shared" si="162"/>
        <v>WICO, PT Wicaksana Overseas International, Wicaksana Overseas International, Wicaksana Overseas International Tbk, WicaksanaOverseasInternational</v>
      </c>
      <c r="L932" t="str">
        <f t="shared" si="158"/>
        <v>WicaksanaOverseasInternational</v>
      </c>
      <c r="M932" t="str">
        <f t="shared" si="163"/>
        <v>WICO, PT Wicaksana Overseas International, Wicaksana Overseas International, Wicaksana Overseas International Tbk</v>
      </c>
      <c r="N932" t="str">
        <f t="shared" si="164"/>
        <v>WICO, PT Wicaksana Overseas International, Wicaksana Overseas International, Wicaksana Overseas International Tbk</v>
      </c>
    </row>
    <row r="933" spans="1:14" x14ac:dyDescent="0.2">
      <c r="A933" t="s">
        <v>2327</v>
      </c>
      <c r="B933" t="s">
        <v>2328</v>
      </c>
      <c r="C933" t="s">
        <v>8732</v>
      </c>
      <c r="D933" t="str">
        <f t="shared" si="154"/>
        <v>WIDI, PT Widiant Jaya Krenindo, WIDIANT JAYA KRENINDO, Widiant Jaya Krenindo, Widiant Jaya Krenindo Tbk, WidiantJayaKrenindo, widiant jaya krenindo</v>
      </c>
      <c r="E933" t="str">
        <f t="shared" si="155"/>
        <v>WIDI, PT Widiant Jaya Krenindo, WIDIANT JAYA KRENINDO, Widiant Jaya Krenindo, Widiant Jaya Krenindo Tbk, WidiantJayaKrenindo, widiant jaya krenindo</v>
      </c>
      <c r="F933" t="str">
        <f t="shared" si="156"/>
        <v>widiant jaya krenindo</v>
      </c>
      <c r="G933" t="str">
        <f t="shared" si="159"/>
        <v>WIDI, PT Widiant Jaya Krenindo, WIDIANT JAYA KRENINDO, Widiant Jaya Krenindo, Widiant Jaya Krenindo Tbk, WidiantJayaKrenindo</v>
      </c>
      <c r="H933" t="str">
        <f t="shared" si="160"/>
        <v>WIDI, PT Widiant Jaya Krenindo, WIDIANT JAYA KRENINDO, Widiant Jaya Krenindo, Widiant Jaya Krenindo Tbk, WidiantJayaKrenindo</v>
      </c>
      <c r="I933" t="str">
        <f t="shared" si="157"/>
        <v>WIDIANT JAYA KRENINDO</v>
      </c>
      <c r="J933" t="str">
        <f t="shared" si="161"/>
        <v>WIDI, PT Widiant Jaya Krenindo, Widiant Jaya Krenindo, Widiant Jaya Krenindo Tbk, WidiantJayaKrenindo</v>
      </c>
      <c r="K933" t="str">
        <f t="shared" si="162"/>
        <v>WIDI, PT Widiant Jaya Krenindo, Widiant Jaya Krenindo, Widiant Jaya Krenindo Tbk, WidiantJayaKrenindo</v>
      </c>
      <c r="L933" t="str">
        <f t="shared" si="158"/>
        <v>WidiantJayaKrenindo</v>
      </c>
      <c r="M933" t="str">
        <f t="shared" si="163"/>
        <v>WIDI, PT Widiant Jaya Krenindo, Widiant Jaya Krenindo, Widiant Jaya Krenindo Tbk</v>
      </c>
      <c r="N933" t="str">
        <f t="shared" si="164"/>
        <v>WIDI, PT Widiant Jaya Krenindo, Widiant Jaya Krenindo, Widiant Jaya Krenindo Tbk</v>
      </c>
    </row>
    <row r="934" spans="1:14" x14ac:dyDescent="0.2">
      <c r="A934" t="s">
        <v>2643</v>
      </c>
      <c r="B934" t="s">
        <v>2644</v>
      </c>
      <c r="C934" t="s">
        <v>8733</v>
      </c>
      <c r="D934" t="str">
        <f t="shared" si="154"/>
        <v>WIFI, PT Solusi Sinergi Digital, SOLUSI SINERGI DIGITAL, Solusi Sinergi Digital, Solusi Sinergi Digital Tbk, SolusiSinergiDigital, solusi sinergi digital</v>
      </c>
      <c r="E934" t="str">
        <f t="shared" si="155"/>
        <v>WIFI, PT Solusi Sinergi Digital, SOLUSI SINERGI DIGITAL, Solusi Sinergi Digital, Solusi Sinergi Digital Tbk, SolusiSinergiDigital, solusi sinergi digital</v>
      </c>
      <c r="F934" t="str">
        <f t="shared" si="156"/>
        <v>solusi sinergi digital</v>
      </c>
      <c r="G934" t="str">
        <f t="shared" si="159"/>
        <v>WIFI, PT Solusi Sinergi Digital, SOLUSI SINERGI DIGITAL, Solusi Sinergi Digital, Solusi Sinergi Digital Tbk, SolusiSinergiDigital</v>
      </c>
      <c r="H934" t="str">
        <f t="shared" si="160"/>
        <v>WIFI, PT Solusi Sinergi Digital, SOLUSI SINERGI DIGITAL, Solusi Sinergi Digital, Solusi Sinergi Digital Tbk, SolusiSinergiDigital</v>
      </c>
      <c r="I934" t="str">
        <f t="shared" si="157"/>
        <v>SOLUSI SINERGI DIGITAL</v>
      </c>
      <c r="J934" t="str">
        <f t="shared" si="161"/>
        <v>WIFI, PT Solusi Sinergi Digital, Solusi Sinergi Digital, Solusi Sinergi Digital Tbk, SolusiSinergiDigital</v>
      </c>
      <c r="K934" t="str">
        <f t="shared" si="162"/>
        <v>WIFI, PT Solusi Sinergi Digital, Solusi Sinergi Digital, Solusi Sinergi Digital Tbk, SolusiSinergiDigital</v>
      </c>
      <c r="L934" t="str">
        <f t="shared" si="158"/>
        <v>SolusiSinergiDigital</v>
      </c>
      <c r="M934" t="str">
        <f t="shared" si="163"/>
        <v>WIFI, PT Solusi Sinergi Digital, Solusi Sinergi Digital, Solusi Sinergi Digital Tbk</v>
      </c>
      <c r="N934" t="str">
        <f t="shared" si="164"/>
        <v>WIFI, PT Solusi Sinergi Digital, Solusi Sinergi Digital, Solusi Sinergi Digital Tbk</v>
      </c>
    </row>
    <row r="935" spans="1:14" x14ac:dyDescent="0.2">
      <c r="A935" t="s">
        <v>1316</v>
      </c>
      <c r="B935" t="s">
        <v>1317</v>
      </c>
      <c r="C935" t="s">
        <v>8734</v>
      </c>
      <c r="D935" t="str">
        <f t="shared" si="154"/>
        <v>WIIM, PT Wismilak Inti Makmur, WISMILAK INTI MAKMUR, Wismilak Inti Makmur, Wismilak Inti Makmur Tbk, WismilakIntiMakmur, wismilak inti makmur</v>
      </c>
      <c r="E935" t="str">
        <f t="shared" si="155"/>
        <v>WIIM, PT Wismilak Inti Makmur, WISMILAK INTI MAKMUR, Wismilak Inti Makmur, Wismilak Inti Makmur Tbk, WismilakIntiMakmur, wismilak inti makmur</v>
      </c>
      <c r="F935" t="str">
        <f t="shared" si="156"/>
        <v>wismilak inti makmur</v>
      </c>
      <c r="G935" t="str">
        <f t="shared" si="159"/>
        <v>WIIM, PT Wismilak Inti Makmur, WISMILAK INTI MAKMUR, Wismilak Inti Makmur, Wismilak Inti Makmur Tbk, WismilakIntiMakmur</v>
      </c>
      <c r="H935" t="str">
        <f t="shared" si="160"/>
        <v>WIIM, PT Wismilak Inti Makmur, WISMILAK INTI MAKMUR, Wismilak Inti Makmur, Wismilak Inti Makmur Tbk, WismilakIntiMakmur</v>
      </c>
      <c r="I935" t="str">
        <f t="shared" si="157"/>
        <v>WISMILAK INTI MAKMUR</v>
      </c>
      <c r="J935" t="str">
        <f t="shared" si="161"/>
        <v>WIIM, PT Wismilak Inti Makmur, Wismilak Inti Makmur, Wismilak Inti Makmur Tbk, WismilakIntiMakmur</v>
      </c>
      <c r="K935" t="str">
        <f t="shared" si="162"/>
        <v>WIIM, PT Wismilak Inti Makmur, Wismilak Inti Makmur, Wismilak Inti Makmur Tbk, WismilakIntiMakmur</v>
      </c>
      <c r="L935" t="str">
        <f t="shared" si="158"/>
        <v>WismilakIntiMakmur</v>
      </c>
      <c r="M935" t="str">
        <f t="shared" si="163"/>
        <v>WIIM, PT Wismilak Inti Makmur, Wismilak Inti Makmur, Wismilak Inti Makmur Tbk</v>
      </c>
      <c r="N935" t="str">
        <f t="shared" si="164"/>
        <v>WIIM, PT Wismilak Inti Makmur, Wismilak Inti Makmur, Wismilak Inti Makmur Tbk</v>
      </c>
    </row>
    <row r="936" spans="1:14" x14ac:dyDescent="0.2">
      <c r="A936" t="s">
        <v>1319</v>
      </c>
      <c r="B936" t="s">
        <v>1320</v>
      </c>
      <c r="C936" t="s">
        <v>8735</v>
      </c>
      <c r="D936" t="str">
        <f t="shared" si="154"/>
        <v>WIKA, PT Wijaya Karya (Persero), WIJAYA KARYA (PERSERO), Wijaya Karya (Persero), Wijaya Karya (Persero) Tbk, WijayaKarya(Persero), wijaya karya (persero)</v>
      </c>
      <c r="E936" t="str">
        <f t="shared" si="155"/>
        <v>WIKA, PT Wijaya Karya (Persero), WIJAYA KARYA (PERSERO), Wijaya Karya (Persero), Wijaya Karya (Persero) Tbk, WijayaKarya(Persero), wijaya karya (persero)</v>
      </c>
      <c r="F936" t="str">
        <f t="shared" si="156"/>
        <v>wijaya karya (persero)</v>
      </c>
      <c r="G936" t="str">
        <f t="shared" si="159"/>
        <v>WIKA, PT Wijaya Karya (Persero), WIJAYA KARYA (PERSERO), Wijaya Karya (Persero), Wijaya Karya (Persero) Tbk, WijayaKarya(Persero)</v>
      </c>
      <c r="H936" t="str">
        <f t="shared" si="160"/>
        <v>WIKA, PT Wijaya Karya (Persero), WIJAYA KARYA (PERSERO), Wijaya Karya (Persero), Wijaya Karya (Persero) Tbk, WijayaKarya(Persero)</v>
      </c>
      <c r="I936" t="str">
        <f t="shared" si="157"/>
        <v>WIJAYA KARYA (PERSERO)</v>
      </c>
      <c r="J936" t="str">
        <f t="shared" si="161"/>
        <v>WIKA, PT Wijaya Karya (Persero), Wijaya Karya (Persero), Wijaya Karya (Persero) Tbk, WijayaKarya(Persero)</v>
      </c>
      <c r="K936" t="str">
        <f t="shared" si="162"/>
        <v>WIKA, PT Wijaya Karya (Persero), Wijaya Karya (Persero), Wijaya Karya (Persero) Tbk, WijayaKarya(Persero)</v>
      </c>
      <c r="L936" t="str">
        <f t="shared" si="158"/>
        <v>WijayaKarya(Persero)</v>
      </c>
      <c r="M936" t="str">
        <f t="shared" si="163"/>
        <v>WIKA, PT Wijaya Karya (Persero), Wijaya Karya (Persero), Wijaya Karya (Persero) Tbk</v>
      </c>
      <c r="N936" t="str">
        <f t="shared" si="164"/>
        <v>WIKA, PT Wijaya Karya (Persero), Wijaya Karya (Persero), Wijaya Karya (Persero) Tbk</v>
      </c>
    </row>
    <row r="937" spans="1:14" x14ac:dyDescent="0.2">
      <c r="A937" t="s">
        <v>2232</v>
      </c>
      <c r="B937" t="s">
        <v>2233</v>
      </c>
      <c r="C937" t="s">
        <v>8736</v>
      </c>
      <c r="D937" t="str">
        <f t="shared" si="154"/>
        <v>WINE, HATTEN BALI, Hatten Bali, Hatten Bali Tbk, HattenBali, PT Hatten Bali, hatten bali</v>
      </c>
      <c r="E937" t="str">
        <f t="shared" si="155"/>
        <v>WINE, HATTEN BALI, Hatten Bali, Hatten Bali Tbk, HattenBali, PT Hatten Bali, hatten bali</v>
      </c>
      <c r="F937" t="str">
        <f t="shared" si="156"/>
        <v>hatten bali</v>
      </c>
      <c r="G937" t="str">
        <f t="shared" si="159"/>
        <v>WINE, HATTEN BALI, Hatten Bali, Hatten Bali Tbk, HattenBali, PT Hatten Bali</v>
      </c>
      <c r="H937" t="str">
        <f t="shared" si="160"/>
        <v>WINE, HATTEN BALI, Hatten Bali, Hatten Bali Tbk, HattenBali, PT Hatten Bali</v>
      </c>
      <c r="I937" t="str">
        <f t="shared" si="157"/>
        <v>HATTEN BALI</v>
      </c>
      <c r="J937" t="str">
        <f t="shared" si="161"/>
        <v>WINE, Hatten Bali, Hatten Bali Tbk, HattenBali, PT Hatten Bali</v>
      </c>
      <c r="K937" t="str">
        <f t="shared" si="162"/>
        <v>WINE, Hatten Bali, Hatten Bali Tbk, HattenBali, PT Hatten Bali</v>
      </c>
      <c r="L937" t="str">
        <f t="shared" si="158"/>
        <v>HattenBali</v>
      </c>
      <c r="M937" t="str">
        <f t="shared" si="163"/>
        <v>WINE, Hatten Bali, Hatten Bali Tbk, PT Hatten Bali</v>
      </c>
      <c r="N937" t="str">
        <f t="shared" si="164"/>
        <v>WINE, Hatten Bali, Hatten Bali Tbk, PT Hatten Bali</v>
      </c>
    </row>
    <row r="938" spans="1:14" x14ac:dyDescent="0.2">
      <c r="A938" t="s">
        <v>2106</v>
      </c>
      <c r="B938" t="s">
        <v>2107</v>
      </c>
      <c r="C938" t="s">
        <v>8737</v>
      </c>
      <c r="D938" t="str">
        <f t="shared" si="154"/>
        <v>WINR, PT Winner Nusantara Jaya, WINNER NUSANTARA JAYA, Winner Nusantara Jaya, Winner Nusantara Jaya Tbk, WinnerNusantaraJaya, winner nusantara jaya</v>
      </c>
      <c r="E938" t="str">
        <f t="shared" si="155"/>
        <v>WINR, PT Winner Nusantara Jaya, WINNER NUSANTARA JAYA, Winner Nusantara Jaya, Winner Nusantara Jaya Tbk, WinnerNusantaraJaya, winner nusantara jaya</v>
      </c>
      <c r="F938" t="str">
        <f t="shared" si="156"/>
        <v>winner nusantara jaya</v>
      </c>
      <c r="G938" t="str">
        <f t="shared" si="159"/>
        <v>WINR, PT Winner Nusantara Jaya, WINNER NUSANTARA JAYA, Winner Nusantara Jaya, Winner Nusantara Jaya Tbk, WinnerNusantaraJaya</v>
      </c>
      <c r="H938" t="str">
        <f t="shared" si="160"/>
        <v>WINR, PT Winner Nusantara Jaya, WINNER NUSANTARA JAYA, Winner Nusantara Jaya, Winner Nusantara Jaya Tbk, WinnerNusantaraJaya</v>
      </c>
      <c r="I938" t="str">
        <f t="shared" si="157"/>
        <v>WINNER NUSANTARA JAYA</v>
      </c>
      <c r="J938" t="str">
        <f t="shared" si="161"/>
        <v>WINR, PT Winner Nusantara Jaya, Winner Nusantara Jaya, Winner Nusantara Jaya Tbk, WinnerNusantaraJaya</v>
      </c>
      <c r="K938" t="str">
        <f t="shared" si="162"/>
        <v>WINR, PT Winner Nusantara Jaya, Winner Nusantara Jaya, Winner Nusantara Jaya Tbk, WinnerNusantaraJaya</v>
      </c>
      <c r="L938" t="str">
        <f t="shared" si="158"/>
        <v>WinnerNusantaraJaya</v>
      </c>
      <c r="M938" t="str">
        <f t="shared" si="163"/>
        <v>WINR, PT Winner Nusantara Jaya, Winner Nusantara Jaya, Winner Nusantara Jaya Tbk</v>
      </c>
      <c r="N938" t="str">
        <f t="shared" si="164"/>
        <v>WINR, PT Winner Nusantara Jaya, Winner Nusantara Jaya, Winner Nusantara Jaya Tbk</v>
      </c>
    </row>
    <row r="939" spans="1:14" x14ac:dyDescent="0.2">
      <c r="A939" t="s">
        <v>1322</v>
      </c>
      <c r="B939" t="s">
        <v>1323</v>
      </c>
      <c r="C939" t="s">
        <v>8738</v>
      </c>
      <c r="D939" t="str">
        <f t="shared" si="154"/>
        <v>WINS, PT Wintermar Offshore Marine, WINTERMAR OFFSHORE MARINE, Wintermar Offshore Marine, Wintermar Offshore Marine Tbk, WintermarOffshoreMarine, wintermar offshore marine</v>
      </c>
      <c r="E939" t="str">
        <f t="shared" si="155"/>
        <v>WINS, PT Wintermar Offshore Marine, WINTERMAR OFFSHORE MARINE, Wintermar Offshore Marine, Wintermar Offshore Marine Tbk, WintermarOffshoreMarine, wintermar offshore marine</v>
      </c>
      <c r="F939" t="str">
        <f t="shared" si="156"/>
        <v>wintermar offshore marine</v>
      </c>
      <c r="G939" t="str">
        <f t="shared" si="159"/>
        <v>WINS, PT Wintermar Offshore Marine, WINTERMAR OFFSHORE MARINE, Wintermar Offshore Marine, Wintermar Offshore Marine Tbk, WintermarOffshoreMarine</v>
      </c>
      <c r="H939" t="str">
        <f t="shared" si="160"/>
        <v>WINS, PT Wintermar Offshore Marine, WINTERMAR OFFSHORE MARINE, Wintermar Offshore Marine, Wintermar Offshore Marine Tbk, WintermarOffshoreMarine</v>
      </c>
      <c r="I939" t="str">
        <f t="shared" si="157"/>
        <v>WINTERMAR OFFSHORE MARINE</v>
      </c>
      <c r="J939" t="str">
        <f t="shared" si="161"/>
        <v>WINS, PT Wintermar Offshore Marine, Wintermar Offshore Marine, Wintermar Offshore Marine Tbk, WintermarOffshoreMarine</v>
      </c>
      <c r="K939" t="str">
        <f t="shared" si="162"/>
        <v>WINS, PT Wintermar Offshore Marine, Wintermar Offshore Marine, Wintermar Offshore Marine Tbk, WintermarOffshoreMarine</v>
      </c>
      <c r="L939" t="str">
        <f t="shared" si="158"/>
        <v>WintermarOffshoreMarine</v>
      </c>
      <c r="M939" t="str">
        <f t="shared" si="163"/>
        <v>WINS, PT Wintermar Offshore Marine, Wintermar Offshore Marine, Wintermar Offshore Marine Tbk</v>
      </c>
      <c r="N939" t="str">
        <f t="shared" si="164"/>
        <v>WINS, PT Wintermar Offshore Marine, Wintermar Offshore Marine, Wintermar Offshore Marine Tbk</v>
      </c>
    </row>
    <row r="940" spans="1:14" x14ac:dyDescent="0.2">
      <c r="A940" t="s">
        <v>2091</v>
      </c>
      <c r="B940" t="s">
        <v>2092</v>
      </c>
      <c r="C940" t="s">
        <v>8739</v>
      </c>
      <c r="D940" t="str">
        <f t="shared" si="154"/>
        <v>WIRG, PT WIR ASIA, WIR ASIA, WIR ASIA Tbk, WIRASIA, wir asia</v>
      </c>
      <c r="E940" t="str">
        <f t="shared" si="155"/>
        <v>WIRG, PT WIR ASIA, WIR ASIA, WIR ASIA Tbk, WIRASIA, wir asia</v>
      </c>
      <c r="F940" t="str">
        <f t="shared" si="156"/>
        <v>wir asia</v>
      </c>
      <c r="G940" t="str">
        <f t="shared" si="159"/>
        <v>WIRG, PT WIR ASIA, WIR ASIA, WIR ASIA Tbk, WIRASIA</v>
      </c>
      <c r="H940" t="str">
        <f t="shared" si="160"/>
        <v>WIRG, PT WIR ASIA, WIR ASIA, WIR ASIA Tbk, WIRASIA</v>
      </c>
      <c r="I940" t="str">
        <f t="shared" si="157"/>
        <v>WIR ASIA</v>
      </c>
      <c r="J940" t="str">
        <f t="shared" si="161"/>
        <v>WIRG, PT WIR ASIA Tbk, WIRASIA</v>
      </c>
      <c r="K940" t="str">
        <f t="shared" si="162"/>
        <v>WIRG, PT WIR ASIA Tbk, WIRASIA</v>
      </c>
      <c r="L940" t="str">
        <f t="shared" si="158"/>
        <v>WIRASIA</v>
      </c>
      <c r="M940" t="str">
        <f t="shared" si="163"/>
        <v>WIRG, PT WIR ASIA Tbk</v>
      </c>
      <c r="N940" t="str">
        <f t="shared" si="164"/>
        <v>WIRG, PT WIR ASIA Tbk</v>
      </c>
    </row>
    <row r="941" spans="1:14" x14ac:dyDescent="0.2">
      <c r="A941" t="s">
        <v>2037</v>
      </c>
      <c r="B941" t="s">
        <v>2038</v>
      </c>
      <c r="C941" t="s">
        <v>8740</v>
      </c>
      <c r="D941" t="str">
        <f t="shared" si="154"/>
        <v>WMPP, PT Widodo Makmur Perkasa, WIDODO MAKMUR PERKASA, Widodo Makmur Perkasa, Widodo Makmur Perkasa Tbk, WidodoMakmurPerkasa, widodo makmur perkasa</v>
      </c>
      <c r="E941" t="str">
        <f t="shared" si="155"/>
        <v>WMPP, PT Widodo Makmur Perkasa, WIDODO MAKMUR PERKASA, Widodo Makmur Perkasa, Widodo Makmur Perkasa Tbk, WidodoMakmurPerkasa, widodo makmur perkasa</v>
      </c>
      <c r="F941" t="str">
        <f t="shared" si="156"/>
        <v>widodo makmur perkasa</v>
      </c>
      <c r="G941" t="str">
        <f t="shared" si="159"/>
        <v>WMPP, PT Widodo Makmur Perkasa, WIDODO MAKMUR PERKASA, Widodo Makmur Perkasa, Widodo Makmur Perkasa Tbk, WidodoMakmurPerkasa</v>
      </c>
      <c r="H941" t="str">
        <f t="shared" si="160"/>
        <v>WMPP, PT Widodo Makmur Perkasa, WIDODO MAKMUR PERKASA, Widodo Makmur Perkasa, Widodo Makmur Perkasa Tbk, WidodoMakmurPerkasa</v>
      </c>
      <c r="I941" t="str">
        <f t="shared" si="157"/>
        <v>WIDODO MAKMUR PERKASA</v>
      </c>
      <c r="J941" t="str">
        <f t="shared" si="161"/>
        <v>WMPP, PT Widodo Makmur Perkasa, Widodo Makmur Perkasa, Widodo Makmur Perkasa Tbk, WidodoMakmurPerkasa</v>
      </c>
      <c r="K941" t="str">
        <f t="shared" si="162"/>
        <v>WMPP, PT Widodo Makmur Perkasa, Widodo Makmur Perkasa, Widodo Makmur Perkasa Tbk, WidodoMakmurPerkasa</v>
      </c>
      <c r="L941" t="str">
        <f t="shared" si="158"/>
        <v>WidodoMakmurPerkasa</v>
      </c>
      <c r="M941" t="str">
        <f t="shared" si="163"/>
        <v>WMPP, PT Widodo Makmur Perkasa, Widodo Makmur Perkasa, Widodo Makmur Perkasa Tbk</v>
      </c>
      <c r="N941" t="str">
        <f t="shared" si="164"/>
        <v>WMPP, PT Widodo Makmur Perkasa, Widodo Makmur Perkasa, Widodo Makmur Perkasa Tbk</v>
      </c>
    </row>
    <row r="942" spans="1:14" x14ac:dyDescent="0.2">
      <c r="A942" t="s">
        <v>1912</v>
      </c>
      <c r="B942" t="s">
        <v>1913</v>
      </c>
      <c r="C942" t="s">
        <v>8741</v>
      </c>
      <c r="D942" t="str">
        <f t="shared" si="154"/>
        <v>WMUU, PT Widodo Makmur Unggas, WIDODO MAKMUR UNGGAS, Widodo Makmur Unggas, Widodo Makmur Unggas Tbk, WidodoMakmurUnggas, widodo makmur unggas</v>
      </c>
      <c r="E942" t="str">
        <f t="shared" si="155"/>
        <v>WMUU, PT Widodo Makmur Unggas, WIDODO MAKMUR UNGGAS, Widodo Makmur Unggas, Widodo Makmur Unggas Tbk, WidodoMakmurUnggas, widodo makmur unggas</v>
      </c>
      <c r="F942" t="str">
        <f t="shared" si="156"/>
        <v>widodo makmur unggas</v>
      </c>
      <c r="G942" t="str">
        <f t="shared" si="159"/>
        <v>WMUU, PT Widodo Makmur Unggas, WIDODO MAKMUR UNGGAS, Widodo Makmur Unggas, Widodo Makmur Unggas Tbk, WidodoMakmurUnggas</v>
      </c>
      <c r="H942" t="str">
        <f t="shared" si="160"/>
        <v>WMUU, PT Widodo Makmur Unggas, WIDODO MAKMUR UNGGAS, Widodo Makmur Unggas, Widodo Makmur Unggas Tbk, WidodoMakmurUnggas</v>
      </c>
      <c r="I942" t="str">
        <f t="shared" si="157"/>
        <v>WIDODO MAKMUR UNGGAS</v>
      </c>
      <c r="J942" t="str">
        <f t="shared" si="161"/>
        <v>WMUU, PT Widodo Makmur Unggas, Widodo Makmur Unggas, Widodo Makmur Unggas Tbk, WidodoMakmurUnggas</v>
      </c>
      <c r="K942" t="str">
        <f t="shared" si="162"/>
        <v>WMUU, PT Widodo Makmur Unggas, Widodo Makmur Unggas, Widodo Makmur Unggas Tbk, WidodoMakmurUnggas</v>
      </c>
      <c r="L942" t="str">
        <f t="shared" si="158"/>
        <v>WidodoMakmurUnggas</v>
      </c>
      <c r="M942" t="str">
        <f t="shared" si="163"/>
        <v>WMUU, PT Widodo Makmur Unggas, Widodo Makmur Unggas, Widodo Makmur Unggas Tbk</v>
      </c>
      <c r="N942" t="str">
        <f t="shared" si="164"/>
        <v>WMUU, PT Widodo Makmur Unggas, Widodo Makmur Unggas, Widodo Makmur Unggas Tbk</v>
      </c>
    </row>
    <row r="943" spans="1:14" x14ac:dyDescent="0.2">
      <c r="A943" t="s">
        <v>1325</v>
      </c>
      <c r="B943" t="s">
        <v>3699</v>
      </c>
      <c r="C943" t="s">
        <v>8742</v>
      </c>
      <c r="D943" t="str">
        <f t="shared" si="154"/>
        <v>WOMF, PT Wahana Ottomitra Multiartha, WAHANA OTTOMITRA MULTIARTHA, Wahana Ottomitra Multiartha, Wahana Ottomitra Multiartha Tbk, WahanaOttomitraMultiartha, wahana ottomitra multiartha</v>
      </c>
      <c r="E943" t="str">
        <f t="shared" si="155"/>
        <v>WOMF, PT Wahana Ottomitra Multiartha, WAHANA OTTOMITRA MULTIARTHA, Wahana Ottomitra Multiartha, Wahana Ottomitra Multiartha Tbk, WahanaOttomitraMultiartha, wahana ottomitra multiartha</v>
      </c>
      <c r="F943" t="str">
        <f t="shared" si="156"/>
        <v>wahana ottomitra multiartha</v>
      </c>
      <c r="G943" t="str">
        <f t="shared" si="159"/>
        <v>WOMF, PT Wahana Ottomitra Multiartha, WAHANA OTTOMITRA MULTIARTHA, Wahana Ottomitra Multiartha, Wahana Ottomitra Multiartha Tbk, WahanaOttomitraMultiartha</v>
      </c>
      <c r="H943" t="str">
        <f t="shared" si="160"/>
        <v>WOMF, PT Wahana Ottomitra Multiartha, WAHANA OTTOMITRA MULTIARTHA, Wahana Ottomitra Multiartha, Wahana Ottomitra Multiartha Tbk, WahanaOttomitraMultiartha</v>
      </c>
      <c r="I943" t="str">
        <f t="shared" si="157"/>
        <v>WAHANA OTTOMITRA MULTIARTHA</v>
      </c>
      <c r="J943" t="str">
        <f t="shared" si="161"/>
        <v>WOMF, PT Wahana Ottomitra Multiartha, Wahana Ottomitra Multiartha, Wahana Ottomitra Multiartha Tbk, WahanaOttomitraMultiartha</v>
      </c>
      <c r="K943" t="str">
        <f t="shared" si="162"/>
        <v>WOMF, PT Wahana Ottomitra Multiartha, Wahana Ottomitra Multiartha, Wahana Ottomitra Multiartha Tbk, WahanaOttomitraMultiartha</v>
      </c>
      <c r="L943" t="str">
        <f t="shared" si="158"/>
        <v>WahanaOttomitraMultiartha</v>
      </c>
      <c r="M943" t="str">
        <f t="shared" si="163"/>
        <v>WOMF, PT Wahana Ottomitra Multiartha, Wahana Ottomitra Multiartha, Wahana Ottomitra Multiartha Tbk</v>
      </c>
      <c r="N943" t="str">
        <f t="shared" si="164"/>
        <v>WOMF, PT Wahana Ottomitra Multiartha, Wahana Ottomitra Multiartha, Wahana Ottomitra Multiartha Tbk</v>
      </c>
    </row>
    <row r="944" spans="1:14" x14ac:dyDescent="0.2">
      <c r="A944" t="s">
        <v>1425</v>
      </c>
      <c r="B944" t="s">
        <v>1426</v>
      </c>
      <c r="C944" t="s">
        <v>8743</v>
      </c>
      <c r="D944" t="str">
        <f t="shared" si="154"/>
        <v>WOOD, INTEGRA INDOCABINET, Integra Indocabinet, Integra Indocabinet Tbk, IntegraIndocabinet, PT Integra Indocabinet, integra indocabinet</v>
      </c>
      <c r="E944" t="str">
        <f t="shared" si="155"/>
        <v>WOOD, INTEGRA INDOCABINET, Integra Indocabinet, Integra Indocabinet Tbk, IntegraIndocabinet, PT Integra Indocabinet, integra indocabinet</v>
      </c>
      <c r="F944" t="str">
        <f t="shared" si="156"/>
        <v>integra indocabinet</v>
      </c>
      <c r="G944" t="str">
        <f t="shared" si="159"/>
        <v>WOOD, INTEGRA INDOCABINET, Integra Indocabinet, Integra Indocabinet Tbk, IntegraIndocabinet, PT Integra Indocabinet</v>
      </c>
      <c r="H944" t="str">
        <f t="shared" si="160"/>
        <v>WOOD, INTEGRA INDOCABINET, Integra Indocabinet, Integra Indocabinet Tbk, IntegraIndocabinet, PT Integra Indocabinet</v>
      </c>
      <c r="I944" t="str">
        <f t="shared" si="157"/>
        <v>INTEGRA INDOCABINET</v>
      </c>
      <c r="J944" t="str">
        <f t="shared" si="161"/>
        <v>WOOD, Integra Indocabinet, Integra Indocabinet Tbk, IntegraIndocabinet, PT Integra Indocabinet</v>
      </c>
      <c r="K944" t="str">
        <f t="shared" si="162"/>
        <v>WOOD, Integra Indocabinet, Integra Indocabinet Tbk, IntegraIndocabinet, PT Integra Indocabinet</v>
      </c>
      <c r="L944" t="str">
        <f t="shared" si="158"/>
        <v>IntegraIndocabinet</v>
      </c>
      <c r="M944" t="str">
        <f t="shared" si="163"/>
        <v>WOOD, Integra Indocabinet, Integra Indocabinet Tbk, PT Integra Indocabinet</v>
      </c>
      <c r="N944" t="str">
        <f t="shared" si="164"/>
        <v>WOOD, Integra Indocabinet, Integra Indocabinet Tbk, PT Integra Indocabinet</v>
      </c>
    </row>
    <row r="945" spans="1:14" x14ac:dyDescent="0.2">
      <c r="A945" t="s">
        <v>1759</v>
      </c>
      <c r="B945" t="s">
        <v>1760</v>
      </c>
      <c r="C945" t="s">
        <v>8744</v>
      </c>
      <c r="D945" t="str">
        <f t="shared" si="154"/>
        <v>WOWS, GINTING JAYA ENERGI, Ginting Jaya Energi, Ginting Jaya Energi Tbk, GintingJayaEnergi, PT Ginting Jaya Energi, ginting jaya energi</v>
      </c>
      <c r="E945" t="str">
        <f t="shared" si="155"/>
        <v>WOWS, GINTING JAYA ENERGI, Ginting Jaya Energi, Ginting Jaya Energi Tbk, GintingJayaEnergi, PT Ginting Jaya Energi, ginting jaya energi</v>
      </c>
      <c r="F945" t="str">
        <f t="shared" si="156"/>
        <v>ginting jaya energi</v>
      </c>
      <c r="G945" t="str">
        <f t="shared" si="159"/>
        <v>WOWS, GINTING JAYA ENERGI, Ginting Jaya Energi, Ginting Jaya Energi Tbk, GintingJayaEnergi, PT Ginting Jaya Energi</v>
      </c>
      <c r="H945" t="str">
        <f t="shared" si="160"/>
        <v>WOWS, GINTING JAYA ENERGI, Ginting Jaya Energi, Ginting Jaya Energi Tbk, GintingJayaEnergi, PT Ginting Jaya Energi</v>
      </c>
      <c r="I945" t="str">
        <f t="shared" si="157"/>
        <v>GINTING JAYA ENERGI</v>
      </c>
      <c r="J945" t="str">
        <f t="shared" si="161"/>
        <v>WOWS, Ginting Jaya Energi, Ginting Jaya Energi Tbk, GintingJayaEnergi, PT Ginting Jaya Energi</v>
      </c>
      <c r="K945" t="str">
        <f t="shared" si="162"/>
        <v>WOWS, Ginting Jaya Energi, Ginting Jaya Energi Tbk, GintingJayaEnergi, PT Ginting Jaya Energi</v>
      </c>
      <c r="L945" t="str">
        <f t="shared" si="158"/>
        <v>GintingJayaEnergi</v>
      </c>
      <c r="M945" t="str">
        <f t="shared" si="163"/>
        <v>WOWS, Ginting Jaya Energi, Ginting Jaya Energi Tbk, PT Ginting Jaya Energi</v>
      </c>
      <c r="N945" t="str">
        <f t="shared" si="164"/>
        <v>WOWS, Ginting Jaya Energi, Ginting Jaya Energi Tbk, PT Ginting Jaya Energi</v>
      </c>
    </row>
    <row r="946" spans="1:14" x14ac:dyDescent="0.2">
      <c r="A946" t="s">
        <v>1378</v>
      </c>
      <c r="B946" t="s">
        <v>1379</v>
      </c>
      <c r="C946" t="s">
        <v>8745</v>
      </c>
      <c r="D946" t="str">
        <f t="shared" si="154"/>
        <v>WSBP, PT Waskita Beton Precast, WASKITA BETON PRECAST, Waskita Beton Precast, Waskita Beton Precast Tbk, WaskitaBetonPrecast, waskita beton precast</v>
      </c>
      <c r="E946" t="str">
        <f t="shared" si="155"/>
        <v>WSBP, PT Waskita Beton Precast, WASKITA BETON PRECAST, Waskita Beton Precast, Waskita Beton Precast Tbk, WaskitaBetonPrecast, waskita beton precast</v>
      </c>
      <c r="F946" t="str">
        <f t="shared" si="156"/>
        <v>waskita beton precast</v>
      </c>
      <c r="G946" t="str">
        <f t="shared" si="159"/>
        <v>WSBP, PT Waskita Beton Precast, WASKITA BETON PRECAST, Waskita Beton Precast, Waskita Beton Precast Tbk, WaskitaBetonPrecast</v>
      </c>
      <c r="H946" t="str">
        <f t="shared" si="160"/>
        <v>WSBP, PT Waskita Beton Precast, WASKITA BETON PRECAST, Waskita Beton Precast, Waskita Beton Precast Tbk, WaskitaBetonPrecast</v>
      </c>
      <c r="I946" t="str">
        <f t="shared" si="157"/>
        <v>WASKITA BETON PRECAST</v>
      </c>
      <c r="J946" t="str">
        <f t="shared" si="161"/>
        <v>WSBP, PT Waskita Beton Precast, Waskita Beton Precast, Waskita Beton Precast Tbk, WaskitaBetonPrecast</v>
      </c>
      <c r="K946" t="str">
        <f t="shared" si="162"/>
        <v>WSBP, PT Waskita Beton Precast, Waskita Beton Precast, Waskita Beton Precast Tbk, WaskitaBetonPrecast</v>
      </c>
      <c r="L946" t="str">
        <f t="shared" si="158"/>
        <v>WaskitaBetonPrecast</v>
      </c>
      <c r="M946" t="str">
        <f t="shared" si="163"/>
        <v>WSBP, PT Waskita Beton Precast, Waskita Beton Precast, Waskita Beton Precast Tbk</v>
      </c>
      <c r="N946" t="str">
        <f t="shared" si="164"/>
        <v>WSBP, PT Waskita Beton Precast, Waskita Beton Precast, Waskita Beton Precast Tbk</v>
      </c>
    </row>
    <row r="947" spans="1:14" x14ac:dyDescent="0.2">
      <c r="A947" t="s">
        <v>1327</v>
      </c>
      <c r="B947" t="s">
        <v>1328</v>
      </c>
      <c r="C947" t="s">
        <v>8746</v>
      </c>
      <c r="D947" t="str">
        <f t="shared" si="154"/>
        <v>WSKT, PT Waskita Karya (Persero), WASKITA KARYA (PERSERO), Waskita Karya (Persero), Waskita Karya (Persero) Tbk, WaskitaKarya(Persero), waskita karya (persero)</v>
      </c>
      <c r="E947" t="str">
        <f t="shared" si="155"/>
        <v>WSKT, PT Waskita Karya (Persero), WASKITA KARYA (PERSERO), Waskita Karya (Persero), Waskita Karya (Persero) Tbk, WaskitaKarya(Persero), waskita karya (persero)</v>
      </c>
      <c r="F947" t="str">
        <f t="shared" si="156"/>
        <v>waskita karya (persero)</v>
      </c>
      <c r="G947" t="str">
        <f t="shared" si="159"/>
        <v>WSKT, PT Waskita Karya (Persero), WASKITA KARYA (PERSERO), Waskita Karya (Persero), Waskita Karya (Persero) Tbk, WaskitaKarya(Persero)</v>
      </c>
      <c r="H947" t="str">
        <f t="shared" si="160"/>
        <v>WSKT, PT Waskita Karya (Persero), WASKITA KARYA (PERSERO), Waskita Karya (Persero), Waskita Karya (Persero) Tbk, WaskitaKarya(Persero)</v>
      </c>
      <c r="I947" t="str">
        <f t="shared" si="157"/>
        <v>WASKITA KARYA (PERSERO)</v>
      </c>
      <c r="J947" t="str">
        <f t="shared" si="161"/>
        <v>WSKT, PT Waskita Karya (Persero), Waskita Karya (Persero), Waskita Karya (Persero) Tbk, WaskitaKarya(Persero)</v>
      </c>
      <c r="K947" t="str">
        <f t="shared" si="162"/>
        <v>WSKT, PT Waskita Karya (Persero), Waskita Karya (Persero), Waskita Karya (Persero) Tbk, WaskitaKarya(Persero)</v>
      </c>
      <c r="L947" t="str">
        <f t="shared" si="158"/>
        <v>WaskitaKarya(Persero)</v>
      </c>
      <c r="M947" t="str">
        <f t="shared" si="163"/>
        <v>WSKT, PT Waskita Karya (Persero), Waskita Karya (Persero), Waskita Karya (Persero) Tbk</v>
      </c>
      <c r="N947" t="str">
        <f t="shared" si="164"/>
        <v>WSKT, PT Waskita Karya (Persero), Waskita Karya (Persero), Waskita Karya (Persero) Tbk</v>
      </c>
    </row>
    <row r="948" spans="1:14" x14ac:dyDescent="0.2">
      <c r="A948" t="s">
        <v>1330</v>
      </c>
      <c r="B948" t="s">
        <v>1331</v>
      </c>
      <c r="C948" t="s">
        <v>8747</v>
      </c>
      <c r="D948" t="str">
        <f t="shared" si="154"/>
        <v>WTON, PT Wijaya Karya Beton, WIJAYA KARYA BETON, Wijaya Karya Beton, Wijaya Karya Beton Tbk, WijayaKaryaBeton, wijaya karya beton</v>
      </c>
      <c r="E948" t="str">
        <f t="shared" si="155"/>
        <v>WTON, PT Wijaya Karya Beton, WIJAYA KARYA BETON, Wijaya Karya Beton, Wijaya Karya Beton Tbk, WijayaKaryaBeton, wijaya karya beton</v>
      </c>
      <c r="F948" t="str">
        <f t="shared" si="156"/>
        <v>wijaya karya beton</v>
      </c>
      <c r="G948" t="str">
        <f t="shared" si="159"/>
        <v>WTON, PT Wijaya Karya Beton, WIJAYA KARYA BETON, Wijaya Karya Beton, Wijaya Karya Beton Tbk, WijayaKaryaBeton</v>
      </c>
      <c r="H948" t="str">
        <f t="shared" si="160"/>
        <v>WTON, PT Wijaya Karya Beton, WIJAYA KARYA BETON, Wijaya Karya Beton, Wijaya Karya Beton Tbk, WijayaKaryaBeton</v>
      </c>
      <c r="I948" t="str">
        <f t="shared" si="157"/>
        <v>WIJAYA KARYA BETON</v>
      </c>
      <c r="J948" t="str">
        <f t="shared" si="161"/>
        <v>WTON, PT Wijaya Karya Beton, Wijaya Karya Beton, Wijaya Karya Beton Tbk, WijayaKaryaBeton</v>
      </c>
      <c r="K948" t="str">
        <f t="shared" si="162"/>
        <v>WTON, PT Wijaya Karya Beton, Wijaya Karya Beton, Wijaya Karya Beton Tbk, WijayaKaryaBeton</v>
      </c>
      <c r="L948" t="str">
        <f t="shared" si="158"/>
        <v>WijayaKaryaBeton</v>
      </c>
      <c r="M948" t="str">
        <f t="shared" si="163"/>
        <v>WTON, PT Wijaya Karya Beton, Wijaya Karya Beton, Wijaya Karya Beton Tbk</v>
      </c>
      <c r="N948" t="str">
        <f t="shared" si="164"/>
        <v>WTON, PT Wijaya Karya Beton, Wijaya Karya Beton, Wijaya Karya Beton Tbk</v>
      </c>
    </row>
    <row r="949" spans="1:14" x14ac:dyDescent="0.2">
      <c r="A949" t="s">
        <v>1608</v>
      </c>
      <c r="B949" t="s">
        <v>1609</v>
      </c>
      <c r="C949" t="s">
        <v>8748</v>
      </c>
      <c r="D949" t="str">
        <f t="shared" si="154"/>
        <v>YELO, PT Yelooo Integra Datanet, YELOOO INTEGRA DATANET, Yelooo Integra Datanet, Yelooo Integra Datanet Tbk, YeloooIntegraDatanet, yelooo integra datanet</v>
      </c>
      <c r="E949" t="str">
        <f t="shared" si="155"/>
        <v>YELO, PT Yelooo Integra Datanet, YELOOO INTEGRA DATANET, Yelooo Integra Datanet, Yelooo Integra Datanet Tbk, YeloooIntegraDatanet, yelooo integra datanet</v>
      </c>
      <c r="F949" t="str">
        <f t="shared" si="156"/>
        <v>yelooo integra datanet</v>
      </c>
      <c r="G949" t="str">
        <f t="shared" si="159"/>
        <v>YELO, PT Yelooo Integra Datanet, YELOOO INTEGRA DATANET, Yelooo Integra Datanet, Yelooo Integra Datanet Tbk, YeloooIntegraDatanet</v>
      </c>
      <c r="H949" t="str">
        <f t="shared" si="160"/>
        <v>YELO, PT Yelooo Integra Datanet, YELOOO INTEGRA DATANET, Yelooo Integra Datanet, Yelooo Integra Datanet Tbk, YeloooIntegraDatanet</v>
      </c>
      <c r="I949" t="str">
        <f t="shared" si="157"/>
        <v>YELOOO INTEGRA DATANET</v>
      </c>
      <c r="J949" t="str">
        <f t="shared" si="161"/>
        <v>YELO, PT Yelooo Integra Datanet, Yelooo Integra Datanet, Yelooo Integra Datanet Tbk, YeloooIntegraDatanet</v>
      </c>
      <c r="K949" t="str">
        <f t="shared" si="162"/>
        <v>YELO, PT Yelooo Integra Datanet, Yelooo Integra Datanet, Yelooo Integra Datanet Tbk, YeloooIntegraDatanet</v>
      </c>
      <c r="L949" t="str">
        <f t="shared" si="158"/>
        <v>YeloooIntegraDatanet</v>
      </c>
      <c r="M949" t="str">
        <f t="shared" si="163"/>
        <v>YELO, PT Yelooo Integra Datanet, Yelooo Integra Datanet, Yelooo Integra Datanet Tbk</v>
      </c>
      <c r="N949" t="str">
        <f t="shared" si="164"/>
        <v>YELO, PT Yelooo Integra Datanet, Yelooo Integra Datanet, Yelooo Integra Datanet Tbk</v>
      </c>
    </row>
    <row r="950" spans="1:14" x14ac:dyDescent="0.2">
      <c r="A950" t="s">
        <v>2517</v>
      </c>
      <c r="B950" t="s">
        <v>2518</v>
      </c>
      <c r="C950" t="s">
        <v>8749</v>
      </c>
      <c r="D950" t="str">
        <f t="shared" si="154"/>
        <v>YOII, ASURANSI DIGITAL BERSAMA, Asuransi Digital Bersama, Asuransi Digital Bersama Tbk, AsuransiDigitalBersama, PT Asuransi Digital Bersama, asuransi digital bersama</v>
      </c>
      <c r="E950" t="str">
        <f t="shared" si="155"/>
        <v>YOII, ASURANSI DIGITAL BERSAMA, Asuransi Digital Bersama, Asuransi Digital Bersama Tbk, AsuransiDigitalBersama, PT Asuransi Digital Bersama, asuransi digital bersama</v>
      </c>
      <c r="F950" t="str">
        <f t="shared" si="156"/>
        <v>asuransi digital bersama</v>
      </c>
      <c r="G950" t="str">
        <f t="shared" si="159"/>
        <v>YOII, ASURANSI DIGITAL BERSAMA, Asuransi Digital Bersama, Asuransi Digital Bersama Tbk, AsuransiDigitalBersama, PT Asuransi Digital Bersama</v>
      </c>
      <c r="H950" t="str">
        <f t="shared" si="160"/>
        <v>YOII, ASURANSI DIGITAL BERSAMA, Asuransi Digital Bersama, Asuransi Digital Bersama Tbk, AsuransiDigitalBersama, PT Asuransi Digital Bersama</v>
      </c>
      <c r="I950" t="str">
        <f t="shared" si="157"/>
        <v>ASURANSI DIGITAL BERSAMA</v>
      </c>
      <c r="J950" t="str">
        <f t="shared" si="161"/>
        <v>YOII, Asuransi Digital Bersama, Asuransi Digital Bersama Tbk, AsuransiDigitalBersama, PT Asuransi Digital Bersama</v>
      </c>
      <c r="K950" t="str">
        <f t="shared" si="162"/>
        <v>YOII, Asuransi Digital Bersama, Asuransi Digital Bersama Tbk, AsuransiDigitalBersama, PT Asuransi Digital Bersama</v>
      </c>
      <c r="L950" t="str">
        <f t="shared" si="158"/>
        <v>AsuransiDigitalBersama</v>
      </c>
      <c r="M950" t="str">
        <f t="shared" si="163"/>
        <v>YOII, Asuransi Digital Bersama, Asuransi Digital Bersama Tbk, PT Asuransi Digital Bersama</v>
      </c>
      <c r="N950" t="str">
        <f t="shared" si="164"/>
        <v>YOII, Asuransi Digital Bersama, Asuransi Digital Bersama Tbk, PT Asuransi Digital Bersama</v>
      </c>
    </row>
    <row r="951" spans="1:14" x14ac:dyDescent="0.2">
      <c r="A951" t="s">
        <v>1333</v>
      </c>
      <c r="B951" t="s">
        <v>3700</v>
      </c>
      <c r="C951" t="s">
        <v>8750</v>
      </c>
      <c r="D951" t="str">
        <f t="shared" si="154"/>
        <v>YPAS, PT Yanaprima Hastapersada, YANAPRIMA HASTAPERSADA, Yanaprima Hastapersada, Yanaprima Hastapersada Tbk, YanaprimaHastapersada, yanaprima hastapersada</v>
      </c>
      <c r="E951" t="str">
        <f t="shared" si="155"/>
        <v>YPAS, PT Yanaprima Hastapersada, YANAPRIMA HASTAPERSADA, Yanaprima Hastapersada, Yanaprima Hastapersada Tbk, YanaprimaHastapersada, yanaprima hastapersada</v>
      </c>
      <c r="F951" t="str">
        <f t="shared" si="156"/>
        <v>yanaprima hastapersada</v>
      </c>
      <c r="G951" t="str">
        <f t="shared" si="159"/>
        <v>YPAS, PT Yanaprima Hastapersada, YANAPRIMA HASTAPERSADA, Yanaprima Hastapersada, Yanaprima Hastapersada Tbk, YanaprimaHastapersada</v>
      </c>
      <c r="H951" t="str">
        <f t="shared" si="160"/>
        <v>YPAS, PT Yanaprima Hastapersada, YANAPRIMA HASTAPERSADA, Yanaprima Hastapersada, Yanaprima Hastapersada Tbk, YanaprimaHastapersada</v>
      </c>
      <c r="I951" t="str">
        <f t="shared" si="157"/>
        <v>YANAPRIMA HASTAPERSADA</v>
      </c>
      <c r="J951" t="str">
        <f t="shared" si="161"/>
        <v>YPAS, PT Yanaprima Hastapersada, Yanaprima Hastapersada, Yanaprima Hastapersada Tbk, YanaprimaHastapersada</v>
      </c>
      <c r="K951" t="str">
        <f t="shared" si="162"/>
        <v>YPAS, PT Yanaprima Hastapersada, Yanaprima Hastapersada, Yanaprima Hastapersada Tbk, YanaprimaHastapersada</v>
      </c>
      <c r="L951" t="str">
        <f t="shared" si="158"/>
        <v>YanaprimaHastapersada</v>
      </c>
      <c r="M951" t="str">
        <f t="shared" si="163"/>
        <v>YPAS, PT Yanaprima Hastapersada, Yanaprima Hastapersada, Yanaprima Hastapersada Tbk</v>
      </c>
      <c r="N951" t="str">
        <f t="shared" si="164"/>
        <v>YPAS, PT Yanaprima Hastapersada, Yanaprima Hastapersada, Yanaprima Hastapersada Tbk</v>
      </c>
    </row>
    <row r="952" spans="1:14" x14ac:dyDescent="0.2">
      <c r="A952" t="s">
        <v>1336</v>
      </c>
      <c r="B952" t="s">
        <v>1337</v>
      </c>
      <c r="C952" t="s">
        <v>8751</v>
      </c>
      <c r="D952" t="str">
        <f t="shared" si="154"/>
        <v>YULE, PT Yulie Sekuritas Indonesia, YULIE SEKURITAS INDONESIA, Yulie Sekuritas Indonesia, Yulie Sekuritas Indonesia Tbk, YulieSekuritasIndonesia, yulie sekuritas indonesia</v>
      </c>
      <c r="E952" t="str">
        <f t="shared" si="155"/>
        <v>YULE, PT Yulie Sekuritas Indonesia, YULIE SEKURITAS INDONESIA, Yulie Sekuritas Indonesia, Yulie Sekuritas Indonesia Tbk, YulieSekuritasIndonesia, yulie sekuritas indonesia</v>
      </c>
      <c r="F952" t="str">
        <f t="shared" si="156"/>
        <v>yulie sekuritas indonesia</v>
      </c>
      <c r="G952" t="str">
        <f t="shared" si="159"/>
        <v>YULE, PT Yulie Sekuritas Indonesia, YULIE SEKURITAS INDONESIA, Yulie Sekuritas Indonesia, Yulie Sekuritas Indonesia Tbk, YulieSekuritasIndonesia</v>
      </c>
      <c r="H952" t="str">
        <f t="shared" si="160"/>
        <v>YULE, PT Yulie Sekuritas Indonesia, YULIE SEKURITAS INDONESIA, Yulie Sekuritas Indonesia, Yulie Sekuritas Indonesia Tbk, YulieSekuritasIndonesia</v>
      </c>
      <c r="I952" t="str">
        <f t="shared" si="157"/>
        <v>YULIE SEKURITAS INDONESIA</v>
      </c>
      <c r="J952" t="str">
        <f t="shared" si="161"/>
        <v>YULE, PT Yulie Sekuritas Indonesia, Yulie Sekuritas Indonesia, Yulie Sekuritas Indonesia Tbk, YulieSekuritasIndonesia</v>
      </c>
      <c r="K952" t="str">
        <f t="shared" si="162"/>
        <v>YULE, PT Yulie Sekuritas Indonesia, Yulie Sekuritas Indonesia, Yulie Sekuritas Indonesia Tbk, YulieSekuritasIndonesia</v>
      </c>
      <c r="L952" t="str">
        <f t="shared" si="158"/>
        <v>YulieSekuritasIndonesia</v>
      </c>
      <c r="M952" t="str">
        <f t="shared" si="163"/>
        <v>YULE, PT Yulie Sekuritas Indonesia, Yulie Sekuritas Indonesia, Yulie Sekuritas Indonesia Tbk</v>
      </c>
      <c r="N952" t="str">
        <f t="shared" si="164"/>
        <v>YULE, PT Yulie Sekuritas Indonesia, Yulie Sekuritas Indonesia, Yulie Sekuritas Indonesia Tbk</v>
      </c>
    </row>
    <row r="953" spans="1:14" x14ac:dyDescent="0.2">
      <c r="A953" t="s">
        <v>2572</v>
      </c>
      <c r="B953" t="s">
        <v>2573</v>
      </c>
      <c r="C953" t="s">
        <v>8752</v>
      </c>
      <c r="D953" t="str">
        <f t="shared" si="154"/>
        <v>YUPI, PT Yupi Indo Jelly Gum, YUPI INDO JELLY GUM, Yupi Indo Jelly Gum, Yupi Indo Jelly Gum Tbk, YupiIndoJellyGum, yupi indo jelly gum</v>
      </c>
      <c r="E953" t="str">
        <f t="shared" si="155"/>
        <v>YUPI, PT Yupi Indo Jelly Gum, YUPI INDO JELLY GUM, Yupi Indo Jelly Gum, Yupi Indo Jelly Gum Tbk, YupiIndoJellyGum, yupi indo jelly gum</v>
      </c>
      <c r="F953" t="str">
        <f t="shared" si="156"/>
        <v>yupi indo jelly gum</v>
      </c>
      <c r="G953" t="str">
        <f t="shared" si="159"/>
        <v>YUPI, PT Yupi Indo Jelly Gum, YUPI INDO JELLY GUM, Yupi Indo Jelly Gum, Yupi Indo Jelly Gum Tbk, YupiIndoJellyGum</v>
      </c>
      <c r="H953" t="str">
        <f t="shared" si="160"/>
        <v>YUPI, PT Yupi Indo Jelly Gum, YUPI INDO JELLY GUM, Yupi Indo Jelly Gum, Yupi Indo Jelly Gum Tbk, YupiIndoJellyGum</v>
      </c>
      <c r="I953" t="str">
        <f t="shared" si="157"/>
        <v>YUPI INDO JELLY GUM</v>
      </c>
      <c r="J953" t="str">
        <f t="shared" si="161"/>
        <v>YUPI, PT Yupi Indo Jelly Gum, Yupi Indo Jelly Gum, Yupi Indo Jelly Gum Tbk, YupiIndoJellyGum</v>
      </c>
      <c r="K953" t="str">
        <f t="shared" si="162"/>
        <v>YUPI, PT Yupi Indo Jelly Gum, Yupi Indo Jelly Gum, Yupi Indo Jelly Gum Tbk, YupiIndoJellyGum</v>
      </c>
      <c r="L953" t="str">
        <f t="shared" si="158"/>
        <v>YupiIndoJellyGum</v>
      </c>
      <c r="M953" t="str">
        <f t="shared" si="163"/>
        <v>YUPI, PT Yupi Indo Jelly Gum, Yupi Indo Jelly Gum, Yupi Indo Jelly Gum Tbk</v>
      </c>
      <c r="N953" t="str">
        <f t="shared" si="164"/>
        <v>YUPI, PT Yupi Indo Jelly Gum, Yupi Indo Jelly Gum, Yupi Indo Jelly Gum Tbk</v>
      </c>
    </row>
    <row r="954" spans="1:14" x14ac:dyDescent="0.2">
      <c r="A954" t="s">
        <v>2199</v>
      </c>
      <c r="B954" t="s">
        <v>2200</v>
      </c>
      <c r="C954" t="s">
        <v>8753</v>
      </c>
      <c r="D954" t="str">
        <f t="shared" si="154"/>
        <v>ZATA, BERSAMA ZATTA JAYA, Bersama Zatta Jaya, Bersama Zatta Jaya Tbk, BersamaZattaJaya, PT Bersama Zatta Jaya, bersama zatta jaya</v>
      </c>
      <c r="E954" t="str">
        <f t="shared" si="155"/>
        <v>ZATA, BERSAMA ZATTA JAYA, Bersama Zatta Jaya, Bersama Zatta Jaya Tbk, BersamaZattaJaya, PT Bersama Zatta Jaya, bersama zatta jaya</v>
      </c>
      <c r="F954" t="str">
        <f t="shared" si="156"/>
        <v>bersama zatta jaya</v>
      </c>
      <c r="G954" t="str">
        <f t="shared" si="159"/>
        <v>ZATA, BERSAMA ZATTA JAYA, Bersama Zatta Jaya, Bersama Zatta Jaya Tbk, BersamaZattaJaya, PT Bersama Zatta Jaya</v>
      </c>
      <c r="H954" t="str">
        <f t="shared" si="160"/>
        <v>ZATA, BERSAMA ZATTA JAYA, Bersama Zatta Jaya, Bersama Zatta Jaya Tbk, BersamaZattaJaya, PT Bersama Zatta Jaya</v>
      </c>
      <c r="I954" t="str">
        <f t="shared" si="157"/>
        <v>BERSAMA ZATTA JAYA</v>
      </c>
      <c r="J954" t="str">
        <f t="shared" si="161"/>
        <v>ZATA, Bersama Zatta Jaya, Bersama Zatta Jaya Tbk, BersamaZattaJaya, PT Bersama Zatta Jaya</v>
      </c>
      <c r="K954" t="str">
        <f t="shared" si="162"/>
        <v>ZATA, Bersama Zatta Jaya, Bersama Zatta Jaya Tbk, BersamaZattaJaya, PT Bersama Zatta Jaya</v>
      </c>
      <c r="L954" t="str">
        <f t="shared" si="158"/>
        <v>BersamaZattaJaya</v>
      </c>
      <c r="M954" t="str">
        <f t="shared" si="163"/>
        <v>ZATA, Bersama Zatta Jaya, Bersama Zatta Jaya Tbk, PT Bersama Zatta Jaya</v>
      </c>
      <c r="N954" t="str">
        <f t="shared" si="164"/>
        <v>ZATA, Bersama Zatta Jaya, Bersama Zatta Jaya Tbk, PT Bersama Zatta Jaya</v>
      </c>
    </row>
    <row r="955" spans="1:14" x14ac:dyDescent="0.2">
      <c r="A955" t="s">
        <v>1339</v>
      </c>
      <c r="B955" t="s">
        <v>1340</v>
      </c>
      <c r="C955" t="s">
        <v>8754</v>
      </c>
      <c r="D955" t="str">
        <f t="shared" si="154"/>
        <v>ZBRA, DOSNI ROHA INDONESIA, Dosni Roha Indonesia, Dosni Roha Indonesia Tbk, DosniRohaIndonesia, PT Dosni Roha Indonesia, dosni roha indonesia</v>
      </c>
      <c r="E955" t="str">
        <f t="shared" si="155"/>
        <v>ZBRA, DOSNI ROHA INDONESIA, Dosni Roha Indonesia, Dosni Roha Indonesia Tbk, DosniRohaIndonesia, PT Dosni Roha Indonesia, dosni roha indonesia</v>
      </c>
      <c r="F955" t="str">
        <f t="shared" si="156"/>
        <v>dosni roha indonesia</v>
      </c>
      <c r="G955" t="str">
        <f t="shared" si="159"/>
        <v>ZBRA, DOSNI ROHA INDONESIA, Dosni Roha Indonesia, Dosni Roha Indonesia Tbk, DosniRohaIndonesia, PT Dosni Roha Indonesia</v>
      </c>
      <c r="H955" t="str">
        <f t="shared" si="160"/>
        <v>ZBRA, DOSNI ROHA INDONESIA, Dosni Roha Indonesia, Dosni Roha Indonesia Tbk, DosniRohaIndonesia, PT Dosni Roha Indonesia</v>
      </c>
      <c r="I955" t="str">
        <f t="shared" si="157"/>
        <v>DOSNI ROHA INDONESIA</v>
      </c>
      <c r="J955" t="str">
        <f t="shared" si="161"/>
        <v>ZBRA, Dosni Roha Indonesia, Dosni Roha Indonesia Tbk, DosniRohaIndonesia, PT Dosni Roha Indonesia</v>
      </c>
      <c r="K955" t="str">
        <f t="shared" si="162"/>
        <v>ZBRA, Dosni Roha Indonesia, Dosni Roha Indonesia Tbk, DosniRohaIndonesia, PT Dosni Roha Indonesia</v>
      </c>
      <c r="L955" t="str">
        <f t="shared" si="158"/>
        <v>DosniRohaIndonesia</v>
      </c>
      <c r="M955" t="str">
        <f t="shared" si="163"/>
        <v>ZBRA, Dosni Roha Indonesia, Dosni Roha Indonesia Tbk, PT Dosni Roha Indonesia</v>
      </c>
      <c r="N955" t="str">
        <f t="shared" si="164"/>
        <v>ZBRA, Dosni Roha Indonesia, Dosni Roha Indonesia Tbk, PT Dosni Roha Indonesia</v>
      </c>
    </row>
    <row r="956" spans="1:14" x14ac:dyDescent="0.2">
      <c r="A956" t="s">
        <v>1459</v>
      </c>
      <c r="B956" t="s">
        <v>1460</v>
      </c>
      <c r="C956" t="s">
        <v>8755</v>
      </c>
      <c r="D956" t="str">
        <f t="shared" si="154"/>
        <v>ZINC, KAPUAS PRIMA COAL, Kapuas Prima Coal, Kapuas Prima Coal Tbk, KapuasPrimaCoal, PT Kapuas Prima Coal, kapuas prima coal</v>
      </c>
      <c r="E956" t="str">
        <f t="shared" si="155"/>
        <v>ZINC, KAPUAS PRIMA COAL, Kapuas Prima Coal, Kapuas Prima Coal Tbk, KapuasPrimaCoal, PT Kapuas Prima Coal, kapuas prima coal</v>
      </c>
      <c r="F956" t="str">
        <f t="shared" si="156"/>
        <v>kapuas prima coal</v>
      </c>
      <c r="G956" t="str">
        <f t="shared" si="159"/>
        <v>ZINC, KAPUAS PRIMA COAL, Kapuas Prima Coal, Kapuas Prima Coal Tbk, KapuasPrimaCoal, PT Kapuas Prima Coal</v>
      </c>
      <c r="H956" t="str">
        <f t="shared" si="160"/>
        <v>ZINC, KAPUAS PRIMA COAL, Kapuas Prima Coal, Kapuas Prima Coal Tbk, KapuasPrimaCoal, PT Kapuas Prima Coal</v>
      </c>
      <c r="I956" t="str">
        <f t="shared" si="157"/>
        <v>KAPUAS PRIMA COAL</v>
      </c>
      <c r="J956" t="str">
        <f t="shared" si="161"/>
        <v>ZINC, Kapuas Prima Coal, Kapuas Prima Coal Tbk, KapuasPrimaCoal, PT Kapuas Prima Coal</v>
      </c>
      <c r="K956" t="str">
        <f t="shared" si="162"/>
        <v>ZINC, Kapuas Prima Coal, Kapuas Prima Coal Tbk, KapuasPrimaCoal, PT Kapuas Prima Coal</v>
      </c>
      <c r="L956" t="str">
        <f t="shared" si="158"/>
        <v>KapuasPrimaCoal</v>
      </c>
      <c r="M956" t="str">
        <f t="shared" si="163"/>
        <v>ZINC, Kapuas Prima Coal, Kapuas Prima Coal Tbk, PT Kapuas Prima Coal</v>
      </c>
      <c r="N956" t="str">
        <f t="shared" si="164"/>
        <v>ZINC, Kapuas Prima Coal, Kapuas Prima Coal Tbk, PT Kapuas Prima Coal</v>
      </c>
    </row>
    <row r="957" spans="1:14" x14ac:dyDescent="0.2">
      <c r="A957" t="s">
        <v>1636</v>
      </c>
      <c r="B957" t="s">
        <v>1637</v>
      </c>
      <c r="C957" t="s">
        <v>8756</v>
      </c>
      <c r="D957" t="str">
        <f t="shared" si="154"/>
        <v>ZONE, MEGA PERINTIS, Mega Perintis, Mega Perintis Tbk, MegaPerintis, PT Mega Perintis, mega perintis</v>
      </c>
      <c r="E957" t="str">
        <f t="shared" si="155"/>
        <v>ZONE, MEGA PERINTIS, Mega Perintis, Mega Perintis Tbk, MegaPerintis, PT Mega Perintis, mega perintis</v>
      </c>
      <c r="F957" t="str">
        <f t="shared" si="156"/>
        <v>mega perintis</v>
      </c>
      <c r="G957" t="str">
        <f t="shared" si="159"/>
        <v>ZONE, MEGA PERINTIS, Mega Perintis, Mega Perintis Tbk, MegaPerintis, PT Mega Perintis</v>
      </c>
      <c r="H957" t="str">
        <f t="shared" si="160"/>
        <v>ZONE, MEGA PERINTIS, Mega Perintis, Mega Perintis Tbk, MegaPerintis, PT Mega Perintis</v>
      </c>
      <c r="I957" t="str">
        <f t="shared" si="157"/>
        <v>MEGA PERINTIS</v>
      </c>
      <c r="J957" t="str">
        <f t="shared" si="161"/>
        <v>ZONE, Mega Perintis, Mega Perintis Tbk, MegaPerintis, PT Mega Perintis</v>
      </c>
      <c r="K957" t="str">
        <f t="shared" si="162"/>
        <v>ZONE, Mega Perintis, Mega Perintis Tbk, MegaPerintis, PT Mega Perintis</v>
      </c>
      <c r="L957" t="str">
        <f t="shared" si="158"/>
        <v>MegaPerintis</v>
      </c>
      <c r="M957" t="str">
        <f t="shared" si="163"/>
        <v>ZONE, Mega Perintis, Mega Perintis Tbk, PT Mega Perintis</v>
      </c>
      <c r="N957" t="str">
        <f t="shared" si="164"/>
        <v>ZONE, Mega Perintis, Mega Perintis Tbk, PT Mega Perintis</v>
      </c>
    </row>
    <row r="958" spans="1:14" x14ac:dyDescent="0.2">
      <c r="A958" t="s">
        <v>1927</v>
      </c>
      <c r="B958" t="s">
        <v>1928</v>
      </c>
      <c r="C958" t="s">
        <v>8757</v>
      </c>
      <c r="D958" t="str">
        <f t="shared" si="154"/>
        <v>ZYRX, PT Zyrexindo Mandiri Buana, ZYREXINDO MANDIRI BUANA, Zyrexindo Mandiri Buana, Zyrexindo Mandiri Buana Tbk, ZyrexindoMandiriBuana, zyrexindo mandiri buana</v>
      </c>
      <c r="E958" t="str">
        <f t="shared" si="155"/>
        <v>ZYRX, PT Zyrexindo Mandiri Buana, ZYREXINDO MANDIRI BUANA, Zyrexindo Mandiri Buana, Zyrexindo Mandiri Buana Tbk, ZyrexindoMandiriBuana, zyrexindo mandiri buana</v>
      </c>
      <c r="F958" t="str">
        <f t="shared" si="156"/>
        <v>zyrexindo mandiri buana</v>
      </c>
      <c r="G958" t="str">
        <f t="shared" si="159"/>
        <v>ZYRX, PT Zyrexindo Mandiri Buana, ZYREXINDO MANDIRI BUANA, Zyrexindo Mandiri Buana, Zyrexindo Mandiri Buana Tbk, ZyrexindoMandiriBuana</v>
      </c>
      <c r="H958" t="str">
        <f t="shared" si="160"/>
        <v>ZYRX, PT Zyrexindo Mandiri Buana, ZYREXINDO MANDIRI BUANA, Zyrexindo Mandiri Buana, Zyrexindo Mandiri Buana Tbk, ZyrexindoMandiriBuana</v>
      </c>
      <c r="I958" t="str">
        <f t="shared" si="157"/>
        <v>ZYREXINDO MANDIRI BUANA</v>
      </c>
      <c r="J958" t="str">
        <f t="shared" si="161"/>
        <v>ZYRX, PT Zyrexindo Mandiri Buana, Zyrexindo Mandiri Buana, Zyrexindo Mandiri Buana Tbk, ZyrexindoMandiriBuana</v>
      </c>
      <c r="K958" t="str">
        <f t="shared" si="162"/>
        <v>ZYRX, PT Zyrexindo Mandiri Buana, Zyrexindo Mandiri Buana, Zyrexindo Mandiri Buana Tbk, ZyrexindoMandiriBuana</v>
      </c>
      <c r="L958" t="str">
        <f t="shared" si="158"/>
        <v>ZyrexindoMandiriBuana</v>
      </c>
      <c r="M958" t="str">
        <f t="shared" si="163"/>
        <v>ZYRX, PT Zyrexindo Mandiri Buana, Zyrexindo Mandiri Buana, Zyrexindo Mandiri Buana Tbk</v>
      </c>
      <c r="N958" t="str">
        <f t="shared" si="164"/>
        <v>ZYRX, PT Zyrexindo Mandiri Buana, Zyrexindo Mandiri Buana, Zyrexindo Mandiri Buana Tbk</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CE229-02D7-1641-923D-9E27DE9D1CF4}">
  <dimension ref="B1:D958"/>
  <sheetViews>
    <sheetView topLeftCell="A88" zoomScale="90" zoomScaleNormal="90" workbookViewId="0">
      <selection activeCell="D99" sqref="D99"/>
    </sheetView>
  </sheetViews>
  <sheetFormatPr baseColWidth="10" defaultRowHeight="16" x14ac:dyDescent="0.2"/>
  <cols>
    <col min="1" max="1" width="3.33203125" customWidth="1"/>
    <col min="3" max="3" width="48.1640625" bestFit="1" customWidth="1"/>
    <col min="4" max="4" width="167.5" customWidth="1"/>
    <col min="9" max="11" width="10.83203125" customWidth="1"/>
  </cols>
  <sheetData>
    <row r="1" spans="2:4" x14ac:dyDescent="0.2">
      <c r="B1" s="6" t="s">
        <v>0</v>
      </c>
      <c r="C1" s="6" t="s">
        <v>3898</v>
      </c>
      <c r="D1" s="6" t="s">
        <v>3897</v>
      </c>
    </row>
    <row r="2" spans="2:4" x14ac:dyDescent="0.2">
      <c r="B2" s="7" t="s">
        <v>2506</v>
      </c>
      <c r="C2" s="7" t="s">
        <v>2507</v>
      </c>
      <c r="D2" s="7" t="s">
        <v>3899</v>
      </c>
    </row>
    <row r="3" spans="2:4" x14ac:dyDescent="0.2">
      <c r="B3" s="7" t="s">
        <v>5</v>
      </c>
      <c r="C3" s="7" t="s">
        <v>6</v>
      </c>
      <c r="D3" s="7" t="s">
        <v>3900</v>
      </c>
    </row>
    <row r="4" spans="2:4" x14ac:dyDescent="0.2">
      <c r="B4" s="7" t="s">
        <v>9</v>
      </c>
      <c r="C4" s="7" t="s">
        <v>10</v>
      </c>
      <c r="D4" s="7" t="s">
        <v>3901</v>
      </c>
    </row>
    <row r="5" spans="2:4" x14ac:dyDescent="0.2">
      <c r="B5" s="7" t="s">
        <v>13</v>
      </c>
      <c r="C5" s="7" t="s">
        <v>14</v>
      </c>
      <c r="D5" s="7" t="s">
        <v>3902</v>
      </c>
    </row>
    <row r="6" spans="2:4" x14ac:dyDescent="0.2">
      <c r="B6" s="7" t="s">
        <v>16</v>
      </c>
      <c r="C6" s="7" t="s">
        <v>17</v>
      </c>
      <c r="D6" s="7" t="s">
        <v>3903</v>
      </c>
    </row>
    <row r="7" spans="2:4" x14ac:dyDescent="0.2">
      <c r="B7" s="7" t="s">
        <v>19</v>
      </c>
      <c r="C7" s="7" t="s">
        <v>20</v>
      </c>
      <c r="D7" s="7" t="s">
        <v>3904</v>
      </c>
    </row>
    <row r="8" spans="2:4" x14ac:dyDescent="0.2">
      <c r="B8" s="7" t="s">
        <v>2637</v>
      </c>
      <c r="C8" s="7" t="s">
        <v>2638</v>
      </c>
      <c r="D8" s="7" t="s">
        <v>3905</v>
      </c>
    </row>
    <row r="9" spans="2:4" x14ac:dyDescent="0.2">
      <c r="B9" s="7" t="s">
        <v>22</v>
      </c>
      <c r="C9" s="7" t="s">
        <v>23</v>
      </c>
      <c r="D9" s="7" t="s">
        <v>3906</v>
      </c>
    </row>
    <row r="10" spans="2:4" x14ac:dyDescent="0.2">
      <c r="B10" s="7" t="s">
        <v>1945</v>
      </c>
      <c r="C10" s="7" t="s">
        <v>1946</v>
      </c>
      <c r="D10" s="7" t="s">
        <v>3907</v>
      </c>
    </row>
    <row r="11" spans="2:4" x14ac:dyDescent="0.2">
      <c r="B11" s="7" t="s">
        <v>25</v>
      </c>
      <c r="C11" s="7" t="s">
        <v>26</v>
      </c>
      <c r="D11" s="7" t="s">
        <v>7798</v>
      </c>
    </row>
    <row r="12" spans="2:4" x14ac:dyDescent="0.2">
      <c r="B12" s="7" t="s">
        <v>29</v>
      </c>
      <c r="C12" s="7" t="s">
        <v>30</v>
      </c>
      <c r="D12" s="7" t="s">
        <v>3908</v>
      </c>
    </row>
    <row r="13" spans="2:4" x14ac:dyDescent="0.2">
      <c r="B13" s="7" t="s">
        <v>2660</v>
      </c>
      <c r="C13" s="7" t="s">
        <v>3492</v>
      </c>
      <c r="D13" s="7" t="s">
        <v>3909</v>
      </c>
    </row>
    <row r="14" spans="2:4" x14ac:dyDescent="0.2">
      <c r="B14" s="7" t="s">
        <v>2662</v>
      </c>
      <c r="C14" s="7" t="s">
        <v>3493</v>
      </c>
      <c r="D14" s="7" t="s">
        <v>3910</v>
      </c>
    </row>
    <row r="15" spans="2:4" x14ac:dyDescent="0.2">
      <c r="B15" s="7" t="s">
        <v>2060</v>
      </c>
      <c r="C15" s="7" t="s">
        <v>3494</v>
      </c>
      <c r="D15" s="7" t="s">
        <v>3911</v>
      </c>
    </row>
    <row r="16" spans="2:4" x14ac:dyDescent="0.2">
      <c r="B16" s="7" t="s">
        <v>2665</v>
      </c>
      <c r="C16" s="7" t="s">
        <v>3495</v>
      </c>
      <c r="D16" s="7" t="s">
        <v>3912</v>
      </c>
    </row>
    <row r="17" spans="2:4" x14ac:dyDescent="0.2">
      <c r="B17" s="7" t="s">
        <v>2376</v>
      </c>
      <c r="C17" s="7" t="s">
        <v>3496</v>
      </c>
      <c r="D17" s="7" t="s">
        <v>3913</v>
      </c>
    </row>
    <row r="18" spans="2:4" x14ac:dyDescent="0.2">
      <c r="B18" s="7" t="s">
        <v>1774</v>
      </c>
      <c r="C18" s="7" t="s">
        <v>1775</v>
      </c>
      <c r="D18" s="7" t="s">
        <v>3914</v>
      </c>
    </row>
    <row r="19" spans="2:4" x14ac:dyDescent="0.2">
      <c r="B19" s="7" t="s">
        <v>2667</v>
      </c>
      <c r="C19" s="7" t="s">
        <v>2668</v>
      </c>
      <c r="D19" s="7" t="s">
        <v>3915</v>
      </c>
    </row>
    <row r="20" spans="2:4" x14ac:dyDescent="0.2">
      <c r="B20" s="7" t="s">
        <v>2670</v>
      </c>
      <c r="C20" s="7" t="s">
        <v>2671</v>
      </c>
      <c r="D20" s="7" t="s">
        <v>3916</v>
      </c>
    </row>
    <row r="21" spans="2:4" x14ac:dyDescent="0.2">
      <c r="B21" s="7" t="s">
        <v>2673</v>
      </c>
      <c r="C21" s="7" t="s">
        <v>2674</v>
      </c>
      <c r="D21" s="7" t="s">
        <v>3917</v>
      </c>
    </row>
    <row r="22" spans="2:4" x14ac:dyDescent="0.2">
      <c r="B22" s="7" t="s">
        <v>2676</v>
      </c>
      <c r="C22" s="7" t="s">
        <v>3497</v>
      </c>
      <c r="D22" s="7" t="s">
        <v>3918</v>
      </c>
    </row>
    <row r="23" spans="2:4" x14ac:dyDescent="0.2">
      <c r="B23" s="7" t="s">
        <v>2678</v>
      </c>
      <c r="C23" s="7" t="s">
        <v>2679</v>
      </c>
      <c r="D23" s="7" t="s">
        <v>3919</v>
      </c>
    </row>
    <row r="24" spans="2:4" x14ac:dyDescent="0.2">
      <c r="B24" s="7" t="s">
        <v>32</v>
      </c>
      <c r="C24" s="7" t="s">
        <v>33</v>
      </c>
      <c r="D24" s="7" t="s">
        <v>3920</v>
      </c>
    </row>
    <row r="25" spans="2:4" x14ac:dyDescent="0.2">
      <c r="B25" s="7" t="s">
        <v>35</v>
      </c>
      <c r="C25" s="7" t="s">
        <v>3498</v>
      </c>
      <c r="D25" s="7" t="s">
        <v>3921</v>
      </c>
    </row>
    <row r="26" spans="2:4" x14ac:dyDescent="0.2">
      <c r="B26" s="7" t="s">
        <v>38</v>
      </c>
      <c r="C26" s="7" t="s">
        <v>3499</v>
      </c>
      <c r="D26" s="7" t="s">
        <v>3922</v>
      </c>
    </row>
    <row r="27" spans="2:4" x14ac:dyDescent="0.2">
      <c r="B27" s="7" t="s">
        <v>41</v>
      </c>
      <c r="C27" s="7" t="s">
        <v>42</v>
      </c>
      <c r="D27" s="7" t="s">
        <v>3923</v>
      </c>
    </row>
    <row r="28" spans="2:4" x14ac:dyDescent="0.2">
      <c r="B28" s="7" t="s">
        <v>44</v>
      </c>
      <c r="C28" s="7" t="s">
        <v>3500</v>
      </c>
      <c r="D28" s="7" t="s">
        <v>3924</v>
      </c>
    </row>
    <row r="29" spans="2:4" x14ac:dyDescent="0.2">
      <c r="B29" s="7" t="s">
        <v>46</v>
      </c>
      <c r="C29" s="7" t="s">
        <v>47</v>
      </c>
      <c r="D29" s="7" t="s">
        <v>3925</v>
      </c>
    </row>
    <row r="30" spans="2:4" x14ac:dyDescent="0.2">
      <c r="B30" s="7" t="s">
        <v>2430</v>
      </c>
      <c r="C30" s="7" t="s">
        <v>3501</v>
      </c>
      <c r="D30" s="7" t="s">
        <v>3926</v>
      </c>
    </row>
    <row r="31" spans="2:4" x14ac:dyDescent="0.2">
      <c r="B31" s="7" t="s">
        <v>49</v>
      </c>
      <c r="C31" s="7" t="s">
        <v>3502</v>
      </c>
      <c r="D31" s="7" t="s">
        <v>3927</v>
      </c>
    </row>
    <row r="32" spans="2:4" x14ac:dyDescent="0.2">
      <c r="B32" s="7" t="s">
        <v>52</v>
      </c>
      <c r="C32" s="7" t="s">
        <v>3503</v>
      </c>
      <c r="D32" s="7" t="s">
        <v>3928</v>
      </c>
    </row>
    <row r="33" spans="2:4" x14ac:dyDescent="0.2">
      <c r="B33" s="7" t="s">
        <v>54</v>
      </c>
      <c r="C33" s="7" t="s">
        <v>55</v>
      </c>
      <c r="D33" s="7" t="s">
        <v>3929</v>
      </c>
    </row>
    <row r="34" spans="2:4" x14ac:dyDescent="0.2">
      <c r="B34" s="7" t="s">
        <v>57</v>
      </c>
      <c r="C34" s="7" t="s">
        <v>58</v>
      </c>
      <c r="D34" s="7" t="s">
        <v>3930</v>
      </c>
    </row>
    <row r="35" spans="2:4" x14ac:dyDescent="0.2">
      <c r="B35" s="7" t="s">
        <v>2598</v>
      </c>
      <c r="C35" s="7" t="s">
        <v>2599</v>
      </c>
      <c r="D35" s="7" t="s">
        <v>3931</v>
      </c>
    </row>
    <row r="36" spans="2:4" x14ac:dyDescent="0.2">
      <c r="B36" s="7" t="s">
        <v>1796</v>
      </c>
      <c r="C36" s="7" t="s">
        <v>1797</v>
      </c>
      <c r="D36" s="7" t="s">
        <v>3932</v>
      </c>
    </row>
    <row r="37" spans="2:4" x14ac:dyDescent="0.2">
      <c r="B37" s="7" t="s">
        <v>60</v>
      </c>
      <c r="C37" s="7" t="s">
        <v>61</v>
      </c>
      <c r="D37" s="7" t="s">
        <v>3933</v>
      </c>
    </row>
    <row r="38" spans="2:4" x14ac:dyDescent="0.2">
      <c r="B38" s="7" t="s">
        <v>63</v>
      </c>
      <c r="C38" s="7" t="s">
        <v>3504</v>
      </c>
      <c r="D38" s="7" t="s">
        <v>3934</v>
      </c>
    </row>
    <row r="39" spans="2:4" x14ac:dyDescent="0.2">
      <c r="B39" s="7" t="s">
        <v>2319</v>
      </c>
      <c r="C39" s="7" t="s">
        <v>3505</v>
      </c>
      <c r="D39" s="7" t="s">
        <v>3935</v>
      </c>
    </row>
    <row r="40" spans="2:4" x14ac:dyDescent="0.2">
      <c r="B40" s="7" t="s">
        <v>2146</v>
      </c>
      <c r="C40" s="7" t="s">
        <v>2147</v>
      </c>
      <c r="D40" s="7" t="s">
        <v>3936</v>
      </c>
    </row>
    <row r="41" spans="2:4" x14ac:dyDescent="0.2">
      <c r="B41" s="7" t="s">
        <v>1805</v>
      </c>
      <c r="C41" s="7" t="s">
        <v>3506</v>
      </c>
      <c r="D41" s="7" t="s">
        <v>3937</v>
      </c>
    </row>
    <row r="42" spans="2:4" x14ac:dyDescent="0.2">
      <c r="B42" s="7" t="s">
        <v>65</v>
      </c>
      <c r="C42" s="7" t="s">
        <v>66</v>
      </c>
      <c r="D42" s="7" t="s">
        <v>3938</v>
      </c>
    </row>
    <row r="43" spans="2:4" x14ac:dyDescent="0.2">
      <c r="B43" s="7" t="s">
        <v>1571</v>
      </c>
      <c r="C43" s="7" t="s">
        <v>1572</v>
      </c>
      <c r="D43" s="7" t="s">
        <v>3939</v>
      </c>
    </row>
    <row r="44" spans="2:4" x14ac:dyDescent="0.2">
      <c r="B44" s="7" t="s">
        <v>68</v>
      </c>
      <c r="C44" s="7" t="s">
        <v>69</v>
      </c>
      <c r="D44" s="7" t="s">
        <v>3940</v>
      </c>
    </row>
    <row r="45" spans="2:4" x14ac:dyDescent="0.2">
      <c r="B45" s="7" t="s">
        <v>71</v>
      </c>
      <c r="C45" s="7" t="s">
        <v>72</v>
      </c>
      <c r="D45" s="7" t="s">
        <v>3941</v>
      </c>
    </row>
    <row r="46" spans="2:4" x14ac:dyDescent="0.2">
      <c r="B46" s="7" t="s">
        <v>74</v>
      </c>
      <c r="C46" s="7" t="s">
        <v>75</v>
      </c>
      <c r="D46" s="7" t="s">
        <v>3942</v>
      </c>
    </row>
    <row r="47" spans="2:4" x14ac:dyDescent="0.2">
      <c r="B47" s="7" t="s">
        <v>77</v>
      </c>
      <c r="C47" s="7" t="s">
        <v>3507</v>
      </c>
      <c r="D47" s="7" t="s">
        <v>3943</v>
      </c>
    </row>
    <row r="48" spans="2:4" x14ac:dyDescent="0.2">
      <c r="B48" s="7" t="s">
        <v>79</v>
      </c>
      <c r="C48" s="7" t="s">
        <v>80</v>
      </c>
      <c r="D48" s="7" t="s">
        <v>3944</v>
      </c>
    </row>
    <row r="49" spans="2:4" x14ac:dyDescent="0.2">
      <c r="B49" s="7" t="s">
        <v>82</v>
      </c>
      <c r="C49" s="7" t="s">
        <v>83</v>
      </c>
      <c r="D49" s="7" t="s">
        <v>3945</v>
      </c>
    </row>
    <row r="50" spans="2:4" x14ac:dyDescent="0.2">
      <c r="B50" s="7" t="s">
        <v>85</v>
      </c>
      <c r="C50" s="7" t="s">
        <v>86</v>
      </c>
      <c r="D50" s="7" t="s">
        <v>3946</v>
      </c>
    </row>
    <row r="51" spans="2:4" x14ac:dyDescent="0.2">
      <c r="B51" s="7" t="s">
        <v>1960</v>
      </c>
      <c r="C51" s="7" t="s">
        <v>1961</v>
      </c>
      <c r="D51" s="7" t="s">
        <v>3947</v>
      </c>
    </row>
    <row r="52" spans="2:4" x14ac:dyDescent="0.2">
      <c r="B52" s="7" t="s">
        <v>2450</v>
      </c>
      <c r="C52" s="7" t="s">
        <v>2451</v>
      </c>
      <c r="D52" s="7" t="s">
        <v>3948</v>
      </c>
    </row>
    <row r="53" spans="2:4" x14ac:dyDescent="0.2">
      <c r="B53" s="7" t="s">
        <v>88</v>
      </c>
      <c r="C53" s="7" t="s">
        <v>3508</v>
      </c>
      <c r="D53" s="7" t="s">
        <v>3949</v>
      </c>
    </row>
    <row r="54" spans="2:4" x14ac:dyDescent="0.2">
      <c r="B54" s="7" t="s">
        <v>91</v>
      </c>
      <c r="C54" s="7" t="s">
        <v>92</v>
      </c>
      <c r="D54" s="7" t="s">
        <v>3950</v>
      </c>
    </row>
    <row r="55" spans="2:4" x14ac:dyDescent="0.2">
      <c r="B55" s="7" t="s">
        <v>1720</v>
      </c>
      <c r="C55" s="7" t="s">
        <v>1721</v>
      </c>
      <c r="D55" s="7" t="s">
        <v>3951</v>
      </c>
    </row>
    <row r="56" spans="2:4" x14ac:dyDescent="0.2">
      <c r="B56" s="7" t="s">
        <v>2120</v>
      </c>
      <c r="C56" s="7" t="s">
        <v>2121</v>
      </c>
      <c r="D56" s="7" t="s">
        <v>3952</v>
      </c>
    </row>
    <row r="57" spans="2:4" x14ac:dyDescent="0.2">
      <c r="B57" s="7" t="s">
        <v>1419</v>
      </c>
      <c r="C57" s="7" t="s">
        <v>1420</v>
      </c>
      <c r="D57" s="7" t="s">
        <v>3953</v>
      </c>
    </row>
    <row r="58" spans="2:4" x14ac:dyDescent="0.2">
      <c r="B58" s="7" t="s">
        <v>94</v>
      </c>
      <c r="C58" s="7" t="s">
        <v>95</v>
      </c>
      <c r="D58" s="7" t="s">
        <v>3954</v>
      </c>
    </row>
    <row r="59" spans="2:4" x14ac:dyDescent="0.2">
      <c r="B59" s="7" t="s">
        <v>97</v>
      </c>
      <c r="C59" s="7" t="s">
        <v>3509</v>
      </c>
      <c r="D59" s="7" t="s">
        <v>3955</v>
      </c>
    </row>
    <row r="60" spans="2:4" x14ac:dyDescent="0.2">
      <c r="B60" s="7" t="s">
        <v>100</v>
      </c>
      <c r="C60" s="7" t="s">
        <v>3510</v>
      </c>
      <c r="D60" s="7" t="s">
        <v>3956</v>
      </c>
    </row>
    <row r="61" spans="2:4" x14ac:dyDescent="0.2">
      <c r="B61" s="7" t="s">
        <v>103</v>
      </c>
      <c r="C61" s="7" t="s">
        <v>104</v>
      </c>
      <c r="D61" s="7" t="s">
        <v>3957</v>
      </c>
    </row>
    <row r="62" spans="2:4" x14ac:dyDescent="0.2">
      <c r="B62" s="7" t="s">
        <v>106</v>
      </c>
      <c r="C62" s="7" t="s">
        <v>107</v>
      </c>
      <c r="D62" s="7" t="s">
        <v>3958</v>
      </c>
    </row>
    <row r="63" spans="2:4" x14ac:dyDescent="0.2">
      <c r="B63" s="7" t="s">
        <v>109</v>
      </c>
      <c r="C63" s="7" t="s">
        <v>110</v>
      </c>
      <c r="D63" s="7" t="s">
        <v>3959</v>
      </c>
    </row>
    <row r="64" spans="2:4" x14ac:dyDescent="0.2">
      <c r="B64" s="7" t="s">
        <v>112</v>
      </c>
      <c r="C64" s="7" t="s">
        <v>113</v>
      </c>
      <c r="D64" s="7" t="s">
        <v>3960</v>
      </c>
    </row>
    <row r="65" spans="2:4" x14ac:dyDescent="0.2">
      <c r="B65" s="7" t="s">
        <v>2114</v>
      </c>
      <c r="C65" s="7" t="s">
        <v>3511</v>
      </c>
      <c r="D65" s="7" t="s">
        <v>3961</v>
      </c>
    </row>
    <row r="66" spans="2:4" x14ac:dyDescent="0.2">
      <c r="B66" s="7" t="s">
        <v>115</v>
      </c>
      <c r="C66" s="7" t="s">
        <v>116</v>
      </c>
      <c r="D66" s="7" t="s">
        <v>3962</v>
      </c>
    </row>
    <row r="67" spans="2:4" x14ac:dyDescent="0.2">
      <c r="B67" s="7" t="s">
        <v>118</v>
      </c>
      <c r="C67" s="7" t="s">
        <v>119</v>
      </c>
      <c r="D67" s="7" t="s">
        <v>3963</v>
      </c>
    </row>
    <row r="68" spans="2:4" x14ac:dyDescent="0.2">
      <c r="B68" s="7" t="s">
        <v>2065</v>
      </c>
      <c r="C68" s="7" t="s">
        <v>2066</v>
      </c>
      <c r="D68" s="7" t="s">
        <v>3964</v>
      </c>
    </row>
    <row r="69" spans="2:4" x14ac:dyDescent="0.2">
      <c r="B69" s="7" t="s">
        <v>2415</v>
      </c>
      <c r="C69" s="7" t="s">
        <v>2416</v>
      </c>
      <c r="D69" s="7" t="s">
        <v>3965</v>
      </c>
    </row>
    <row r="70" spans="2:4" x14ac:dyDescent="0.2">
      <c r="B70" s="7" t="s">
        <v>121</v>
      </c>
      <c r="C70" s="7" t="s">
        <v>3512</v>
      </c>
      <c r="D70" s="7" t="s">
        <v>3966</v>
      </c>
    </row>
    <row r="71" spans="2:4" x14ac:dyDescent="0.2">
      <c r="B71" s="7" t="s">
        <v>2590</v>
      </c>
      <c r="C71" s="7" t="s">
        <v>2591</v>
      </c>
      <c r="D71" s="7" t="s">
        <v>3967</v>
      </c>
    </row>
    <row r="72" spans="2:4" x14ac:dyDescent="0.2">
      <c r="B72" s="7" t="s">
        <v>2536</v>
      </c>
      <c r="C72" s="7" t="s">
        <v>2537</v>
      </c>
      <c r="D72" s="7" t="s">
        <v>3968</v>
      </c>
    </row>
    <row r="73" spans="2:4" x14ac:dyDescent="0.2">
      <c r="B73" s="7" t="s">
        <v>123</v>
      </c>
      <c r="C73" s="7" t="s">
        <v>124</v>
      </c>
      <c r="D73" s="7" t="s">
        <v>3969</v>
      </c>
    </row>
    <row r="74" spans="2:4" x14ac:dyDescent="0.2">
      <c r="B74" s="7" t="s">
        <v>126</v>
      </c>
      <c r="C74" s="7" t="s">
        <v>127</v>
      </c>
      <c r="D74" s="7" t="s">
        <v>3970</v>
      </c>
    </row>
    <row r="75" spans="2:4" x14ac:dyDescent="0.2">
      <c r="B75" s="7" t="s">
        <v>129</v>
      </c>
      <c r="C75" s="7" t="s">
        <v>130</v>
      </c>
      <c r="D75" s="7" t="s">
        <v>3971</v>
      </c>
    </row>
    <row r="76" spans="2:4" x14ac:dyDescent="0.2">
      <c r="B76" s="7" t="s">
        <v>1901</v>
      </c>
      <c r="C76" s="7" t="s">
        <v>1902</v>
      </c>
      <c r="D76" s="7" t="s">
        <v>3972</v>
      </c>
    </row>
    <row r="77" spans="2:4" x14ac:dyDescent="0.2">
      <c r="B77" s="7" t="s">
        <v>132</v>
      </c>
      <c r="C77" s="7" t="s">
        <v>133</v>
      </c>
      <c r="D77" s="7" t="s">
        <v>3973</v>
      </c>
    </row>
    <row r="78" spans="2:4" x14ac:dyDescent="0.2">
      <c r="B78" s="7" t="s">
        <v>2455</v>
      </c>
      <c r="C78" s="7" t="s">
        <v>2456</v>
      </c>
      <c r="D78" s="7" t="s">
        <v>3974</v>
      </c>
    </row>
    <row r="79" spans="2:4" x14ac:dyDescent="0.2">
      <c r="B79" s="7" t="s">
        <v>135</v>
      </c>
      <c r="C79" s="7" t="s">
        <v>136</v>
      </c>
      <c r="D79" s="7" t="s">
        <v>3975</v>
      </c>
    </row>
    <row r="80" spans="2:4" x14ac:dyDescent="0.2">
      <c r="B80" s="7" t="s">
        <v>2046</v>
      </c>
      <c r="C80" s="7" t="s">
        <v>2047</v>
      </c>
      <c r="D80" s="7" t="s">
        <v>3976</v>
      </c>
    </row>
    <row r="81" spans="2:4" x14ac:dyDescent="0.2">
      <c r="B81" s="7" t="s">
        <v>2613</v>
      </c>
      <c r="C81" s="7" t="s">
        <v>2614</v>
      </c>
      <c r="D81" s="7" t="s">
        <v>3977</v>
      </c>
    </row>
    <row r="82" spans="2:4" x14ac:dyDescent="0.2">
      <c r="B82" s="7" t="s">
        <v>2128</v>
      </c>
      <c r="C82" s="7" t="s">
        <v>2129</v>
      </c>
      <c r="D82" s="7" t="s">
        <v>3978</v>
      </c>
    </row>
    <row r="83" spans="2:4" x14ac:dyDescent="0.2">
      <c r="B83" s="7" t="s">
        <v>2410</v>
      </c>
      <c r="C83" s="7" t="s">
        <v>2411</v>
      </c>
      <c r="D83" s="7" t="s">
        <v>3979</v>
      </c>
    </row>
    <row r="84" spans="2:4" x14ac:dyDescent="0.2">
      <c r="B84" s="7" t="s">
        <v>2584</v>
      </c>
      <c r="C84" s="7" t="s">
        <v>2585</v>
      </c>
      <c r="D84" s="7" t="s">
        <v>3980</v>
      </c>
    </row>
    <row r="85" spans="2:4" x14ac:dyDescent="0.2">
      <c r="B85" s="7" t="s">
        <v>138</v>
      </c>
      <c r="C85" s="7" t="s">
        <v>139</v>
      </c>
      <c r="D85" s="7" t="s">
        <v>3981</v>
      </c>
    </row>
    <row r="86" spans="2:4" x14ac:dyDescent="0.2">
      <c r="B86" s="7" t="s">
        <v>2373</v>
      </c>
      <c r="C86" s="7" t="s">
        <v>2374</v>
      </c>
      <c r="D86" s="7" t="s">
        <v>3982</v>
      </c>
    </row>
    <row r="87" spans="2:4" x14ac:dyDescent="0.2">
      <c r="B87" s="7" t="s">
        <v>141</v>
      </c>
      <c r="C87" s="7" t="s">
        <v>142</v>
      </c>
      <c r="D87" s="7" t="s">
        <v>3983</v>
      </c>
    </row>
    <row r="88" spans="2:4" x14ac:dyDescent="0.2">
      <c r="B88" s="7" t="s">
        <v>2444</v>
      </c>
      <c r="C88" s="7" t="s">
        <v>2445</v>
      </c>
      <c r="D88" s="7" t="s">
        <v>3984</v>
      </c>
    </row>
    <row r="89" spans="2:4" x14ac:dyDescent="0.2">
      <c r="B89" s="7" t="s">
        <v>144</v>
      </c>
      <c r="C89" s="7" t="s">
        <v>145</v>
      </c>
      <c r="D89" s="7" t="s">
        <v>3985</v>
      </c>
    </row>
    <row r="90" spans="2:4" x14ac:dyDescent="0.2">
      <c r="B90" s="7" t="s">
        <v>147</v>
      </c>
      <c r="C90" s="7" t="s">
        <v>148</v>
      </c>
      <c r="D90" s="7" t="s">
        <v>3986</v>
      </c>
    </row>
    <row r="91" spans="2:4" x14ac:dyDescent="0.2">
      <c r="B91" s="7" t="s">
        <v>1909</v>
      </c>
      <c r="C91" s="7" t="s">
        <v>1910</v>
      </c>
      <c r="D91" s="7" t="s">
        <v>3987</v>
      </c>
    </row>
    <row r="92" spans="2:4" x14ac:dyDescent="0.2">
      <c r="B92" s="7" t="s">
        <v>150</v>
      </c>
      <c r="C92" s="7" t="s">
        <v>151</v>
      </c>
      <c r="D92" s="7" t="s">
        <v>3988</v>
      </c>
    </row>
    <row r="93" spans="2:4" x14ac:dyDescent="0.2">
      <c r="B93" s="7" t="s">
        <v>1732</v>
      </c>
      <c r="C93" s="7" t="s">
        <v>1733</v>
      </c>
      <c r="D93" s="7" t="s">
        <v>3989</v>
      </c>
    </row>
    <row r="94" spans="2:4" x14ac:dyDescent="0.2">
      <c r="B94" s="7" t="s">
        <v>153</v>
      </c>
      <c r="C94" s="7" t="s">
        <v>154</v>
      </c>
      <c r="D94" s="7" t="s">
        <v>3990</v>
      </c>
    </row>
    <row r="95" spans="2:4" x14ac:dyDescent="0.2">
      <c r="B95" s="7" t="s">
        <v>2463</v>
      </c>
      <c r="C95" s="7" t="s">
        <v>2464</v>
      </c>
      <c r="D95" s="7" t="s">
        <v>3991</v>
      </c>
    </row>
    <row r="96" spans="2:4" x14ac:dyDescent="0.2">
      <c r="B96" s="7" t="s">
        <v>2071</v>
      </c>
      <c r="C96" s="7" t="s">
        <v>2072</v>
      </c>
      <c r="D96" s="7" t="s">
        <v>3992</v>
      </c>
    </row>
    <row r="97" spans="2:4" x14ac:dyDescent="0.2">
      <c r="B97" s="7" t="s">
        <v>156</v>
      </c>
      <c r="C97" s="7" t="s">
        <v>3513</v>
      </c>
      <c r="D97" s="7" t="s">
        <v>3993</v>
      </c>
    </row>
    <row r="98" spans="2:4" x14ac:dyDescent="0.2">
      <c r="B98" s="7" t="s">
        <v>159</v>
      </c>
      <c r="C98" s="7" t="s">
        <v>160</v>
      </c>
      <c r="D98" s="7" t="s">
        <v>8768</v>
      </c>
    </row>
    <row r="99" spans="2:4" x14ac:dyDescent="0.2">
      <c r="B99" s="7" t="s">
        <v>162</v>
      </c>
      <c r="C99" s="7" t="s">
        <v>163</v>
      </c>
      <c r="D99" s="7" t="s">
        <v>3994</v>
      </c>
    </row>
    <row r="100" spans="2:4" x14ac:dyDescent="0.2">
      <c r="B100" s="7" t="s">
        <v>165</v>
      </c>
      <c r="C100" s="7" t="s">
        <v>166</v>
      </c>
      <c r="D100" s="7" t="s">
        <v>3995</v>
      </c>
    </row>
    <row r="101" spans="2:4" x14ac:dyDescent="0.2">
      <c r="B101" s="7" t="s">
        <v>168</v>
      </c>
      <c r="C101" s="7" t="s">
        <v>169</v>
      </c>
      <c r="D101" s="7" t="s">
        <v>3996</v>
      </c>
    </row>
    <row r="102" spans="2:4" x14ac:dyDescent="0.2">
      <c r="B102" s="7" t="s">
        <v>171</v>
      </c>
      <c r="C102" s="7" t="s">
        <v>172</v>
      </c>
      <c r="D102" s="7" t="s">
        <v>3997</v>
      </c>
    </row>
    <row r="103" spans="2:4" x14ac:dyDescent="0.2">
      <c r="B103" s="7" t="s">
        <v>174</v>
      </c>
      <c r="C103" s="7" t="s">
        <v>3514</v>
      </c>
      <c r="D103" s="7" t="s">
        <v>3998</v>
      </c>
    </row>
    <row r="104" spans="2:4" x14ac:dyDescent="0.2">
      <c r="B104" s="7" t="s">
        <v>176</v>
      </c>
      <c r="C104" s="7" t="s">
        <v>3515</v>
      </c>
      <c r="D104" s="7" t="s">
        <v>3999</v>
      </c>
    </row>
    <row r="105" spans="2:4" x14ac:dyDescent="0.2">
      <c r="B105" s="7" t="s">
        <v>178</v>
      </c>
      <c r="C105" s="7" t="s">
        <v>3516</v>
      </c>
      <c r="D105" s="7" t="s">
        <v>4000</v>
      </c>
    </row>
    <row r="106" spans="2:4" x14ac:dyDescent="0.2">
      <c r="B106" s="7" t="s">
        <v>1878</v>
      </c>
      <c r="C106" s="7" t="s">
        <v>1879</v>
      </c>
      <c r="D106" s="7" t="s">
        <v>4001</v>
      </c>
    </row>
    <row r="107" spans="2:4" x14ac:dyDescent="0.2">
      <c r="B107" s="7" t="s">
        <v>1841</v>
      </c>
      <c r="C107" s="7" t="s">
        <v>3517</v>
      </c>
      <c r="D107" s="7" t="s">
        <v>4002</v>
      </c>
    </row>
    <row r="108" spans="2:4" x14ac:dyDescent="0.2">
      <c r="B108" s="7" t="s">
        <v>180</v>
      </c>
      <c r="C108" s="7" t="s">
        <v>3518</v>
      </c>
      <c r="D108" s="7" t="s">
        <v>4003</v>
      </c>
    </row>
    <row r="109" spans="2:4" x14ac:dyDescent="0.2">
      <c r="B109" s="7" t="s">
        <v>182</v>
      </c>
      <c r="C109" s="7" t="s">
        <v>183</v>
      </c>
      <c r="D109" s="7" t="s">
        <v>4004</v>
      </c>
    </row>
    <row r="110" spans="2:4" x14ac:dyDescent="0.2">
      <c r="B110" s="7" t="s">
        <v>185</v>
      </c>
      <c r="C110" s="7" t="s">
        <v>186</v>
      </c>
      <c r="D110" s="7" t="s">
        <v>4005</v>
      </c>
    </row>
    <row r="111" spans="2:4" x14ac:dyDescent="0.2">
      <c r="B111" s="7" t="s">
        <v>188</v>
      </c>
      <c r="C111" s="7" t="s">
        <v>189</v>
      </c>
      <c r="D111" s="7" t="s">
        <v>4006</v>
      </c>
    </row>
    <row r="112" spans="2:4" x14ac:dyDescent="0.2">
      <c r="B112" s="7" t="s">
        <v>191</v>
      </c>
      <c r="C112" s="7" t="s">
        <v>192</v>
      </c>
      <c r="D112" s="7" t="s">
        <v>4007</v>
      </c>
    </row>
    <row r="113" spans="2:4" x14ac:dyDescent="0.2">
      <c r="B113" s="7" t="s">
        <v>2275</v>
      </c>
      <c r="C113" s="7" t="s">
        <v>2276</v>
      </c>
      <c r="D113" s="7" t="s">
        <v>4008</v>
      </c>
    </row>
    <row r="114" spans="2:4" x14ac:dyDescent="0.2">
      <c r="B114" s="7" t="s">
        <v>194</v>
      </c>
      <c r="C114" s="7" t="s">
        <v>195</v>
      </c>
      <c r="D114" s="7" t="s">
        <v>4009</v>
      </c>
    </row>
    <row r="115" spans="2:4" x14ac:dyDescent="0.2">
      <c r="B115" s="7" t="s">
        <v>1921</v>
      </c>
      <c r="C115" s="7" t="s">
        <v>1922</v>
      </c>
      <c r="D115" s="7" t="s">
        <v>4010</v>
      </c>
    </row>
    <row r="116" spans="2:4" x14ac:dyDescent="0.2">
      <c r="B116" s="7" t="s">
        <v>1643</v>
      </c>
      <c r="C116" s="7" t="s">
        <v>1644</v>
      </c>
      <c r="D116" s="7" t="s">
        <v>4011</v>
      </c>
    </row>
    <row r="117" spans="2:4" x14ac:dyDescent="0.2">
      <c r="B117" s="7" t="s">
        <v>2222</v>
      </c>
      <c r="C117" s="7" t="s">
        <v>2223</v>
      </c>
      <c r="D117" s="7" t="s">
        <v>4012</v>
      </c>
    </row>
    <row r="118" spans="2:4" x14ac:dyDescent="0.2">
      <c r="B118" s="7" t="s">
        <v>197</v>
      </c>
      <c r="C118" s="7" t="s">
        <v>3519</v>
      </c>
      <c r="D118" s="7" t="s">
        <v>4013</v>
      </c>
    </row>
    <row r="119" spans="2:4" x14ac:dyDescent="0.2">
      <c r="B119" s="7" t="s">
        <v>2181</v>
      </c>
      <c r="C119" s="7" t="s">
        <v>2182</v>
      </c>
      <c r="D119" s="7" t="s">
        <v>4014</v>
      </c>
    </row>
    <row r="120" spans="2:4" x14ac:dyDescent="0.2">
      <c r="B120" s="7" t="s">
        <v>1449</v>
      </c>
      <c r="C120" s="7" t="s">
        <v>3520</v>
      </c>
      <c r="D120" s="7" t="s">
        <v>4015</v>
      </c>
    </row>
    <row r="121" spans="2:4" x14ac:dyDescent="0.2">
      <c r="B121" s="7" t="s">
        <v>2596</v>
      </c>
      <c r="C121" s="7" t="s">
        <v>3521</v>
      </c>
      <c r="D121" s="7" t="s">
        <v>4016</v>
      </c>
    </row>
    <row r="122" spans="2:4" x14ac:dyDescent="0.2">
      <c r="B122" s="7" t="s">
        <v>199</v>
      </c>
      <c r="C122" s="7" t="s">
        <v>3522</v>
      </c>
      <c r="D122" s="7" t="s">
        <v>4017</v>
      </c>
    </row>
    <row r="123" spans="2:4" x14ac:dyDescent="0.2">
      <c r="B123" s="7" t="s">
        <v>201</v>
      </c>
      <c r="C123" s="7" t="s">
        <v>3888</v>
      </c>
      <c r="D123" s="7" t="s">
        <v>4018</v>
      </c>
    </row>
    <row r="124" spans="2:4" x14ac:dyDescent="0.2">
      <c r="B124" s="7" t="s">
        <v>203</v>
      </c>
      <c r="C124" s="7" t="s">
        <v>204</v>
      </c>
      <c r="D124" s="7" t="s">
        <v>4019</v>
      </c>
    </row>
    <row r="125" spans="2:4" x14ac:dyDescent="0.2">
      <c r="B125" s="7" t="s">
        <v>1843</v>
      </c>
      <c r="C125" s="7" t="s">
        <v>1844</v>
      </c>
      <c r="D125" s="7" t="s">
        <v>4020</v>
      </c>
    </row>
    <row r="126" spans="2:4" x14ac:dyDescent="0.2">
      <c r="B126" s="7" t="s">
        <v>206</v>
      </c>
      <c r="C126" s="7" t="s">
        <v>207</v>
      </c>
      <c r="D126" s="7" t="s">
        <v>4021</v>
      </c>
    </row>
    <row r="127" spans="2:4" x14ac:dyDescent="0.2">
      <c r="B127" s="7" t="s">
        <v>209</v>
      </c>
      <c r="C127" s="7" t="s">
        <v>210</v>
      </c>
      <c r="D127" s="7" t="s">
        <v>4022</v>
      </c>
    </row>
    <row r="128" spans="2:4" x14ac:dyDescent="0.2">
      <c r="B128" s="7" t="s">
        <v>2088</v>
      </c>
      <c r="C128" s="7" t="s">
        <v>2089</v>
      </c>
      <c r="D128" s="7" t="s">
        <v>4023</v>
      </c>
    </row>
    <row r="129" spans="2:4" x14ac:dyDescent="0.2">
      <c r="B129" s="7" t="s">
        <v>212</v>
      </c>
      <c r="C129" s="7" t="s">
        <v>3523</v>
      </c>
      <c r="D129" s="7" t="s">
        <v>4024</v>
      </c>
    </row>
    <row r="130" spans="2:4" x14ac:dyDescent="0.2">
      <c r="B130" s="7" t="s">
        <v>214</v>
      </c>
      <c r="C130" s="7" t="s">
        <v>215</v>
      </c>
      <c r="D130" s="7" t="s">
        <v>4025</v>
      </c>
    </row>
    <row r="131" spans="2:4" x14ac:dyDescent="0.2">
      <c r="B131" s="7" t="s">
        <v>2025</v>
      </c>
      <c r="C131" s="7" t="s">
        <v>2026</v>
      </c>
      <c r="D131" s="7" t="s">
        <v>4026</v>
      </c>
    </row>
    <row r="132" spans="2:4" x14ac:dyDescent="0.2">
      <c r="B132" s="7" t="s">
        <v>217</v>
      </c>
      <c r="C132" s="7" t="s">
        <v>3524</v>
      </c>
      <c r="D132" s="7" t="s">
        <v>4027</v>
      </c>
    </row>
    <row r="133" spans="2:4" x14ac:dyDescent="0.2">
      <c r="B133" s="7" t="s">
        <v>219</v>
      </c>
      <c r="C133" s="7" t="s">
        <v>220</v>
      </c>
      <c r="D133" s="7" t="s">
        <v>4028</v>
      </c>
    </row>
    <row r="134" spans="2:4" x14ac:dyDescent="0.2">
      <c r="B134" s="7" t="s">
        <v>222</v>
      </c>
      <c r="C134" s="7" t="s">
        <v>223</v>
      </c>
      <c r="D134" s="7" t="s">
        <v>4029</v>
      </c>
    </row>
    <row r="135" spans="2:4" x14ac:dyDescent="0.2">
      <c r="B135" s="7" t="s">
        <v>225</v>
      </c>
      <c r="C135" s="7" t="s">
        <v>226</v>
      </c>
      <c r="D135" s="7" t="s">
        <v>4030</v>
      </c>
    </row>
    <row r="136" spans="2:4" x14ac:dyDescent="0.2">
      <c r="B136" s="7" t="s">
        <v>228</v>
      </c>
      <c r="C136" s="7" t="s">
        <v>3525</v>
      </c>
      <c r="D136" s="7" t="s">
        <v>4031</v>
      </c>
    </row>
    <row r="137" spans="2:4" x14ac:dyDescent="0.2">
      <c r="B137" s="7" t="s">
        <v>230</v>
      </c>
      <c r="C137" s="7" t="s">
        <v>3526</v>
      </c>
      <c r="D137" s="7" t="s">
        <v>4032</v>
      </c>
    </row>
    <row r="138" spans="2:4" x14ac:dyDescent="0.2">
      <c r="B138" s="7" t="s">
        <v>232</v>
      </c>
      <c r="C138" s="7" t="s">
        <v>3527</v>
      </c>
      <c r="D138" s="7" t="s">
        <v>4033</v>
      </c>
    </row>
    <row r="139" spans="2:4" x14ac:dyDescent="0.2">
      <c r="B139" s="7" t="s">
        <v>235</v>
      </c>
      <c r="C139" s="7" t="s">
        <v>236</v>
      </c>
      <c r="D139" s="7" t="s">
        <v>4034</v>
      </c>
    </row>
    <row r="140" spans="2:4" x14ac:dyDescent="0.2">
      <c r="B140" s="7" t="s">
        <v>238</v>
      </c>
      <c r="C140" s="7" t="s">
        <v>239</v>
      </c>
      <c r="D140" s="7" t="s">
        <v>4035</v>
      </c>
    </row>
    <row r="141" spans="2:4" x14ac:dyDescent="0.2">
      <c r="B141" s="7" t="s">
        <v>2477</v>
      </c>
      <c r="C141" s="7" t="s">
        <v>2478</v>
      </c>
      <c r="D141" s="7" t="s">
        <v>4036</v>
      </c>
    </row>
    <row r="142" spans="2:4" x14ac:dyDescent="0.2">
      <c r="B142" s="7" t="s">
        <v>2547</v>
      </c>
      <c r="C142" s="7" t="s">
        <v>2548</v>
      </c>
      <c r="D142" s="7" t="s">
        <v>4037</v>
      </c>
    </row>
    <row r="143" spans="2:4" x14ac:dyDescent="0.2">
      <c r="B143" s="7" t="s">
        <v>241</v>
      </c>
      <c r="C143" s="7" t="s">
        <v>3528</v>
      </c>
      <c r="D143" s="7" t="s">
        <v>4038</v>
      </c>
    </row>
    <row r="144" spans="2:4" x14ac:dyDescent="0.2">
      <c r="B144" s="7" t="s">
        <v>244</v>
      </c>
      <c r="C144" s="7" t="s">
        <v>245</v>
      </c>
      <c r="D144" s="7" t="s">
        <v>4039</v>
      </c>
    </row>
    <row r="145" spans="2:4" x14ac:dyDescent="0.2">
      <c r="B145" s="7" t="s">
        <v>1703</v>
      </c>
      <c r="C145" s="7" t="s">
        <v>1704</v>
      </c>
      <c r="D145" s="7" t="s">
        <v>4040</v>
      </c>
    </row>
    <row r="146" spans="2:4" x14ac:dyDescent="0.2">
      <c r="B146" s="7" t="s">
        <v>247</v>
      </c>
      <c r="C146" s="7" t="s">
        <v>248</v>
      </c>
      <c r="D146" s="7" t="s">
        <v>4041</v>
      </c>
    </row>
    <row r="147" spans="2:4" x14ac:dyDescent="0.2">
      <c r="B147" s="7" t="s">
        <v>2235</v>
      </c>
      <c r="C147" s="7" t="s">
        <v>2236</v>
      </c>
      <c r="D147" s="7" t="s">
        <v>4042</v>
      </c>
    </row>
    <row r="148" spans="2:4" x14ac:dyDescent="0.2">
      <c r="B148" s="7" t="s">
        <v>1969</v>
      </c>
      <c r="C148" s="7" t="s">
        <v>1970</v>
      </c>
      <c r="D148" s="7" t="s">
        <v>4043</v>
      </c>
    </row>
    <row r="149" spans="2:4" x14ac:dyDescent="0.2">
      <c r="B149" s="7" t="s">
        <v>250</v>
      </c>
      <c r="C149" s="7" t="s">
        <v>251</v>
      </c>
      <c r="D149" s="7" t="s">
        <v>4044</v>
      </c>
    </row>
    <row r="150" spans="2:4" x14ac:dyDescent="0.2">
      <c r="B150" s="7" t="s">
        <v>253</v>
      </c>
      <c r="C150" s="7" t="s">
        <v>3529</v>
      </c>
      <c r="D150" s="7" t="s">
        <v>4045</v>
      </c>
    </row>
    <row r="151" spans="2:4" x14ac:dyDescent="0.2">
      <c r="B151" s="7" t="s">
        <v>256</v>
      </c>
      <c r="C151" s="7" t="s">
        <v>257</v>
      </c>
      <c r="D151" s="7" t="s">
        <v>4046</v>
      </c>
    </row>
    <row r="152" spans="2:4" x14ac:dyDescent="0.2">
      <c r="B152" s="7" t="s">
        <v>259</v>
      </c>
      <c r="C152" s="7" t="s">
        <v>260</v>
      </c>
      <c r="D152" s="7" t="s">
        <v>4047</v>
      </c>
    </row>
    <row r="153" spans="2:4" x14ac:dyDescent="0.2">
      <c r="B153" s="7" t="s">
        <v>262</v>
      </c>
      <c r="C153" s="7" t="s">
        <v>3530</v>
      </c>
      <c r="D153" s="7" t="s">
        <v>4048</v>
      </c>
    </row>
    <row r="154" spans="2:4" x14ac:dyDescent="0.2">
      <c r="B154" s="7" t="s">
        <v>265</v>
      </c>
      <c r="C154" s="7" t="s">
        <v>266</v>
      </c>
      <c r="D154" s="7" t="s">
        <v>4049</v>
      </c>
    </row>
    <row r="155" spans="2:4" x14ac:dyDescent="0.2">
      <c r="B155" s="7" t="s">
        <v>268</v>
      </c>
      <c r="C155" s="7" t="s">
        <v>269</v>
      </c>
      <c r="D155" s="7" t="s">
        <v>4050</v>
      </c>
    </row>
    <row r="156" spans="2:4" x14ac:dyDescent="0.2">
      <c r="B156" s="7" t="s">
        <v>271</v>
      </c>
      <c r="C156" s="7" t="s">
        <v>272</v>
      </c>
      <c r="D156" s="7" t="s">
        <v>4051</v>
      </c>
    </row>
    <row r="157" spans="2:4" x14ac:dyDescent="0.2">
      <c r="B157" s="7" t="s">
        <v>2500</v>
      </c>
      <c r="C157" s="7" t="s">
        <v>2501</v>
      </c>
      <c r="D157" s="7" t="s">
        <v>4052</v>
      </c>
    </row>
    <row r="158" spans="2:4" x14ac:dyDescent="0.2">
      <c r="B158" s="7" t="s">
        <v>2016</v>
      </c>
      <c r="C158" s="7" t="s">
        <v>3531</v>
      </c>
      <c r="D158" s="7" t="s">
        <v>4053</v>
      </c>
    </row>
    <row r="159" spans="2:4" x14ac:dyDescent="0.2">
      <c r="B159" s="7" t="s">
        <v>1386</v>
      </c>
      <c r="C159" s="7" t="s">
        <v>1387</v>
      </c>
      <c r="D159" s="7" t="s">
        <v>4054</v>
      </c>
    </row>
    <row r="160" spans="2:4" x14ac:dyDescent="0.2">
      <c r="B160" s="7" t="s">
        <v>1678</v>
      </c>
      <c r="C160" s="7" t="s">
        <v>1679</v>
      </c>
      <c r="D160" s="7" t="s">
        <v>4055</v>
      </c>
    </row>
    <row r="161" spans="2:4" x14ac:dyDescent="0.2">
      <c r="B161" s="7" t="s">
        <v>274</v>
      </c>
      <c r="C161" s="7" t="s">
        <v>275</v>
      </c>
      <c r="D161" s="7" t="s">
        <v>4056</v>
      </c>
    </row>
    <row r="162" spans="2:4" x14ac:dyDescent="0.2">
      <c r="B162" s="7" t="s">
        <v>1494</v>
      </c>
      <c r="C162" s="7" t="s">
        <v>1495</v>
      </c>
      <c r="D162" s="7" t="s">
        <v>4057</v>
      </c>
    </row>
    <row r="163" spans="2:4" x14ac:dyDescent="0.2">
      <c r="B163" s="7" t="s">
        <v>277</v>
      </c>
      <c r="C163" s="7" t="s">
        <v>278</v>
      </c>
      <c r="D163" s="7" t="s">
        <v>4058</v>
      </c>
    </row>
    <row r="164" spans="2:4" x14ac:dyDescent="0.2">
      <c r="B164" s="7" t="s">
        <v>280</v>
      </c>
      <c r="C164" s="7" t="s">
        <v>3532</v>
      </c>
      <c r="D164" s="7" t="s">
        <v>4059</v>
      </c>
    </row>
    <row r="165" spans="2:4" x14ac:dyDescent="0.2">
      <c r="B165" s="7" t="s">
        <v>1554</v>
      </c>
      <c r="C165" s="7" t="s">
        <v>1555</v>
      </c>
      <c r="D165" s="7" t="s">
        <v>4060</v>
      </c>
    </row>
    <row r="166" spans="2:4" x14ac:dyDescent="0.2">
      <c r="B166" s="7" t="s">
        <v>282</v>
      </c>
      <c r="C166" s="7" t="s">
        <v>283</v>
      </c>
      <c r="D166" s="7" t="s">
        <v>4061</v>
      </c>
    </row>
    <row r="167" spans="2:4" x14ac:dyDescent="0.2">
      <c r="B167" s="7" t="s">
        <v>2387</v>
      </c>
      <c r="C167" s="7" t="s">
        <v>2388</v>
      </c>
      <c r="D167" s="7" t="s">
        <v>4062</v>
      </c>
    </row>
    <row r="168" spans="2:4" x14ac:dyDescent="0.2">
      <c r="B168" s="7" t="s">
        <v>1389</v>
      </c>
      <c r="C168" s="7" t="s">
        <v>1390</v>
      </c>
      <c r="D168" s="7" t="s">
        <v>4063</v>
      </c>
    </row>
    <row r="169" spans="2:4" x14ac:dyDescent="0.2">
      <c r="B169" s="7" t="s">
        <v>285</v>
      </c>
      <c r="C169" s="7" t="s">
        <v>286</v>
      </c>
      <c r="D169" s="7" t="s">
        <v>4064</v>
      </c>
    </row>
    <row r="170" spans="2:4" x14ac:dyDescent="0.2">
      <c r="B170" s="7" t="s">
        <v>288</v>
      </c>
      <c r="C170" s="7" t="s">
        <v>289</v>
      </c>
      <c r="D170" s="7" t="s">
        <v>4065</v>
      </c>
    </row>
    <row r="171" spans="2:4" x14ac:dyDescent="0.2">
      <c r="B171" s="7" t="s">
        <v>291</v>
      </c>
      <c r="C171" s="7" t="s">
        <v>292</v>
      </c>
      <c r="D171" s="7" t="s">
        <v>4066</v>
      </c>
    </row>
    <row r="172" spans="2:4" x14ac:dyDescent="0.2">
      <c r="B172" s="7" t="s">
        <v>2523</v>
      </c>
      <c r="C172" s="7" t="s">
        <v>2524</v>
      </c>
      <c r="D172" s="7" t="s">
        <v>4067</v>
      </c>
    </row>
    <row r="173" spans="2:4" x14ac:dyDescent="0.2">
      <c r="B173" s="7" t="s">
        <v>2190</v>
      </c>
      <c r="C173" s="7" t="s">
        <v>2191</v>
      </c>
      <c r="D173" s="7" t="s">
        <v>4068</v>
      </c>
    </row>
    <row r="174" spans="2:4" x14ac:dyDescent="0.2">
      <c r="B174" s="7" t="s">
        <v>294</v>
      </c>
      <c r="C174" s="7" t="s">
        <v>295</v>
      </c>
      <c r="D174" s="7" t="s">
        <v>4069</v>
      </c>
    </row>
    <row r="175" spans="2:4" x14ac:dyDescent="0.2">
      <c r="B175" s="7" t="s">
        <v>297</v>
      </c>
      <c r="C175" s="7" t="s">
        <v>298</v>
      </c>
      <c r="D175" s="7" t="s">
        <v>4070</v>
      </c>
    </row>
    <row r="176" spans="2:4" x14ac:dyDescent="0.2">
      <c r="B176" s="7" t="s">
        <v>2055</v>
      </c>
      <c r="C176" s="7" t="s">
        <v>3533</v>
      </c>
      <c r="D176" s="7" t="s">
        <v>4071</v>
      </c>
    </row>
    <row r="177" spans="2:4" x14ac:dyDescent="0.2">
      <c r="B177" s="7" t="s">
        <v>300</v>
      </c>
      <c r="C177" s="7" t="s">
        <v>301</v>
      </c>
      <c r="D177" s="7" t="s">
        <v>4072</v>
      </c>
    </row>
    <row r="178" spans="2:4" x14ac:dyDescent="0.2">
      <c r="B178" s="7" t="s">
        <v>303</v>
      </c>
      <c r="C178" s="7" t="s">
        <v>304</v>
      </c>
      <c r="D178" s="7" t="s">
        <v>4073</v>
      </c>
    </row>
    <row r="179" spans="2:4" x14ac:dyDescent="0.2">
      <c r="B179" s="7" t="s">
        <v>306</v>
      </c>
      <c r="C179" s="7" t="s">
        <v>3534</v>
      </c>
      <c r="D179" s="7" t="s">
        <v>4074</v>
      </c>
    </row>
    <row r="180" spans="2:4" x14ac:dyDescent="0.2">
      <c r="B180" s="7" t="s">
        <v>309</v>
      </c>
      <c r="C180" s="7" t="s">
        <v>310</v>
      </c>
      <c r="D180" s="7" t="s">
        <v>4075</v>
      </c>
    </row>
    <row r="181" spans="2:4" x14ac:dyDescent="0.2">
      <c r="B181" s="7" t="s">
        <v>312</v>
      </c>
      <c r="C181" s="7" t="s">
        <v>313</v>
      </c>
      <c r="D181" s="7" t="s">
        <v>4076</v>
      </c>
    </row>
    <row r="182" spans="2:4" x14ac:dyDescent="0.2">
      <c r="B182" s="7" t="s">
        <v>314</v>
      </c>
      <c r="C182" s="7" t="s">
        <v>315</v>
      </c>
      <c r="D182" s="7" t="s">
        <v>4077</v>
      </c>
    </row>
    <row r="183" spans="2:4" x14ac:dyDescent="0.2">
      <c r="B183" s="7" t="s">
        <v>1515</v>
      </c>
      <c r="C183" s="7" t="s">
        <v>1516</v>
      </c>
      <c r="D183" s="7" t="s">
        <v>4078</v>
      </c>
    </row>
    <row r="184" spans="2:4" x14ac:dyDescent="0.2">
      <c r="B184" s="7" t="s">
        <v>2165</v>
      </c>
      <c r="C184" s="7" t="s">
        <v>2166</v>
      </c>
      <c r="D184" s="7" t="s">
        <v>4079</v>
      </c>
    </row>
    <row r="185" spans="2:4" x14ac:dyDescent="0.2">
      <c r="B185" s="7" t="s">
        <v>317</v>
      </c>
      <c r="C185" s="7" t="s">
        <v>318</v>
      </c>
      <c r="D185" s="7" t="s">
        <v>4080</v>
      </c>
    </row>
    <row r="186" spans="2:4" x14ac:dyDescent="0.2">
      <c r="B186" s="7" t="s">
        <v>1980</v>
      </c>
      <c r="C186" s="7" t="s">
        <v>1981</v>
      </c>
      <c r="D186" s="7" t="s">
        <v>4081</v>
      </c>
    </row>
    <row r="187" spans="2:4" x14ac:dyDescent="0.2">
      <c r="B187" s="7" t="s">
        <v>320</v>
      </c>
      <c r="C187" s="7" t="s">
        <v>321</v>
      </c>
      <c r="D187" s="7" t="s">
        <v>4082</v>
      </c>
    </row>
    <row r="188" spans="2:4" x14ac:dyDescent="0.2">
      <c r="B188" s="7" t="s">
        <v>323</v>
      </c>
      <c r="C188" s="7" t="s">
        <v>324</v>
      </c>
      <c r="D188" s="7" t="s">
        <v>4083</v>
      </c>
    </row>
    <row r="189" spans="2:4" x14ac:dyDescent="0.2">
      <c r="B189" s="7" t="s">
        <v>326</v>
      </c>
      <c r="C189" s="7" t="s">
        <v>327</v>
      </c>
      <c r="D189" s="7" t="s">
        <v>4084</v>
      </c>
    </row>
    <row r="190" spans="2:4" x14ac:dyDescent="0.2">
      <c r="B190" s="7" t="s">
        <v>329</v>
      </c>
      <c r="C190" s="7" t="s">
        <v>330</v>
      </c>
      <c r="D190" s="7" t="s">
        <v>4085</v>
      </c>
    </row>
    <row r="191" spans="2:4" x14ac:dyDescent="0.2">
      <c r="B191" s="7" t="s">
        <v>332</v>
      </c>
      <c r="C191" s="7" t="s">
        <v>3233</v>
      </c>
      <c r="D191" s="7" t="s">
        <v>4086</v>
      </c>
    </row>
    <row r="192" spans="2:4" x14ac:dyDescent="0.2">
      <c r="B192" s="7" t="s">
        <v>334</v>
      </c>
      <c r="C192" s="7" t="s">
        <v>335</v>
      </c>
      <c r="D192" s="7" t="s">
        <v>4087</v>
      </c>
    </row>
    <row r="193" spans="2:4" x14ac:dyDescent="0.2">
      <c r="B193" s="7" t="s">
        <v>337</v>
      </c>
      <c r="C193" s="7" t="s">
        <v>338</v>
      </c>
      <c r="D193" s="7" t="s">
        <v>4088</v>
      </c>
    </row>
    <row r="194" spans="2:4" x14ac:dyDescent="0.2">
      <c r="B194" s="7" t="s">
        <v>1611</v>
      </c>
      <c r="C194" s="7" t="s">
        <v>1612</v>
      </c>
      <c r="D194" s="7" t="s">
        <v>4089</v>
      </c>
    </row>
    <row r="195" spans="2:4" x14ac:dyDescent="0.2">
      <c r="B195" s="7" t="s">
        <v>1483</v>
      </c>
      <c r="C195" s="7" t="s">
        <v>3535</v>
      </c>
      <c r="D195" s="7" t="s">
        <v>4090</v>
      </c>
    </row>
    <row r="196" spans="2:4" x14ac:dyDescent="0.2">
      <c r="B196" s="7" t="s">
        <v>340</v>
      </c>
      <c r="C196" s="7" t="s">
        <v>3536</v>
      </c>
      <c r="D196" s="7" t="s">
        <v>4091</v>
      </c>
    </row>
    <row r="197" spans="2:4" x14ac:dyDescent="0.2">
      <c r="B197" s="7" t="s">
        <v>2601</v>
      </c>
      <c r="C197" s="7" t="s">
        <v>3537</v>
      </c>
      <c r="D197" s="7" t="s">
        <v>4092</v>
      </c>
    </row>
    <row r="198" spans="2:4" x14ac:dyDescent="0.2">
      <c r="B198" s="7" t="s">
        <v>1394</v>
      </c>
      <c r="C198" s="7" t="s">
        <v>3538</v>
      </c>
      <c r="D198" s="7" t="s">
        <v>4093</v>
      </c>
    </row>
    <row r="199" spans="2:4" x14ac:dyDescent="0.2">
      <c r="B199" s="7" t="s">
        <v>1345</v>
      </c>
      <c r="C199" s="7" t="s">
        <v>3539</v>
      </c>
      <c r="D199" s="7" t="s">
        <v>4094</v>
      </c>
    </row>
    <row r="200" spans="2:4" x14ac:dyDescent="0.2">
      <c r="B200" s="7" t="s">
        <v>1845</v>
      </c>
      <c r="C200" s="7" t="s">
        <v>3540</v>
      </c>
      <c r="D200" s="7" t="s">
        <v>4095</v>
      </c>
    </row>
    <row r="201" spans="2:4" x14ac:dyDescent="0.2">
      <c r="B201" s="7" t="s">
        <v>342</v>
      </c>
      <c r="C201" s="7" t="s">
        <v>343</v>
      </c>
      <c r="D201" s="7" t="s">
        <v>4096</v>
      </c>
    </row>
    <row r="202" spans="2:4" x14ac:dyDescent="0.2">
      <c r="B202" s="7" t="s">
        <v>2528</v>
      </c>
      <c r="C202" s="7" t="s">
        <v>2529</v>
      </c>
      <c r="D202" s="7" t="s">
        <v>4097</v>
      </c>
    </row>
    <row r="203" spans="2:4" x14ac:dyDescent="0.2">
      <c r="B203" s="7" t="s">
        <v>1833</v>
      </c>
      <c r="C203" s="7" t="s">
        <v>1834</v>
      </c>
      <c r="D203" s="7" t="s">
        <v>4098</v>
      </c>
    </row>
    <row r="204" spans="2:4" x14ac:dyDescent="0.2">
      <c r="B204" s="7" t="s">
        <v>2225</v>
      </c>
      <c r="C204" s="7" t="s">
        <v>2226</v>
      </c>
      <c r="D204" s="7" t="s">
        <v>4099</v>
      </c>
    </row>
    <row r="205" spans="2:4" x14ac:dyDescent="0.2">
      <c r="B205" s="7" t="s">
        <v>2230</v>
      </c>
      <c r="C205" s="7" t="s">
        <v>3541</v>
      </c>
      <c r="D205" s="7" t="s">
        <v>4100</v>
      </c>
    </row>
    <row r="206" spans="2:4" x14ac:dyDescent="0.2">
      <c r="B206" s="7" t="s">
        <v>2179</v>
      </c>
      <c r="C206" s="7" t="s">
        <v>2180</v>
      </c>
      <c r="D206" s="7" t="s">
        <v>4101</v>
      </c>
    </row>
    <row r="207" spans="2:4" x14ac:dyDescent="0.2">
      <c r="B207" s="7" t="s">
        <v>1680</v>
      </c>
      <c r="C207" s="7" t="s">
        <v>3542</v>
      </c>
      <c r="D207" s="7" t="s">
        <v>4102</v>
      </c>
    </row>
    <row r="208" spans="2:4" x14ac:dyDescent="0.2">
      <c r="B208" s="7" t="s">
        <v>2544</v>
      </c>
      <c r="C208" s="7" t="s">
        <v>2545</v>
      </c>
      <c r="D208" s="7" t="s">
        <v>4103</v>
      </c>
    </row>
    <row r="209" spans="2:4" x14ac:dyDescent="0.2">
      <c r="B209" s="7" t="s">
        <v>345</v>
      </c>
      <c r="C209" s="7" t="s">
        <v>346</v>
      </c>
      <c r="D209" s="7" t="s">
        <v>4104</v>
      </c>
    </row>
    <row r="210" spans="2:4" x14ac:dyDescent="0.2">
      <c r="B210" s="7" t="s">
        <v>348</v>
      </c>
      <c r="C210" s="7" t="s">
        <v>3543</v>
      </c>
      <c r="D210" s="7" t="s">
        <v>4105</v>
      </c>
    </row>
    <row r="211" spans="2:4" x14ac:dyDescent="0.2">
      <c r="B211" s="7" t="s">
        <v>350</v>
      </c>
      <c r="C211" s="7" t="s">
        <v>351</v>
      </c>
      <c r="D211" s="7" t="s">
        <v>4106</v>
      </c>
    </row>
    <row r="212" spans="2:4" x14ac:dyDescent="0.2">
      <c r="B212" s="7" t="s">
        <v>2625</v>
      </c>
      <c r="C212" s="7" t="s">
        <v>2626</v>
      </c>
      <c r="D212" s="7" t="s">
        <v>4107</v>
      </c>
    </row>
    <row r="213" spans="2:4" x14ac:dyDescent="0.2">
      <c r="B213" s="7" t="s">
        <v>2553</v>
      </c>
      <c r="C213" s="7" t="s">
        <v>2554</v>
      </c>
      <c r="D213" s="7" t="s">
        <v>4108</v>
      </c>
    </row>
    <row r="214" spans="2:4" x14ac:dyDescent="0.2">
      <c r="B214" s="7" t="s">
        <v>2123</v>
      </c>
      <c r="C214" s="7" t="s">
        <v>2124</v>
      </c>
      <c r="D214" s="7" t="s">
        <v>4109</v>
      </c>
    </row>
    <row r="215" spans="2:4" x14ac:dyDescent="0.2">
      <c r="B215" s="7" t="s">
        <v>2258</v>
      </c>
      <c r="C215" s="7" t="s">
        <v>2259</v>
      </c>
      <c r="D215" s="7" t="s">
        <v>4110</v>
      </c>
    </row>
    <row r="216" spans="2:4" x14ac:dyDescent="0.2">
      <c r="B216" s="7" t="s">
        <v>353</v>
      </c>
      <c r="C216" s="7" t="s">
        <v>354</v>
      </c>
      <c r="D216" s="7" t="s">
        <v>4111</v>
      </c>
    </row>
    <row r="217" spans="2:4" x14ac:dyDescent="0.2">
      <c r="B217" s="7" t="s">
        <v>356</v>
      </c>
      <c r="C217" s="7" t="s">
        <v>357</v>
      </c>
      <c r="D217" s="7" t="s">
        <v>4112</v>
      </c>
    </row>
    <row r="218" spans="2:4" x14ac:dyDescent="0.2">
      <c r="B218" s="7" t="s">
        <v>1586</v>
      </c>
      <c r="C218" s="7" t="s">
        <v>1587</v>
      </c>
      <c r="D218" s="7" t="s">
        <v>4113</v>
      </c>
    </row>
    <row r="219" spans="2:4" x14ac:dyDescent="0.2">
      <c r="B219" s="7" t="s">
        <v>1649</v>
      </c>
      <c r="C219" s="7" t="s">
        <v>1650</v>
      </c>
      <c r="D219" s="7" t="s">
        <v>4114</v>
      </c>
    </row>
    <row r="220" spans="2:4" x14ac:dyDescent="0.2">
      <c r="B220" s="7" t="s">
        <v>1399</v>
      </c>
      <c r="C220" s="7" t="s">
        <v>1400</v>
      </c>
      <c r="D220" s="7" t="s">
        <v>4115</v>
      </c>
    </row>
    <row r="221" spans="2:4" x14ac:dyDescent="0.2">
      <c r="B221" s="7" t="s">
        <v>359</v>
      </c>
      <c r="C221" s="7" t="s">
        <v>360</v>
      </c>
      <c r="D221" s="7" t="s">
        <v>4116</v>
      </c>
    </row>
    <row r="222" spans="2:4" x14ac:dyDescent="0.2">
      <c r="B222" s="7" t="s">
        <v>362</v>
      </c>
      <c r="C222" s="7" t="s">
        <v>3544</v>
      </c>
      <c r="D222" s="7" t="s">
        <v>4117</v>
      </c>
    </row>
    <row r="223" spans="2:4" x14ac:dyDescent="0.2">
      <c r="B223" s="7" t="s">
        <v>2004</v>
      </c>
      <c r="C223" s="7" t="s">
        <v>2005</v>
      </c>
      <c r="D223" s="7" t="s">
        <v>4118</v>
      </c>
    </row>
    <row r="224" spans="2:4" x14ac:dyDescent="0.2">
      <c r="B224" s="7" t="s">
        <v>364</v>
      </c>
      <c r="C224" s="7" t="s">
        <v>365</v>
      </c>
      <c r="D224" s="7" t="s">
        <v>4119</v>
      </c>
    </row>
    <row r="225" spans="2:4" x14ac:dyDescent="0.2">
      <c r="B225" s="7" t="s">
        <v>2028</v>
      </c>
      <c r="C225" s="7" t="s">
        <v>2029</v>
      </c>
      <c r="D225" s="7" t="s">
        <v>4120</v>
      </c>
    </row>
    <row r="226" spans="2:4" x14ac:dyDescent="0.2">
      <c r="B226" s="7" t="s">
        <v>367</v>
      </c>
      <c r="C226" s="7" t="s">
        <v>3545</v>
      </c>
      <c r="D226" s="7" t="s">
        <v>4121</v>
      </c>
    </row>
    <row r="227" spans="2:4" x14ac:dyDescent="0.2">
      <c r="B227" s="7" t="s">
        <v>2339</v>
      </c>
      <c r="C227" s="7" t="s">
        <v>2340</v>
      </c>
      <c r="D227" s="7" t="s">
        <v>4122</v>
      </c>
    </row>
    <row r="228" spans="2:4" x14ac:dyDescent="0.2">
      <c r="B228" s="7" t="s">
        <v>369</v>
      </c>
      <c r="C228" s="7" t="s">
        <v>370</v>
      </c>
      <c r="D228" s="7" t="s">
        <v>4123</v>
      </c>
    </row>
    <row r="229" spans="2:4" x14ac:dyDescent="0.2">
      <c r="B229" s="7" t="s">
        <v>2173</v>
      </c>
      <c r="C229" s="7" t="s">
        <v>2174</v>
      </c>
      <c r="D229" s="7" t="s">
        <v>4124</v>
      </c>
    </row>
    <row r="230" spans="2:4" x14ac:dyDescent="0.2">
      <c r="B230" s="7" t="s">
        <v>1657</v>
      </c>
      <c r="C230" s="7" t="s">
        <v>3546</v>
      </c>
      <c r="D230" s="7" t="s">
        <v>4125</v>
      </c>
    </row>
    <row r="231" spans="2:4" x14ac:dyDescent="0.2">
      <c r="B231" s="7" t="s">
        <v>2541</v>
      </c>
      <c r="C231" s="7" t="s">
        <v>2542</v>
      </c>
      <c r="D231" s="7" t="s">
        <v>4126</v>
      </c>
    </row>
    <row r="232" spans="2:4" x14ac:dyDescent="0.2">
      <c r="B232" s="7" t="s">
        <v>372</v>
      </c>
      <c r="C232" s="7" t="s">
        <v>373</v>
      </c>
      <c r="D232" s="7" t="s">
        <v>4127</v>
      </c>
    </row>
    <row r="233" spans="2:4" x14ac:dyDescent="0.2">
      <c r="B233" s="7" t="s">
        <v>375</v>
      </c>
      <c r="C233" s="7" t="s">
        <v>3547</v>
      </c>
      <c r="D233" s="7" t="s">
        <v>4128</v>
      </c>
    </row>
    <row r="234" spans="2:4" x14ac:dyDescent="0.2">
      <c r="B234" s="7" t="s">
        <v>1663</v>
      </c>
      <c r="C234" s="7" t="s">
        <v>1664</v>
      </c>
      <c r="D234" s="7" t="s">
        <v>4129</v>
      </c>
    </row>
    <row r="235" spans="2:4" x14ac:dyDescent="0.2">
      <c r="B235" s="7" t="s">
        <v>378</v>
      </c>
      <c r="C235" s="7" t="s">
        <v>379</v>
      </c>
      <c r="D235" s="7" t="s">
        <v>4130</v>
      </c>
    </row>
    <row r="236" spans="2:4" x14ac:dyDescent="0.2">
      <c r="B236" s="7" t="s">
        <v>2167</v>
      </c>
      <c r="C236" s="7" t="s">
        <v>2168</v>
      </c>
      <c r="D236" s="7" t="s">
        <v>4131</v>
      </c>
    </row>
    <row r="237" spans="2:4" x14ac:dyDescent="0.2">
      <c r="B237" s="7" t="s">
        <v>2321</v>
      </c>
      <c r="C237" s="7" t="s">
        <v>2322</v>
      </c>
      <c r="D237" s="7" t="s">
        <v>4132</v>
      </c>
    </row>
    <row r="238" spans="2:4" x14ac:dyDescent="0.2">
      <c r="B238" s="7" t="s">
        <v>381</v>
      </c>
      <c r="C238" s="7" t="s">
        <v>382</v>
      </c>
      <c r="D238" s="7" t="s">
        <v>4133</v>
      </c>
    </row>
    <row r="239" spans="2:4" x14ac:dyDescent="0.2">
      <c r="B239" s="7" t="s">
        <v>1405</v>
      </c>
      <c r="C239" s="7" t="s">
        <v>3548</v>
      </c>
      <c r="D239" s="7" t="s">
        <v>4134</v>
      </c>
    </row>
    <row r="240" spans="2:4" x14ac:dyDescent="0.2">
      <c r="B240" s="7" t="s">
        <v>1838</v>
      </c>
      <c r="C240" s="7" t="s">
        <v>1839</v>
      </c>
      <c r="D240" s="7" t="s">
        <v>4135</v>
      </c>
    </row>
    <row r="241" spans="2:4" x14ac:dyDescent="0.2">
      <c r="B241" s="7" t="s">
        <v>1799</v>
      </c>
      <c r="C241" s="7" t="s">
        <v>1800</v>
      </c>
      <c r="D241" s="7" t="s">
        <v>4136</v>
      </c>
    </row>
    <row r="242" spans="2:4" x14ac:dyDescent="0.2">
      <c r="B242" s="7" t="s">
        <v>384</v>
      </c>
      <c r="C242" s="7" t="s">
        <v>385</v>
      </c>
      <c r="D242" s="7" t="s">
        <v>4137</v>
      </c>
    </row>
    <row r="243" spans="2:4" x14ac:dyDescent="0.2">
      <c r="B243" s="7" t="s">
        <v>387</v>
      </c>
      <c r="C243" s="7" t="s">
        <v>388</v>
      </c>
      <c r="D243" s="7" t="s">
        <v>4138</v>
      </c>
    </row>
    <row r="244" spans="2:4" x14ac:dyDescent="0.2">
      <c r="B244" s="7" t="s">
        <v>390</v>
      </c>
      <c r="C244" s="7" t="s">
        <v>391</v>
      </c>
      <c r="D244" s="7" t="s">
        <v>4139</v>
      </c>
    </row>
    <row r="245" spans="2:4" x14ac:dyDescent="0.2">
      <c r="B245" s="7" t="s">
        <v>2286</v>
      </c>
      <c r="C245" s="7" t="s">
        <v>2287</v>
      </c>
      <c r="D245" s="7" t="s">
        <v>4140</v>
      </c>
    </row>
    <row r="246" spans="2:4" x14ac:dyDescent="0.2">
      <c r="B246" s="7" t="s">
        <v>2357</v>
      </c>
      <c r="C246" s="7" t="s">
        <v>2358</v>
      </c>
      <c r="D246" s="7" t="s">
        <v>4141</v>
      </c>
    </row>
    <row r="247" spans="2:4" x14ac:dyDescent="0.2">
      <c r="B247" s="7" t="s">
        <v>2497</v>
      </c>
      <c r="C247" s="7" t="s">
        <v>2498</v>
      </c>
      <c r="D247" s="7" t="s">
        <v>4142</v>
      </c>
    </row>
    <row r="248" spans="2:4" x14ac:dyDescent="0.2">
      <c r="B248" s="7" t="s">
        <v>2587</v>
      </c>
      <c r="C248" s="7" t="s">
        <v>2588</v>
      </c>
      <c r="D248" s="7" t="s">
        <v>4143</v>
      </c>
    </row>
    <row r="249" spans="2:4" x14ac:dyDescent="0.2">
      <c r="B249" s="7" t="s">
        <v>393</v>
      </c>
      <c r="C249" s="7" t="s">
        <v>394</v>
      </c>
      <c r="D249" s="7" t="s">
        <v>4144</v>
      </c>
    </row>
    <row r="250" spans="2:4" x14ac:dyDescent="0.2">
      <c r="B250" s="7" t="s">
        <v>2458</v>
      </c>
      <c r="C250" s="7" t="s">
        <v>2459</v>
      </c>
      <c r="D250" s="7" t="s">
        <v>4145</v>
      </c>
    </row>
    <row r="251" spans="2:4" x14ac:dyDescent="0.2">
      <c r="B251" s="7" t="s">
        <v>1347</v>
      </c>
      <c r="C251" s="7" t="s">
        <v>1348</v>
      </c>
      <c r="D251" s="7" t="s">
        <v>4146</v>
      </c>
    </row>
    <row r="252" spans="2:4" x14ac:dyDescent="0.2">
      <c r="B252" s="7" t="s">
        <v>2649</v>
      </c>
      <c r="C252" s="7" t="s">
        <v>2650</v>
      </c>
      <c r="D252" s="7" t="s">
        <v>4147</v>
      </c>
    </row>
    <row r="253" spans="2:4" x14ac:dyDescent="0.2">
      <c r="B253" s="7" t="s">
        <v>1620</v>
      </c>
      <c r="C253" s="7" t="s">
        <v>3549</v>
      </c>
      <c r="D253" s="7" t="s">
        <v>4148</v>
      </c>
    </row>
    <row r="254" spans="2:4" x14ac:dyDescent="0.2">
      <c r="B254" s="7" t="s">
        <v>396</v>
      </c>
      <c r="C254" s="7" t="s">
        <v>397</v>
      </c>
      <c r="D254" s="7" t="s">
        <v>4149</v>
      </c>
    </row>
    <row r="255" spans="2:4" x14ac:dyDescent="0.2">
      <c r="B255" s="7" t="s">
        <v>2022</v>
      </c>
      <c r="C255" s="7" t="s">
        <v>2023</v>
      </c>
      <c r="D255" s="7" t="s">
        <v>4150</v>
      </c>
    </row>
    <row r="256" spans="2:4" x14ac:dyDescent="0.2">
      <c r="B256" s="7" t="s">
        <v>399</v>
      </c>
      <c r="C256" s="7" t="s">
        <v>3550</v>
      </c>
      <c r="D256" s="7" t="s">
        <v>4151</v>
      </c>
    </row>
    <row r="257" spans="2:4" x14ac:dyDescent="0.2">
      <c r="B257" s="7" t="s">
        <v>2126</v>
      </c>
      <c r="C257" s="7" t="s">
        <v>2127</v>
      </c>
      <c r="D257" s="7" t="s">
        <v>4152</v>
      </c>
    </row>
    <row r="258" spans="2:4" x14ac:dyDescent="0.2">
      <c r="B258" s="7" t="s">
        <v>1509</v>
      </c>
      <c r="C258" s="7" t="s">
        <v>1510</v>
      </c>
      <c r="D258" s="7" t="s">
        <v>4153</v>
      </c>
    </row>
    <row r="259" spans="2:4" x14ac:dyDescent="0.2">
      <c r="B259" s="7" t="s">
        <v>402</v>
      </c>
      <c r="C259" s="7" t="s">
        <v>3551</v>
      </c>
      <c r="D259" s="7" t="s">
        <v>4154</v>
      </c>
    </row>
    <row r="260" spans="2:4" x14ac:dyDescent="0.2">
      <c r="B260" s="7" t="s">
        <v>2655</v>
      </c>
      <c r="C260" s="7" t="s">
        <v>3552</v>
      </c>
      <c r="D260" s="7" t="s">
        <v>4155</v>
      </c>
    </row>
    <row r="261" spans="2:4" x14ac:dyDescent="0.2">
      <c r="B261" s="7" t="s">
        <v>2526</v>
      </c>
      <c r="C261" s="7" t="s">
        <v>2527</v>
      </c>
      <c r="D261" s="7" t="s">
        <v>4156</v>
      </c>
    </row>
    <row r="262" spans="2:4" x14ac:dyDescent="0.2">
      <c r="B262" s="7" t="s">
        <v>1583</v>
      </c>
      <c r="C262" s="7" t="s">
        <v>1584</v>
      </c>
      <c r="D262" s="7" t="s">
        <v>4157</v>
      </c>
    </row>
    <row r="263" spans="2:4" x14ac:dyDescent="0.2">
      <c r="B263" s="7" t="s">
        <v>404</v>
      </c>
      <c r="C263" s="7" t="s">
        <v>405</v>
      </c>
      <c r="D263" s="7" t="s">
        <v>4158</v>
      </c>
    </row>
    <row r="264" spans="2:4" x14ac:dyDescent="0.2">
      <c r="B264" s="7" t="s">
        <v>1625</v>
      </c>
      <c r="C264" s="7" t="s">
        <v>3553</v>
      </c>
      <c r="D264" s="7" t="s">
        <v>4159</v>
      </c>
    </row>
    <row r="265" spans="2:4" x14ac:dyDescent="0.2">
      <c r="B265" s="7" t="s">
        <v>407</v>
      </c>
      <c r="C265" s="7" t="s">
        <v>408</v>
      </c>
      <c r="D265" s="7" t="s">
        <v>4160</v>
      </c>
    </row>
    <row r="266" spans="2:4" x14ac:dyDescent="0.2">
      <c r="B266" s="7" t="s">
        <v>2581</v>
      </c>
      <c r="C266" s="7" t="s">
        <v>2582</v>
      </c>
      <c r="D266" s="7" t="s">
        <v>4161</v>
      </c>
    </row>
    <row r="267" spans="2:4" x14ac:dyDescent="0.2">
      <c r="B267" s="7" t="s">
        <v>410</v>
      </c>
      <c r="C267" s="7" t="s">
        <v>411</v>
      </c>
      <c r="D267" s="7" t="s">
        <v>4162</v>
      </c>
    </row>
    <row r="268" spans="2:4" x14ac:dyDescent="0.2">
      <c r="B268" s="7" t="s">
        <v>413</v>
      </c>
      <c r="C268" s="7" t="s">
        <v>414</v>
      </c>
      <c r="D268" s="7" t="s">
        <v>4163</v>
      </c>
    </row>
    <row r="269" spans="2:4" x14ac:dyDescent="0.2">
      <c r="B269" s="7" t="s">
        <v>1753</v>
      </c>
      <c r="C269" s="7" t="s">
        <v>1754</v>
      </c>
      <c r="D269" s="7" t="s">
        <v>4164</v>
      </c>
    </row>
    <row r="270" spans="2:4" x14ac:dyDescent="0.2">
      <c r="B270" s="7" t="s">
        <v>1810</v>
      </c>
      <c r="C270" s="7" t="s">
        <v>1811</v>
      </c>
      <c r="D270" s="7" t="s">
        <v>4165</v>
      </c>
    </row>
    <row r="271" spans="2:4" x14ac:dyDescent="0.2">
      <c r="B271" s="7" t="s">
        <v>416</v>
      </c>
      <c r="C271" s="7" t="s">
        <v>417</v>
      </c>
      <c r="D271" s="7" t="s">
        <v>4166</v>
      </c>
    </row>
    <row r="272" spans="2:4" x14ac:dyDescent="0.2">
      <c r="B272" s="7" t="s">
        <v>419</v>
      </c>
      <c r="C272" s="7" t="s">
        <v>3554</v>
      </c>
      <c r="D272" s="7" t="s">
        <v>4167</v>
      </c>
    </row>
    <row r="273" spans="2:4" x14ac:dyDescent="0.2">
      <c r="B273" s="7" t="s">
        <v>421</v>
      </c>
      <c r="C273" s="7" t="s">
        <v>422</v>
      </c>
      <c r="D273" s="7" t="s">
        <v>4168</v>
      </c>
    </row>
    <row r="274" spans="2:4" x14ac:dyDescent="0.2">
      <c r="B274" s="7" t="s">
        <v>2622</v>
      </c>
      <c r="C274" s="7" t="s">
        <v>2623</v>
      </c>
      <c r="D274" s="7" t="s">
        <v>4169</v>
      </c>
    </row>
    <row r="275" spans="2:4" x14ac:dyDescent="0.2">
      <c r="B275" s="7" t="s">
        <v>2485</v>
      </c>
      <c r="C275" s="7" t="s">
        <v>2486</v>
      </c>
      <c r="D275" s="7" t="s">
        <v>4170</v>
      </c>
    </row>
    <row r="276" spans="2:4" x14ac:dyDescent="0.2">
      <c r="B276" s="7" t="s">
        <v>424</v>
      </c>
      <c r="C276" s="7" t="s">
        <v>425</v>
      </c>
      <c r="D276" s="7" t="s">
        <v>4171</v>
      </c>
    </row>
    <row r="277" spans="2:4" x14ac:dyDescent="0.2">
      <c r="B277" s="7" t="s">
        <v>1350</v>
      </c>
      <c r="C277" s="7" t="s">
        <v>1351</v>
      </c>
      <c r="D277" s="7" t="s">
        <v>4172</v>
      </c>
    </row>
    <row r="278" spans="2:4" x14ac:dyDescent="0.2">
      <c r="B278" s="7" t="s">
        <v>2057</v>
      </c>
      <c r="C278" s="7" t="s">
        <v>2058</v>
      </c>
      <c r="D278" s="7" t="s">
        <v>4173</v>
      </c>
    </row>
    <row r="279" spans="2:4" x14ac:dyDescent="0.2">
      <c r="B279" s="7" t="s">
        <v>427</v>
      </c>
      <c r="C279" s="7" t="s">
        <v>3889</v>
      </c>
      <c r="D279" s="7" t="s">
        <v>4174</v>
      </c>
    </row>
    <row r="280" spans="2:4" x14ac:dyDescent="0.2">
      <c r="B280" s="7" t="s">
        <v>429</v>
      </c>
      <c r="C280" s="7" t="s">
        <v>430</v>
      </c>
      <c r="D280" s="7" t="s">
        <v>4175</v>
      </c>
    </row>
    <row r="281" spans="2:4" x14ac:dyDescent="0.2">
      <c r="B281" s="7" t="s">
        <v>432</v>
      </c>
      <c r="C281" s="7" t="s">
        <v>3555</v>
      </c>
      <c r="D281" s="7" t="s">
        <v>4176</v>
      </c>
    </row>
    <row r="282" spans="2:4" x14ac:dyDescent="0.2">
      <c r="B282" s="7" t="s">
        <v>1601</v>
      </c>
      <c r="C282" s="7" t="s">
        <v>1602</v>
      </c>
      <c r="D282" s="7" t="s">
        <v>4177</v>
      </c>
    </row>
    <row r="283" spans="2:4" x14ac:dyDescent="0.2">
      <c r="B283" s="7" t="s">
        <v>435</v>
      </c>
      <c r="C283" s="7" t="s">
        <v>3556</v>
      </c>
      <c r="D283" s="7" t="s">
        <v>4178</v>
      </c>
    </row>
    <row r="284" spans="2:4" x14ac:dyDescent="0.2">
      <c r="B284" s="7" t="s">
        <v>438</v>
      </c>
      <c r="C284" s="7" t="s">
        <v>439</v>
      </c>
      <c r="D284" s="7" t="s">
        <v>4179</v>
      </c>
    </row>
    <row r="285" spans="2:4" x14ac:dyDescent="0.2">
      <c r="B285" s="7" t="s">
        <v>1476</v>
      </c>
      <c r="C285" s="7" t="s">
        <v>1477</v>
      </c>
      <c r="D285" s="7" t="s">
        <v>4180</v>
      </c>
    </row>
    <row r="286" spans="2:4" x14ac:dyDescent="0.2">
      <c r="B286" s="7" t="s">
        <v>441</v>
      </c>
      <c r="C286" s="7" t="s">
        <v>3557</v>
      </c>
      <c r="D286" s="7" t="s">
        <v>4181</v>
      </c>
    </row>
    <row r="287" spans="2:4" x14ac:dyDescent="0.2">
      <c r="B287" s="7" t="s">
        <v>1707</v>
      </c>
      <c r="C287" s="7" t="s">
        <v>1708</v>
      </c>
      <c r="D287" s="7" t="s">
        <v>4182</v>
      </c>
    </row>
    <row r="288" spans="2:4" x14ac:dyDescent="0.2">
      <c r="B288" s="7" t="s">
        <v>443</v>
      </c>
      <c r="C288" s="7" t="s">
        <v>444</v>
      </c>
      <c r="D288" s="7" t="s">
        <v>4183</v>
      </c>
    </row>
    <row r="289" spans="2:4" x14ac:dyDescent="0.2">
      <c r="B289" s="7" t="s">
        <v>1915</v>
      </c>
      <c r="C289" s="7" t="s">
        <v>1916</v>
      </c>
      <c r="D289" s="7" t="s">
        <v>4184</v>
      </c>
    </row>
    <row r="290" spans="2:4" x14ac:dyDescent="0.2">
      <c r="B290" s="7" t="s">
        <v>446</v>
      </c>
      <c r="C290" s="7" t="s">
        <v>447</v>
      </c>
      <c r="D290" s="7" t="s">
        <v>4185</v>
      </c>
    </row>
    <row r="291" spans="2:4" x14ac:dyDescent="0.2">
      <c r="B291" s="7" t="s">
        <v>2219</v>
      </c>
      <c r="C291" s="7" t="s">
        <v>2220</v>
      </c>
      <c r="D291" s="7" t="s">
        <v>4186</v>
      </c>
    </row>
    <row r="292" spans="2:4" x14ac:dyDescent="0.2">
      <c r="B292" s="7" t="s">
        <v>2154</v>
      </c>
      <c r="C292" s="7" t="s">
        <v>3558</v>
      </c>
      <c r="D292" s="7" t="s">
        <v>4187</v>
      </c>
    </row>
    <row r="293" spans="2:4" x14ac:dyDescent="0.2">
      <c r="B293" s="7" t="s">
        <v>449</v>
      </c>
      <c r="C293" s="7" t="s">
        <v>450</v>
      </c>
      <c r="D293" s="7" t="s">
        <v>4188</v>
      </c>
    </row>
    <row r="294" spans="2:4" x14ac:dyDescent="0.2">
      <c r="B294" s="7" t="s">
        <v>452</v>
      </c>
      <c r="C294" s="7" t="s">
        <v>453</v>
      </c>
      <c r="D294" s="7" t="s">
        <v>4189</v>
      </c>
    </row>
    <row r="295" spans="2:4" x14ac:dyDescent="0.2">
      <c r="B295" s="7" t="s">
        <v>2558</v>
      </c>
      <c r="C295" s="7" t="s">
        <v>2559</v>
      </c>
      <c r="D295" s="7" t="s">
        <v>4190</v>
      </c>
    </row>
    <row r="296" spans="2:4" x14ac:dyDescent="0.2">
      <c r="B296" s="7" t="s">
        <v>455</v>
      </c>
      <c r="C296" s="7" t="s">
        <v>456</v>
      </c>
      <c r="D296" s="7" t="s">
        <v>4191</v>
      </c>
    </row>
    <row r="297" spans="2:4" x14ac:dyDescent="0.2">
      <c r="B297" s="7" t="s">
        <v>458</v>
      </c>
      <c r="C297" s="7" t="s">
        <v>459</v>
      </c>
      <c r="D297" s="7" t="s">
        <v>4192</v>
      </c>
    </row>
    <row r="298" spans="2:4" x14ac:dyDescent="0.2">
      <c r="B298" s="7" t="s">
        <v>2074</v>
      </c>
      <c r="C298" s="7" t="s">
        <v>2075</v>
      </c>
      <c r="D298" s="7" t="s">
        <v>4193</v>
      </c>
    </row>
    <row r="299" spans="2:4" x14ac:dyDescent="0.2">
      <c r="B299" s="7" t="s">
        <v>461</v>
      </c>
      <c r="C299" s="7" t="s">
        <v>462</v>
      </c>
      <c r="D299" s="7" t="s">
        <v>4194</v>
      </c>
    </row>
    <row r="300" spans="2:4" x14ac:dyDescent="0.2">
      <c r="B300" s="7" t="s">
        <v>1706</v>
      </c>
      <c r="C300" s="7" t="s">
        <v>3559</v>
      </c>
      <c r="D300" s="7" t="s">
        <v>4195</v>
      </c>
    </row>
    <row r="301" spans="2:4" x14ac:dyDescent="0.2">
      <c r="B301" s="7" t="s">
        <v>1893</v>
      </c>
      <c r="C301" s="7" t="s">
        <v>1894</v>
      </c>
      <c r="D301" s="7" t="s">
        <v>4196</v>
      </c>
    </row>
    <row r="302" spans="2:4" x14ac:dyDescent="0.2">
      <c r="B302" s="7" t="s">
        <v>1851</v>
      </c>
      <c r="C302" s="7" t="s">
        <v>3560</v>
      </c>
      <c r="D302" s="7" t="s">
        <v>4197</v>
      </c>
    </row>
    <row r="303" spans="2:4" x14ac:dyDescent="0.2">
      <c r="B303" s="7" t="s">
        <v>464</v>
      </c>
      <c r="C303" s="7" t="s">
        <v>3561</v>
      </c>
      <c r="D303" s="7" t="s">
        <v>4198</v>
      </c>
    </row>
    <row r="304" spans="2:4" x14ac:dyDescent="0.2">
      <c r="B304" s="7" t="s">
        <v>467</v>
      </c>
      <c r="C304" s="7" t="s">
        <v>468</v>
      </c>
      <c r="D304" s="7" t="s">
        <v>4199</v>
      </c>
    </row>
    <row r="305" spans="2:4" x14ac:dyDescent="0.2">
      <c r="B305" s="7" t="s">
        <v>2354</v>
      </c>
      <c r="C305" s="7" t="s">
        <v>2355</v>
      </c>
      <c r="D305" s="7" t="s">
        <v>4200</v>
      </c>
    </row>
    <row r="306" spans="2:4" x14ac:dyDescent="0.2">
      <c r="B306" s="7" t="s">
        <v>470</v>
      </c>
      <c r="C306" s="7" t="s">
        <v>471</v>
      </c>
      <c r="D306" s="7" t="s">
        <v>4201</v>
      </c>
    </row>
    <row r="307" spans="2:4" x14ac:dyDescent="0.2">
      <c r="B307" s="7" t="s">
        <v>1762</v>
      </c>
      <c r="C307" s="7" t="s">
        <v>1763</v>
      </c>
      <c r="D307" s="7" t="s">
        <v>4202</v>
      </c>
    </row>
    <row r="308" spans="2:4" x14ac:dyDescent="0.2">
      <c r="B308" s="7" t="s">
        <v>473</v>
      </c>
      <c r="C308" s="7" t="s">
        <v>474</v>
      </c>
      <c r="D308" s="7" t="s">
        <v>4203</v>
      </c>
    </row>
    <row r="309" spans="2:4" x14ac:dyDescent="0.2">
      <c r="B309" s="7" t="s">
        <v>2593</v>
      </c>
      <c r="C309" s="7" t="s">
        <v>2594</v>
      </c>
      <c r="D309" s="7" t="s">
        <v>4204</v>
      </c>
    </row>
    <row r="310" spans="2:4" x14ac:dyDescent="0.2">
      <c r="B310" s="7" t="s">
        <v>476</v>
      </c>
      <c r="C310" s="7" t="s">
        <v>477</v>
      </c>
      <c r="D310" s="7" t="s">
        <v>4205</v>
      </c>
    </row>
    <row r="311" spans="2:4" x14ac:dyDescent="0.2">
      <c r="B311" s="7" t="s">
        <v>479</v>
      </c>
      <c r="C311" s="7" t="s">
        <v>3562</v>
      </c>
      <c r="D311" s="7" t="s">
        <v>4206</v>
      </c>
    </row>
    <row r="312" spans="2:4" x14ac:dyDescent="0.2">
      <c r="B312" s="7" t="s">
        <v>2156</v>
      </c>
      <c r="C312" s="7" t="s">
        <v>2157</v>
      </c>
      <c r="D312" s="7" t="s">
        <v>4207</v>
      </c>
    </row>
    <row r="313" spans="2:4" x14ac:dyDescent="0.2">
      <c r="B313" s="7" t="s">
        <v>482</v>
      </c>
      <c r="C313" s="7" t="s">
        <v>483</v>
      </c>
      <c r="D313" s="7" t="s">
        <v>4208</v>
      </c>
    </row>
    <row r="314" spans="2:4" x14ac:dyDescent="0.2">
      <c r="B314" s="7" t="s">
        <v>2646</v>
      </c>
      <c r="C314" s="7" t="s">
        <v>2647</v>
      </c>
      <c r="D314" s="7" t="s">
        <v>4209</v>
      </c>
    </row>
    <row r="315" spans="2:4" x14ac:dyDescent="0.2">
      <c r="B315" s="7" t="s">
        <v>485</v>
      </c>
      <c r="C315" s="7" t="s">
        <v>486</v>
      </c>
      <c r="D315" s="7" t="s">
        <v>4210</v>
      </c>
    </row>
    <row r="316" spans="2:4" x14ac:dyDescent="0.2">
      <c r="B316" s="7" t="s">
        <v>488</v>
      </c>
      <c r="C316" s="7" t="s">
        <v>489</v>
      </c>
      <c r="D316" s="7" t="s">
        <v>4211</v>
      </c>
    </row>
    <row r="317" spans="2:4" x14ac:dyDescent="0.2">
      <c r="B317" s="7" t="s">
        <v>1568</v>
      </c>
      <c r="C317" s="7" t="s">
        <v>1569</v>
      </c>
      <c r="D317" s="7" t="s">
        <v>4212</v>
      </c>
    </row>
    <row r="318" spans="2:4" x14ac:dyDescent="0.2">
      <c r="B318" s="7" t="s">
        <v>1933</v>
      </c>
      <c r="C318" s="7" t="s">
        <v>1934</v>
      </c>
      <c r="D318" s="7" t="s">
        <v>4213</v>
      </c>
    </row>
    <row r="319" spans="2:4" x14ac:dyDescent="0.2">
      <c r="B319" s="7" t="s">
        <v>1410</v>
      </c>
      <c r="C319" s="7" t="s">
        <v>1411</v>
      </c>
      <c r="D319" s="7" t="s">
        <v>4214</v>
      </c>
    </row>
    <row r="320" spans="2:4" x14ac:dyDescent="0.2">
      <c r="B320" s="7" t="s">
        <v>491</v>
      </c>
      <c r="C320" s="7" t="s">
        <v>492</v>
      </c>
      <c r="D320" s="7" t="s">
        <v>4215</v>
      </c>
    </row>
    <row r="321" spans="2:4" x14ac:dyDescent="0.2">
      <c r="B321" s="7" t="s">
        <v>1675</v>
      </c>
      <c r="C321" s="7" t="s">
        <v>1676</v>
      </c>
      <c r="D321" s="7" t="s">
        <v>4216</v>
      </c>
    </row>
    <row r="322" spans="2:4" x14ac:dyDescent="0.2">
      <c r="B322" s="7" t="s">
        <v>1972</v>
      </c>
      <c r="C322" s="7" t="s">
        <v>1973</v>
      </c>
      <c r="D322" s="7" t="s">
        <v>4217</v>
      </c>
    </row>
    <row r="323" spans="2:4" x14ac:dyDescent="0.2">
      <c r="B323" s="7" t="s">
        <v>494</v>
      </c>
      <c r="C323" s="7" t="s">
        <v>3563</v>
      </c>
      <c r="D323" s="7" t="s">
        <v>4218</v>
      </c>
    </row>
    <row r="324" spans="2:4" x14ac:dyDescent="0.2">
      <c r="B324" s="7" t="s">
        <v>2342</v>
      </c>
      <c r="C324" s="7" t="s">
        <v>2343</v>
      </c>
      <c r="D324" s="7" t="s">
        <v>4219</v>
      </c>
    </row>
    <row r="325" spans="2:4" x14ac:dyDescent="0.2">
      <c r="B325" s="7" t="s">
        <v>1641</v>
      </c>
      <c r="C325" s="7" t="s">
        <v>1642</v>
      </c>
      <c r="D325" s="7" t="s">
        <v>4220</v>
      </c>
    </row>
    <row r="326" spans="2:4" x14ac:dyDescent="0.2">
      <c r="B326" s="7" t="s">
        <v>2575</v>
      </c>
      <c r="C326" s="7" t="s">
        <v>2576</v>
      </c>
      <c r="D326" s="7" t="s">
        <v>4221</v>
      </c>
    </row>
    <row r="327" spans="2:4" x14ac:dyDescent="0.2">
      <c r="B327" s="7" t="s">
        <v>497</v>
      </c>
      <c r="C327" s="7" t="s">
        <v>3564</v>
      </c>
      <c r="D327" s="7" t="s">
        <v>4222</v>
      </c>
    </row>
    <row r="328" spans="2:4" x14ac:dyDescent="0.2">
      <c r="B328" s="7" t="s">
        <v>500</v>
      </c>
      <c r="C328" s="7" t="s">
        <v>501</v>
      </c>
      <c r="D328" s="7" t="s">
        <v>4223</v>
      </c>
    </row>
    <row r="329" spans="2:4" x14ac:dyDescent="0.2">
      <c r="B329" s="7" t="s">
        <v>3452</v>
      </c>
      <c r="C329" s="7" t="s">
        <v>3565</v>
      </c>
      <c r="D329" s="7" t="s">
        <v>4224</v>
      </c>
    </row>
    <row r="330" spans="2:4" x14ac:dyDescent="0.2">
      <c r="B330" s="7" t="s">
        <v>1712</v>
      </c>
      <c r="C330" s="7" t="s">
        <v>1713</v>
      </c>
      <c r="D330" s="7" t="s">
        <v>4225</v>
      </c>
    </row>
    <row r="331" spans="2:4" x14ac:dyDescent="0.2">
      <c r="B331" s="8" t="s">
        <v>2269</v>
      </c>
      <c r="C331" s="8" t="s">
        <v>2270</v>
      </c>
      <c r="D331" s="8" t="s">
        <v>4226</v>
      </c>
    </row>
    <row r="332" spans="2:4" x14ac:dyDescent="0.2">
      <c r="B332" s="7" t="s">
        <v>2244</v>
      </c>
      <c r="C332" s="7" t="s">
        <v>2245</v>
      </c>
      <c r="D332" s="7" t="s">
        <v>4227</v>
      </c>
    </row>
    <row r="333" spans="2:4" x14ac:dyDescent="0.2">
      <c r="B333" s="7" t="s">
        <v>503</v>
      </c>
      <c r="C333" s="7" t="s">
        <v>504</v>
      </c>
      <c r="D333" s="7" t="s">
        <v>4228</v>
      </c>
    </row>
    <row r="334" spans="2:4" x14ac:dyDescent="0.2">
      <c r="B334" s="7" t="s">
        <v>506</v>
      </c>
      <c r="C334" s="7" t="s">
        <v>507</v>
      </c>
      <c r="D334" s="7" t="s">
        <v>4229</v>
      </c>
    </row>
    <row r="335" spans="2:4" x14ac:dyDescent="0.2">
      <c r="B335" s="7" t="s">
        <v>509</v>
      </c>
      <c r="C335" s="7" t="s">
        <v>510</v>
      </c>
      <c r="D335" s="7" t="s">
        <v>4230</v>
      </c>
    </row>
    <row r="336" spans="2:4" x14ac:dyDescent="0.2">
      <c r="B336" s="7" t="s">
        <v>512</v>
      </c>
      <c r="C336" s="7" t="s">
        <v>513</v>
      </c>
      <c r="D336" s="7" t="s">
        <v>4231</v>
      </c>
    </row>
    <row r="337" spans="2:4" x14ac:dyDescent="0.2">
      <c r="B337" s="7" t="s">
        <v>515</v>
      </c>
      <c r="C337" s="7" t="s">
        <v>516</v>
      </c>
      <c r="D337" s="7" t="s">
        <v>4232</v>
      </c>
    </row>
    <row r="338" spans="2:4" x14ac:dyDescent="0.2">
      <c r="B338" s="7" t="s">
        <v>518</v>
      </c>
      <c r="C338" s="7" t="s">
        <v>519</v>
      </c>
      <c r="D338" s="7" t="s">
        <v>4233</v>
      </c>
    </row>
    <row r="339" spans="2:4" x14ac:dyDescent="0.2">
      <c r="B339" s="7" t="s">
        <v>1738</v>
      </c>
      <c r="C339" s="7" t="s">
        <v>1739</v>
      </c>
      <c r="D339" s="7" t="s">
        <v>4234</v>
      </c>
    </row>
    <row r="340" spans="2:4" x14ac:dyDescent="0.2">
      <c r="B340" s="7" t="s">
        <v>1505</v>
      </c>
      <c r="C340" s="7" t="s">
        <v>3566</v>
      </c>
      <c r="D340" s="7" t="s">
        <v>4235</v>
      </c>
    </row>
    <row r="341" spans="2:4" x14ac:dyDescent="0.2">
      <c r="B341" s="7" t="s">
        <v>521</v>
      </c>
      <c r="C341" s="7" t="s">
        <v>3567</v>
      </c>
      <c r="D341" s="7" t="s">
        <v>4236</v>
      </c>
    </row>
    <row r="342" spans="2:4" x14ac:dyDescent="0.2">
      <c r="B342" s="7" t="s">
        <v>524</v>
      </c>
      <c r="C342" s="7" t="s">
        <v>525</v>
      </c>
      <c r="D342" s="7" t="s">
        <v>4237</v>
      </c>
    </row>
    <row r="343" spans="2:4" x14ac:dyDescent="0.2">
      <c r="B343" s="7" t="s">
        <v>527</v>
      </c>
      <c r="C343" s="7" t="s">
        <v>528</v>
      </c>
      <c r="D343" s="7" t="s">
        <v>4238</v>
      </c>
    </row>
    <row r="344" spans="2:4" x14ac:dyDescent="0.2">
      <c r="B344" s="7" t="s">
        <v>1790</v>
      </c>
      <c r="C344" s="7" t="s">
        <v>1791</v>
      </c>
      <c r="D344" s="7" t="s">
        <v>4239</v>
      </c>
    </row>
    <row r="345" spans="2:4" x14ac:dyDescent="0.2">
      <c r="B345" s="7" t="s">
        <v>1455</v>
      </c>
      <c r="C345" s="7" t="s">
        <v>3568</v>
      </c>
      <c r="D345" s="7" t="s">
        <v>4240</v>
      </c>
    </row>
    <row r="346" spans="2:4" x14ac:dyDescent="0.2">
      <c r="B346" s="7" t="s">
        <v>530</v>
      </c>
      <c r="C346" s="7" t="s">
        <v>3569</v>
      </c>
      <c r="D346" s="7" t="s">
        <v>4241</v>
      </c>
    </row>
    <row r="347" spans="2:4" x14ac:dyDescent="0.2">
      <c r="B347" s="7" t="s">
        <v>532</v>
      </c>
      <c r="C347" s="7" t="s">
        <v>3570</v>
      </c>
      <c r="D347" s="7" t="s">
        <v>4242</v>
      </c>
    </row>
    <row r="348" spans="2:4" x14ac:dyDescent="0.2">
      <c r="B348" s="7" t="s">
        <v>2471</v>
      </c>
      <c r="C348" s="7" t="s">
        <v>2472</v>
      </c>
      <c r="D348" s="7" t="s">
        <v>4243</v>
      </c>
    </row>
    <row r="349" spans="2:4" x14ac:dyDescent="0.2">
      <c r="B349" s="7" t="s">
        <v>534</v>
      </c>
      <c r="C349" s="7" t="s">
        <v>535</v>
      </c>
      <c r="D349" s="7" t="s">
        <v>4244</v>
      </c>
    </row>
    <row r="350" spans="2:4" x14ac:dyDescent="0.2">
      <c r="B350" s="7" t="s">
        <v>1604</v>
      </c>
      <c r="C350" s="7" t="s">
        <v>3571</v>
      </c>
      <c r="D350" s="7" t="s">
        <v>4245</v>
      </c>
    </row>
    <row r="351" spans="2:4" x14ac:dyDescent="0.2">
      <c r="B351" s="7" t="s">
        <v>2097</v>
      </c>
      <c r="C351" s="7" t="s">
        <v>2098</v>
      </c>
      <c r="D351" s="7" t="s">
        <v>4246</v>
      </c>
    </row>
    <row r="352" spans="2:4" x14ac:dyDescent="0.2">
      <c r="B352" s="7" t="s">
        <v>537</v>
      </c>
      <c r="C352" s="7" t="s">
        <v>538</v>
      </c>
      <c r="D352" s="7" t="s">
        <v>4247</v>
      </c>
    </row>
    <row r="353" spans="2:4" x14ac:dyDescent="0.2">
      <c r="B353" s="7" t="s">
        <v>1989</v>
      </c>
      <c r="C353" s="7" t="s">
        <v>1990</v>
      </c>
      <c r="D353" s="7" t="s">
        <v>4248</v>
      </c>
    </row>
    <row r="354" spans="2:4" x14ac:dyDescent="0.2">
      <c r="B354" s="7" t="s">
        <v>2348</v>
      </c>
      <c r="C354" s="7" t="s">
        <v>3572</v>
      </c>
      <c r="D354" s="7" t="s">
        <v>4249</v>
      </c>
    </row>
    <row r="355" spans="2:4" x14ac:dyDescent="0.2">
      <c r="B355" s="7" t="s">
        <v>2417</v>
      </c>
      <c r="C355" s="7" t="s">
        <v>2418</v>
      </c>
      <c r="D355" s="7" t="s">
        <v>4250</v>
      </c>
    </row>
    <row r="356" spans="2:4" x14ac:dyDescent="0.2">
      <c r="B356" s="7" t="s">
        <v>2324</v>
      </c>
      <c r="C356" s="7" t="s">
        <v>2325</v>
      </c>
      <c r="D356" s="7" t="s">
        <v>4251</v>
      </c>
    </row>
    <row r="357" spans="2:4" x14ac:dyDescent="0.2">
      <c r="B357" s="7" t="s">
        <v>540</v>
      </c>
      <c r="C357" s="7" t="s">
        <v>3573</v>
      </c>
      <c r="D357" s="7" t="s">
        <v>4252</v>
      </c>
    </row>
    <row r="358" spans="2:4" x14ac:dyDescent="0.2">
      <c r="B358" s="7" t="s">
        <v>542</v>
      </c>
      <c r="C358" s="7" t="s">
        <v>3574</v>
      </c>
      <c r="D358" s="7" t="s">
        <v>4253</v>
      </c>
    </row>
    <row r="359" spans="2:4" x14ac:dyDescent="0.2">
      <c r="B359" s="7" t="s">
        <v>2292</v>
      </c>
      <c r="C359" s="7" t="s">
        <v>2293</v>
      </c>
      <c r="D359" s="7" t="s">
        <v>4254</v>
      </c>
    </row>
    <row r="360" spans="2:4" x14ac:dyDescent="0.2">
      <c r="B360" s="7" t="s">
        <v>2007</v>
      </c>
      <c r="C360" s="7" t="s">
        <v>2008</v>
      </c>
      <c r="D360" s="7" t="s">
        <v>4255</v>
      </c>
    </row>
    <row r="361" spans="2:4" x14ac:dyDescent="0.2">
      <c r="B361" s="7" t="s">
        <v>2140</v>
      </c>
      <c r="C361" s="7" t="s">
        <v>2141</v>
      </c>
      <c r="D361" s="7" t="s">
        <v>4256</v>
      </c>
    </row>
    <row r="362" spans="2:4" x14ac:dyDescent="0.2">
      <c r="B362" s="7" t="s">
        <v>2480</v>
      </c>
      <c r="C362" s="7" t="s">
        <v>2481</v>
      </c>
      <c r="D362" s="7" t="s">
        <v>4257</v>
      </c>
    </row>
    <row r="363" spans="2:4" x14ac:dyDescent="0.2">
      <c r="B363" s="7" t="s">
        <v>545</v>
      </c>
      <c r="C363" s="7" t="s">
        <v>546</v>
      </c>
      <c r="D363" s="7" t="s">
        <v>4258</v>
      </c>
    </row>
    <row r="364" spans="2:4" x14ac:dyDescent="0.2">
      <c r="B364" s="7" t="s">
        <v>548</v>
      </c>
      <c r="C364" s="7" t="s">
        <v>549</v>
      </c>
      <c r="D364" s="7" t="s">
        <v>4259</v>
      </c>
    </row>
    <row r="365" spans="2:4" x14ac:dyDescent="0.2">
      <c r="B365" s="7" t="s">
        <v>551</v>
      </c>
      <c r="C365" s="7" t="s">
        <v>552</v>
      </c>
      <c r="D365" s="7" t="s">
        <v>4260</v>
      </c>
    </row>
    <row r="366" spans="2:4" x14ac:dyDescent="0.2">
      <c r="B366" s="7" t="s">
        <v>1984</v>
      </c>
      <c r="C366" s="7" t="s">
        <v>3575</v>
      </c>
      <c r="D366" s="7" t="s">
        <v>4261</v>
      </c>
    </row>
    <row r="367" spans="2:4" x14ac:dyDescent="0.2">
      <c r="B367" s="7" t="s">
        <v>2295</v>
      </c>
      <c r="C367" s="7" t="s">
        <v>2296</v>
      </c>
      <c r="D367" s="7" t="s">
        <v>4262</v>
      </c>
    </row>
    <row r="368" spans="2:4" x14ac:dyDescent="0.2">
      <c r="B368" s="7" t="s">
        <v>2261</v>
      </c>
      <c r="C368" s="7" t="s">
        <v>2262</v>
      </c>
      <c r="D368" s="7" t="s">
        <v>4263</v>
      </c>
    </row>
    <row r="369" spans="2:4" x14ac:dyDescent="0.2">
      <c r="B369" s="7" t="s">
        <v>2134</v>
      </c>
      <c r="C369" s="7" t="s">
        <v>2135</v>
      </c>
      <c r="D369" s="7" t="s">
        <v>4264</v>
      </c>
    </row>
    <row r="370" spans="2:4" x14ac:dyDescent="0.2">
      <c r="B370" s="7" t="s">
        <v>2345</v>
      </c>
      <c r="C370" s="7" t="s">
        <v>2346</v>
      </c>
      <c r="D370" s="7" t="s">
        <v>4265</v>
      </c>
    </row>
    <row r="371" spans="2:4" x14ac:dyDescent="0.2">
      <c r="B371" s="7" t="s">
        <v>554</v>
      </c>
      <c r="C371" s="7" t="s">
        <v>555</v>
      </c>
      <c r="D371" s="7" t="s">
        <v>4266</v>
      </c>
    </row>
    <row r="372" spans="2:4" x14ac:dyDescent="0.2">
      <c r="B372" s="7" t="s">
        <v>1726</v>
      </c>
      <c r="C372" s="7" t="s">
        <v>1727</v>
      </c>
      <c r="D372" s="7" t="s">
        <v>4267</v>
      </c>
    </row>
    <row r="373" spans="2:4" x14ac:dyDescent="0.2">
      <c r="B373" s="7" t="s">
        <v>1524</v>
      </c>
      <c r="C373" s="7" t="s">
        <v>1525</v>
      </c>
      <c r="D373" s="7" t="s">
        <v>4268</v>
      </c>
    </row>
    <row r="374" spans="2:4" x14ac:dyDescent="0.2">
      <c r="B374" s="7" t="s">
        <v>1496</v>
      </c>
      <c r="C374" s="7" t="s">
        <v>1497</v>
      </c>
      <c r="D374" s="7" t="s">
        <v>4269</v>
      </c>
    </row>
    <row r="375" spans="2:4" x14ac:dyDescent="0.2">
      <c r="B375" s="7" t="s">
        <v>557</v>
      </c>
      <c r="C375" s="7" t="s">
        <v>558</v>
      </c>
      <c r="D375" s="7" t="s">
        <v>4270</v>
      </c>
    </row>
    <row r="376" spans="2:4" x14ac:dyDescent="0.2">
      <c r="B376" s="7" t="s">
        <v>560</v>
      </c>
      <c r="C376" s="7" t="s">
        <v>561</v>
      </c>
      <c r="D376" s="7" t="s">
        <v>4271</v>
      </c>
    </row>
    <row r="377" spans="2:4" x14ac:dyDescent="0.2">
      <c r="B377" s="7" t="s">
        <v>2520</v>
      </c>
      <c r="C377" s="7" t="s">
        <v>2521</v>
      </c>
      <c r="D377" s="7" t="s">
        <v>4272</v>
      </c>
    </row>
    <row r="378" spans="2:4" x14ac:dyDescent="0.2">
      <c r="B378" s="7" t="s">
        <v>2272</v>
      </c>
      <c r="C378" s="7" t="s">
        <v>2273</v>
      </c>
      <c r="D378" s="7" t="s">
        <v>4273</v>
      </c>
    </row>
    <row r="379" spans="2:4" x14ac:dyDescent="0.2">
      <c r="B379" s="7" t="s">
        <v>563</v>
      </c>
      <c r="C379" s="7" t="s">
        <v>3576</v>
      </c>
      <c r="D379" s="7" t="s">
        <v>4274</v>
      </c>
    </row>
    <row r="380" spans="2:4" x14ac:dyDescent="0.2">
      <c r="B380" s="7" t="s">
        <v>1595</v>
      </c>
      <c r="C380" s="7" t="s">
        <v>1596</v>
      </c>
      <c r="D380" s="7" t="s">
        <v>4275</v>
      </c>
    </row>
    <row r="381" spans="2:4" x14ac:dyDescent="0.2">
      <c r="B381" s="7" t="s">
        <v>565</v>
      </c>
      <c r="C381" s="7" t="s">
        <v>566</v>
      </c>
      <c r="D381" s="7" t="s">
        <v>4276</v>
      </c>
    </row>
    <row r="382" spans="2:4" x14ac:dyDescent="0.2">
      <c r="B382" s="7" t="s">
        <v>1434</v>
      </c>
      <c r="C382" s="7" t="s">
        <v>1435</v>
      </c>
      <c r="D382" s="7" t="s">
        <v>4277</v>
      </c>
    </row>
    <row r="383" spans="2:4" x14ac:dyDescent="0.2">
      <c r="B383" s="7" t="s">
        <v>568</v>
      </c>
      <c r="C383" s="7" t="s">
        <v>569</v>
      </c>
      <c r="D383" s="7" t="s">
        <v>4278</v>
      </c>
    </row>
    <row r="384" spans="2:4" x14ac:dyDescent="0.2">
      <c r="B384" s="7" t="s">
        <v>1888</v>
      </c>
      <c r="C384" s="7" t="s">
        <v>1889</v>
      </c>
      <c r="D384" s="7" t="s">
        <v>4279</v>
      </c>
    </row>
    <row r="385" spans="2:4" x14ac:dyDescent="0.2">
      <c r="B385" s="7" t="s">
        <v>1948</v>
      </c>
      <c r="C385" s="7" t="s">
        <v>1949</v>
      </c>
      <c r="D385" s="7" t="s">
        <v>4280</v>
      </c>
    </row>
    <row r="386" spans="2:4" x14ac:dyDescent="0.2">
      <c r="B386" s="7" t="s">
        <v>571</v>
      </c>
      <c r="C386" s="7" t="s">
        <v>572</v>
      </c>
      <c r="D386" s="7" t="s">
        <v>4281</v>
      </c>
    </row>
    <row r="387" spans="2:4" x14ac:dyDescent="0.2">
      <c r="B387" s="7" t="s">
        <v>1666</v>
      </c>
      <c r="C387" s="7" t="s">
        <v>1667</v>
      </c>
      <c r="D387" s="7" t="s">
        <v>4282</v>
      </c>
    </row>
    <row r="388" spans="2:4" x14ac:dyDescent="0.2">
      <c r="B388" s="7" t="s">
        <v>1428</v>
      </c>
      <c r="C388" s="7" t="s">
        <v>1429</v>
      </c>
      <c r="D388" s="7" t="s">
        <v>4283</v>
      </c>
    </row>
    <row r="389" spans="2:4" x14ac:dyDescent="0.2">
      <c r="B389" s="7" t="s">
        <v>574</v>
      </c>
      <c r="C389" s="7" t="s">
        <v>575</v>
      </c>
      <c r="D389" s="7" t="s">
        <v>4284</v>
      </c>
    </row>
    <row r="390" spans="2:4" x14ac:dyDescent="0.2">
      <c r="B390" s="7" t="s">
        <v>2365</v>
      </c>
      <c r="C390" s="7" t="s">
        <v>3577</v>
      </c>
      <c r="D390" s="7" t="s">
        <v>4285</v>
      </c>
    </row>
    <row r="391" spans="2:4" x14ac:dyDescent="0.2">
      <c r="B391" s="7" t="s">
        <v>2441</v>
      </c>
      <c r="C391" s="7" t="s">
        <v>2442</v>
      </c>
      <c r="D391" s="7" t="s">
        <v>4286</v>
      </c>
    </row>
    <row r="392" spans="2:4" x14ac:dyDescent="0.2">
      <c r="B392" s="7" t="s">
        <v>577</v>
      </c>
      <c r="C392" s="7" t="s">
        <v>578</v>
      </c>
      <c r="D392" s="7" t="s">
        <v>4287</v>
      </c>
    </row>
    <row r="393" spans="2:4" x14ac:dyDescent="0.2">
      <c r="B393" s="8" t="s">
        <v>580</v>
      </c>
      <c r="C393" s="8" t="s">
        <v>581</v>
      </c>
      <c r="D393" s="8" t="s">
        <v>4288</v>
      </c>
    </row>
    <row r="394" spans="2:4" x14ac:dyDescent="0.2">
      <c r="B394" s="7" t="s">
        <v>2109</v>
      </c>
      <c r="C394" s="7" t="s">
        <v>2110</v>
      </c>
      <c r="D394" s="7" t="s">
        <v>4289</v>
      </c>
    </row>
    <row r="395" spans="2:4" x14ac:dyDescent="0.2">
      <c r="B395" s="7" t="s">
        <v>583</v>
      </c>
      <c r="C395" s="7" t="s">
        <v>584</v>
      </c>
      <c r="D395" s="7" t="s">
        <v>4290</v>
      </c>
    </row>
    <row r="396" spans="2:4" x14ac:dyDescent="0.2">
      <c r="B396" s="7" t="s">
        <v>586</v>
      </c>
      <c r="C396" s="7" t="s">
        <v>3578</v>
      </c>
      <c r="D396" s="7" t="s">
        <v>4291</v>
      </c>
    </row>
    <row r="397" spans="2:4" x14ac:dyDescent="0.2">
      <c r="B397" s="7" t="s">
        <v>589</v>
      </c>
      <c r="C397" s="7" t="s">
        <v>590</v>
      </c>
      <c r="D397" s="7" t="s">
        <v>4292</v>
      </c>
    </row>
    <row r="398" spans="2:4" x14ac:dyDescent="0.2">
      <c r="B398" s="7" t="s">
        <v>2010</v>
      </c>
      <c r="C398" s="7" t="s">
        <v>2011</v>
      </c>
      <c r="D398" s="7" t="s">
        <v>4293</v>
      </c>
    </row>
    <row r="399" spans="2:4" x14ac:dyDescent="0.2">
      <c r="B399" s="7" t="s">
        <v>1353</v>
      </c>
      <c r="C399" s="7" t="s">
        <v>1354</v>
      </c>
      <c r="D399" s="7" t="s">
        <v>4294</v>
      </c>
    </row>
    <row r="400" spans="2:4" x14ac:dyDescent="0.2">
      <c r="B400" s="7" t="s">
        <v>1782</v>
      </c>
      <c r="C400" s="7" t="s">
        <v>3579</v>
      </c>
      <c r="D400" s="7" t="s">
        <v>4295</v>
      </c>
    </row>
    <row r="401" spans="2:4" x14ac:dyDescent="0.2">
      <c r="B401" s="7" t="s">
        <v>1776</v>
      </c>
      <c r="C401" s="7" t="s">
        <v>1777</v>
      </c>
      <c r="D401" s="7" t="s">
        <v>4296</v>
      </c>
    </row>
    <row r="402" spans="2:4" x14ac:dyDescent="0.2">
      <c r="B402" s="7" t="s">
        <v>592</v>
      </c>
      <c r="C402" s="7" t="s">
        <v>3580</v>
      </c>
      <c r="D402" s="7" t="s">
        <v>4297</v>
      </c>
    </row>
    <row r="403" spans="2:4" x14ac:dyDescent="0.2">
      <c r="B403" s="7" t="s">
        <v>595</v>
      </c>
      <c r="C403" s="7" t="s">
        <v>3581</v>
      </c>
      <c r="D403" s="7" t="s">
        <v>4298</v>
      </c>
    </row>
    <row r="404" spans="2:4" x14ac:dyDescent="0.2">
      <c r="B404" s="7" t="s">
        <v>598</v>
      </c>
      <c r="C404" s="7" t="s">
        <v>3582</v>
      </c>
      <c r="D404" s="7" t="s">
        <v>4299</v>
      </c>
    </row>
    <row r="405" spans="2:4" x14ac:dyDescent="0.2">
      <c r="B405" s="7" t="s">
        <v>1822</v>
      </c>
      <c r="C405" s="7" t="s">
        <v>1823</v>
      </c>
      <c r="D405" s="7" t="s">
        <v>4300</v>
      </c>
    </row>
    <row r="406" spans="2:4" x14ac:dyDescent="0.2">
      <c r="B406" s="7" t="s">
        <v>600</v>
      </c>
      <c r="C406" s="7" t="s">
        <v>601</v>
      </c>
      <c r="D406" s="7" t="s">
        <v>4301</v>
      </c>
    </row>
    <row r="407" spans="2:4" x14ac:dyDescent="0.2">
      <c r="B407" s="7" t="s">
        <v>2407</v>
      </c>
      <c r="C407" s="7" t="s">
        <v>2408</v>
      </c>
      <c r="D407" s="7" t="s">
        <v>4302</v>
      </c>
    </row>
    <row r="408" spans="2:4" x14ac:dyDescent="0.2">
      <c r="B408" s="7" t="s">
        <v>603</v>
      </c>
      <c r="C408" s="7" t="s">
        <v>3583</v>
      </c>
      <c r="D408" s="7" t="s">
        <v>4303</v>
      </c>
    </row>
    <row r="409" spans="2:4" x14ac:dyDescent="0.2">
      <c r="B409" s="7" t="s">
        <v>605</v>
      </c>
      <c r="C409" s="7" t="s">
        <v>606</v>
      </c>
      <c r="D409" s="7" t="s">
        <v>4304</v>
      </c>
    </row>
    <row r="410" spans="2:4" x14ac:dyDescent="0.2">
      <c r="B410" s="7" t="s">
        <v>608</v>
      </c>
      <c r="C410" s="7" t="s">
        <v>609</v>
      </c>
      <c r="D410" s="7" t="s">
        <v>4305</v>
      </c>
    </row>
    <row r="411" spans="2:4" x14ac:dyDescent="0.2">
      <c r="B411" s="7" t="s">
        <v>611</v>
      </c>
      <c r="C411" s="7" t="s">
        <v>612</v>
      </c>
      <c r="D411" s="7" t="s">
        <v>4306</v>
      </c>
    </row>
    <row r="412" spans="2:4" x14ac:dyDescent="0.2">
      <c r="B412" s="7" t="s">
        <v>614</v>
      </c>
      <c r="C412" s="7" t="s">
        <v>615</v>
      </c>
      <c r="D412" s="7" t="s">
        <v>4307</v>
      </c>
    </row>
    <row r="413" spans="2:4" x14ac:dyDescent="0.2">
      <c r="B413" s="7" t="s">
        <v>1375</v>
      </c>
      <c r="C413" s="7" t="s">
        <v>1376</v>
      </c>
      <c r="D413" s="7" t="s">
        <v>4308</v>
      </c>
    </row>
    <row r="414" spans="2:4" x14ac:dyDescent="0.2">
      <c r="B414" s="7" t="s">
        <v>617</v>
      </c>
      <c r="C414" s="7" t="s">
        <v>3584</v>
      </c>
      <c r="D414" s="7" t="s">
        <v>4309</v>
      </c>
    </row>
    <row r="415" spans="2:4" x14ac:dyDescent="0.2">
      <c r="B415" s="7" t="s">
        <v>620</v>
      </c>
      <c r="C415" s="7" t="s">
        <v>621</v>
      </c>
      <c r="D415" s="7" t="s">
        <v>4310</v>
      </c>
    </row>
    <row r="416" spans="2:4" x14ac:dyDescent="0.2">
      <c r="B416" s="7" t="s">
        <v>623</v>
      </c>
      <c r="C416" s="7" t="s">
        <v>624</v>
      </c>
      <c r="D416" s="7" t="s">
        <v>4311</v>
      </c>
    </row>
    <row r="417" spans="2:4" x14ac:dyDescent="0.2">
      <c r="B417" s="7" t="s">
        <v>1802</v>
      </c>
      <c r="C417" s="7" t="s">
        <v>1803</v>
      </c>
      <c r="D417" s="7" t="s">
        <v>4312</v>
      </c>
    </row>
    <row r="418" spans="2:4" x14ac:dyDescent="0.2">
      <c r="B418" s="7" t="s">
        <v>626</v>
      </c>
      <c r="C418" s="7" t="s">
        <v>3890</v>
      </c>
      <c r="D418" s="7" t="s">
        <v>4313</v>
      </c>
    </row>
    <row r="419" spans="2:4" x14ac:dyDescent="0.2">
      <c r="B419" s="7" t="s">
        <v>628</v>
      </c>
      <c r="C419" s="7" t="s">
        <v>629</v>
      </c>
      <c r="D419" s="7" t="s">
        <v>4314</v>
      </c>
    </row>
    <row r="420" spans="2:4" x14ac:dyDescent="0.2">
      <c r="B420" s="7" t="s">
        <v>631</v>
      </c>
      <c r="C420" s="7" t="s">
        <v>3585</v>
      </c>
      <c r="D420" s="7" t="s">
        <v>4315</v>
      </c>
    </row>
    <row r="421" spans="2:4" x14ac:dyDescent="0.2">
      <c r="B421" s="7" t="s">
        <v>634</v>
      </c>
      <c r="C421" s="7" t="s">
        <v>635</v>
      </c>
      <c r="D421" s="7" t="s">
        <v>4316</v>
      </c>
    </row>
    <row r="422" spans="2:4" x14ac:dyDescent="0.2">
      <c r="B422" s="7" t="s">
        <v>2333</v>
      </c>
      <c r="C422" s="7" t="s">
        <v>3586</v>
      </c>
      <c r="D422" s="7" t="s">
        <v>4317</v>
      </c>
    </row>
    <row r="423" spans="2:4" x14ac:dyDescent="0.2">
      <c r="B423" s="7" t="s">
        <v>637</v>
      </c>
      <c r="C423" s="7" t="s">
        <v>638</v>
      </c>
      <c r="D423" s="7" t="s">
        <v>4318</v>
      </c>
    </row>
    <row r="424" spans="2:4" x14ac:dyDescent="0.2">
      <c r="B424" s="7" t="s">
        <v>1717</v>
      </c>
      <c r="C424" s="7" t="s">
        <v>1718</v>
      </c>
      <c r="D424" s="7" t="s">
        <v>4319</v>
      </c>
    </row>
    <row r="425" spans="2:4" x14ac:dyDescent="0.2">
      <c r="B425" s="7" t="s">
        <v>640</v>
      </c>
      <c r="C425" s="7" t="s">
        <v>3587</v>
      </c>
      <c r="D425" s="7" t="s">
        <v>4320</v>
      </c>
    </row>
    <row r="426" spans="2:4" x14ac:dyDescent="0.2">
      <c r="B426" s="7" t="s">
        <v>642</v>
      </c>
      <c r="C426" s="7" t="s">
        <v>3588</v>
      </c>
      <c r="D426" s="7" t="s">
        <v>4321</v>
      </c>
    </row>
    <row r="427" spans="2:4" x14ac:dyDescent="0.2">
      <c r="B427" s="7" t="s">
        <v>1502</v>
      </c>
      <c r="C427" s="7" t="s">
        <v>1503</v>
      </c>
      <c r="D427" s="7" t="s">
        <v>4322</v>
      </c>
    </row>
    <row r="428" spans="2:4" x14ac:dyDescent="0.2">
      <c r="B428" s="7" t="s">
        <v>644</v>
      </c>
      <c r="C428" s="7" t="s">
        <v>645</v>
      </c>
      <c r="D428" s="7" t="s">
        <v>4323</v>
      </c>
    </row>
    <row r="429" spans="2:4" x14ac:dyDescent="0.2">
      <c r="B429" s="7" t="s">
        <v>647</v>
      </c>
      <c r="C429" s="7" t="s">
        <v>648</v>
      </c>
      <c r="D429" s="7" t="s">
        <v>4324</v>
      </c>
    </row>
    <row r="430" spans="2:4" x14ac:dyDescent="0.2">
      <c r="B430" s="7" t="s">
        <v>650</v>
      </c>
      <c r="C430" s="7" t="s">
        <v>3589</v>
      </c>
      <c r="D430" s="7" t="s">
        <v>4325</v>
      </c>
    </row>
    <row r="431" spans="2:4" x14ac:dyDescent="0.2">
      <c r="B431" s="7" t="s">
        <v>653</v>
      </c>
      <c r="C431" s="7" t="s">
        <v>3590</v>
      </c>
      <c r="D431" s="7" t="s">
        <v>4326</v>
      </c>
    </row>
    <row r="432" spans="2:4" x14ac:dyDescent="0.2">
      <c r="B432" s="7" t="s">
        <v>2378</v>
      </c>
      <c r="C432" s="7" t="s">
        <v>2379</v>
      </c>
      <c r="D432" s="7" t="s">
        <v>4327</v>
      </c>
    </row>
    <row r="433" spans="2:4" x14ac:dyDescent="0.2">
      <c r="B433" s="7" t="s">
        <v>1963</v>
      </c>
      <c r="C433" s="7" t="s">
        <v>1964</v>
      </c>
      <c r="D433" s="7" t="s">
        <v>4328</v>
      </c>
    </row>
    <row r="434" spans="2:4" x14ac:dyDescent="0.2">
      <c r="B434" s="7" t="s">
        <v>1549</v>
      </c>
      <c r="C434" s="7" t="s">
        <v>3591</v>
      </c>
      <c r="D434" s="7" t="s">
        <v>4329</v>
      </c>
    </row>
    <row r="435" spans="2:4" x14ac:dyDescent="0.2">
      <c r="B435" s="7" t="s">
        <v>1486</v>
      </c>
      <c r="C435" s="7" t="s">
        <v>1487</v>
      </c>
      <c r="D435" s="7" t="s">
        <v>4330</v>
      </c>
    </row>
    <row r="436" spans="2:4" x14ac:dyDescent="0.2">
      <c r="B436" s="7" t="s">
        <v>655</v>
      </c>
      <c r="C436" s="7" t="s">
        <v>3592</v>
      </c>
      <c r="D436" s="7" t="s">
        <v>4331</v>
      </c>
    </row>
    <row r="437" spans="2:4" x14ac:dyDescent="0.2">
      <c r="B437" s="7" t="s">
        <v>2049</v>
      </c>
      <c r="C437" s="7" t="s">
        <v>2050</v>
      </c>
      <c r="D437" s="7" t="s">
        <v>4332</v>
      </c>
    </row>
    <row r="438" spans="2:4" x14ac:dyDescent="0.2">
      <c r="B438" s="7" t="s">
        <v>1700</v>
      </c>
      <c r="C438" s="7" t="s">
        <v>1701</v>
      </c>
      <c r="D438" s="7" t="s">
        <v>4333</v>
      </c>
    </row>
    <row r="439" spans="2:4" x14ac:dyDescent="0.2">
      <c r="B439" s="7" t="s">
        <v>1751</v>
      </c>
      <c r="C439" s="7" t="s">
        <v>1752</v>
      </c>
      <c r="D439" s="7" t="s">
        <v>4334</v>
      </c>
    </row>
    <row r="440" spans="2:4" x14ac:dyDescent="0.2">
      <c r="B440" s="7" t="s">
        <v>2250</v>
      </c>
      <c r="C440" s="7" t="s">
        <v>2251</v>
      </c>
      <c r="D440" s="7" t="s">
        <v>4335</v>
      </c>
    </row>
    <row r="441" spans="2:4" x14ac:dyDescent="0.2">
      <c r="B441" s="7" t="s">
        <v>2211</v>
      </c>
      <c r="C441" s="7" t="s">
        <v>2212</v>
      </c>
      <c r="D441" s="7" t="s">
        <v>4336</v>
      </c>
    </row>
    <row r="442" spans="2:4" x14ac:dyDescent="0.2">
      <c r="B442" s="7" t="s">
        <v>658</v>
      </c>
      <c r="C442" s="7" t="s">
        <v>659</v>
      </c>
      <c r="D442" s="7" t="s">
        <v>4337</v>
      </c>
    </row>
    <row r="443" spans="2:4" x14ac:dyDescent="0.2">
      <c r="B443" s="7" t="s">
        <v>2474</v>
      </c>
      <c r="C443" s="7" t="s">
        <v>2475</v>
      </c>
      <c r="D443" s="7" t="s">
        <v>4338</v>
      </c>
    </row>
    <row r="444" spans="2:4" x14ac:dyDescent="0.2">
      <c r="B444" s="7" t="s">
        <v>661</v>
      </c>
      <c r="C444" s="7" t="s">
        <v>3593</v>
      </c>
      <c r="D444" s="7" t="s">
        <v>4339</v>
      </c>
    </row>
    <row r="445" spans="2:4" x14ac:dyDescent="0.2">
      <c r="B445" s="7" t="s">
        <v>1694</v>
      </c>
      <c r="C445" s="7" t="s">
        <v>1695</v>
      </c>
      <c r="D445" s="7" t="s">
        <v>4340</v>
      </c>
    </row>
    <row r="446" spans="2:4" x14ac:dyDescent="0.2">
      <c r="B446" s="7" t="s">
        <v>663</v>
      </c>
      <c r="C446" s="7" t="s">
        <v>664</v>
      </c>
      <c r="D446" s="7" t="s">
        <v>4341</v>
      </c>
    </row>
    <row r="447" spans="2:4" x14ac:dyDescent="0.2">
      <c r="B447" s="7" t="s">
        <v>666</v>
      </c>
      <c r="C447" s="7" t="s">
        <v>667</v>
      </c>
      <c r="D447" s="7" t="s">
        <v>4342</v>
      </c>
    </row>
    <row r="448" spans="2:4" x14ac:dyDescent="0.2">
      <c r="B448" s="7" t="s">
        <v>2143</v>
      </c>
      <c r="C448" s="7" t="s">
        <v>2144</v>
      </c>
      <c r="D448" s="7" t="s">
        <v>4343</v>
      </c>
    </row>
    <row r="449" spans="2:4" x14ac:dyDescent="0.2">
      <c r="B449" s="7" t="s">
        <v>1672</v>
      </c>
      <c r="C449" s="7" t="s">
        <v>1673</v>
      </c>
      <c r="D449" s="7" t="s">
        <v>4344</v>
      </c>
    </row>
    <row r="450" spans="2:4" x14ac:dyDescent="0.2">
      <c r="B450" s="7" t="s">
        <v>2298</v>
      </c>
      <c r="C450" s="7" t="s">
        <v>3594</v>
      </c>
      <c r="D450" s="7" t="s">
        <v>4345</v>
      </c>
    </row>
    <row r="451" spans="2:4" x14ac:dyDescent="0.2">
      <c r="B451" s="7" t="s">
        <v>669</v>
      </c>
      <c r="C451" s="7" t="s">
        <v>670</v>
      </c>
      <c r="D451" s="7" t="s">
        <v>4346</v>
      </c>
    </row>
    <row r="452" spans="2:4" x14ac:dyDescent="0.2">
      <c r="B452" s="7" t="s">
        <v>1654</v>
      </c>
      <c r="C452" s="7" t="s">
        <v>1655</v>
      </c>
      <c r="D452" s="7" t="s">
        <v>4347</v>
      </c>
    </row>
    <row r="453" spans="2:4" x14ac:dyDescent="0.2">
      <c r="B453" s="7" t="s">
        <v>672</v>
      </c>
      <c r="C453" s="7" t="s">
        <v>673</v>
      </c>
      <c r="D453" s="7" t="s">
        <v>4348</v>
      </c>
    </row>
    <row r="454" spans="2:4" x14ac:dyDescent="0.2">
      <c r="B454" s="7" t="s">
        <v>1356</v>
      </c>
      <c r="C454" s="7" t="s">
        <v>3595</v>
      </c>
      <c r="D454" s="7" t="s">
        <v>4349</v>
      </c>
    </row>
    <row r="455" spans="2:4" x14ac:dyDescent="0.2">
      <c r="B455" s="7" t="s">
        <v>675</v>
      </c>
      <c r="C455" s="7" t="s">
        <v>3596</v>
      </c>
      <c r="D455" s="7" t="s">
        <v>4350</v>
      </c>
    </row>
    <row r="456" spans="2:4" x14ac:dyDescent="0.2">
      <c r="B456" s="7" t="s">
        <v>677</v>
      </c>
      <c r="C456" s="7" t="s">
        <v>3597</v>
      </c>
      <c r="D456" s="7" t="s">
        <v>4351</v>
      </c>
    </row>
    <row r="457" spans="2:4" x14ac:dyDescent="0.2">
      <c r="B457" s="7" t="s">
        <v>1482</v>
      </c>
      <c r="C457" s="7" t="s">
        <v>3598</v>
      </c>
      <c r="D457" s="7" t="s">
        <v>4352</v>
      </c>
    </row>
    <row r="458" spans="2:4" x14ac:dyDescent="0.2">
      <c r="B458" s="7" t="s">
        <v>679</v>
      </c>
      <c r="C458" s="7" t="s">
        <v>680</v>
      </c>
      <c r="D458" s="7" t="s">
        <v>4353</v>
      </c>
    </row>
    <row r="459" spans="2:4" x14ac:dyDescent="0.2">
      <c r="B459" s="7" t="s">
        <v>682</v>
      </c>
      <c r="C459" s="7" t="s">
        <v>683</v>
      </c>
      <c r="D459" s="7" t="s">
        <v>4354</v>
      </c>
    </row>
    <row r="460" spans="2:4" x14ac:dyDescent="0.2">
      <c r="B460" s="7" t="s">
        <v>1499</v>
      </c>
      <c r="C460" s="7" t="s">
        <v>1500</v>
      </c>
      <c r="D460" s="7" t="s">
        <v>4355</v>
      </c>
    </row>
    <row r="461" spans="2:4" x14ac:dyDescent="0.2">
      <c r="B461" s="7" t="s">
        <v>685</v>
      </c>
      <c r="C461" s="7" t="s">
        <v>686</v>
      </c>
      <c r="D461" s="7" t="s">
        <v>4356</v>
      </c>
    </row>
    <row r="462" spans="2:4" x14ac:dyDescent="0.2">
      <c r="B462" s="7" t="s">
        <v>688</v>
      </c>
      <c r="C462" s="7" t="s">
        <v>3599</v>
      </c>
      <c r="D462" s="7" t="s">
        <v>4357</v>
      </c>
    </row>
    <row r="463" spans="2:4" x14ac:dyDescent="0.2">
      <c r="B463" s="7" t="s">
        <v>690</v>
      </c>
      <c r="C463" s="7" t="s">
        <v>691</v>
      </c>
      <c r="D463" s="7" t="s">
        <v>4358</v>
      </c>
    </row>
    <row r="464" spans="2:4" x14ac:dyDescent="0.2">
      <c r="B464" s="7" t="s">
        <v>693</v>
      </c>
      <c r="C464" s="7" t="s">
        <v>694</v>
      </c>
      <c r="D464" s="7" t="s">
        <v>4359</v>
      </c>
    </row>
    <row r="465" spans="2:4" x14ac:dyDescent="0.2">
      <c r="B465" s="7" t="s">
        <v>2569</v>
      </c>
      <c r="C465" s="7" t="s">
        <v>2570</v>
      </c>
      <c r="D465" s="7" t="s">
        <v>4360</v>
      </c>
    </row>
    <row r="466" spans="2:4" x14ac:dyDescent="0.2">
      <c r="B466" s="7" t="s">
        <v>696</v>
      </c>
      <c r="C466" s="7" t="s">
        <v>697</v>
      </c>
      <c r="D466" s="7" t="s">
        <v>4361</v>
      </c>
    </row>
    <row r="467" spans="2:4" x14ac:dyDescent="0.2">
      <c r="B467" s="7" t="s">
        <v>1691</v>
      </c>
      <c r="C467" s="7" t="s">
        <v>1692</v>
      </c>
      <c r="D467" s="7" t="s">
        <v>4362</v>
      </c>
    </row>
    <row r="468" spans="2:4" x14ac:dyDescent="0.2">
      <c r="B468" s="7" t="s">
        <v>1830</v>
      </c>
      <c r="C468" s="7" t="s">
        <v>1831</v>
      </c>
      <c r="D468" s="7" t="s">
        <v>4363</v>
      </c>
    </row>
    <row r="469" spans="2:4" x14ac:dyDescent="0.2">
      <c r="B469" s="7" t="s">
        <v>699</v>
      </c>
      <c r="C469" s="7" t="s">
        <v>700</v>
      </c>
      <c r="D469" s="7" t="s">
        <v>4364</v>
      </c>
    </row>
    <row r="470" spans="2:4" x14ac:dyDescent="0.2">
      <c r="B470" s="7" t="s">
        <v>702</v>
      </c>
      <c r="C470" s="7" t="s">
        <v>703</v>
      </c>
      <c r="D470" s="7" t="s">
        <v>4365</v>
      </c>
    </row>
    <row r="471" spans="2:4" x14ac:dyDescent="0.2">
      <c r="B471" s="7" t="s">
        <v>704</v>
      </c>
      <c r="C471" s="7" t="s">
        <v>705</v>
      </c>
      <c r="D471" s="7" t="s">
        <v>4366</v>
      </c>
    </row>
    <row r="472" spans="2:4" x14ac:dyDescent="0.2">
      <c r="B472" s="7" t="s">
        <v>707</v>
      </c>
      <c r="C472" s="7" t="s">
        <v>3600</v>
      </c>
      <c r="D472" s="7" t="s">
        <v>4367</v>
      </c>
    </row>
    <row r="473" spans="2:4" x14ac:dyDescent="0.2">
      <c r="B473" s="7" t="s">
        <v>709</v>
      </c>
      <c r="C473" s="7" t="s">
        <v>710</v>
      </c>
      <c r="D473" s="7" t="s">
        <v>4368</v>
      </c>
    </row>
    <row r="474" spans="2:4" x14ac:dyDescent="0.2">
      <c r="B474" s="7" t="s">
        <v>2196</v>
      </c>
      <c r="C474" s="7" t="s">
        <v>2197</v>
      </c>
      <c r="D474" s="7" t="s">
        <v>4369</v>
      </c>
    </row>
    <row r="475" spans="2:4" x14ac:dyDescent="0.2">
      <c r="B475" s="7" t="s">
        <v>1729</v>
      </c>
      <c r="C475" s="7" t="s">
        <v>1730</v>
      </c>
      <c r="D475" s="7" t="s">
        <v>4370</v>
      </c>
    </row>
    <row r="476" spans="2:4" x14ac:dyDescent="0.2">
      <c r="B476" s="7" t="s">
        <v>1768</v>
      </c>
      <c r="C476" s="7" t="s">
        <v>1769</v>
      </c>
      <c r="D476" s="7" t="s">
        <v>4371</v>
      </c>
    </row>
    <row r="477" spans="2:4" x14ac:dyDescent="0.2">
      <c r="B477" s="7" t="s">
        <v>2652</v>
      </c>
      <c r="C477" s="7" t="s">
        <v>2653</v>
      </c>
      <c r="D477" s="7" t="s">
        <v>4372</v>
      </c>
    </row>
    <row r="478" spans="2:4" x14ac:dyDescent="0.2">
      <c r="B478" s="7" t="s">
        <v>712</v>
      </c>
      <c r="C478" s="7" t="s">
        <v>3601</v>
      </c>
      <c r="D478" s="7" t="s">
        <v>4373</v>
      </c>
    </row>
    <row r="479" spans="2:4" x14ac:dyDescent="0.2">
      <c r="B479" s="7" t="s">
        <v>714</v>
      </c>
      <c r="C479" s="7" t="s">
        <v>3602</v>
      </c>
      <c r="D479" s="7" t="s">
        <v>4374</v>
      </c>
    </row>
    <row r="480" spans="2:4" x14ac:dyDescent="0.2">
      <c r="B480" s="7" t="s">
        <v>717</v>
      </c>
      <c r="C480" s="7" t="s">
        <v>718</v>
      </c>
      <c r="D480" s="7" t="s">
        <v>4375</v>
      </c>
    </row>
    <row r="481" spans="2:4" x14ac:dyDescent="0.2">
      <c r="B481" s="7" t="s">
        <v>2264</v>
      </c>
      <c r="C481" s="7" t="s">
        <v>2265</v>
      </c>
      <c r="D481" s="7" t="s">
        <v>4376</v>
      </c>
    </row>
    <row r="482" spans="2:4" x14ac:dyDescent="0.2">
      <c r="B482" s="7" t="s">
        <v>1358</v>
      </c>
      <c r="C482" s="7" t="s">
        <v>1359</v>
      </c>
      <c r="D482" s="7" t="s">
        <v>4377</v>
      </c>
    </row>
    <row r="483" spans="2:4" x14ac:dyDescent="0.2">
      <c r="B483" s="7" t="s">
        <v>1452</v>
      </c>
      <c r="C483" s="7" t="s">
        <v>3603</v>
      </c>
      <c r="D483" s="7" t="s">
        <v>4378</v>
      </c>
    </row>
    <row r="484" spans="2:4" x14ac:dyDescent="0.2">
      <c r="B484" s="7" t="s">
        <v>1688</v>
      </c>
      <c r="C484" s="7" t="s">
        <v>1689</v>
      </c>
      <c r="D484" s="7" t="s">
        <v>4379</v>
      </c>
    </row>
    <row r="485" spans="2:4" x14ac:dyDescent="0.2">
      <c r="B485" s="7" t="s">
        <v>2152</v>
      </c>
      <c r="C485" s="7" t="s">
        <v>2153</v>
      </c>
      <c r="D485" s="7" t="s">
        <v>4380</v>
      </c>
    </row>
    <row r="486" spans="2:4" x14ac:dyDescent="0.2">
      <c r="B486" s="7" t="s">
        <v>720</v>
      </c>
      <c r="C486" s="7" t="s">
        <v>721</v>
      </c>
      <c r="D486" s="7" t="s">
        <v>4381</v>
      </c>
    </row>
    <row r="487" spans="2:4" x14ac:dyDescent="0.2">
      <c r="B487" s="7" t="s">
        <v>2308</v>
      </c>
      <c r="C487" s="7" t="s">
        <v>3604</v>
      </c>
      <c r="D487" s="7" t="s">
        <v>4382</v>
      </c>
    </row>
    <row r="488" spans="2:4" x14ac:dyDescent="0.2">
      <c r="B488" s="7" t="s">
        <v>723</v>
      </c>
      <c r="C488" s="7" t="s">
        <v>724</v>
      </c>
      <c r="D488" s="7" t="s">
        <v>4383</v>
      </c>
    </row>
    <row r="489" spans="2:4" x14ac:dyDescent="0.2">
      <c r="B489" s="7" t="s">
        <v>2159</v>
      </c>
      <c r="C489" s="7" t="s">
        <v>2160</v>
      </c>
      <c r="D489" s="7" t="s">
        <v>4384</v>
      </c>
    </row>
    <row r="490" spans="2:4" x14ac:dyDescent="0.2">
      <c r="B490" s="7" t="s">
        <v>1881</v>
      </c>
      <c r="C490" s="7" t="s">
        <v>1882</v>
      </c>
      <c r="D490" s="7" t="s">
        <v>4385</v>
      </c>
    </row>
    <row r="491" spans="2:4" x14ac:dyDescent="0.2">
      <c r="B491" s="7" t="s">
        <v>1416</v>
      </c>
      <c r="C491" s="7" t="s">
        <v>1417</v>
      </c>
      <c r="D491" s="7" t="s">
        <v>4386</v>
      </c>
    </row>
    <row r="492" spans="2:4" x14ac:dyDescent="0.2">
      <c r="B492" s="7" t="s">
        <v>726</v>
      </c>
      <c r="C492" s="7" t="s">
        <v>727</v>
      </c>
      <c r="D492" s="7" t="s">
        <v>4387</v>
      </c>
    </row>
    <row r="493" spans="2:4" x14ac:dyDescent="0.2">
      <c r="B493" s="7" t="s">
        <v>2381</v>
      </c>
      <c r="C493" s="7" t="s">
        <v>2382</v>
      </c>
      <c r="D493" s="7" t="s">
        <v>4388</v>
      </c>
    </row>
    <row r="494" spans="2:4" x14ac:dyDescent="0.2">
      <c r="B494" s="7" t="s">
        <v>729</v>
      </c>
      <c r="C494" s="7" t="s">
        <v>3605</v>
      </c>
      <c r="D494" s="7" t="s">
        <v>4389</v>
      </c>
    </row>
    <row r="495" spans="2:4" x14ac:dyDescent="0.2">
      <c r="B495" s="7" t="s">
        <v>2393</v>
      </c>
      <c r="C495" s="7" t="s">
        <v>2394</v>
      </c>
      <c r="D495" s="7" t="s">
        <v>4390</v>
      </c>
    </row>
    <row r="496" spans="2:4" x14ac:dyDescent="0.2">
      <c r="B496" s="7" t="s">
        <v>732</v>
      </c>
      <c r="C496" s="7" t="s">
        <v>3606</v>
      </c>
      <c r="D496" s="7" t="s">
        <v>4391</v>
      </c>
    </row>
    <row r="497" spans="2:4" x14ac:dyDescent="0.2">
      <c r="B497" s="7" t="s">
        <v>735</v>
      </c>
      <c r="C497" s="7" t="s">
        <v>736</v>
      </c>
      <c r="D497" s="7" t="s">
        <v>4392</v>
      </c>
    </row>
    <row r="498" spans="2:4" x14ac:dyDescent="0.2">
      <c r="B498" s="7" t="s">
        <v>1714</v>
      </c>
      <c r="C498" s="7" t="s">
        <v>1715</v>
      </c>
      <c r="D498" s="7" t="s">
        <v>4393</v>
      </c>
    </row>
    <row r="499" spans="2:4" x14ac:dyDescent="0.2">
      <c r="B499" s="7" t="s">
        <v>738</v>
      </c>
      <c r="C499" s="7" t="s">
        <v>739</v>
      </c>
      <c r="D499" s="7" t="s">
        <v>4394</v>
      </c>
    </row>
    <row r="500" spans="2:4" x14ac:dyDescent="0.2">
      <c r="B500" s="7" t="s">
        <v>741</v>
      </c>
      <c r="C500" s="7" t="s">
        <v>742</v>
      </c>
      <c r="D500" s="7" t="s">
        <v>4395</v>
      </c>
    </row>
    <row r="501" spans="2:4" x14ac:dyDescent="0.2">
      <c r="B501" s="7" t="s">
        <v>744</v>
      </c>
      <c r="C501" s="7" t="s">
        <v>745</v>
      </c>
      <c r="D501" s="7" t="s">
        <v>4396</v>
      </c>
    </row>
    <row r="502" spans="2:4" x14ac:dyDescent="0.2">
      <c r="B502" s="7" t="s">
        <v>2131</v>
      </c>
      <c r="C502" s="7" t="s">
        <v>2132</v>
      </c>
      <c r="D502" s="7" t="s">
        <v>4397</v>
      </c>
    </row>
    <row r="503" spans="2:4" x14ac:dyDescent="0.2">
      <c r="B503" s="7" t="s">
        <v>2512</v>
      </c>
      <c r="C503" s="7" t="s">
        <v>3607</v>
      </c>
      <c r="D503" s="7" t="s">
        <v>4398</v>
      </c>
    </row>
    <row r="504" spans="2:4" x14ac:dyDescent="0.2">
      <c r="B504" s="7" t="s">
        <v>2013</v>
      </c>
      <c r="C504" s="7" t="s">
        <v>2014</v>
      </c>
      <c r="D504" s="7" t="s">
        <v>4399</v>
      </c>
    </row>
    <row r="505" spans="2:4" x14ac:dyDescent="0.2">
      <c r="B505" s="7" t="s">
        <v>1957</v>
      </c>
      <c r="C505" s="7" t="s">
        <v>1958</v>
      </c>
      <c r="D505" s="7" t="s">
        <v>4400</v>
      </c>
    </row>
    <row r="506" spans="2:4" x14ac:dyDescent="0.2">
      <c r="B506" s="7" t="s">
        <v>2482</v>
      </c>
      <c r="C506" s="7" t="s">
        <v>2483</v>
      </c>
      <c r="D506" s="7" t="s">
        <v>4401</v>
      </c>
    </row>
    <row r="507" spans="2:4" x14ac:dyDescent="0.2">
      <c r="B507" s="7" t="s">
        <v>2241</v>
      </c>
      <c r="C507" s="7" t="s">
        <v>2242</v>
      </c>
      <c r="D507" s="7" t="s">
        <v>4402</v>
      </c>
    </row>
    <row r="508" spans="2:4" x14ac:dyDescent="0.2">
      <c r="B508" s="7" t="s">
        <v>1574</v>
      </c>
      <c r="C508" s="7" t="s">
        <v>1575</v>
      </c>
      <c r="D508" s="7" t="s">
        <v>4403</v>
      </c>
    </row>
    <row r="509" spans="2:4" x14ac:dyDescent="0.2">
      <c r="B509" s="7" t="s">
        <v>747</v>
      </c>
      <c r="C509" s="7" t="s">
        <v>748</v>
      </c>
      <c r="D509" s="7" t="s">
        <v>4404</v>
      </c>
    </row>
    <row r="510" spans="2:4" x14ac:dyDescent="0.2">
      <c r="B510" s="7" t="s">
        <v>750</v>
      </c>
      <c r="C510" s="7" t="s">
        <v>751</v>
      </c>
      <c r="D510" s="7" t="s">
        <v>4405</v>
      </c>
    </row>
    <row r="511" spans="2:4" x14ac:dyDescent="0.2">
      <c r="B511" s="7" t="s">
        <v>1492</v>
      </c>
      <c r="C511" s="7" t="s">
        <v>1493</v>
      </c>
      <c r="D511" s="7" t="s">
        <v>4406</v>
      </c>
    </row>
    <row r="512" spans="2:4" x14ac:dyDescent="0.2">
      <c r="B512" s="7" t="s">
        <v>753</v>
      </c>
      <c r="C512" s="7" t="s">
        <v>754</v>
      </c>
      <c r="D512" s="7" t="s">
        <v>4407</v>
      </c>
    </row>
    <row r="513" spans="2:4" x14ac:dyDescent="0.2">
      <c r="B513" s="7" t="s">
        <v>1930</v>
      </c>
      <c r="C513" s="7" t="s">
        <v>1931</v>
      </c>
      <c r="D513" s="7" t="s">
        <v>4408</v>
      </c>
    </row>
    <row r="514" spans="2:4" x14ac:dyDescent="0.2">
      <c r="B514" s="7" t="s">
        <v>1710</v>
      </c>
      <c r="C514" s="7" t="s">
        <v>3608</v>
      </c>
      <c r="D514" s="7" t="s">
        <v>4409</v>
      </c>
    </row>
    <row r="515" spans="2:4" x14ac:dyDescent="0.2">
      <c r="B515" s="7" t="s">
        <v>756</v>
      </c>
      <c r="C515" s="7" t="s">
        <v>757</v>
      </c>
      <c r="D515" s="7" t="s">
        <v>4410</v>
      </c>
    </row>
    <row r="516" spans="2:4" x14ac:dyDescent="0.2">
      <c r="B516" s="7" t="s">
        <v>759</v>
      </c>
      <c r="C516" s="7" t="s">
        <v>760</v>
      </c>
      <c r="D516" s="7" t="s">
        <v>4411</v>
      </c>
    </row>
    <row r="517" spans="2:4" x14ac:dyDescent="0.2">
      <c r="B517" s="7" t="s">
        <v>2438</v>
      </c>
      <c r="C517" s="7" t="s">
        <v>2439</v>
      </c>
      <c r="D517" s="7" t="s">
        <v>4412</v>
      </c>
    </row>
    <row r="518" spans="2:4" x14ac:dyDescent="0.2">
      <c r="B518" s="7" t="s">
        <v>762</v>
      </c>
      <c r="C518" s="7" t="s">
        <v>3609</v>
      </c>
      <c r="D518" s="7" t="s">
        <v>4413</v>
      </c>
    </row>
    <row r="519" spans="2:4" x14ac:dyDescent="0.2">
      <c r="B519" s="7" t="s">
        <v>2363</v>
      </c>
      <c r="C519" s="7" t="s">
        <v>3610</v>
      </c>
      <c r="D519" s="7" t="s">
        <v>4414</v>
      </c>
    </row>
    <row r="520" spans="2:4" x14ac:dyDescent="0.2">
      <c r="B520" s="7" t="s">
        <v>765</v>
      </c>
      <c r="C520" s="7" t="s">
        <v>766</v>
      </c>
      <c r="D520" s="7" t="s">
        <v>4415</v>
      </c>
    </row>
    <row r="521" spans="2:4" x14ac:dyDescent="0.2">
      <c r="B521" s="7" t="s">
        <v>768</v>
      </c>
      <c r="C521" s="7" t="s">
        <v>769</v>
      </c>
      <c r="D521" s="7" t="s">
        <v>4416</v>
      </c>
    </row>
    <row r="522" spans="2:4" x14ac:dyDescent="0.2">
      <c r="B522" s="7" t="s">
        <v>2396</v>
      </c>
      <c r="C522" s="7" t="s">
        <v>3611</v>
      </c>
      <c r="D522" s="7" t="s">
        <v>4417</v>
      </c>
    </row>
    <row r="523" spans="2:4" x14ac:dyDescent="0.2">
      <c r="B523" s="7" t="s">
        <v>771</v>
      </c>
      <c r="C523" s="7" t="s">
        <v>3612</v>
      </c>
      <c r="D523" s="7" t="s">
        <v>4418</v>
      </c>
    </row>
    <row r="524" spans="2:4" x14ac:dyDescent="0.2">
      <c r="B524" s="7" t="s">
        <v>774</v>
      </c>
      <c r="C524" s="7" t="s">
        <v>775</v>
      </c>
      <c r="D524" s="7" t="s">
        <v>4419</v>
      </c>
    </row>
    <row r="525" spans="2:4" x14ac:dyDescent="0.2">
      <c r="B525" s="7" t="s">
        <v>776</v>
      </c>
      <c r="C525" s="7" t="s">
        <v>3613</v>
      </c>
      <c r="D525" s="7" t="s">
        <v>4420</v>
      </c>
    </row>
    <row r="526" spans="2:4" x14ac:dyDescent="0.2">
      <c r="B526" s="7" t="s">
        <v>779</v>
      </c>
      <c r="C526" s="7" t="s">
        <v>780</v>
      </c>
      <c r="D526" s="7" t="s">
        <v>4421</v>
      </c>
    </row>
    <row r="527" spans="2:4" x14ac:dyDescent="0.2">
      <c r="B527" s="7" t="s">
        <v>782</v>
      </c>
      <c r="C527" s="7" t="s">
        <v>3614</v>
      </c>
      <c r="D527" s="7" t="s">
        <v>4422</v>
      </c>
    </row>
    <row r="528" spans="2:4" x14ac:dyDescent="0.2">
      <c r="B528" s="7" t="s">
        <v>785</v>
      </c>
      <c r="C528" s="7" t="s">
        <v>786</v>
      </c>
      <c r="D528" s="7" t="s">
        <v>4423</v>
      </c>
    </row>
    <row r="529" spans="2:4" x14ac:dyDescent="0.2">
      <c r="B529" s="7" t="s">
        <v>788</v>
      </c>
      <c r="C529" s="7" t="s">
        <v>789</v>
      </c>
      <c r="D529" s="7" t="s">
        <v>4424</v>
      </c>
    </row>
    <row r="530" spans="2:4" x14ac:dyDescent="0.2">
      <c r="B530" s="7" t="s">
        <v>791</v>
      </c>
      <c r="C530" s="7" t="s">
        <v>792</v>
      </c>
      <c r="D530" s="7" t="s">
        <v>4425</v>
      </c>
    </row>
    <row r="531" spans="2:4" x14ac:dyDescent="0.2">
      <c r="B531" s="7" t="s">
        <v>794</v>
      </c>
      <c r="C531" s="7" t="s">
        <v>3615</v>
      </c>
      <c r="D531" s="7" t="s">
        <v>4426</v>
      </c>
    </row>
    <row r="532" spans="2:4" x14ac:dyDescent="0.2">
      <c r="B532" s="7" t="s">
        <v>796</v>
      </c>
      <c r="C532" s="7" t="s">
        <v>797</v>
      </c>
      <c r="D532" s="7" t="s">
        <v>4427</v>
      </c>
    </row>
    <row r="533" spans="2:4" x14ac:dyDescent="0.2">
      <c r="B533" s="7" t="s">
        <v>1627</v>
      </c>
      <c r="C533" s="7" t="s">
        <v>1628</v>
      </c>
      <c r="D533" s="7" t="s">
        <v>4428</v>
      </c>
    </row>
    <row r="534" spans="2:4" x14ac:dyDescent="0.2">
      <c r="B534" s="7" t="s">
        <v>1942</v>
      </c>
      <c r="C534" s="7" t="s">
        <v>1943</v>
      </c>
      <c r="D534" s="7" t="s">
        <v>4429</v>
      </c>
    </row>
    <row r="535" spans="2:4" x14ac:dyDescent="0.2">
      <c r="B535" s="7" t="s">
        <v>1431</v>
      </c>
      <c r="C535" s="7" t="s">
        <v>1432</v>
      </c>
      <c r="D535" s="7" t="s">
        <v>4430</v>
      </c>
    </row>
    <row r="536" spans="2:4" x14ac:dyDescent="0.2">
      <c r="B536" s="7" t="s">
        <v>799</v>
      </c>
      <c r="C536" s="7" t="s">
        <v>3616</v>
      </c>
      <c r="D536" s="7" t="s">
        <v>4431</v>
      </c>
    </row>
    <row r="537" spans="2:4" x14ac:dyDescent="0.2">
      <c r="B537" s="7" t="s">
        <v>2335</v>
      </c>
      <c r="C537" s="7" t="s">
        <v>3617</v>
      </c>
      <c r="D537" s="7" t="s">
        <v>4432</v>
      </c>
    </row>
    <row r="538" spans="2:4" x14ac:dyDescent="0.2">
      <c r="B538" s="7" t="s">
        <v>801</v>
      </c>
      <c r="C538" s="7" t="s">
        <v>802</v>
      </c>
      <c r="D538" s="7" t="s">
        <v>4433</v>
      </c>
    </row>
    <row r="539" spans="2:4" x14ac:dyDescent="0.2">
      <c r="B539" s="7" t="s">
        <v>2640</v>
      </c>
      <c r="C539" s="7" t="s">
        <v>2641</v>
      </c>
      <c r="D539" s="7" t="s">
        <v>4434</v>
      </c>
    </row>
    <row r="540" spans="2:4" x14ac:dyDescent="0.2">
      <c r="B540" s="7" t="s">
        <v>1544</v>
      </c>
      <c r="C540" s="7" t="s">
        <v>1545</v>
      </c>
      <c r="D540" s="7" t="s">
        <v>4435</v>
      </c>
    </row>
    <row r="541" spans="2:4" x14ac:dyDescent="0.2">
      <c r="B541" s="7" t="s">
        <v>1422</v>
      </c>
      <c r="C541" s="7" t="s">
        <v>1423</v>
      </c>
      <c r="D541" s="7" t="s">
        <v>4436</v>
      </c>
    </row>
    <row r="542" spans="2:4" x14ac:dyDescent="0.2">
      <c r="B542" s="7" t="s">
        <v>804</v>
      </c>
      <c r="C542" s="7" t="s">
        <v>805</v>
      </c>
      <c r="D542" s="7" t="s">
        <v>4437</v>
      </c>
    </row>
    <row r="543" spans="2:4" x14ac:dyDescent="0.2">
      <c r="B543" s="7" t="s">
        <v>1361</v>
      </c>
      <c r="C543" s="7" t="s">
        <v>1362</v>
      </c>
      <c r="D543" s="7" t="s">
        <v>4438</v>
      </c>
    </row>
    <row r="544" spans="2:4" x14ac:dyDescent="0.2">
      <c r="B544" s="7" t="s">
        <v>1440</v>
      </c>
      <c r="C544" s="7" t="s">
        <v>1441</v>
      </c>
      <c r="D544" s="7" t="s">
        <v>4439</v>
      </c>
    </row>
    <row r="545" spans="2:4" x14ac:dyDescent="0.2">
      <c r="B545" s="7" t="s">
        <v>1966</v>
      </c>
      <c r="C545" s="7" t="s">
        <v>1967</v>
      </c>
      <c r="D545" s="7" t="s">
        <v>4440</v>
      </c>
    </row>
    <row r="546" spans="2:4" x14ac:dyDescent="0.2">
      <c r="B546" s="7" t="s">
        <v>2310</v>
      </c>
      <c r="C546" s="7" t="s">
        <v>2311</v>
      </c>
      <c r="D546" s="7" t="s">
        <v>4441</v>
      </c>
    </row>
    <row r="547" spans="2:4" x14ac:dyDescent="0.2">
      <c r="B547" s="7" t="s">
        <v>807</v>
      </c>
      <c r="C547" s="7" t="s">
        <v>3618</v>
      </c>
      <c r="D547" s="7" t="s">
        <v>4442</v>
      </c>
    </row>
    <row r="548" spans="2:4" x14ac:dyDescent="0.2">
      <c r="B548" s="7" t="s">
        <v>809</v>
      </c>
      <c r="C548" s="7" t="s">
        <v>810</v>
      </c>
      <c r="D548" s="7" t="s">
        <v>4443</v>
      </c>
    </row>
    <row r="549" spans="2:4" x14ac:dyDescent="0.2">
      <c r="B549" s="7" t="s">
        <v>2616</v>
      </c>
      <c r="C549" s="7" t="s">
        <v>2617</v>
      </c>
      <c r="D549" s="7" t="s">
        <v>4444</v>
      </c>
    </row>
    <row r="550" spans="2:4" x14ac:dyDescent="0.2">
      <c r="B550" s="7" t="s">
        <v>812</v>
      </c>
      <c r="C550" s="7" t="s">
        <v>3619</v>
      </c>
      <c r="D550" s="7" t="s">
        <v>4445</v>
      </c>
    </row>
    <row r="551" spans="2:4" x14ac:dyDescent="0.2">
      <c r="B551" s="7" t="s">
        <v>815</v>
      </c>
      <c r="C551" s="7" t="s">
        <v>816</v>
      </c>
      <c r="D551" s="7" t="s">
        <v>4446</v>
      </c>
    </row>
    <row r="552" spans="2:4" x14ac:dyDescent="0.2">
      <c r="B552" s="7" t="s">
        <v>1462</v>
      </c>
      <c r="C552" s="7" t="s">
        <v>1463</v>
      </c>
      <c r="D552" s="7" t="s">
        <v>4447</v>
      </c>
    </row>
    <row r="553" spans="2:4" x14ac:dyDescent="0.2">
      <c r="B553" s="7" t="s">
        <v>1992</v>
      </c>
      <c r="C553" s="7" t="s">
        <v>1993</v>
      </c>
      <c r="D553" s="7" t="s">
        <v>4448</v>
      </c>
    </row>
    <row r="554" spans="2:4" x14ac:dyDescent="0.2">
      <c r="B554" s="7" t="s">
        <v>818</v>
      </c>
      <c r="C554" s="7" t="s">
        <v>3620</v>
      </c>
      <c r="D554" s="7" t="s">
        <v>4449</v>
      </c>
    </row>
    <row r="555" spans="2:4" x14ac:dyDescent="0.2">
      <c r="B555" s="7" t="s">
        <v>820</v>
      </c>
      <c r="C555" s="7" t="s">
        <v>821</v>
      </c>
      <c r="D555" s="7" t="s">
        <v>4450</v>
      </c>
    </row>
    <row r="556" spans="2:4" x14ac:dyDescent="0.2">
      <c r="B556" s="7" t="s">
        <v>2509</v>
      </c>
      <c r="C556" s="7" t="s">
        <v>2510</v>
      </c>
      <c r="D556" s="7" t="s">
        <v>4451</v>
      </c>
    </row>
    <row r="557" spans="2:4" x14ac:dyDescent="0.2">
      <c r="B557" s="7" t="s">
        <v>823</v>
      </c>
      <c r="C557" s="7" t="s">
        <v>824</v>
      </c>
      <c r="D557" s="7" t="s">
        <v>4452</v>
      </c>
    </row>
    <row r="558" spans="2:4" x14ac:dyDescent="0.2">
      <c r="B558" s="7" t="s">
        <v>1446</v>
      </c>
      <c r="C558" s="7" t="s">
        <v>1447</v>
      </c>
      <c r="D558" s="7" t="s">
        <v>4453</v>
      </c>
    </row>
    <row r="559" spans="2:4" x14ac:dyDescent="0.2">
      <c r="B559" s="7" t="s">
        <v>2578</v>
      </c>
      <c r="C559" s="7" t="s">
        <v>2579</v>
      </c>
      <c r="D559" s="7" t="s">
        <v>4454</v>
      </c>
    </row>
    <row r="560" spans="2:4" x14ac:dyDescent="0.2">
      <c r="B560" s="7" t="s">
        <v>826</v>
      </c>
      <c r="C560" s="7" t="s">
        <v>827</v>
      </c>
      <c r="D560" s="7" t="s">
        <v>4455</v>
      </c>
    </row>
    <row r="561" spans="2:4" x14ac:dyDescent="0.2">
      <c r="B561" s="7" t="s">
        <v>829</v>
      </c>
      <c r="C561" s="7" t="s">
        <v>830</v>
      </c>
      <c r="D561" s="7" t="s">
        <v>4456</v>
      </c>
    </row>
    <row r="562" spans="2:4" x14ac:dyDescent="0.2">
      <c r="B562" s="7" t="s">
        <v>832</v>
      </c>
      <c r="C562" s="7" t="s">
        <v>3621</v>
      </c>
      <c r="D562" s="7" t="s">
        <v>4457</v>
      </c>
    </row>
    <row r="563" spans="2:4" x14ac:dyDescent="0.2">
      <c r="B563" s="7" t="s">
        <v>2170</v>
      </c>
      <c r="C563" s="7" t="s">
        <v>2171</v>
      </c>
      <c r="D563" s="7" t="s">
        <v>4458</v>
      </c>
    </row>
    <row r="564" spans="2:4" x14ac:dyDescent="0.2">
      <c r="B564" s="7" t="s">
        <v>835</v>
      </c>
      <c r="C564" s="7" t="s">
        <v>836</v>
      </c>
      <c r="D564" s="7" t="s">
        <v>4459</v>
      </c>
    </row>
    <row r="565" spans="2:4" x14ac:dyDescent="0.2">
      <c r="B565" s="7" t="s">
        <v>2435</v>
      </c>
      <c r="C565" s="7" t="s">
        <v>2436</v>
      </c>
      <c r="D565" s="7" t="s">
        <v>4460</v>
      </c>
    </row>
    <row r="566" spans="2:4" x14ac:dyDescent="0.2">
      <c r="B566" s="7" t="s">
        <v>2610</v>
      </c>
      <c r="C566" s="7" t="s">
        <v>2611</v>
      </c>
      <c r="D566" s="7" t="s">
        <v>4461</v>
      </c>
    </row>
    <row r="567" spans="2:4" x14ac:dyDescent="0.2">
      <c r="B567" s="7" t="s">
        <v>2550</v>
      </c>
      <c r="C567" s="7" t="s">
        <v>2551</v>
      </c>
      <c r="D567" s="7" t="s">
        <v>4462</v>
      </c>
    </row>
    <row r="568" spans="2:4" x14ac:dyDescent="0.2">
      <c r="B568" s="7" t="s">
        <v>838</v>
      </c>
      <c r="C568" s="7" t="s">
        <v>839</v>
      </c>
      <c r="D568" s="7" t="s">
        <v>4463</v>
      </c>
    </row>
    <row r="569" spans="2:4" x14ac:dyDescent="0.2">
      <c r="B569" s="7" t="s">
        <v>841</v>
      </c>
      <c r="C569" s="7" t="s">
        <v>842</v>
      </c>
      <c r="D569" s="7" t="s">
        <v>4464</v>
      </c>
    </row>
    <row r="570" spans="2:4" x14ac:dyDescent="0.2">
      <c r="B570" s="7" t="s">
        <v>844</v>
      </c>
      <c r="C570" s="7" t="s">
        <v>3622</v>
      </c>
      <c r="D570" s="7" t="s">
        <v>4465</v>
      </c>
    </row>
    <row r="571" spans="2:4" x14ac:dyDescent="0.2">
      <c r="B571" s="7" t="s">
        <v>1951</v>
      </c>
      <c r="C571" s="7" t="s">
        <v>1952</v>
      </c>
      <c r="D571" s="7" t="s">
        <v>4466</v>
      </c>
    </row>
    <row r="572" spans="2:4" x14ac:dyDescent="0.2">
      <c r="B572" s="7" t="s">
        <v>846</v>
      </c>
      <c r="C572" s="7" t="s">
        <v>847</v>
      </c>
      <c r="D572" s="7" t="s">
        <v>4467</v>
      </c>
    </row>
    <row r="573" spans="2:4" x14ac:dyDescent="0.2">
      <c r="B573" s="7" t="s">
        <v>1562</v>
      </c>
      <c r="C573" s="7" t="s">
        <v>1563</v>
      </c>
      <c r="D573" s="7" t="s">
        <v>4468</v>
      </c>
    </row>
    <row r="574" spans="2:4" x14ac:dyDescent="0.2">
      <c r="B574" s="7" t="s">
        <v>2453</v>
      </c>
      <c r="C574" s="7" t="s">
        <v>2454</v>
      </c>
      <c r="D574" s="7" t="s">
        <v>4469</v>
      </c>
    </row>
    <row r="575" spans="2:4" x14ac:dyDescent="0.2">
      <c r="B575" s="7" t="s">
        <v>849</v>
      </c>
      <c r="C575" s="7" t="s">
        <v>850</v>
      </c>
      <c r="D575" s="7" t="s">
        <v>4470</v>
      </c>
    </row>
    <row r="576" spans="2:4" x14ac:dyDescent="0.2">
      <c r="B576" s="7" t="s">
        <v>852</v>
      </c>
      <c r="C576" s="7" t="s">
        <v>853</v>
      </c>
      <c r="D576" s="7" t="s">
        <v>4471</v>
      </c>
    </row>
    <row r="577" spans="2:4" x14ac:dyDescent="0.2">
      <c r="B577" s="7" t="s">
        <v>855</v>
      </c>
      <c r="C577" s="7" t="s">
        <v>856</v>
      </c>
      <c r="D577" s="7" t="s">
        <v>4472</v>
      </c>
    </row>
    <row r="578" spans="2:4" x14ac:dyDescent="0.2">
      <c r="B578" s="7" t="s">
        <v>1396</v>
      </c>
      <c r="C578" s="7" t="s">
        <v>1397</v>
      </c>
      <c r="D578" s="7" t="s">
        <v>4473</v>
      </c>
    </row>
    <row r="579" spans="2:4" x14ac:dyDescent="0.2">
      <c r="B579" s="7" t="s">
        <v>2533</v>
      </c>
      <c r="C579" s="7" t="s">
        <v>2534</v>
      </c>
      <c r="D579" s="7" t="s">
        <v>4474</v>
      </c>
    </row>
    <row r="580" spans="2:4" x14ac:dyDescent="0.2">
      <c r="B580" s="7" t="s">
        <v>858</v>
      </c>
      <c r="C580" s="7" t="s">
        <v>3623</v>
      </c>
      <c r="D580" s="7" t="s">
        <v>4475</v>
      </c>
    </row>
    <row r="581" spans="2:4" x14ac:dyDescent="0.2">
      <c r="B581" s="7" t="s">
        <v>860</v>
      </c>
      <c r="C581" s="7" t="s">
        <v>861</v>
      </c>
      <c r="D581" s="7" t="s">
        <v>4476</v>
      </c>
    </row>
    <row r="582" spans="2:4" x14ac:dyDescent="0.2">
      <c r="B582" s="7" t="s">
        <v>2433</v>
      </c>
      <c r="C582" s="7" t="s">
        <v>3624</v>
      </c>
      <c r="D582" s="7" t="s">
        <v>4477</v>
      </c>
    </row>
    <row r="583" spans="2:4" x14ac:dyDescent="0.2">
      <c r="B583" s="7" t="s">
        <v>1364</v>
      </c>
      <c r="C583" s="7" t="s">
        <v>3625</v>
      </c>
      <c r="D583" s="7" t="s">
        <v>4478</v>
      </c>
    </row>
    <row r="584" spans="2:4" x14ac:dyDescent="0.2">
      <c r="B584" s="7" t="s">
        <v>863</v>
      </c>
      <c r="C584" s="7" t="s">
        <v>864</v>
      </c>
      <c r="D584" s="7" t="s">
        <v>4479</v>
      </c>
    </row>
    <row r="585" spans="2:4" x14ac:dyDescent="0.2">
      <c r="B585" s="7" t="s">
        <v>2184</v>
      </c>
      <c r="C585" s="7" t="s">
        <v>2185</v>
      </c>
      <c r="D585" s="7" t="s">
        <v>4480</v>
      </c>
    </row>
    <row r="586" spans="2:4" x14ac:dyDescent="0.2">
      <c r="B586" s="7" t="s">
        <v>866</v>
      </c>
      <c r="C586" s="7" t="s">
        <v>867</v>
      </c>
      <c r="D586" s="7" t="s">
        <v>4481</v>
      </c>
    </row>
    <row r="587" spans="2:4" x14ac:dyDescent="0.2">
      <c r="B587" s="7" t="s">
        <v>869</v>
      </c>
      <c r="C587" s="7" t="s">
        <v>3626</v>
      </c>
      <c r="D587" s="7" t="s">
        <v>4482</v>
      </c>
    </row>
    <row r="588" spans="2:4" x14ac:dyDescent="0.2">
      <c r="B588" s="7" t="s">
        <v>872</v>
      </c>
      <c r="C588" s="7" t="s">
        <v>873</v>
      </c>
      <c r="D588" s="7" t="s">
        <v>4483</v>
      </c>
    </row>
    <row r="589" spans="2:4" x14ac:dyDescent="0.2">
      <c r="B589" s="7" t="s">
        <v>875</v>
      </c>
      <c r="C589" s="7" t="s">
        <v>876</v>
      </c>
      <c r="D589" s="7" t="s">
        <v>4484</v>
      </c>
    </row>
    <row r="590" spans="2:4" x14ac:dyDescent="0.2">
      <c r="B590" s="7" t="s">
        <v>2205</v>
      </c>
      <c r="C590" s="7" t="s">
        <v>3627</v>
      </c>
      <c r="D590" s="7" t="s">
        <v>4485</v>
      </c>
    </row>
    <row r="591" spans="2:4" x14ac:dyDescent="0.2">
      <c r="B591" s="7" t="s">
        <v>878</v>
      </c>
      <c r="C591" s="7" t="s">
        <v>879</v>
      </c>
      <c r="D591" s="7" t="s">
        <v>4486</v>
      </c>
    </row>
    <row r="592" spans="2:4" x14ac:dyDescent="0.2">
      <c r="B592" s="7" t="s">
        <v>881</v>
      </c>
      <c r="C592" s="7" t="s">
        <v>882</v>
      </c>
      <c r="D592" s="7" t="s">
        <v>4487</v>
      </c>
    </row>
    <row r="593" spans="2:4" x14ac:dyDescent="0.2">
      <c r="B593" s="7" t="s">
        <v>1577</v>
      </c>
      <c r="C593" s="7" t="s">
        <v>1578</v>
      </c>
      <c r="D593" s="7" t="s">
        <v>4488</v>
      </c>
    </row>
    <row r="594" spans="2:4" x14ac:dyDescent="0.2">
      <c r="B594" s="7" t="s">
        <v>1473</v>
      </c>
      <c r="C594" s="7" t="s">
        <v>1474</v>
      </c>
      <c r="D594" s="7" t="s">
        <v>4489</v>
      </c>
    </row>
    <row r="595" spans="2:4" x14ac:dyDescent="0.2">
      <c r="B595" s="7" t="s">
        <v>2427</v>
      </c>
      <c r="C595" s="7" t="s">
        <v>2428</v>
      </c>
      <c r="D595" s="7" t="s">
        <v>4490</v>
      </c>
    </row>
    <row r="596" spans="2:4" x14ac:dyDescent="0.2">
      <c r="B596" s="7" t="s">
        <v>884</v>
      </c>
      <c r="C596" s="7" t="s">
        <v>885</v>
      </c>
      <c r="D596" s="7" t="s">
        <v>4491</v>
      </c>
    </row>
    <row r="597" spans="2:4" x14ac:dyDescent="0.2">
      <c r="B597" s="7" t="s">
        <v>1437</v>
      </c>
      <c r="C597" s="7" t="s">
        <v>1438</v>
      </c>
      <c r="D597" s="7" t="s">
        <v>4492</v>
      </c>
    </row>
    <row r="598" spans="2:4" x14ac:dyDescent="0.2">
      <c r="B598" s="7" t="s">
        <v>887</v>
      </c>
      <c r="C598" s="7" t="s">
        <v>888</v>
      </c>
      <c r="D598" s="7" t="s">
        <v>4493</v>
      </c>
    </row>
    <row r="599" spans="2:4" x14ac:dyDescent="0.2">
      <c r="B599" s="7" t="s">
        <v>1598</v>
      </c>
      <c r="C599" s="7" t="s">
        <v>1599</v>
      </c>
      <c r="D599" s="7" t="s">
        <v>4494</v>
      </c>
    </row>
    <row r="600" spans="2:4" x14ac:dyDescent="0.2">
      <c r="B600" s="7" t="s">
        <v>2303</v>
      </c>
      <c r="C600" s="7" t="s">
        <v>3628</v>
      </c>
      <c r="D600" s="7" t="s">
        <v>4495</v>
      </c>
    </row>
    <row r="601" spans="2:4" x14ac:dyDescent="0.2">
      <c r="B601" s="7" t="s">
        <v>890</v>
      </c>
      <c r="C601" s="7" t="s">
        <v>891</v>
      </c>
      <c r="D601" s="7" t="s">
        <v>4496</v>
      </c>
    </row>
    <row r="602" spans="2:4" x14ac:dyDescent="0.2">
      <c r="B602" s="7" t="s">
        <v>893</v>
      </c>
      <c r="C602" s="7" t="s">
        <v>3629</v>
      </c>
      <c r="D602" s="7" t="s">
        <v>4497</v>
      </c>
    </row>
    <row r="603" spans="2:4" x14ac:dyDescent="0.2">
      <c r="B603" s="7" t="s">
        <v>2367</v>
      </c>
      <c r="C603" s="7" t="s">
        <v>2368</v>
      </c>
      <c r="D603" s="7" t="s">
        <v>4498</v>
      </c>
    </row>
    <row r="604" spans="2:4" x14ac:dyDescent="0.2">
      <c r="B604" s="7" t="s">
        <v>1535</v>
      </c>
      <c r="C604" s="7" t="s">
        <v>1536</v>
      </c>
      <c r="D604" s="7" t="s">
        <v>4499</v>
      </c>
    </row>
    <row r="605" spans="2:4" x14ac:dyDescent="0.2">
      <c r="B605" s="7" t="s">
        <v>2631</v>
      </c>
      <c r="C605" s="7" t="s">
        <v>2632</v>
      </c>
      <c r="D605" s="7" t="s">
        <v>4500</v>
      </c>
    </row>
    <row r="606" spans="2:4" x14ac:dyDescent="0.2">
      <c r="B606" s="7" t="s">
        <v>895</v>
      </c>
      <c r="C606" s="7" t="s">
        <v>896</v>
      </c>
      <c r="D606" s="7" t="s">
        <v>4501</v>
      </c>
    </row>
    <row r="607" spans="2:4" x14ac:dyDescent="0.2">
      <c r="B607" s="7" t="s">
        <v>2404</v>
      </c>
      <c r="C607" s="7" t="s">
        <v>2405</v>
      </c>
      <c r="D607" s="7" t="s">
        <v>4502</v>
      </c>
    </row>
    <row r="608" spans="2:4" x14ac:dyDescent="0.2">
      <c r="B608" s="7" t="s">
        <v>898</v>
      </c>
      <c r="C608" s="7" t="s">
        <v>899</v>
      </c>
      <c r="D608" s="7" t="s">
        <v>4503</v>
      </c>
    </row>
    <row r="609" spans="2:4" x14ac:dyDescent="0.2">
      <c r="B609" s="7" t="s">
        <v>2019</v>
      </c>
      <c r="C609" s="7" t="s">
        <v>2020</v>
      </c>
      <c r="D609" s="7" t="s">
        <v>4504</v>
      </c>
    </row>
    <row r="610" spans="2:4" x14ac:dyDescent="0.2">
      <c r="B610" s="7" t="s">
        <v>901</v>
      </c>
      <c r="C610" s="7" t="s">
        <v>902</v>
      </c>
      <c r="D610" s="7" t="s">
        <v>4505</v>
      </c>
    </row>
    <row r="611" spans="2:4" x14ac:dyDescent="0.2">
      <c r="B611" s="7" t="s">
        <v>904</v>
      </c>
      <c r="C611" s="7" t="s">
        <v>905</v>
      </c>
      <c r="D611" s="7" t="s">
        <v>4506</v>
      </c>
    </row>
    <row r="612" spans="2:4" x14ac:dyDescent="0.2">
      <c r="B612" s="7" t="s">
        <v>2103</v>
      </c>
      <c r="C612" s="7" t="s">
        <v>2104</v>
      </c>
      <c r="D612" s="7" t="s">
        <v>4507</v>
      </c>
    </row>
    <row r="613" spans="2:4" x14ac:dyDescent="0.2">
      <c r="B613" s="7" t="s">
        <v>1660</v>
      </c>
      <c r="C613" s="7" t="s">
        <v>1661</v>
      </c>
      <c r="D613" s="7" t="s">
        <v>4508</v>
      </c>
    </row>
    <row r="614" spans="2:4" x14ac:dyDescent="0.2">
      <c r="B614" s="7" t="s">
        <v>1367</v>
      </c>
      <c r="C614" s="7" t="s">
        <v>1368</v>
      </c>
      <c r="D614" s="7" t="s">
        <v>4509</v>
      </c>
    </row>
    <row r="615" spans="2:4" x14ac:dyDescent="0.2">
      <c r="B615" s="7" t="s">
        <v>907</v>
      </c>
      <c r="C615" s="7" t="s">
        <v>908</v>
      </c>
      <c r="D615" s="7" t="s">
        <v>4510</v>
      </c>
    </row>
    <row r="616" spans="2:4" x14ac:dyDescent="0.2">
      <c r="B616" s="7" t="s">
        <v>1457</v>
      </c>
      <c r="C616" s="7" t="s">
        <v>3630</v>
      </c>
      <c r="D616" s="7" t="s">
        <v>4511</v>
      </c>
    </row>
    <row r="617" spans="2:4" x14ac:dyDescent="0.2">
      <c r="B617" s="7" t="s">
        <v>2360</v>
      </c>
      <c r="C617" s="7" t="s">
        <v>2361</v>
      </c>
      <c r="D617" s="7" t="s">
        <v>4512</v>
      </c>
    </row>
    <row r="618" spans="2:4" x14ac:dyDescent="0.2">
      <c r="B618" s="7" t="s">
        <v>910</v>
      </c>
      <c r="C618" s="7" t="s">
        <v>911</v>
      </c>
      <c r="D618" s="7" t="s">
        <v>4513</v>
      </c>
    </row>
    <row r="619" spans="2:4" x14ac:dyDescent="0.2">
      <c r="B619" s="7" t="s">
        <v>913</v>
      </c>
      <c r="C619" s="7" t="s">
        <v>914</v>
      </c>
      <c r="D619" s="7" t="s">
        <v>4514</v>
      </c>
    </row>
    <row r="620" spans="2:4" x14ac:dyDescent="0.2">
      <c r="B620" s="7" t="s">
        <v>916</v>
      </c>
      <c r="C620" s="7" t="s">
        <v>917</v>
      </c>
      <c r="D620" s="7" t="s">
        <v>4515</v>
      </c>
    </row>
    <row r="621" spans="2:4" x14ac:dyDescent="0.2">
      <c r="B621" s="7" t="s">
        <v>2503</v>
      </c>
      <c r="C621" s="7" t="s">
        <v>2504</v>
      </c>
      <c r="D621" s="7" t="s">
        <v>4516</v>
      </c>
    </row>
    <row r="622" spans="2:4" x14ac:dyDescent="0.2">
      <c r="B622" s="7" t="s">
        <v>2085</v>
      </c>
      <c r="C622" s="7" t="s">
        <v>2086</v>
      </c>
      <c r="D622" s="7" t="s">
        <v>4517</v>
      </c>
    </row>
    <row r="623" spans="2:4" x14ac:dyDescent="0.2">
      <c r="B623" s="7" t="s">
        <v>1443</v>
      </c>
      <c r="C623" s="7" t="s">
        <v>1444</v>
      </c>
      <c r="D623" s="7" t="s">
        <v>4518</v>
      </c>
    </row>
    <row r="624" spans="2:4" x14ac:dyDescent="0.2">
      <c r="B624" s="7" t="s">
        <v>2052</v>
      </c>
      <c r="C624" s="7" t="s">
        <v>2053</v>
      </c>
      <c r="D624" s="7" t="s">
        <v>4519</v>
      </c>
    </row>
    <row r="625" spans="2:4" x14ac:dyDescent="0.2">
      <c r="B625" s="7" t="s">
        <v>1652</v>
      </c>
      <c r="C625" s="7" t="s">
        <v>3631</v>
      </c>
      <c r="D625" s="7" t="s">
        <v>4520</v>
      </c>
    </row>
    <row r="626" spans="2:4" x14ac:dyDescent="0.2">
      <c r="B626" s="7" t="s">
        <v>2247</v>
      </c>
      <c r="C626" s="7" t="s">
        <v>2248</v>
      </c>
      <c r="D626" s="7" t="s">
        <v>4521</v>
      </c>
    </row>
    <row r="627" spans="2:4" x14ac:dyDescent="0.2">
      <c r="B627" s="7" t="s">
        <v>2607</v>
      </c>
      <c r="C627" s="7" t="s">
        <v>2608</v>
      </c>
      <c r="D627" s="7" t="s">
        <v>4522</v>
      </c>
    </row>
    <row r="628" spans="2:4" x14ac:dyDescent="0.2">
      <c r="B628" s="7" t="s">
        <v>919</v>
      </c>
      <c r="C628" s="7" t="s">
        <v>920</v>
      </c>
      <c r="D628" s="7" t="s">
        <v>4523</v>
      </c>
    </row>
    <row r="629" spans="2:4" x14ac:dyDescent="0.2">
      <c r="B629" s="7" t="s">
        <v>2488</v>
      </c>
      <c r="C629" s="7" t="s">
        <v>2489</v>
      </c>
      <c r="D629" s="7" t="s">
        <v>4524</v>
      </c>
    </row>
    <row r="630" spans="2:4" x14ac:dyDescent="0.2">
      <c r="B630" s="7" t="s">
        <v>2068</v>
      </c>
      <c r="C630" s="7" t="s">
        <v>2069</v>
      </c>
      <c r="D630" s="7" t="s">
        <v>4525</v>
      </c>
    </row>
    <row r="631" spans="2:4" x14ac:dyDescent="0.2">
      <c r="B631" s="7" t="s">
        <v>1559</v>
      </c>
      <c r="C631" s="7" t="s">
        <v>1560</v>
      </c>
      <c r="D631" s="7" t="s">
        <v>4526</v>
      </c>
    </row>
    <row r="632" spans="2:4" x14ac:dyDescent="0.2">
      <c r="B632" s="7" t="s">
        <v>2628</v>
      </c>
      <c r="C632" s="7" t="s">
        <v>2629</v>
      </c>
      <c r="D632" s="7" t="s">
        <v>4527</v>
      </c>
    </row>
    <row r="633" spans="2:4" x14ac:dyDescent="0.2">
      <c r="B633" s="7" t="s">
        <v>1512</v>
      </c>
      <c r="C633" s="7" t="s">
        <v>1513</v>
      </c>
      <c r="D633" s="7" t="s">
        <v>4528</v>
      </c>
    </row>
    <row r="634" spans="2:4" x14ac:dyDescent="0.2">
      <c r="B634" s="7" t="s">
        <v>1974</v>
      </c>
      <c r="C634" s="7" t="s">
        <v>1975</v>
      </c>
      <c r="D634" s="7" t="s">
        <v>4529</v>
      </c>
    </row>
    <row r="635" spans="2:4" x14ac:dyDescent="0.2">
      <c r="B635" s="7" t="s">
        <v>922</v>
      </c>
      <c r="C635" s="7" t="s">
        <v>923</v>
      </c>
      <c r="D635" s="7" t="s">
        <v>4530</v>
      </c>
    </row>
    <row r="636" spans="2:4" x14ac:dyDescent="0.2">
      <c r="B636" s="7" t="s">
        <v>2202</v>
      </c>
      <c r="C636" s="7" t="s">
        <v>2203</v>
      </c>
      <c r="D636" s="7" t="s">
        <v>4531</v>
      </c>
    </row>
    <row r="637" spans="2:4" x14ac:dyDescent="0.2">
      <c r="B637" s="7" t="s">
        <v>925</v>
      </c>
      <c r="C637" s="7" t="s">
        <v>926</v>
      </c>
      <c r="D637" s="7" t="s">
        <v>4532</v>
      </c>
    </row>
    <row r="638" spans="2:4" x14ac:dyDescent="0.2">
      <c r="B638" s="7" t="s">
        <v>928</v>
      </c>
      <c r="C638" s="7" t="s">
        <v>929</v>
      </c>
      <c r="D638" s="7" t="s">
        <v>4533</v>
      </c>
    </row>
    <row r="639" spans="2:4" x14ac:dyDescent="0.2">
      <c r="B639" s="7" t="s">
        <v>931</v>
      </c>
      <c r="C639" s="7" t="s">
        <v>932</v>
      </c>
      <c r="D639" s="7" t="s">
        <v>4534</v>
      </c>
    </row>
    <row r="640" spans="2:4" x14ac:dyDescent="0.2">
      <c r="B640" s="7" t="s">
        <v>1939</v>
      </c>
      <c r="C640" s="7" t="s">
        <v>1940</v>
      </c>
      <c r="D640" s="7" t="s">
        <v>4535</v>
      </c>
    </row>
    <row r="641" spans="2:4" x14ac:dyDescent="0.2">
      <c r="B641" s="7" t="s">
        <v>934</v>
      </c>
      <c r="C641" s="7" t="s">
        <v>935</v>
      </c>
      <c r="D641" s="7" t="s">
        <v>4536</v>
      </c>
    </row>
    <row r="642" spans="2:4" x14ac:dyDescent="0.2">
      <c r="B642" s="7" t="s">
        <v>2289</v>
      </c>
      <c r="C642" s="7" t="s">
        <v>2290</v>
      </c>
      <c r="D642" s="7" t="s">
        <v>4537</v>
      </c>
    </row>
    <row r="643" spans="2:4" x14ac:dyDescent="0.2">
      <c r="B643" s="7" t="s">
        <v>2077</v>
      </c>
      <c r="C643" s="7" t="s">
        <v>2078</v>
      </c>
      <c r="D643" s="7" t="s">
        <v>4538</v>
      </c>
    </row>
    <row r="644" spans="2:4" x14ac:dyDescent="0.2">
      <c r="B644" s="7" t="s">
        <v>1565</v>
      </c>
      <c r="C644" s="7" t="s">
        <v>1566</v>
      </c>
      <c r="D644" s="7" t="s">
        <v>4539</v>
      </c>
    </row>
    <row r="645" spans="2:4" x14ac:dyDescent="0.2">
      <c r="B645" s="7" t="s">
        <v>1743</v>
      </c>
      <c r="C645" s="7" t="s">
        <v>1744</v>
      </c>
      <c r="D645" s="7" t="s">
        <v>4540</v>
      </c>
    </row>
    <row r="646" spans="2:4" x14ac:dyDescent="0.2">
      <c r="B646" s="8" t="s">
        <v>1369</v>
      </c>
      <c r="C646" s="8" t="s">
        <v>1370</v>
      </c>
      <c r="D646" s="8" t="s">
        <v>4541</v>
      </c>
    </row>
    <row r="647" spans="2:4" x14ac:dyDescent="0.2">
      <c r="B647" s="7" t="s">
        <v>2531</v>
      </c>
      <c r="C647" s="7" t="s">
        <v>3632</v>
      </c>
      <c r="D647" s="7" t="s">
        <v>4542</v>
      </c>
    </row>
    <row r="648" spans="2:4" x14ac:dyDescent="0.2">
      <c r="B648" s="7" t="s">
        <v>2043</v>
      </c>
      <c r="C648" s="7" t="s">
        <v>2044</v>
      </c>
      <c r="D648" s="7" t="s">
        <v>4543</v>
      </c>
    </row>
    <row r="649" spans="2:4" x14ac:dyDescent="0.2">
      <c r="B649" s="7" t="s">
        <v>937</v>
      </c>
      <c r="C649" s="7" t="s">
        <v>938</v>
      </c>
      <c r="D649" s="7" t="s">
        <v>4544</v>
      </c>
    </row>
    <row r="650" spans="2:4" x14ac:dyDescent="0.2">
      <c r="B650" s="7" t="s">
        <v>1986</v>
      </c>
      <c r="C650" s="7" t="s">
        <v>1987</v>
      </c>
      <c r="D650" s="7" t="s">
        <v>4545</v>
      </c>
    </row>
    <row r="651" spans="2:4" x14ac:dyDescent="0.2">
      <c r="B651" s="7" t="s">
        <v>940</v>
      </c>
      <c r="C651" s="7" t="s">
        <v>3633</v>
      </c>
      <c r="D651" s="7" t="s">
        <v>4546</v>
      </c>
    </row>
    <row r="652" spans="2:4" x14ac:dyDescent="0.2">
      <c r="B652" s="7" t="s">
        <v>2112</v>
      </c>
      <c r="C652" s="7" t="s">
        <v>3634</v>
      </c>
      <c r="D652" s="7" t="s">
        <v>4547</v>
      </c>
    </row>
    <row r="653" spans="2:4" x14ac:dyDescent="0.2">
      <c r="B653" s="7" t="s">
        <v>2187</v>
      </c>
      <c r="C653" s="7" t="s">
        <v>2188</v>
      </c>
      <c r="D653" s="7" t="s">
        <v>4548</v>
      </c>
    </row>
    <row r="654" spans="2:4" x14ac:dyDescent="0.2">
      <c r="B654" s="7" t="s">
        <v>943</v>
      </c>
      <c r="C654" s="7" t="s">
        <v>3635</v>
      </c>
      <c r="D654" s="7" t="s">
        <v>4549</v>
      </c>
    </row>
    <row r="655" spans="2:4" x14ac:dyDescent="0.2">
      <c r="B655" s="7" t="s">
        <v>1741</v>
      </c>
      <c r="C655" s="7" t="s">
        <v>3636</v>
      </c>
      <c r="D655" s="7" t="s">
        <v>4550</v>
      </c>
    </row>
    <row r="656" spans="2:4" x14ac:dyDescent="0.2">
      <c r="B656" s="8" t="s">
        <v>2253</v>
      </c>
      <c r="C656" s="8" t="s">
        <v>3637</v>
      </c>
      <c r="D656" s="8" t="s">
        <v>4551</v>
      </c>
    </row>
    <row r="657" spans="2:4" x14ac:dyDescent="0.2">
      <c r="B657" s="7" t="s">
        <v>2208</v>
      </c>
      <c r="C657" s="7" t="s">
        <v>2209</v>
      </c>
      <c r="D657" s="7" t="s">
        <v>4552</v>
      </c>
    </row>
    <row r="658" spans="2:4" x14ac:dyDescent="0.2">
      <c r="B658" s="7" t="s">
        <v>946</v>
      </c>
      <c r="C658" s="7" t="s">
        <v>3638</v>
      </c>
      <c r="D658" s="7" t="s">
        <v>4553</v>
      </c>
    </row>
    <row r="659" spans="2:4" x14ac:dyDescent="0.2">
      <c r="B659" s="7" t="s">
        <v>948</v>
      </c>
      <c r="C659" s="7" t="s">
        <v>3639</v>
      </c>
      <c r="D659" s="7" t="s">
        <v>4554</v>
      </c>
    </row>
    <row r="660" spans="2:4" x14ac:dyDescent="0.2">
      <c r="B660" s="7" t="s">
        <v>1697</v>
      </c>
      <c r="C660" s="7" t="s">
        <v>1698</v>
      </c>
      <c r="D660" s="7" t="s">
        <v>4555</v>
      </c>
    </row>
    <row r="661" spans="2:4" x14ac:dyDescent="0.2">
      <c r="B661" s="7" t="s">
        <v>1580</v>
      </c>
      <c r="C661" s="7" t="s">
        <v>1581</v>
      </c>
      <c r="D661" s="7" t="s">
        <v>4556</v>
      </c>
    </row>
    <row r="662" spans="2:4" x14ac:dyDescent="0.2">
      <c r="B662" s="7" t="s">
        <v>950</v>
      </c>
      <c r="C662" s="7" t="s">
        <v>951</v>
      </c>
      <c r="D662" s="7" t="s">
        <v>4557</v>
      </c>
    </row>
    <row r="663" spans="2:4" x14ac:dyDescent="0.2">
      <c r="B663" s="7" t="s">
        <v>953</v>
      </c>
      <c r="C663" s="7" t="s">
        <v>954</v>
      </c>
      <c r="D663" s="7" t="s">
        <v>4558</v>
      </c>
    </row>
    <row r="664" spans="2:4" x14ac:dyDescent="0.2">
      <c r="B664" s="7" t="s">
        <v>2468</v>
      </c>
      <c r="C664" s="7" t="s">
        <v>2469</v>
      </c>
      <c r="D664" s="7" t="s">
        <v>4559</v>
      </c>
    </row>
    <row r="665" spans="2:4" x14ac:dyDescent="0.2">
      <c r="B665" s="7" t="s">
        <v>1479</v>
      </c>
      <c r="C665" s="7" t="s">
        <v>1480</v>
      </c>
      <c r="D665" s="7" t="s">
        <v>4560</v>
      </c>
    </row>
    <row r="666" spans="2:4" x14ac:dyDescent="0.2">
      <c r="B666" s="7" t="s">
        <v>955</v>
      </c>
      <c r="C666" s="7" t="s">
        <v>956</v>
      </c>
      <c r="D666" s="7" t="s">
        <v>4561</v>
      </c>
    </row>
    <row r="667" spans="2:4" x14ac:dyDescent="0.2">
      <c r="B667" s="7" t="s">
        <v>1381</v>
      </c>
      <c r="C667" s="7" t="s">
        <v>1382</v>
      </c>
      <c r="D667" s="7" t="s">
        <v>4562</v>
      </c>
    </row>
    <row r="668" spans="2:4" x14ac:dyDescent="0.2">
      <c r="B668" s="7" t="s">
        <v>1489</v>
      </c>
      <c r="C668" s="7" t="s">
        <v>1490</v>
      </c>
      <c r="D668" s="7" t="s">
        <v>4563</v>
      </c>
    </row>
    <row r="669" spans="2:4" x14ac:dyDescent="0.2">
      <c r="B669" s="7" t="s">
        <v>958</v>
      </c>
      <c r="C669" s="7" t="s">
        <v>3640</v>
      </c>
      <c r="D669" s="7" t="s">
        <v>4564</v>
      </c>
    </row>
    <row r="670" spans="2:4" x14ac:dyDescent="0.2">
      <c r="B670" s="7" t="s">
        <v>2193</v>
      </c>
      <c r="C670" s="7" t="s">
        <v>2194</v>
      </c>
      <c r="D670" s="7" t="s">
        <v>4565</v>
      </c>
    </row>
    <row r="671" spans="2:4" x14ac:dyDescent="0.2">
      <c r="B671" s="7" t="s">
        <v>961</v>
      </c>
      <c r="C671" s="7" t="s">
        <v>962</v>
      </c>
      <c r="D671" s="7" t="s">
        <v>4566</v>
      </c>
    </row>
    <row r="672" spans="2:4" x14ac:dyDescent="0.2">
      <c r="B672" s="7" t="s">
        <v>1639</v>
      </c>
      <c r="C672" s="7" t="s">
        <v>1640</v>
      </c>
      <c r="D672" s="7" t="s">
        <v>4567</v>
      </c>
    </row>
    <row r="673" spans="2:4" x14ac:dyDescent="0.2">
      <c r="B673" s="7" t="s">
        <v>2238</v>
      </c>
      <c r="C673" s="7" t="s">
        <v>2239</v>
      </c>
      <c r="D673" s="7" t="s">
        <v>4568</v>
      </c>
    </row>
    <row r="674" spans="2:4" x14ac:dyDescent="0.2">
      <c r="B674" s="7" t="s">
        <v>964</v>
      </c>
      <c r="C674" s="7" t="s">
        <v>3642</v>
      </c>
      <c r="D674" s="7" t="s">
        <v>4569</v>
      </c>
    </row>
    <row r="675" spans="2:4" x14ac:dyDescent="0.2">
      <c r="B675" s="7" t="s">
        <v>2267</v>
      </c>
      <c r="C675" s="7" t="s">
        <v>3641</v>
      </c>
      <c r="D675" s="7" t="s">
        <v>4570</v>
      </c>
    </row>
    <row r="676" spans="2:4" x14ac:dyDescent="0.2">
      <c r="B676" s="8" t="s">
        <v>1793</v>
      </c>
      <c r="C676" s="8" t="s">
        <v>1794</v>
      </c>
      <c r="D676" s="8" t="s">
        <v>4571</v>
      </c>
    </row>
    <row r="677" spans="2:4" x14ac:dyDescent="0.2">
      <c r="B677" s="7" t="s">
        <v>966</v>
      </c>
      <c r="C677" s="7" t="s">
        <v>3643</v>
      </c>
      <c r="D677" s="7" t="s">
        <v>4572</v>
      </c>
    </row>
    <row r="678" spans="2:4" x14ac:dyDescent="0.2">
      <c r="B678" s="7" t="s">
        <v>1856</v>
      </c>
      <c r="C678" s="7" t="s">
        <v>1857</v>
      </c>
      <c r="D678" s="7" t="s">
        <v>4573</v>
      </c>
    </row>
    <row r="679" spans="2:4" x14ac:dyDescent="0.2">
      <c r="B679" s="7" t="s">
        <v>968</v>
      </c>
      <c r="C679" s="7" t="s">
        <v>3644</v>
      </c>
      <c r="D679" s="7" t="s">
        <v>4574</v>
      </c>
    </row>
    <row r="680" spans="2:4" x14ac:dyDescent="0.2">
      <c r="B680" s="7" t="s">
        <v>2604</v>
      </c>
      <c r="C680" s="7" t="s">
        <v>2605</v>
      </c>
      <c r="D680" s="7" t="s">
        <v>4575</v>
      </c>
    </row>
    <row r="681" spans="2:4" x14ac:dyDescent="0.2">
      <c r="B681" s="7" t="s">
        <v>971</v>
      </c>
      <c r="C681" s="7" t="s">
        <v>972</v>
      </c>
      <c r="D681" s="7" t="s">
        <v>4576</v>
      </c>
    </row>
    <row r="682" spans="2:4" x14ac:dyDescent="0.2">
      <c r="B682" s="7" t="s">
        <v>2561</v>
      </c>
      <c r="C682" s="7" t="s">
        <v>2562</v>
      </c>
      <c r="D682" s="7" t="s">
        <v>4577</v>
      </c>
    </row>
    <row r="683" spans="2:4" x14ac:dyDescent="0.2">
      <c r="B683" s="8" t="s">
        <v>974</v>
      </c>
      <c r="C683" s="8" t="s">
        <v>975</v>
      </c>
      <c r="D683" s="8" t="s">
        <v>4578</v>
      </c>
    </row>
    <row r="684" spans="2:4" x14ac:dyDescent="0.2">
      <c r="B684" s="7" t="s">
        <v>1896</v>
      </c>
      <c r="C684" s="7" t="s">
        <v>1897</v>
      </c>
      <c r="D684" s="7" t="s">
        <v>4579</v>
      </c>
    </row>
    <row r="685" spans="2:4" x14ac:dyDescent="0.2">
      <c r="B685" s="7" t="s">
        <v>977</v>
      </c>
      <c r="C685" s="7" t="s">
        <v>3645</v>
      </c>
      <c r="D685" s="7" t="s">
        <v>4580</v>
      </c>
    </row>
    <row r="686" spans="2:4" x14ac:dyDescent="0.2">
      <c r="B686" s="7" t="s">
        <v>980</v>
      </c>
      <c r="C686" s="7" t="s">
        <v>981</v>
      </c>
      <c r="D686" s="7" t="s">
        <v>4581</v>
      </c>
    </row>
    <row r="687" spans="2:4" x14ac:dyDescent="0.2">
      <c r="B687" s="7" t="s">
        <v>1784</v>
      </c>
      <c r="C687" s="7" t="s">
        <v>1785</v>
      </c>
      <c r="D687" s="7" t="s">
        <v>4582</v>
      </c>
    </row>
    <row r="688" spans="2:4" x14ac:dyDescent="0.2">
      <c r="B688" s="7" t="s">
        <v>1906</v>
      </c>
      <c r="C688" s="7" t="s">
        <v>1907</v>
      </c>
      <c r="D688" s="7" t="s">
        <v>4583</v>
      </c>
    </row>
    <row r="689" spans="2:4" x14ac:dyDescent="0.2">
      <c r="B689" s="7" t="s">
        <v>2556</v>
      </c>
      <c r="C689" s="7" t="s">
        <v>3646</v>
      </c>
      <c r="D689" s="7" t="s">
        <v>4584</v>
      </c>
    </row>
    <row r="690" spans="2:4" x14ac:dyDescent="0.2">
      <c r="B690" s="7" t="s">
        <v>983</v>
      </c>
      <c r="C690" s="7" t="s">
        <v>3647</v>
      </c>
      <c r="D690" s="7" t="s">
        <v>4585</v>
      </c>
    </row>
    <row r="691" spans="2:4" x14ac:dyDescent="0.2">
      <c r="B691" s="7" t="s">
        <v>986</v>
      </c>
      <c r="C691" s="7" t="s">
        <v>987</v>
      </c>
      <c r="D691" s="7" t="s">
        <v>4586</v>
      </c>
    </row>
    <row r="692" spans="2:4" x14ac:dyDescent="0.2">
      <c r="B692" s="7" t="s">
        <v>1874</v>
      </c>
      <c r="C692" s="7" t="s">
        <v>1875</v>
      </c>
      <c r="D692" s="7" t="s">
        <v>4587</v>
      </c>
    </row>
    <row r="693" spans="2:4" x14ac:dyDescent="0.2">
      <c r="B693" s="7" t="s">
        <v>989</v>
      </c>
      <c r="C693" s="7" t="s">
        <v>990</v>
      </c>
      <c r="D693" s="7" t="s">
        <v>4588</v>
      </c>
    </row>
    <row r="694" spans="2:4" x14ac:dyDescent="0.2">
      <c r="B694" s="7" t="s">
        <v>992</v>
      </c>
      <c r="C694" s="7" t="s">
        <v>993</v>
      </c>
      <c r="D694" s="7" t="s">
        <v>4589</v>
      </c>
    </row>
    <row r="695" spans="2:4" x14ac:dyDescent="0.2">
      <c r="B695" s="7" t="s">
        <v>2681</v>
      </c>
      <c r="C695" s="7" t="s">
        <v>2682</v>
      </c>
      <c r="D695" s="7" t="s">
        <v>4590</v>
      </c>
    </row>
    <row r="696" spans="2:4" x14ac:dyDescent="0.2">
      <c r="B696" s="7" t="s">
        <v>1622</v>
      </c>
      <c r="C696" s="7" t="s">
        <v>1623</v>
      </c>
      <c r="D696" s="7" t="s">
        <v>4591</v>
      </c>
    </row>
    <row r="697" spans="2:4" x14ac:dyDescent="0.2">
      <c r="B697" s="7" t="s">
        <v>1646</v>
      </c>
      <c r="C697" s="7" t="s">
        <v>1647</v>
      </c>
      <c r="D697" s="7" t="s">
        <v>4592</v>
      </c>
    </row>
    <row r="698" spans="2:4" x14ac:dyDescent="0.2">
      <c r="B698" s="7" t="s">
        <v>1557</v>
      </c>
      <c r="C698" s="7" t="s">
        <v>3648</v>
      </c>
      <c r="D698" s="7" t="s">
        <v>4593</v>
      </c>
    </row>
    <row r="699" spans="2:4" x14ac:dyDescent="0.2">
      <c r="B699" s="7" t="s">
        <v>1685</v>
      </c>
      <c r="C699" s="7" t="s">
        <v>1686</v>
      </c>
      <c r="D699" s="7" t="s">
        <v>4594</v>
      </c>
    </row>
    <row r="700" spans="2:4" x14ac:dyDescent="0.2">
      <c r="B700" s="7" t="s">
        <v>2684</v>
      </c>
      <c r="C700" s="7" t="s">
        <v>3649</v>
      </c>
      <c r="D700" s="7" t="s">
        <v>4595</v>
      </c>
    </row>
    <row r="701" spans="2:4" x14ac:dyDescent="0.2">
      <c r="B701" s="7" t="s">
        <v>2687</v>
      </c>
      <c r="C701" s="7" t="s">
        <v>2688</v>
      </c>
      <c r="D701" s="7" t="s">
        <v>4596</v>
      </c>
    </row>
    <row r="702" spans="2:4" x14ac:dyDescent="0.2">
      <c r="B702" s="7" t="s">
        <v>1392</v>
      </c>
      <c r="C702" s="7" t="s">
        <v>3650</v>
      </c>
      <c r="D702" s="7" t="s">
        <v>4597</v>
      </c>
    </row>
    <row r="703" spans="2:4" x14ac:dyDescent="0.2">
      <c r="B703" s="7" t="s">
        <v>1669</v>
      </c>
      <c r="C703" s="7" t="s">
        <v>1670</v>
      </c>
      <c r="D703" s="7" t="s">
        <v>4598</v>
      </c>
    </row>
    <row r="704" spans="2:4" x14ac:dyDescent="0.2">
      <c r="B704" s="7" t="s">
        <v>1372</v>
      </c>
      <c r="C704" s="7" t="s">
        <v>1373</v>
      </c>
      <c r="D704" s="7" t="s">
        <v>4599</v>
      </c>
    </row>
    <row r="705" spans="2:4" x14ac:dyDescent="0.2">
      <c r="B705" s="7" t="s">
        <v>1862</v>
      </c>
      <c r="C705" s="7" t="s">
        <v>1863</v>
      </c>
      <c r="D705" s="7" t="s">
        <v>4600</v>
      </c>
    </row>
    <row r="706" spans="2:4" x14ac:dyDescent="0.2">
      <c r="B706" s="7" t="s">
        <v>1465</v>
      </c>
      <c r="C706" s="7" t="s">
        <v>1466</v>
      </c>
      <c r="D706" s="7" t="s">
        <v>4601</v>
      </c>
    </row>
    <row r="707" spans="2:4" x14ac:dyDescent="0.2">
      <c r="B707" s="7" t="s">
        <v>2351</v>
      </c>
      <c r="C707" s="7" t="s">
        <v>2352</v>
      </c>
      <c r="D707" s="7" t="s">
        <v>4602</v>
      </c>
    </row>
    <row r="708" spans="2:4" x14ac:dyDescent="0.2">
      <c r="B708" s="7" t="s">
        <v>2690</v>
      </c>
      <c r="C708" s="7" t="s">
        <v>2691</v>
      </c>
      <c r="D708" s="7" t="s">
        <v>4603</v>
      </c>
    </row>
    <row r="709" spans="2:4" x14ac:dyDescent="0.2">
      <c r="B709" s="7" t="s">
        <v>2176</v>
      </c>
      <c r="C709" s="7" t="s">
        <v>2177</v>
      </c>
      <c r="D709" s="7" t="s">
        <v>4604</v>
      </c>
    </row>
    <row r="710" spans="2:4" x14ac:dyDescent="0.2">
      <c r="B710" s="7" t="s">
        <v>1383</v>
      </c>
      <c r="C710" s="7" t="s">
        <v>1384</v>
      </c>
      <c r="D710" s="7" t="s">
        <v>4605</v>
      </c>
    </row>
    <row r="711" spans="2:4" x14ac:dyDescent="0.2">
      <c r="B711" s="7" t="s">
        <v>1521</v>
      </c>
      <c r="C711" s="7" t="s">
        <v>1522</v>
      </c>
      <c r="D711" s="7" t="s">
        <v>4606</v>
      </c>
    </row>
    <row r="712" spans="2:4" x14ac:dyDescent="0.2">
      <c r="B712" s="7" t="s">
        <v>995</v>
      </c>
      <c r="C712" s="7" t="s">
        <v>996</v>
      </c>
      <c r="D712" s="7" t="s">
        <v>4607</v>
      </c>
    </row>
    <row r="713" spans="2:4" x14ac:dyDescent="0.2">
      <c r="B713" s="7" t="s">
        <v>2539</v>
      </c>
      <c r="C713" s="7" t="s">
        <v>3651</v>
      </c>
      <c r="D713" s="7" t="s">
        <v>4608</v>
      </c>
    </row>
    <row r="714" spans="2:4" x14ac:dyDescent="0.2">
      <c r="B714" s="7" t="s">
        <v>998</v>
      </c>
      <c r="C714" s="7" t="s">
        <v>3652</v>
      </c>
      <c r="D714" s="7" t="s">
        <v>4609</v>
      </c>
    </row>
    <row r="715" spans="2:4" x14ac:dyDescent="0.2">
      <c r="B715" s="7" t="s">
        <v>1771</v>
      </c>
      <c r="C715" s="7" t="s">
        <v>1772</v>
      </c>
      <c r="D715" s="7" t="s">
        <v>4610</v>
      </c>
    </row>
    <row r="716" spans="2:4" x14ac:dyDescent="0.2">
      <c r="B716" s="7" t="s">
        <v>1001</v>
      </c>
      <c r="C716" s="7" t="s">
        <v>1002</v>
      </c>
      <c r="D716" s="7" t="s">
        <v>4611</v>
      </c>
    </row>
    <row r="717" spans="2:4" x14ac:dyDescent="0.2">
      <c r="B717" s="7" t="s">
        <v>1470</v>
      </c>
      <c r="C717" s="7" t="s">
        <v>1471</v>
      </c>
      <c r="D717" s="7" t="s">
        <v>4612</v>
      </c>
    </row>
    <row r="718" spans="2:4" x14ac:dyDescent="0.2">
      <c r="B718" s="7" t="s">
        <v>1004</v>
      </c>
      <c r="C718" s="7" t="s">
        <v>1005</v>
      </c>
      <c r="D718" s="7" t="s">
        <v>4613</v>
      </c>
    </row>
    <row r="719" spans="2:4" x14ac:dyDescent="0.2">
      <c r="B719" s="7" t="s">
        <v>1899</v>
      </c>
      <c r="C719" s="7" t="s">
        <v>1900</v>
      </c>
      <c r="D719" s="7" t="s">
        <v>4614</v>
      </c>
    </row>
    <row r="720" spans="2:4" x14ac:dyDescent="0.2">
      <c r="B720" s="7" t="s">
        <v>1007</v>
      </c>
      <c r="C720" s="7" t="s">
        <v>1008</v>
      </c>
      <c r="D720" s="7" t="s">
        <v>4615</v>
      </c>
    </row>
    <row r="721" spans="2:4" x14ac:dyDescent="0.2">
      <c r="B721" s="7" t="s">
        <v>2278</v>
      </c>
      <c r="C721" s="7" t="s">
        <v>2279</v>
      </c>
      <c r="D721" s="7" t="s">
        <v>4616</v>
      </c>
    </row>
    <row r="722" spans="2:4" x14ac:dyDescent="0.2">
      <c r="B722" s="7" t="s">
        <v>2491</v>
      </c>
      <c r="C722" s="7" t="s">
        <v>2492</v>
      </c>
      <c r="D722" s="7" t="s">
        <v>4617</v>
      </c>
    </row>
    <row r="723" spans="2:4" x14ac:dyDescent="0.2">
      <c r="B723" s="7" t="s">
        <v>1010</v>
      </c>
      <c r="C723" s="7" t="s">
        <v>1011</v>
      </c>
      <c r="D723" s="7" t="s">
        <v>4618</v>
      </c>
    </row>
    <row r="724" spans="2:4" x14ac:dyDescent="0.2">
      <c r="B724" s="7" t="s">
        <v>2384</v>
      </c>
      <c r="C724" s="7" t="s">
        <v>2385</v>
      </c>
      <c r="D724" s="7" t="s">
        <v>4619</v>
      </c>
    </row>
    <row r="725" spans="2:4" x14ac:dyDescent="0.2">
      <c r="B725" s="7" t="s">
        <v>1816</v>
      </c>
      <c r="C725" s="7" t="s">
        <v>1817</v>
      </c>
      <c r="D725" s="7" t="s">
        <v>4620</v>
      </c>
    </row>
    <row r="726" spans="2:4" x14ac:dyDescent="0.2">
      <c r="B726" s="7" t="s">
        <v>1013</v>
      </c>
      <c r="C726" s="7" t="s">
        <v>1014</v>
      </c>
      <c r="D726" s="7" t="s">
        <v>4621</v>
      </c>
    </row>
    <row r="727" spans="2:4" x14ac:dyDescent="0.2">
      <c r="B727" s="7" t="s">
        <v>1016</v>
      </c>
      <c r="C727" s="7" t="s">
        <v>3653</v>
      </c>
      <c r="D727" s="7" t="s">
        <v>4622</v>
      </c>
    </row>
    <row r="728" spans="2:4" x14ac:dyDescent="0.2">
      <c r="B728" s="7" t="s">
        <v>1019</v>
      </c>
      <c r="C728" s="7" t="s">
        <v>3654</v>
      </c>
      <c r="D728" s="7" t="s">
        <v>4623</v>
      </c>
    </row>
    <row r="729" spans="2:4" x14ac:dyDescent="0.2">
      <c r="B729" s="7" t="s">
        <v>1021</v>
      </c>
      <c r="C729" s="7" t="s">
        <v>1022</v>
      </c>
      <c r="D729" s="7" t="s">
        <v>4624</v>
      </c>
    </row>
    <row r="730" spans="2:4" x14ac:dyDescent="0.2">
      <c r="B730" s="7" t="s">
        <v>1813</v>
      </c>
      <c r="C730" s="7" t="s">
        <v>1814</v>
      </c>
      <c r="D730" s="7" t="s">
        <v>4625</v>
      </c>
    </row>
    <row r="731" spans="2:4" x14ac:dyDescent="0.2">
      <c r="B731" s="7" t="s">
        <v>1749</v>
      </c>
      <c r="C731" s="7" t="s">
        <v>3655</v>
      </c>
      <c r="D731" s="7" t="s">
        <v>4626</v>
      </c>
    </row>
    <row r="732" spans="2:4" x14ac:dyDescent="0.2">
      <c r="B732" s="7" t="s">
        <v>1883</v>
      </c>
      <c r="C732" s="7" t="s">
        <v>1884</v>
      </c>
      <c r="D732" s="7" t="s">
        <v>4627</v>
      </c>
    </row>
    <row r="733" spans="2:4" x14ac:dyDescent="0.2">
      <c r="B733" s="7" t="s">
        <v>1024</v>
      </c>
      <c r="C733" s="7" t="s">
        <v>1025</v>
      </c>
      <c r="D733" s="7" t="s">
        <v>4628</v>
      </c>
    </row>
    <row r="734" spans="2:4" x14ac:dyDescent="0.2">
      <c r="B734" s="7" t="s">
        <v>1027</v>
      </c>
      <c r="C734" s="7" t="s">
        <v>3656</v>
      </c>
      <c r="D734" s="7" t="s">
        <v>4629</v>
      </c>
    </row>
    <row r="735" spans="2:4" x14ac:dyDescent="0.2">
      <c r="B735" s="7" t="s">
        <v>1530</v>
      </c>
      <c r="C735" s="7" t="s">
        <v>1531</v>
      </c>
      <c r="D735" s="7" t="s">
        <v>4630</v>
      </c>
    </row>
    <row r="736" spans="2:4" x14ac:dyDescent="0.2">
      <c r="B736" s="7" t="s">
        <v>2619</v>
      </c>
      <c r="C736" s="7" t="s">
        <v>2620</v>
      </c>
      <c r="D736" s="7" t="s">
        <v>4631</v>
      </c>
    </row>
    <row r="737" spans="2:4" x14ac:dyDescent="0.2">
      <c r="B737" s="7" t="s">
        <v>2149</v>
      </c>
      <c r="C737" s="7" t="s">
        <v>2150</v>
      </c>
      <c r="D737" s="7" t="s">
        <v>4632</v>
      </c>
    </row>
    <row r="738" spans="2:4" x14ac:dyDescent="0.2">
      <c r="B738" s="7" t="s">
        <v>1030</v>
      </c>
      <c r="C738" s="7" t="s">
        <v>1031</v>
      </c>
      <c r="D738" s="7" t="s">
        <v>4633</v>
      </c>
    </row>
    <row r="739" spans="2:4" x14ac:dyDescent="0.2">
      <c r="B739" s="7" t="s">
        <v>1033</v>
      </c>
      <c r="C739" s="7" t="s">
        <v>1034</v>
      </c>
      <c r="D739" s="7" t="s">
        <v>4634</v>
      </c>
    </row>
    <row r="740" spans="2:4" x14ac:dyDescent="0.2">
      <c r="B740" s="7" t="s">
        <v>1036</v>
      </c>
      <c r="C740" s="7" t="s">
        <v>1037</v>
      </c>
      <c r="D740" s="7" t="s">
        <v>4635</v>
      </c>
    </row>
    <row r="741" spans="2:4" x14ac:dyDescent="0.2">
      <c r="B741" s="7" t="s">
        <v>2514</v>
      </c>
      <c r="C741" s="7" t="s">
        <v>2515</v>
      </c>
      <c r="D741" s="7" t="s">
        <v>4636</v>
      </c>
    </row>
    <row r="742" spans="2:4" x14ac:dyDescent="0.2">
      <c r="B742" s="7" t="s">
        <v>1039</v>
      </c>
      <c r="C742" s="7" t="s">
        <v>3657</v>
      </c>
      <c r="D742" s="7" t="s">
        <v>4637</v>
      </c>
    </row>
    <row r="743" spans="2:4" x14ac:dyDescent="0.2">
      <c r="B743" s="7" t="s">
        <v>2137</v>
      </c>
      <c r="C743" s="7" t="s">
        <v>2138</v>
      </c>
      <c r="D743" s="7" t="s">
        <v>4638</v>
      </c>
    </row>
    <row r="744" spans="2:4" x14ac:dyDescent="0.2">
      <c r="B744" s="7" t="s">
        <v>1041</v>
      </c>
      <c r="C744" s="7" t="s">
        <v>3658</v>
      </c>
      <c r="D744" s="7" t="s">
        <v>4639</v>
      </c>
    </row>
    <row r="745" spans="2:4" x14ac:dyDescent="0.2">
      <c r="B745" s="7" t="s">
        <v>1779</v>
      </c>
      <c r="C745" s="7" t="s">
        <v>1780</v>
      </c>
      <c r="D745" s="7" t="s">
        <v>4640</v>
      </c>
    </row>
    <row r="746" spans="2:4" x14ac:dyDescent="0.2">
      <c r="B746" s="7" t="s">
        <v>2316</v>
      </c>
      <c r="C746" s="7" t="s">
        <v>2317</v>
      </c>
      <c r="D746" s="7" t="s">
        <v>4641</v>
      </c>
    </row>
    <row r="747" spans="2:4" x14ac:dyDescent="0.2">
      <c r="B747" s="7" t="s">
        <v>1044</v>
      </c>
      <c r="C747" s="7" t="s">
        <v>3659</v>
      </c>
      <c r="D747" s="7" t="s">
        <v>4642</v>
      </c>
    </row>
    <row r="748" spans="2:4" x14ac:dyDescent="0.2">
      <c r="B748" s="7" t="s">
        <v>2401</v>
      </c>
      <c r="C748" s="7" t="s">
        <v>2402</v>
      </c>
      <c r="D748" s="7" t="s">
        <v>4643</v>
      </c>
    </row>
    <row r="749" spans="2:4" x14ac:dyDescent="0.2">
      <c r="B749" s="7" t="s">
        <v>1045</v>
      </c>
      <c r="C749" s="7" t="s">
        <v>3660</v>
      </c>
      <c r="D749" s="7" t="s">
        <v>4644</v>
      </c>
    </row>
    <row r="750" spans="2:4" x14ac:dyDescent="0.2">
      <c r="B750" s="7" t="s">
        <v>1048</v>
      </c>
      <c r="C750" s="7" t="s">
        <v>1049</v>
      </c>
      <c r="D750" s="7" t="s">
        <v>4645</v>
      </c>
    </row>
    <row r="751" spans="2:4" x14ac:dyDescent="0.2">
      <c r="B751" s="7" t="s">
        <v>1051</v>
      </c>
      <c r="C751" s="7" t="s">
        <v>3661</v>
      </c>
      <c r="D751" s="7" t="s">
        <v>4646</v>
      </c>
    </row>
    <row r="752" spans="2:4" x14ac:dyDescent="0.2">
      <c r="B752" s="7" t="s">
        <v>1551</v>
      </c>
      <c r="C752" s="7" t="s">
        <v>3662</v>
      </c>
      <c r="D752" s="7" t="s">
        <v>4647</v>
      </c>
    </row>
    <row r="753" spans="2:4" x14ac:dyDescent="0.2">
      <c r="B753" s="7" t="s">
        <v>2564</v>
      </c>
      <c r="C753" s="7" t="s">
        <v>2565</v>
      </c>
      <c r="D753" s="7" t="s">
        <v>4648</v>
      </c>
    </row>
    <row r="754" spans="2:4" x14ac:dyDescent="0.2">
      <c r="B754" s="7" t="s">
        <v>2040</v>
      </c>
      <c r="C754" s="7" t="s">
        <v>2041</v>
      </c>
      <c r="D754" s="7" t="s">
        <v>4649</v>
      </c>
    </row>
    <row r="755" spans="2:4" x14ac:dyDescent="0.2">
      <c r="B755" s="7" t="s">
        <v>2338</v>
      </c>
      <c r="C755" s="7" t="s">
        <v>3663</v>
      </c>
      <c r="D755" s="7" t="s">
        <v>4650</v>
      </c>
    </row>
    <row r="756" spans="2:4" x14ac:dyDescent="0.2">
      <c r="B756" s="7" t="s">
        <v>1891</v>
      </c>
      <c r="C756" s="7" t="s">
        <v>3664</v>
      </c>
      <c r="D756" s="7" t="s">
        <v>4651</v>
      </c>
    </row>
    <row r="757" spans="2:4" x14ac:dyDescent="0.2">
      <c r="B757" s="7" t="s">
        <v>1054</v>
      </c>
      <c r="C757" s="7" t="s">
        <v>1055</v>
      </c>
      <c r="D757" s="7" t="s">
        <v>4652</v>
      </c>
    </row>
    <row r="758" spans="2:4" x14ac:dyDescent="0.2">
      <c r="B758" s="7" t="s">
        <v>1835</v>
      </c>
      <c r="C758" s="7" t="s">
        <v>1836</v>
      </c>
      <c r="D758" s="7" t="s">
        <v>4653</v>
      </c>
    </row>
    <row r="759" spans="2:4" x14ac:dyDescent="0.2">
      <c r="B759" s="7" t="s">
        <v>1057</v>
      </c>
      <c r="C759" s="7" t="s">
        <v>1058</v>
      </c>
      <c r="D759" s="7" t="s">
        <v>4654</v>
      </c>
    </row>
    <row r="760" spans="2:4" x14ac:dyDescent="0.2">
      <c r="B760" s="7" t="s">
        <v>2370</v>
      </c>
      <c r="C760" s="7" t="s">
        <v>2371</v>
      </c>
      <c r="D760" s="7" t="s">
        <v>4655</v>
      </c>
    </row>
    <row r="761" spans="2:4" x14ac:dyDescent="0.2">
      <c r="B761" s="7" t="s">
        <v>1995</v>
      </c>
      <c r="C761" s="7" t="s">
        <v>1996</v>
      </c>
      <c r="D761" s="7" t="s">
        <v>4656</v>
      </c>
    </row>
    <row r="762" spans="2:4" x14ac:dyDescent="0.2">
      <c r="B762" s="7" t="s">
        <v>1060</v>
      </c>
      <c r="C762" s="7" t="s">
        <v>1061</v>
      </c>
      <c r="D762" s="7" t="s">
        <v>4657</v>
      </c>
    </row>
    <row r="763" spans="2:4" x14ac:dyDescent="0.2">
      <c r="B763" s="7" t="s">
        <v>1998</v>
      </c>
      <c r="C763" s="7" t="s">
        <v>1999</v>
      </c>
      <c r="D763" s="7" t="s">
        <v>4658</v>
      </c>
    </row>
    <row r="764" spans="2:4" x14ac:dyDescent="0.2">
      <c r="B764" s="7" t="s">
        <v>1063</v>
      </c>
      <c r="C764" s="7" t="s">
        <v>3665</v>
      </c>
      <c r="D764" s="7" t="s">
        <v>4659</v>
      </c>
    </row>
    <row r="765" spans="2:4" x14ac:dyDescent="0.2">
      <c r="B765" s="7" t="s">
        <v>2281</v>
      </c>
      <c r="C765" s="7" t="s">
        <v>2282</v>
      </c>
      <c r="D765" s="7" t="s">
        <v>4660</v>
      </c>
    </row>
    <row r="766" spans="2:4" x14ac:dyDescent="0.2">
      <c r="B766" s="7" t="s">
        <v>1066</v>
      </c>
      <c r="C766" s="7" t="s">
        <v>3666</v>
      </c>
      <c r="D766" s="7" t="s">
        <v>4661</v>
      </c>
    </row>
    <row r="767" spans="2:4" x14ac:dyDescent="0.2">
      <c r="B767" s="7" t="s">
        <v>1825</v>
      </c>
      <c r="C767" s="7" t="s">
        <v>3667</v>
      </c>
      <c r="D767" s="7" t="s">
        <v>4662</v>
      </c>
    </row>
    <row r="768" spans="2:4" x14ac:dyDescent="0.2">
      <c r="B768" s="7" t="s">
        <v>1589</v>
      </c>
      <c r="C768" s="7" t="s">
        <v>1590</v>
      </c>
      <c r="D768" s="7" t="s">
        <v>4663</v>
      </c>
    </row>
    <row r="769" spans="2:4" x14ac:dyDescent="0.2">
      <c r="B769" s="7" t="s">
        <v>1614</v>
      </c>
      <c r="C769" s="7" t="s">
        <v>1615</v>
      </c>
      <c r="D769" s="7" t="s">
        <v>4664</v>
      </c>
    </row>
    <row r="770" spans="2:4" x14ac:dyDescent="0.2">
      <c r="B770" s="7" t="s">
        <v>1828</v>
      </c>
      <c r="C770" s="7" t="s">
        <v>3668</v>
      </c>
      <c r="D770" s="7" t="s">
        <v>4665</v>
      </c>
    </row>
    <row r="771" spans="2:4" x14ac:dyDescent="0.2">
      <c r="B771" s="7" t="s">
        <v>2001</v>
      </c>
      <c r="C771" s="7" t="s">
        <v>3669</v>
      </c>
      <c r="D771" s="7" t="s">
        <v>4666</v>
      </c>
    </row>
    <row r="772" spans="2:4" x14ac:dyDescent="0.2">
      <c r="B772" s="7" t="s">
        <v>1068</v>
      </c>
      <c r="C772" s="7" t="s">
        <v>3670</v>
      </c>
      <c r="D772" s="7" t="s">
        <v>4667</v>
      </c>
    </row>
    <row r="773" spans="2:4" x14ac:dyDescent="0.2">
      <c r="B773" s="7" t="s">
        <v>1070</v>
      </c>
      <c r="C773" s="7" t="s">
        <v>1071</v>
      </c>
      <c r="D773" s="7" t="s">
        <v>4668</v>
      </c>
    </row>
    <row r="774" spans="2:4" x14ac:dyDescent="0.2">
      <c r="B774" s="7" t="s">
        <v>1877</v>
      </c>
      <c r="C774" s="7" t="s">
        <v>3671</v>
      </c>
      <c r="D774" s="7" t="s">
        <v>4669</v>
      </c>
    </row>
    <row r="775" spans="2:4" x14ac:dyDescent="0.2">
      <c r="B775" s="7" t="s">
        <v>1073</v>
      </c>
      <c r="C775" s="7" t="s">
        <v>1074</v>
      </c>
      <c r="D775" s="7" t="s">
        <v>4670</v>
      </c>
    </row>
    <row r="776" spans="2:4" x14ac:dyDescent="0.2">
      <c r="B776" s="7" t="s">
        <v>1076</v>
      </c>
      <c r="C776" s="7" t="s">
        <v>1077</v>
      </c>
      <c r="D776" s="7" t="s">
        <v>4671</v>
      </c>
    </row>
    <row r="777" spans="2:4" x14ac:dyDescent="0.2">
      <c r="B777" s="7" t="s">
        <v>1079</v>
      </c>
      <c r="C777" s="7" t="s">
        <v>3672</v>
      </c>
      <c r="D777" s="7" t="s">
        <v>4672</v>
      </c>
    </row>
    <row r="778" spans="2:4" x14ac:dyDescent="0.2">
      <c r="B778" s="7" t="s">
        <v>1081</v>
      </c>
      <c r="C778" s="7" t="s">
        <v>3673</v>
      </c>
      <c r="D778" s="7" t="s">
        <v>4673</v>
      </c>
    </row>
    <row r="779" spans="2:4" x14ac:dyDescent="0.2">
      <c r="B779" s="7" t="s">
        <v>2062</v>
      </c>
      <c r="C779" s="7" t="s">
        <v>2063</v>
      </c>
      <c r="D779" s="7" t="s">
        <v>4674</v>
      </c>
    </row>
    <row r="780" spans="2:4" x14ac:dyDescent="0.2">
      <c r="B780" s="7" t="s">
        <v>1682</v>
      </c>
      <c r="C780" s="7" t="s">
        <v>1683</v>
      </c>
      <c r="D780" s="7" t="s">
        <v>4675</v>
      </c>
    </row>
    <row r="781" spans="2:4" x14ac:dyDescent="0.2">
      <c r="B781" s="7" t="s">
        <v>1868</v>
      </c>
      <c r="C781" s="7" t="s">
        <v>1869</v>
      </c>
      <c r="D781" s="7" t="s">
        <v>4676</v>
      </c>
    </row>
    <row r="782" spans="2:4" x14ac:dyDescent="0.2">
      <c r="B782" s="7" t="s">
        <v>1083</v>
      </c>
      <c r="C782" s="7" t="s">
        <v>1084</v>
      </c>
      <c r="D782" s="7" t="s">
        <v>4677</v>
      </c>
    </row>
    <row r="783" spans="2:4" x14ac:dyDescent="0.2">
      <c r="B783" s="7" t="s">
        <v>1086</v>
      </c>
      <c r="C783" s="7" t="s">
        <v>3674</v>
      </c>
      <c r="D783" s="7" t="s">
        <v>4678</v>
      </c>
    </row>
    <row r="784" spans="2:4" x14ac:dyDescent="0.2">
      <c r="B784" s="7" t="s">
        <v>1342</v>
      </c>
      <c r="C784" s="7" t="s">
        <v>1343</v>
      </c>
      <c r="D784" s="7" t="s">
        <v>4679</v>
      </c>
    </row>
    <row r="785" spans="2:4" x14ac:dyDescent="0.2">
      <c r="B785" s="7" t="s">
        <v>2094</v>
      </c>
      <c r="C785" s="7" t="s">
        <v>2095</v>
      </c>
      <c r="D785" s="7" t="s">
        <v>4680</v>
      </c>
    </row>
    <row r="786" spans="2:4" x14ac:dyDescent="0.2">
      <c r="B786" s="7" t="s">
        <v>1088</v>
      </c>
      <c r="C786" s="7" t="s">
        <v>3675</v>
      </c>
      <c r="D786" s="7" t="s">
        <v>4681</v>
      </c>
    </row>
    <row r="787" spans="2:4" x14ac:dyDescent="0.2">
      <c r="B787" s="7" t="s">
        <v>1090</v>
      </c>
      <c r="C787" s="7" t="s">
        <v>3676</v>
      </c>
      <c r="D787" s="7" t="s">
        <v>4682</v>
      </c>
    </row>
    <row r="788" spans="2:4" x14ac:dyDescent="0.2">
      <c r="B788" s="7" t="s">
        <v>1092</v>
      </c>
      <c r="C788" s="7" t="s">
        <v>3677</v>
      </c>
      <c r="D788" s="7" t="s">
        <v>4683</v>
      </c>
    </row>
    <row r="789" spans="2:4" x14ac:dyDescent="0.2">
      <c r="B789" s="7" t="s">
        <v>1095</v>
      </c>
      <c r="C789" s="7" t="s">
        <v>1096</v>
      </c>
      <c r="D789" s="7" t="s">
        <v>4684</v>
      </c>
    </row>
    <row r="790" spans="2:4" x14ac:dyDescent="0.2">
      <c r="B790" s="7" t="s">
        <v>1756</v>
      </c>
      <c r="C790" s="7" t="s">
        <v>1757</v>
      </c>
      <c r="D790" s="7" t="s">
        <v>4685</v>
      </c>
    </row>
    <row r="791" spans="2:4" x14ac:dyDescent="0.2">
      <c r="B791" s="7" t="s">
        <v>1098</v>
      </c>
      <c r="C791" s="7" t="s">
        <v>1099</v>
      </c>
      <c r="D791" s="7" t="s">
        <v>4686</v>
      </c>
    </row>
    <row r="792" spans="2:4" x14ac:dyDescent="0.2">
      <c r="B792" s="7" t="s">
        <v>1101</v>
      </c>
      <c r="C792" s="7" t="s">
        <v>1102</v>
      </c>
      <c r="D792" s="7" t="s">
        <v>4687</v>
      </c>
    </row>
    <row r="793" spans="2:4" x14ac:dyDescent="0.2">
      <c r="B793" s="7" t="s">
        <v>1104</v>
      </c>
      <c r="C793" s="7" t="s">
        <v>1105</v>
      </c>
      <c r="D793" s="7" t="s">
        <v>4688</v>
      </c>
    </row>
    <row r="794" spans="2:4" x14ac:dyDescent="0.2">
      <c r="B794" s="7" t="s">
        <v>1606</v>
      </c>
      <c r="C794" s="7" t="s">
        <v>1607</v>
      </c>
      <c r="D794" s="7" t="s">
        <v>4689</v>
      </c>
    </row>
    <row r="795" spans="2:4" x14ac:dyDescent="0.2">
      <c r="B795" s="7" t="s">
        <v>1107</v>
      </c>
      <c r="C795" s="7" t="s">
        <v>3678</v>
      </c>
      <c r="D795" s="7" t="s">
        <v>4690</v>
      </c>
    </row>
    <row r="796" spans="2:4" x14ac:dyDescent="0.2">
      <c r="B796" s="7" t="s">
        <v>1746</v>
      </c>
      <c r="C796" s="7" t="s">
        <v>1747</v>
      </c>
      <c r="D796" s="7" t="s">
        <v>4691</v>
      </c>
    </row>
    <row r="797" spans="2:4" x14ac:dyDescent="0.2">
      <c r="B797" s="7" t="s">
        <v>1109</v>
      </c>
      <c r="C797" s="7" t="s">
        <v>3891</v>
      </c>
      <c r="D797" s="7" t="s">
        <v>4692</v>
      </c>
    </row>
    <row r="798" spans="2:4" x14ac:dyDescent="0.2">
      <c r="B798" s="7" t="s">
        <v>1111</v>
      </c>
      <c r="C798" s="7" t="s">
        <v>1112</v>
      </c>
      <c r="D798" s="7" t="s">
        <v>4693</v>
      </c>
    </row>
    <row r="799" spans="2:4" x14ac:dyDescent="0.2">
      <c r="B799" s="7" t="s">
        <v>1114</v>
      </c>
      <c r="C799" s="7" t="s">
        <v>1115</v>
      </c>
      <c r="D799" s="7" t="s">
        <v>4694</v>
      </c>
    </row>
    <row r="800" spans="2:4" x14ac:dyDescent="0.2">
      <c r="B800" s="7" t="s">
        <v>1117</v>
      </c>
      <c r="C800" s="7" t="s">
        <v>1118</v>
      </c>
      <c r="D800" s="7" t="s">
        <v>4695</v>
      </c>
    </row>
    <row r="801" spans="2:4" x14ac:dyDescent="0.2">
      <c r="B801" s="7" t="s">
        <v>1120</v>
      </c>
      <c r="C801" s="7" t="s">
        <v>3892</v>
      </c>
      <c r="D801" s="7" t="s">
        <v>4696</v>
      </c>
    </row>
    <row r="802" spans="2:4" x14ac:dyDescent="0.2">
      <c r="B802" s="7" t="s">
        <v>2419</v>
      </c>
      <c r="C802" s="7" t="s">
        <v>3679</v>
      </c>
      <c r="D802" s="7" t="s">
        <v>4697</v>
      </c>
    </row>
    <row r="803" spans="2:4" x14ac:dyDescent="0.2">
      <c r="B803" s="7" t="s">
        <v>1122</v>
      </c>
      <c r="C803" s="7" t="s">
        <v>1123</v>
      </c>
      <c r="D803" s="7" t="s">
        <v>4698</v>
      </c>
    </row>
    <row r="804" spans="2:4" x14ac:dyDescent="0.2">
      <c r="B804" s="7" t="s">
        <v>2305</v>
      </c>
      <c r="C804" s="7" t="s">
        <v>2306</v>
      </c>
      <c r="D804" s="7" t="s">
        <v>4699</v>
      </c>
    </row>
    <row r="805" spans="2:4" x14ac:dyDescent="0.2">
      <c r="B805" s="7" t="s">
        <v>1723</v>
      </c>
      <c r="C805" s="7" t="s">
        <v>1724</v>
      </c>
      <c r="D805" s="7" t="s">
        <v>4700</v>
      </c>
    </row>
    <row r="806" spans="2:4" x14ac:dyDescent="0.2">
      <c r="B806" s="7" t="s">
        <v>2080</v>
      </c>
      <c r="C806" s="7" t="s">
        <v>2081</v>
      </c>
      <c r="D806" s="7" t="s">
        <v>4701</v>
      </c>
    </row>
    <row r="807" spans="2:4" x14ac:dyDescent="0.2">
      <c r="B807" s="7" t="s">
        <v>2634</v>
      </c>
      <c r="C807" s="7" t="s">
        <v>2635</v>
      </c>
      <c r="D807" s="7" t="s">
        <v>4702</v>
      </c>
    </row>
    <row r="808" spans="2:4" x14ac:dyDescent="0.2">
      <c r="B808" s="7" t="s">
        <v>1125</v>
      </c>
      <c r="C808" s="7" t="s">
        <v>1126</v>
      </c>
      <c r="D808" s="7" t="s">
        <v>4703</v>
      </c>
    </row>
    <row r="809" spans="2:4" x14ac:dyDescent="0.2">
      <c r="B809" s="7" t="s">
        <v>1128</v>
      </c>
      <c r="C809" s="7" t="s">
        <v>1129</v>
      </c>
      <c r="D809" s="7" t="s">
        <v>4704</v>
      </c>
    </row>
    <row r="810" spans="2:4" x14ac:dyDescent="0.2">
      <c r="B810" s="7" t="s">
        <v>1131</v>
      </c>
      <c r="C810" s="7" t="s">
        <v>1132</v>
      </c>
      <c r="D810" s="7" t="s">
        <v>4705</v>
      </c>
    </row>
    <row r="811" spans="2:4" x14ac:dyDescent="0.2">
      <c r="B811" s="7" t="s">
        <v>1134</v>
      </c>
      <c r="C811" s="7" t="s">
        <v>1135</v>
      </c>
      <c r="D811" s="7" t="s">
        <v>4706</v>
      </c>
    </row>
    <row r="812" spans="2:4" x14ac:dyDescent="0.2">
      <c r="B812" s="7" t="s">
        <v>1137</v>
      </c>
      <c r="C812" s="7" t="s">
        <v>1138</v>
      </c>
      <c r="D812" s="7" t="s">
        <v>4707</v>
      </c>
    </row>
    <row r="813" spans="2:4" x14ac:dyDescent="0.2">
      <c r="B813" s="7" t="s">
        <v>1924</v>
      </c>
      <c r="C813" s="7" t="s">
        <v>1925</v>
      </c>
      <c r="D813" s="7" t="s">
        <v>4708</v>
      </c>
    </row>
    <row r="814" spans="2:4" x14ac:dyDescent="0.2">
      <c r="B814" s="7" t="s">
        <v>1140</v>
      </c>
      <c r="C814" s="7" t="s">
        <v>1141</v>
      </c>
      <c r="D814" s="7" t="s">
        <v>4709</v>
      </c>
    </row>
    <row r="815" spans="2:4" x14ac:dyDescent="0.2">
      <c r="B815" s="7" t="s">
        <v>1859</v>
      </c>
      <c r="C815" s="7" t="s">
        <v>1860</v>
      </c>
      <c r="D815" s="7" t="s">
        <v>4710</v>
      </c>
    </row>
    <row r="816" spans="2:4" x14ac:dyDescent="0.2">
      <c r="B816" s="7" t="s">
        <v>1885</v>
      </c>
      <c r="C816" s="7" t="s">
        <v>1886</v>
      </c>
      <c r="D816" s="7" t="s">
        <v>4711</v>
      </c>
    </row>
    <row r="817" spans="2:4" x14ac:dyDescent="0.2">
      <c r="B817" s="7" t="s">
        <v>2460</v>
      </c>
      <c r="C817" s="7" t="s">
        <v>2461</v>
      </c>
      <c r="D817" s="7" t="s">
        <v>4712</v>
      </c>
    </row>
    <row r="818" spans="2:4" x14ac:dyDescent="0.2">
      <c r="B818" s="7" t="s">
        <v>1143</v>
      </c>
      <c r="C818" s="7" t="s">
        <v>3680</v>
      </c>
      <c r="D818" s="7" t="s">
        <v>4713</v>
      </c>
    </row>
    <row r="819" spans="2:4" x14ac:dyDescent="0.2">
      <c r="B819" s="7" t="s">
        <v>1617</v>
      </c>
      <c r="C819" s="7" t="s">
        <v>1618</v>
      </c>
      <c r="D819" s="7" t="s">
        <v>4714</v>
      </c>
    </row>
    <row r="820" spans="2:4" x14ac:dyDescent="0.2">
      <c r="B820" s="7" t="s">
        <v>1633</v>
      </c>
      <c r="C820" s="7" t="s">
        <v>1634</v>
      </c>
      <c r="D820" s="7" t="s">
        <v>4715</v>
      </c>
    </row>
    <row r="821" spans="2:4" x14ac:dyDescent="0.2">
      <c r="B821" s="7" t="s">
        <v>2216</v>
      </c>
      <c r="C821" s="7" t="s">
        <v>2217</v>
      </c>
      <c r="D821" s="7" t="s">
        <v>4716</v>
      </c>
    </row>
    <row r="822" spans="2:4" x14ac:dyDescent="0.2">
      <c r="B822" s="7" t="s">
        <v>1145</v>
      </c>
      <c r="C822" s="7" t="s">
        <v>1146</v>
      </c>
      <c r="D822" s="7" t="s">
        <v>4717</v>
      </c>
    </row>
    <row r="823" spans="2:4" x14ac:dyDescent="0.2">
      <c r="B823" s="7" t="s">
        <v>2466</v>
      </c>
      <c r="C823" s="7" t="s">
        <v>2467</v>
      </c>
      <c r="D823" s="7" t="s">
        <v>4718</v>
      </c>
    </row>
    <row r="824" spans="2:4" x14ac:dyDescent="0.2">
      <c r="B824" s="7" t="s">
        <v>1518</v>
      </c>
      <c r="C824" s="7" t="s">
        <v>1519</v>
      </c>
      <c r="D824" s="7" t="s">
        <v>4719</v>
      </c>
    </row>
    <row r="825" spans="2:4" x14ac:dyDescent="0.2">
      <c r="B825" s="7" t="s">
        <v>1148</v>
      </c>
      <c r="C825" s="7" t="s">
        <v>1149</v>
      </c>
      <c r="D825" s="7" t="s">
        <v>4720</v>
      </c>
    </row>
    <row r="826" spans="2:4" x14ac:dyDescent="0.2">
      <c r="B826" s="7" t="s">
        <v>1151</v>
      </c>
      <c r="C826" s="7" t="s">
        <v>1152</v>
      </c>
      <c r="D826" s="7" t="s">
        <v>4721</v>
      </c>
    </row>
    <row r="827" spans="2:4" x14ac:dyDescent="0.2">
      <c r="B827" s="7" t="s">
        <v>1154</v>
      </c>
      <c r="C827" s="7" t="s">
        <v>1155</v>
      </c>
      <c r="D827" s="7" t="s">
        <v>4722</v>
      </c>
    </row>
    <row r="828" spans="2:4" x14ac:dyDescent="0.2">
      <c r="B828" s="7" t="s">
        <v>1157</v>
      </c>
      <c r="C828" s="7" t="s">
        <v>3681</v>
      </c>
      <c r="D828" s="7" t="s">
        <v>4723</v>
      </c>
    </row>
    <row r="829" spans="2:4" x14ac:dyDescent="0.2">
      <c r="B829" s="7" t="s">
        <v>1160</v>
      </c>
      <c r="C829" s="7" t="s">
        <v>1161</v>
      </c>
      <c r="D829" s="7" t="s">
        <v>4724</v>
      </c>
    </row>
    <row r="830" spans="2:4" x14ac:dyDescent="0.2">
      <c r="B830" s="7" t="s">
        <v>1163</v>
      </c>
      <c r="C830" s="7" t="s">
        <v>1164</v>
      </c>
      <c r="D830" s="7" t="s">
        <v>4725</v>
      </c>
    </row>
    <row r="831" spans="2:4" x14ac:dyDescent="0.2">
      <c r="B831" s="7" t="s">
        <v>1166</v>
      </c>
      <c r="C831" s="7" t="s">
        <v>1167</v>
      </c>
      <c r="D831" s="7" t="s">
        <v>4726</v>
      </c>
    </row>
    <row r="832" spans="2:4" x14ac:dyDescent="0.2">
      <c r="B832" s="7" t="s">
        <v>1169</v>
      </c>
      <c r="C832" s="7" t="s">
        <v>3682</v>
      </c>
      <c r="D832" s="7" t="s">
        <v>4727</v>
      </c>
    </row>
    <row r="833" spans="2:4" x14ac:dyDescent="0.2">
      <c r="B833" s="7" t="s">
        <v>2083</v>
      </c>
      <c r="C833" s="7" t="s">
        <v>3683</v>
      </c>
      <c r="D833" s="7" t="s">
        <v>4728</v>
      </c>
    </row>
    <row r="834" spans="2:4" x14ac:dyDescent="0.2">
      <c r="B834" s="7" t="s">
        <v>1171</v>
      </c>
      <c r="C834" s="7" t="s">
        <v>1172</v>
      </c>
      <c r="D834" s="7" t="s">
        <v>4729</v>
      </c>
    </row>
    <row r="835" spans="2:4" x14ac:dyDescent="0.2">
      <c r="B835" s="7" t="s">
        <v>2390</v>
      </c>
      <c r="C835" s="7" t="s">
        <v>2391</v>
      </c>
      <c r="D835" s="7" t="s">
        <v>4730</v>
      </c>
    </row>
    <row r="836" spans="2:4" x14ac:dyDescent="0.2">
      <c r="B836" s="7" t="s">
        <v>1174</v>
      </c>
      <c r="C836" s="7" t="s">
        <v>1175</v>
      </c>
      <c r="D836" s="7" t="s">
        <v>4731</v>
      </c>
    </row>
    <row r="837" spans="2:4" x14ac:dyDescent="0.2">
      <c r="B837" s="7" t="s">
        <v>1177</v>
      </c>
      <c r="C837" s="7" t="s">
        <v>1178</v>
      </c>
      <c r="D837" s="7" t="s">
        <v>4732</v>
      </c>
    </row>
    <row r="838" spans="2:4" x14ac:dyDescent="0.2">
      <c r="B838" s="7" t="s">
        <v>1180</v>
      </c>
      <c r="C838" s="7" t="s">
        <v>1181</v>
      </c>
      <c r="D838" s="7" t="s">
        <v>4733</v>
      </c>
    </row>
    <row r="839" spans="2:4" x14ac:dyDescent="0.2">
      <c r="B839" s="7" t="s">
        <v>2228</v>
      </c>
      <c r="C839" s="7" t="s">
        <v>2229</v>
      </c>
      <c r="D839" s="7" t="s">
        <v>4734</v>
      </c>
    </row>
    <row r="840" spans="2:4" x14ac:dyDescent="0.2">
      <c r="B840" s="7" t="s">
        <v>2566</v>
      </c>
      <c r="C840" s="7" t="s">
        <v>2567</v>
      </c>
      <c r="D840" s="7" t="s">
        <v>4735</v>
      </c>
    </row>
    <row r="841" spans="2:4" x14ac:dyDescent="0.2">
      <c r="B841" s="7" t="s">
        <v>1183</v>
      </c>
      <c r="C841" s="7" t="s">
        <v>1184</v>
      </c>
      <c r="D841" s="7" t="s">
        <v>4736</v>
      </c>
    </row>
    <row r="842" spans="2:4" x14ac:dyDescent="0.2">
      <c r="B842" s="7" t="s">
        <v>1592</v>
      </c>
      <c r="C842" s="7" t="s">
        <v>1593</v>
      </c>
      <c r="D842" s="7" t="s">
        <v>4737</v>
      </c>
    </row>
    <row r="843" spans="2:4" x14ac:dyDescent="0.2">
      <c r="B843" s="7" t="s">
        <v>2412</v>
      </c>
      <c r="C843" s="7" t="s">
        <v>2413</v>
      </c>
      <c r="D843" s="7" t="s">
        <v>4738</v>
      </c>
    </row>
    <row r="844" spans="2:4" x14ac:dyDescent="0.2">
      <c r="B844" s="7" t="s">
        <v>1538</v>
      </c>
      <c r="C844" s="7" t="s">
        <v>1539</v>
      </c>
      <c r="D844" s="7" t="s">
        <v>4739</v>
      </c>
    </row>
    <row r="845" spans="2:4" x14ac:dyDescent="0.2">
      <c r="B845" s="7" t="s">
        <v>2115</v>
      </c>
      <c r="C845" s="7" t="s">
        <v>3684</v>
      </c>
      <c r="D845" s="7" t="s">
        <v>4740</v>
      </c>
    </row>
    <row r="846" spans="2:4" x14ac:dyDescent="0.2">
      <c r="B846" s="7" t="s">
        <v>1186</v>
      </c>
      <c r="C846" s="7" t="s">
        <v>1187</v>
      </c>
      <c r="D846" s="7" t="s">
        <v>4741</v>
      </c>
    </row>
    <row r="847" spans="2:4" x14ac:dyDescent="0.2">
      <c r="B847" s="7" t="s">
        <v>1819</v>
      </c>
      <c r="C847" s="7" t="s">
        <v>1820</v>
      </c>
      <c r="D847" s="7" t="s">
        <v>4742</v>
      </c>
    </row>
    <row r="848" spans="2:4" x14ac:dyDescent="0.2">
      <c r="B848" s="7" t="s">
        <v>1402</v>
      </c>
      <c r="C848" s="7" t="s">
        <v>1403</v>
      </c>
      <c r="D848" s="7" t="s">
        <v>4743</v>
      </c>
    </row>
    <row r="849" spans="2:4" x14ac:dyDescent="0.2">
      <c r="B849" s="7" t="s">
        <v>1936</v>
      </c>
      <c r="C849" s="7" t="s">
        <v>1937</v>
      </c>
      <c r="D849" s="7" t="s">
        <v>4744</v>
      </c>
    </row>
    <row r="850" spans="2:4" x14ac:dyDescent="0.2">
      <c r="B850" s="7" t="s">
        <v>1189</v>
      </c>
      <c r="C850" s="7" t="s">
        <v>1190</v>
      </c>
      <c r="D850" s="7" t="s">
        <v>4745</v>
      </c>
    </row>
    <row r="851" spans="2:4" x14ac:dyDescent="0.2">
      <c r="B851" s="7" t="s">
        <v>1192</v>
      </c>
      <c r="C851" s="7" t="s">
        <v>1193</v>
      </c>
      <c r="D851" s="7" t="s">
        <v>4746</v>
      </c>
    </row>
    <row r="852" spans="2:4" x14ac:dyDescent="0.2">
      <c r="B852" s="7" t="s">
        <v>2034</v>
      </c>
      <c r="C852" s="7" t="s">
        <v>2035</v>
      </c>
      <c r="D852" s="7" t="s">
        <v>4747</v>
      </c>
    </row>
    <row r="853" spans="2:4" x14ac:dyDescent="0.2">
      <c r="B853" s="7" t="s">
        <v>1195</v>
      </c>
      <c r="C853" s="7" t="s">
        <v>3685</v>
      </c>
      <c r="D853" s="7" t="s">
        <v>4748</v>
      </c>
    </row>
    <row r="854" spans="2:4" x14ac:dyDescent="0.2">
      <c r="B854" s="7" t="s">
        <v>1197</v>
      </c>
      <c r="C854" s="7" t="s">
        <v>1198</v>
      </c>
      <c r="D854" s="7" t="s">
        <v>4749</v>
      </c>
    </row>
    <row r="855" spans="2:4" x14ac:dyDescent="0.2">
      <c r="B855" s="7" t="s">
        <v>1200</v>
      </c>
      <c r="C855" s="7" t="s">
        <v>1201</v>
      </c>
      <c r="D855" s="7" t="s">
        <v>4750</v>
      </c>
    </row>
    <row r="856" spans="2:4" x14ac:dyDescent="0.2">
      <c r="B856" s="7" t="s">
        <v>1203</v>
      </c>
      <c r="C856" s="7" t="s">
        <v>1204</v>
      </c>
      <c r="D856" s="7" t="s">
        <v>4751</v>
      </c>
    </row>
    <row r="857" spans="2:4" x14ac:dyDescent="0.2">
      <c r="B857" s="7" t="s">
        <v>1547</v>
      </c>
      <c r="C857" s="7" t="s">
        <v>1548</v>
      </c>
      <c r="D857" s="7" t="s">
        <v>4752</v>
      </c>
    </row>
    <row r="858" spans="2:4" x14ac:dyDescent="0.2">
      <c r="B858" s="7" t="s">
        <v>1507</v>
      </c>
      <c r="C858" s="7" t="s">
        <v>3686</v>
      </c>
      <c r="D858" s="7" t="s">
        <v>4753</v>
      </c>
    </row>
    <row r="859" spans="2:4" x14ac:dyDescent="0.2">
      <c r="B859" s="7" t="s">
        <v>1765</v>
      </c>
      <c r="C859" s="7" t="s">
        <v>1766</v>
      </c>
      <c r="D859" s="7" t="s">
        <v>4754</v>
      </c>
    </row>
    <row r="860" spans="2:4" x14ac:dyDescent="0.2">
      <c r="B860" s="7" t="s">
        <v>1848</v>
      </c>
      <c r="C860" s="7" t="s">
        <v>1849</v>
      </c>
      <c r="D860" s="7" t="s">
        <v>4755</v>
      </c>
    </row>
    <row r="861" spans="2:4" x14ac:dyDescent="0.2">
      <c r="B861" s="8" t="s">
        <v>1206</v>
      </c>
      <c r="C861" s="8" t="s">
        <v>1207</v>
      </c>
      <c r="D861" s="8" t="s">
        <v>4756</v>
      </c>
    </row>
    <row r="862" spans="2:4" x14ac:dyDescent="0.2">
      <c r="B862" s="7" t="s">
        <v>1735</v>
      </c>
      <c r="C862" s="7" t="s">
        <v>1736</v>
      </c>
      <c r="D862" s="7" t="s">
        <v>4757</v>
      </c>
    </row>
    <row r="863" spans="2:4" x14ac:dyDescent="0.2">
      <c r="B863" s="7" t="s">
        <v>1209</v>
      </c>
      <c r="C863" s="7" t="s">
        <v>1210</v>
      </c>
      <c r="D863" s="7" t="s">
        <v>4758</v>
      </c>
    </row>
    <row r="864" spans="2:4" x14ac:dyDescent="0.2">
      <c r="B864" s="7" t="s">
        <v>1212</v>
      </c>
      <c r="C864" s="7" t="s">
        <v>1213</v>
      </c>
      <c r="D864" s="7" t="s">
        <v>4759</v>
      </c>
    </row>
    <row r="865" spans="2:4" x14ac:dyDescent="0.2">
      <c r="B865" s="7" t="s">
        <v>1407</v>
      </c>
      <c r="C865" s="7" t="s">
        <v>1408</v>
      </c>
      <c r="D865" s="7" t="s">
        <v>4760</v>
      </c>
    </row>
    <row r="866" spans="2:4" x14ac:dyDescent="0.2">
      <c r="B866" s="7" t="s">
        <v>2330</v>
      </c>
      <c r="C866" s="7" t="s">
        <v>2331</v>
      </c>
      <c r="D866" s="7" t="s">
        <v>4761</v>
      </c>
    </row>
    <row r="867" spans="2:4" x14ac:dyDescent="0.2">
      <c r="B867" s="7" t="s">
        <v>1215</v>
      </c>
      <c r="C867" s="7" t="s">
        <v>1216</v>
      </c>
      <c r="D867" s="7" t="s">
        <v>4762</v>
      </c>
    </row>
    <row r="868" spans="2:4" x14ac:dyDescent="0.2">
      <c r="B868" s="7" t="s">
        <v>1218</v>
      </c>
      <c r="C868" s="7" t="s">
        <v>1219</v>
      </c>
      <c r="D868" s="7" t="s">
        <v>4763</v>
      </c>
    </row>
    <row r="869" spans="2:4" x14ac:dyDescent="0.2">
      <c r="B869" s="7" t="s">
        <v>1221</v>
      </c>
      <c r="C869" s="7" t="s">
        <v>3687</v>
      </c>
      <c r="D869" s="7" t="s">
        <v>4764</v>
      </c>
    </row>
    <row r="870" spans="2:4" x14ac:dyDescent="0.2">
      <c r="B870" s="7" t="s">
        <v>1224</v>
      </c>
      <c r="C870" s="7" t="s">
        <v>3688</v>
      </c>
      <c r="D870" s="7" t="s">
        <v>4765</v>
      </c>
    </row>
    <row r="871" spans="2:4" x14ac:dyDescent="0.2">
      <c r="B871" s="7" t="s">
        <v>1227</v>
      </c>
      <c r="C871" s="7" t="s">
        <v>1228</v>
      </c>
      <c r="D871" s="7" t="s">
        <v>4766</v>
      </c>
    </row>
    <row r="872" spans="2:4" x14ac:dyDescent="0.2">
      <c r="B872" s="7" t="s">
        <v>2100</v>
      </c>
      <c r="C872" s="7" t="s">
        <v>2101</v>
      </c>
      <c r="D872" s="7" t="s">
        <v>4767</v>
      </c>
    </row>
    <row r="873" spans="2:4" x14ac:dyDescent="0.2">
      <c r="B873" s="7" t="s">
        <v>1230</v>
      </c>
      <c r="C873" s="7" t="s">
        <v>3446</v>
      </c>
      <c r="D873" s="7" t="s">
        <v>4768</v>
      </c>
    </row>
    <row r="874" spans="2:4" x14ac:dyDescent="0.2">
      <c r="B874" s="7" t="s">
        <v>1232</v>
      </c>
      <c r="C874" s="7" t="s">
        <v>1233</v>
      </c>
      <c r="D874" s="7" t="s">
        <v>4769</v>
      </c>
    </row>
    <row r="875" spans="2:4" x14ac:dyDescent="0.2">
      <c r="B875" s="7" t="s">
        <v>1235</v>
      </c>
      <c r="C875" s="7" t="s">
        <v>1236</v>
      </c>
      <c r="D875" s="7" t="s">
        <v>4770</v>
      </c>
    </row>
    <row r="876" spans="2:4" x14ac:dyDescent="0.2">
      <c r="B876" s="7" t="s">
        <v>1541</v>
      </c>
      <c r="C876" s="7" t="s">
        <v>1542</v>
      </c>
      <c r="D876" s="7" t="s">
        <v>4771</v>
      </c>
    </row>
    <row r="877" spans="2:4" x14ac:dyDescent="0.2">
      <c r="B877" s="7" t="s">
        <v>1238</v>
      </c>
      <c r="C877" s="7" t="s">
        <v>1239</v>
      </c>
      <c r="D877" s="7" t="s">
        <v>4772</v>
      </c>
    </row>
    <row r="878" spans="2:4" x14ac:dyDescent="0.2">
      <c r="B878" s="7" t="s">
        <v>2162</v>
      </c>
      <c r="C878" s="7" t="s">
        <v>2163</v>
      </c>
      <c r="D878" s="7" t="s">
        <v>4773</v>
      </c>
    </row>
    <row r="879" spans="2:4" x14ac:dyDescent="0.2">
      <c r="B879" s="7" t="s">
        <v>1413</v>
      </c>
      <c r="C879" s="7" t="s">
        <v>1414</v>
      </c>
      <c r="D879" s="7" t="s">
        <v>4774</v>
      </c>
    </row>
    <row r="880" spans="2:4" x14ac:dyDescent="0.2">
      <c r="B880" s="7" t="s">
        <v>2424</v>
      </c>
      <c r="C880" s="7" t="s">
        <v>2425</v>
      </c>
      <c r="D880" s="7" t="s">
        <v>4775</v>
      </c>
    </row>
    <row r="881" spans="2:4" x14ac:dyDescent="0.2">
      <c r="B881" s="7" t="s">
        <v>1241</v>
      </c>
      <c r="C881" s="7" t="s">
        <v>1242</v>
      </c>
      <c r="D881" s="7" t="s">
        <v>4776</v>
      </c>
    </row>
    <row r="882" spans="2:4" x14ac:dyDescent="0.2">
      <c r="B882" s="7" t="s">
        <v>1244</v>
      </c>
      <c r="C882" s="7" t="s">
        <v>1245</v>
      </c>
      <c r="D882" s="7" t="s">
        <v>4777</v>
      </c>
    </row>
    <row r="883" spans="2:4" x14ac:dyDescent="0.2">
      <c r="B883" s="7" t="s">
        <v>1247</v>
      </c>
      <c r="C883" s="7" t="s">
        <v>1248</v>
      </c>
      <c r="D883" s="7" t="s">
        <v>4778</v>
      </c>
    </row>
    <row r="884" spans="2:4" x14ac:dyDescent="0.2">
      <c r="B884" s="7" t="s">
        <v>1865</v>
      </c>
      <c r="C884" s="7" t="s">
        <v>1866</v>
      </c>
      <c r="D884" s="7" t="s">
        <v>4779</v>
      </c>
    </row>
    <row r="885" spans="2:4" x14ac:dyDescent="0.2">
      <c r="B885" s="7" t="s">
        <v>1250</v>
      </c>
      <c r="C885" s="7" t="s">
        <v>1251</v>
      </c>
      <c r="D885" s="7" t="s">
        <v>4780</v>
      </c>
    </row>
    <row r="886" spans="2:4" x14ac:dyDescent="0.2">
      <c r="B886" s="7" t="s">
        <v>1253</v>
      </c>
      <c r="C886" s="7" t="s">
        <v>1254</v>
      </c>
      <c r="D886" s="7" t="s">
        <v>4781</v>
      </c>
    </row>
    <row r="887" spans="2:4" x14ac:dyDescent="0.2">
      <c r="B887" s="7" t="s">
        <v>1256</v>
      </c>
      <c r="C887" s="7" t="s">
        <v>1257</v>
      </c>
      <c r="D887" s="7" t="s">
        <v>4782</v>
      </c>
    </row>
    <row r="888" spans="2:4" x14ac:dyDescent="0.2">
      <c r="B888" s="7" t="s">
        <v>2117</v>
      </c>
      <c r="C888" s="7" t="s">
        <v>2118</v>
      </c>
      <c r="D888" s="7" t="s">
        <v>4783</v>
      </c>
    </row>
    <row r="889" spans="2:4" x14ac:dyDescent="0.2">
      <c r="B889" s="7" t="s">
        <v>1259</v>
      </c>
      <c r="C889" s="7" t="s">
        <v>1260</v>
      </c>
      <c r="D889" s="7" t="s">
        <v>4784</v>
      </c>
    </row>
    <row r="890" spans="2:4" x14ac:dyDescent="0.2">
      <c r="B890" s="7" t="s">
        <v>1261</v>
      </c>
      <c r="C890" s="7" t="s">
        <v>3689</v>
      </c>
      <c r="D890" s="7" t="s">
        <v>4785</v>
      </c>
    </row>
    <row r="891" spans="2:4" x14ac:dyDescent="0.2">
      <c r="B891" s="7" t="s">
        <v>1807</v>
      </c>
      <c r="C891" s="7" t="s">
        <v>1808</v>
      </c>
      <c r="D891" s="7" t="s">
        <v>4786</v>
      </c>
    </row>
    <row r="892" spans="2:4" x14ac:dyDescent="0.2">
      <c r="B892" s="7" t="s">
        <v>1263</v>
      </c>
      <c r="C892" s="7" t="s">
        <v>1264</v>
      </c>
      <c r="D892" s="7" t="s">
        <v>4787</v>
      </c>
    </row>
    <row r="893" spans="2:4" x14ac:dyDescent="0.2">
      <c r="B893" s="7" t="s">
        <v>1266</v>
      </c>
      <c r="C893" s="7" t="s">
        <v>1267</v>
      </c>
      <c r="D893" s="7" t="s">
        <v>4788</v>
      </c>
    </row>
    <row r="894" spans="2:4" x14ac:dyDescent="0.2">
      <c r="B894" s="7" t="s">
        <v>1871</v>
      </c>
      <c r="C894" s="7" t="s">
        <v>1872</v>
      </c>
      <c r="D894" s="7" t="s">
        <v>4789</v>
      </c>
    </row>
    <row r="895" spans="2:4" x14ac:dyDescent="0.2">
      <c r="B895" s="7" t="s">
        <v>2284</v>
      </c>
      <c r="C895" s="7" t="s">
        <v>3690</v>
      </c>
      <c r="D895" s="7" t="s">
        <v>4790</v>
      </c>
    </row>
    <row r="896" spans="2:4" x14ac:dyDescent="0.2">
      <c r="B896" s="7" t="s">
        <v>1269</v>
      </c>
      <c r="C896" s="7" t="s">
        <v>1270</v>
      </c>
      <c r="D896" s="7" t="s">
        <v>4791</v>
      </c>
    </row>
    <row r="897" spans="2:4" x14ac:dyDescent="0.2">
      <c r="B897" s="7" t="s">
        <v>1954</v>
      </c>
      <c r="C897" s="7" t="s">
        <v>1955</v>
      </c>
      <c r="D897" s="7" t="s">
        <v>4792</v>
      </c>
    </row>
    <row r="898" spans="2:4" x14ac:dyDescent="0.2">
      <c r="B898" s="7" t="s">
        <v>1527</v>
      </c>
      <c r="C898" s="7" t="s">
        <v>1528</v>
      </c>
      <c r="D898" s="7" t="s">
        <v>4793</v>
      </c>
    </row>
    <row r="899" spans="2:4" x14ac:dyDescent="0.2">
      <c r="B899" s="7" t="s">
        <v>1272</v>
      </c>
      <c r="C899" s="7" t="s">
        <v>3691</v>
      </c>
      <c r="D899" s="7" t="s">
        <v>4794</v>
      </c>
    </row>
    <row r="900" spans="2:4" x14ac:dyDescent="0.2">
      <c r="B900" s="7" t="s">
        <v>1275</v>
      </c>
      <c r="C900" s="7" t="s">
        <v>1276</v>
      </c>
      <c r="D900" s="7" t="s">
        <v>4795</v>
      </c>
    </row>
    <row r="901" spans="2:4" x14ac:dyDescent="0.2">
      <c r="B901" s="7" t="s">
        <v>1533</v>
      </c>
      <c r="C901" s="7" t="s">
        <v>3692</v>
      </c>
      <c r="D901" s="7" t="s">
        <v>4796</v>
      </c>
    </row>
    <row r="902" spans="2:4" x14ac:dyDescent="0.2">
      <c r="B902" s="7" t="s">
        <v>2300</v>
      </c>
      <c r="C902" s="7" t="s">
        <v>2301</v>
      </c>
      <c r="D902" s="7" t="s">
        <v>4797</v>
      </c>
    </row>
    <row r="903" spans="2:4" x14ac:dyDescent="0.2">
      <c r="B903" s="7" t="s">
        <v>1853</v>
      </c>
      <c r="C903" s="7" t="s">
        <v>1854</v>
      </c>
      <c r="D903" s="7" t="s">
        <v>4798</v>
      </c>
    </row>
    <row r="904" spans="2:4" x14ac:dyDescent="0.2">
      <c r="B904" s="7" t="s">
        <v>1787</v>
      </c>
      <c r="C904" s="7" t="s">
        <v>1788</v>
      </c>
      <c r="D904" s="7" t="s">
        <v>4799</v>
      </c>
    </row>
    <row r="905" spans="2:4" x14ac:dyDescent="0.2">
      <c r="B905" s="7" t="s">
        <v>2398</v>
      </c>
      <c r="C905" s="7" t="s">
        <v>2399</v>
      </c>
      <c r="D905" s="7" t="s">
        <v>4800</v>
      </c>
    </row>
    <row r="906" spans="2:4" x14ac:dyDescent="0.2">
      <c r="B906" s="7" t="s">
        <v>2657</v>
      </c>
      <c r="C906" s="7" t="s">
        <v>2658</v>
      </c>
      <c r="D906" s="7" t="s">
        <v>4801</v>
      </c>
    </row>
    <row r="907" spans="2:4" x14ac:dyDescent="0.2">
      <c r="B907" s="7" t="s">
        <v>1278</v>
      </c>
      <c r="C907" s="7" t="s">
        <v>3693</v>
      </c>
      <c r="D907" s="7" t="s">
        <v>4802</v>
      </c>
    </row>
    <row r="908" spans="2:4" x14ac:dyDescent="0.2">
      <c r="B908" s="7" t="s">
        <v>1280</v>
      </c>
      <c r="C908" s="7" t="s">
        <v>1281</v>
      </c>
      <c r="D908" s="7" t="s">
        <v>4803</v>
      </c>
    </row>
    <row r="909" spans="2:4" x14ac:dyDescent="0.2">
      <c r="B909" s="7" t="s">
        <v>1918</v>
      </c>
      <c r="C909" s="7" t="s">
        <v>1919</v>
      </c>
      <c r="D909" s="7" t="s">
        <v>4804</v>
      </c>
    </row>
    <row r="910" spans="2:4" x14ac:dyDescent="0.2">
      <c r="B910" s="7" t="s">
        <v>1283</v>
      </c>
      <c r="C910" s="7" t="s">
        <v>3694</v>
      </c>
      <c r="D910" s="7" t="s">
        <v>4805</v>
      </c>
    </row>
    <row r="911" spans="2:4" x14ac:dyDescent="0.2">
      <c r="B911" s="7" t="s">
        <v>1286</v>
      </c>
      <c r="C911" s="7" t="s">
        <v>3695</v>
      </c>
      <c r="D911" s="7" t="s">
        <v>4806</v>
      </c>
    </row>
    <row r="912" spans="2:4" x14ac:dyDescent="0.2">
      <c r="B912" s="7" t="s">
        <v>2421</v>
      </c>
      <c r="C912" s="7" t="s">
        <v>2422</v>
      </c>
      <c r="D912" s="7" t="s">
        <v>4807</v>
      </c>
    </row>
    <row r="913" spans="2:4" x14ac:dyDescent="0.2">
      <c r="B913" s="7" t="s">
        <v>1288</v>
      </c>
      <c r="C913" s="7" t="s">
        <v>1289</v>
      </c>
      <c r="D913" s="7" t="s">
        <v>4808</v>
      </c>
    </row>
    <row r="914" spans="2:4" x14ac:dyDescent="0.2">
      <c r="B914" s="7" t="s">
        <v>1291</v>
      </c>
      <c r="C914" s="7" t="s">
        <v>1292</v>
      </c>
      <c r="D914" s="7" t="s">
        <v>4809</v>
      </c>
    </row>
    <row r="915" spans="2:4" x14ac:dyDescent="0.2">
      <c r="B915" s="7" t="s">
        <v>1630</v>
      </c>
      <c r="C915" s="7" t="s">
        <v>1631</v>
      </c>
      <c r="D915" s="7" t="s">
        <v>4810</v>
      </c>
    </row>
    <row r="916" spans="2:4" x14ac:dyDescent="0.2">
      <c r="B916" s="7" t="s">
        <v>1977</v>
      </c>
      <c r="C916" s="7" t="s">
        <v>1978</v>
      </c>
      <c r="D916" s="7" t="s">
        <v>4811</v>
      </c>
    </row>
    <row r="917" spans="2:4" x14ac:dyDescent="0.2">
      <c r="B917" s="7" t="s">
        <v>2255</v>
      </c>
      <c r="C917" s="7" t="s">
        <v>2256</v>
      </c>
      <c r="D917" s="7" t="s">
        <v>4812</v>
      </c>
    </row>
    <row r="918" spans="2:4" x14ac:dyDescent="0.2">
      <c r="B918" s="7" t="s">
        <v>2494</v>
      </c>
      <c r="C918" s="7" t="s">
        <v>2495</v>
      </c>
      <c r="D918" s="7" t="s">
        <v>4813</v>
      </c>
    </row>
    <row r="919" spans="2:4" x14ac:dyDescent="0.2">
      <c r="B919" s="7" t="s">
        <v>1903</v>
      </c>
      <c r="C919" s="7" t="s">
        <v>1904</v>
      </c>
      <c r="D919" s="7" t="s">
        <v>4814</v>
      </c>
    </row>
    <row r="920" spans="2:4" x14ac:dyDescent="0.2">
      <c r="B920" s="7" t="s">
        <v>1294</v>
      </c>
      <c r="C920" s="7" t="s">
        <v>1295</v>
      </c>
      <c r="D920" s="7" t="s">
        <v>4815</v>
      </c>
    </row>
    <row r="921" spans="2:4" x14ac:dyDescent="0.2">
      <c r="B921" s="7" t="s">
        <v>1297</v>
      </c>
      <c r="C921" s="7" t="s">
        <v>1298</v>
      </c>
      <c r="D921" s="7" t="s">
        <v>4816</v>
      </c>
    </row>
    <row r="922" spans="2:4" x14ac:dyDescent="0.2">
      <c r="B922" s="7" t="s">
        <v>2447</v>
      </c>
      <c r="C922" s="7" t="s">
        <v>2448</v>
      </c>
      <c r="D922" s="7" t="s">
        <v>4817</v>
      </c>
    </row>
    <row r="923" spans="2:4" x14ac:dyDescent="0.2">
      <c r="B923" s="7" t="s">
        <v>1300</v>
      </c>
      <c r="C923" s="7" t="s">
        <v>1301</v>
      </c>
      <c r="D923" s="7" t="s">
        <v>4818</v>
      </c>
    </row>
    <row r="924" spans="2:4" x14ac:dyDescent="0.2">
      <c r="B924" s="7" t="s">
        <v>2313</v>
      </c>
      <c r="C924" s="7" t="s">
        <v>2314</v>
      </c>
      <c r="D924" s="7" t="s">
        <v>4819</v>
      </c>
    </row>
    <row r="925" spans="2:4" x14ac:dyDescent="0.2">
      <c r="B925" s="7" t="s">
        <v>1303</v>
      </c>
      <c r="C925" s="7" t="s">
        <v>1304</v>
      </c>
      <c r="D925" s="7" t="s">
        <v>4820</v>
      </c>
    </row>
    <row r="926" spans="2:4" x14ac:dyDescent="0.2">
      <c r="B926" s="7" t="s">
        <v>1306</v>
      </c>
      <c r="C926" s="7" t="s">
        <v>1307</v>
      </c>
      <c r="D926" s="7" t="s">
        <v>4821</v>
      </c>
    </row>
    <row r="927" spans="2:4" x14ac:dyDescent="0.2">
      <c r="B927" s="7" t="s">
        <v>2214</v>
      </c>
      <c r="C927" s="7" t="s">
        <v>3894</v>
      </c>
      <c r="D927" s="7" t="s">
        <v>4822</v>
      </c>
    </row>
    <row r="928" spans="2:4" x14ac:dyDescent="0.2">
      <c r="B928" s="7" t="s">
        <v>1309</v>
      </c>
      <c r="C928" s="7" t="s">
        <v>1310</v>
      </c>
      <c r="D928" s="7" t="s">
        <v>4823</v>
      </c>
    </row>
    <row r="929" spans="2:4" x14ac:dyDescent="0.2">
      <c r="B929" s="7" t="s">
        <v>1468</v>
      </c>
      <c r="C929" s="7" t="s">
        <v>3696</v>
      </c>
      <c r="D929" s="7" t="s">
        <v>4824</v>
      </c>
    </row>
    <row r="930" spans="2:4" x14ac:dyDescent="0.2">
      <c r="B930" s="7" t="s">
        <v>1312</v>
      </c>
      <c r="C930" s="7" t="s">
        <v>3697</v>
      </c>
      <c r="D930" s="7" t="s">
        <v>4825</v>
      </c>
    </row>
    <row r="931" spans="2:4" x14ac:dyDescent="0.2">
      <c r="B931" s="7" t="s">
        <v>2031</v>
      </c>
      <c r="C931" s="7" t="s">
        <v>2032</v>
      </c>
      <c r="D931" s="7" t="s">
        <v>4826</v>
      </c>
    </row>
    <row r="932" spans="2:4" x14ac:dyDescent="0.2">
      <c r="B932" s="7" t="s">
        <v>1314</v>
      </c>
      <c r="C932" s="7" t="s">
        <v>3698</v>
      </c>
      <c r="D932" s="7" t="s">
        <v>4827</v>
      </c>
    </row>
    <row r="933" spans="2:4" x14ac:dyDescent="0.2">
      <c r="B933" s="7" t="s">
        <v>2327</v>
      </c>
      <c r="C933" s="7" t="s">
        <v>2328</v>
      </c>
      <c r="D933" s="7" t="s">
        <v>4828</v>
      </c>
    </row>
    <row r="934" spans="2:4" x14ac:dyDescent="0.2">
      <c r="B934" s="7" t="s">
        <v>2643</v>
      </c>
      <c r="C934" s="7" t="s">
        <v>2644</v>
      </c>
      <c r="D934" s="7" t="s">
        <v>4829</v>
      </c>
    </row>
    <row r="935" spans="2:4" x14ac:dyDescent="0.2">
      <c r="B935" s="7" t="s">
        <v>1316</v>
      </c>
      <c r="C935" s="7" t="s">
        <v>1317</v>
      </c>
      <c r="D935" s="7" t="s">
        <v>4830</v>
      </c>
    </row>
    <row r="936" spans="2:4" x14ac:dyDescent="0.2">
      <c r="B936" s="7" t="s">
        <v>1319</v>
      </c>
      <c r="C936" s="7" t="s">
        <v>1320</v>
      </c>
      <c r="D936" s="7" t="s">
        <v>4831</v>
      </c>
    </row>
    <row r="937" spans="2:4" x14ac:dyDescent="0.2">
      <c r="B937" s="7" t="s">
        <v>2232</v>
      </c>
      <c r="C937" s="7" t="s">
        <v>2233</v>
      </c>
      <c r="D937" s="7" t="s">
        <v>4832</v>
      </c>
    </row>
    <row r="938" spans="2:4" x14ac:dyDescent="0.2">
      <c r="B938" s="7" t="s">
        <v>2106</v>
      </c>
      <c r="C938" s="7" t="s">
        <v>2107</v>
      </c>
      <c r="D938" s="7" t="s">
        <v>4833</v>
      </c>
    </row>
    <row r="939" spans="2:4" x14ac:dyDescent="0.2">
      <c r="B939" s="7" t="s">
        <v>1322</v>
      </c>
      <c r="C939" s="7" t="s">
        <v>1323</v>
      </c>
      <c r="D939" s="7" t="s">
        <v>4834</v>
      </c>
    </row>
    <row r="940" spans="2:4" x14ac:dyDescent="0.2">
      <c r="B940" s="7" t="s">
        <v>2091</v>
      </c>
      <c r="C940" s="7" t="s">
        <v>2092</v>
      </c>
      <c r="D940" s="7" t="s">
        <v>4835</v>
      </c>
    </row>
    <row r="941" spans="2:4" x14ac:dyDescent="0.2">
      <c r="B941" s="7" t="s">
        <v>2037</v>
      </c>
      <c r="C941" s="7" t="s">
        <v>2038</v>
      </c>
      <c r="D941" s="7" t="s">
        <v>4836</v>
      </c>
    </row>
    <row r="942" spans="2:4" x14ac:dyDescent="0.2">
      <c r="B942" s="7" t="s">
        <v>1912</v>
      </c>
      <c r="C942" s="7" t="s">
        <v>1913</v>
      </c>
      <c r="D942" s="7" t="s">
        <v>4837</v>
      </c>
    </row>
    <row r="943" spans="2:4" x14ac:dyDescent="0.2">
      <c r="B943" s="7" t="s">
        <v>1325</v>
      </c>
      <c r="C943" s="7" t="s">
        <v>3699</v>
      </c>
      <c r="D943" s="7" t="s">
        <v>4838</v>
      </c>
    </row>
    <row r="944" spans="2:4" x14ac:dyDescent="0.2">
      <c r="B944" s="7" t="s">
        <v>1425</v>
      </c>
      <c r="C944" s="7" t="s">
        <v>1426</v>
      </c>
      <c r="D944" s="7" t="s">
        <v>4839</v>
      </c>
    </row>
    <row r="945" spans="2:4" x14ac:dyDescent="0.2">
      <c r="B945" s="7" t="s">
        <v>1759</v>
      </c>
      <c r="C945" s="7" t="s">
        <v>1760</v>
      </c>
      <c r="D945" s="7" t="s">
        <v>4840</v>
      </c>
    </row>
    <row r="946" spans="2:4" x14ac:dyDescent="0.2">
      <c r="B946" s="7" t="s">
        <v>1378</v>
      </c>
      <c r="C946" s="7" t="s">
        <v>1379</v>
      </c>
      <c r="D946" s="7" t="s">
        <v>4841</v>
      </c>
    </row>
    <row r="947" spans="2:4" x14ac:dyDescent="0.2">
      <c r="B947" s="7" t="s">
        <v>1327</v>
      </c>
      <c r="C947" s="7" t="s">
        <v>1328</v>
      </c>
      <c r="D947" s="7" t="s">
        <v>4842</v>
      </c>
    </row>
    <row r="948" spans="2:4" x14ac:dyDescent="0.2">
      <c r="B948" s="7" t="s">
        <v>1330</v>
      </c>
      <c r="C948" s="7" t="s">
        <v>1331</v>
      </c>
      <c r="D948" s="7" t="s">
        <v>4843</v>
      </c>
    </row>
    <row r="949" spans="2:4" x14ac:dyDescent="0.2">
      <c r="B949" s="7" t="s">
        <v>1608</v>
      </c>
      <c r="C949" s="7" t="s">
        <v>1609</v>
      </c>
      <c r="D949" s="7" t="s">
        <v>4844</v>
      </c>
    </row>
    <row r="950" spans="2:4" x14ac:dyDescent="0.2">
      <c r="B950" s="7" t="s">
        <v>2517</v>
      </c>
      <c r="C950" s="7" t="s">
        <v>2518</v>
      </c>
      <c r="D950" s="7" t="s">
        <v>4845</v>
      </c>
    </row>
    <row r="951" spans="2:4" x14ac:dyDescent="0.2">
      <c r="B951" s="7" t="s">
        <v>1333</v>
      </c>
      <c r="C951" s="7" t="s">
        <v>3700</v>
      </c>
      <c r="D951" s="7" t="s">
        <v>4846</v>
      </c>
    </row>
    <row r="952" spans="2:4" x14ac:dyDescent="0.2">
      <c r="B952" s="7" t="s">
        <v>1336</v>
      </c>
      <c r="C952" s="7" t="s">
        <v>1337</v>
      </c>
      <c r="D952" s="7" t="s">
        <v>4847</v>
      </c>
    </row>
    <row r="953" spans="2:4" x14ac:dyDescent="0.2">
      <c r="B953" s="7" t="s">
        <v>2572</v>
      </c>
      <c r="C953" s="7" t="s">
        <v>2573</v>
      </c>
      <c r="D953" s="7" t="s">
        <v>4848</v>
      </c>
    </row>
    <row r="954" spans="2:4" x14ac:dyDescent="0.2">
      <c r="B954" s="7" t="s">
        <v>2199</v>
      </c>
      <c r="C954" s="7" t="s">
        <v>2200</v>
      </c>
      <c r="D954" s="7" t="s">
        <v>4849</v>
      </c>
    </row>
    <row r="955" spans="2:4" x14ac:dyDescent="0.2">
      <c r="B955" s="7" t="s">
        <v>1339</v>
      </c>
      <c r="C955" s="7" t="s">
        <v>1340</v>
      </c>
      <c r="D955" s="7" t="s">
        <v>4850</v>
      </c>
    </row>
    <row r="956" spans="2:4" x14ac:dyDescent="0.2">
      <c r="B956" s="7" t="s">
        <v>1459</v>
      </c>
      <c r="C956" s="7" t="s">
        <v>1460</v>
      </c>
      <c r="D956" s="7" t="s">
        <v>4851</v>
      </c>
    </row>
    <row r="957" spans="2:4" x14ac:dyDescent="0.2">
      <c r="B957" s="7" t="s">
        <v>1636</v>
      </c>
      <c r="C957" s="7" t="s">
        <v>1637</v>
      </c>
      <c r="D957" s="7" t="s">
        <v>4852</v>
      </c>
    </row>
    <row r="958" spans="2:4" x14ac:dyDescent="0.2">
      <c r="B958" s="7" t="s">
        <v>1927</v>
      </c>
      <c r="C958" s="7" t="s">
        <v>1928</v>
      </c>
      <c r="D958" s="7" t="s">
        <v>4853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A6C69-4AA7-4D41-B311-FB9920691162}">
  <dimension ref="A1:G3892"/>
  <sheetViews>
    <sheetView tabSelected="1" topLeftCell="A387" workbookViewId="0">
      <selection activeCell="A408" sqref="A408:XFD408"/>
    </sheetView>
  </sheetViews>
  <sheetFormatPr baseColWidth="10" defaultRowHeight="16" x14ac:dyDescent="0.2"/>
  <cols>
    <col min="2" max="3" width="48.1640625" bestFit="1" customWidth="1"/>
    <col min="4" max="4" width="47.6640625" bestFit="1" customWidth="1"/>
    <col min="6" max="6" width="129.5" bestFit="1" customWidth="1"/>
    <col min="7" max="7" width="34.1640625" bestFit="1" customWidth="1"/>
  </cols>
  <sheetData>
    <row r="1" spans="1:7" x14ac:dyDescent="0.2">
      <c r="A1" t="s">
        <v>7793</v>
      </c>
      <c r="B1" t="s">
        <v>7794</v>
      </c>
      <c r="C1" t="s">
        <v>7795</v>
      </c>
      <c r="D1" t="s">
        <v>7796</v>
      </c>
      <c r="F1" t="s">
        <v>7797</v>
      </c>
      <c r="G1" t="s">
        <v>8767</v>
      </c>
    </row>
    <row r="2" spans="1:7" x14ac:dyDescent="0.2">
      <c r="A2" t="s">
        <v>0</v>
      </c>
      <c r="B2" t="s">
        <v>3898</v>
      </c>
      <c r="C2" t="s">
        <v>3897</v>
      </c>
      <c r="D2" t="str">
        <f>TRIM(alias[[#This Row],[Column3]])</f>
        <v>Alias</v>
      </c>
    </row>
    <row r="3" spans="1:7" x14ac:dyDescent="0.2">
      <c r="A3" t="s">
        <v>2506</v>
      </c>
      <c r="B3" t="s">
        <v>2507</v>
      </c>
      <c r="C3" t="s">
        <v>2506</v>
      </c>
      <c r="D3" t="str">
        <f>TRIM(alias[[#This Row],[Column3]])</f>
        <v>AADI</v>
      </c>
      <c r="F3" t="str">
        <f>_xlfn.CONCAT($F$1, _xlfn.CONCAT($G$1, A3, "'), '", D3, "') ON CONFLICT DO NOTHING;"))</f>
        <v>INSERT INTO stock_alias (stock, alias) VALUES ((SELECT id FROM stock WHERE ticker = 'AADI'), 'AADI') ON CONFLICT DO NOTHING;</v>
      </c>
    </row>
    <row r="4" spans="1:7" x14ac:dyDescent="0.2">
      <c r="A4" t="s">
        <v>2506</v>
      </c>
      <c r="B4" t="s">
        <v>2507</v>
      </c>
      <c r="C4" t="s">
        <v>4854</v>
      </c>
      <c r="D4" t="str">
        <f>TRIM(alias[[#This Row],[Column3]])</f>
        <v>AAI</v>
      </c>
      <c r="F4" t="str">
        <f t="shared" ref="F4:F67" si="0">_xlfn.CONCAT($F$1, _xlfn.CONCAT($G$1, A4, "'), '", D4, "') ON CONFLICT DO NOTHING;"))</f>
        <v>INSERT INTO stock_alias (stock, alias) VALUES ((SELECT id FROM stock WHERE ticker = 'AADI'), 'AAI') ON CONFLICT DO NOTHING;</v>
      </c>
    </row>
    <row r="5" spans="1:7" x14ac:dyDescent="0.2">
      <c r="A5" t="s">
        <v>2506</v>
      </c>
      <c r="B5" t="s">
        <v>2507</v>
      </c>
      <c r="C5" t="s">
        <v>4855</v>
      </c>
      <c r="D5" t="str">
        <f>TRIM(alias[[#This Row],[Column3]])</f>
        <v>Adaro Andalan Indonesia</v>
      </c>
      <c r="F5" t="str">
        <f t="shared" si="0"/>
        <v>INSERT INTO stock_alias (stock, alias) VALUES ((SELECT id FROM stock WHERE ticker = 'AADI'), 'Adaro Andalan Indonesia') ON CONFLICT DO NOTHING;</v>
      </c>
    </row>
    <row r="6" spans="1:7" x14ac:dyDescent="0.2">
      <c r="A6" t="s">
        <v>2506</v>
      </c>
      <c r="B6" t="s">
        <v>2507</v>
      </c>
      <c r="C6" t="s">
        <v>4856</v>
      </c>
      <c r="D6" t="str">
        <f>TRIM(alias[[#This Row],[Column3]])</f>
        <v>Adaro Andalan Indonesia Tbk</v>
      </c>
      <c r="F6" t="str">
        <f t="shared" si="0"/>
        <v>INSERT INTO stock_alias (stock, alias) VALUES ((SELECT id FROM stock WHERE ticker = 'AADI'), 'Adaro Andalan Indonesia Tbk') ON CONFLICT DO NOTHING;</v>
      </c>
    </row>
    <row r="7" spans="1:7" x14ac:dyDescent="0.2">
      <c r="A7" t="s">
        <v>2506</v>
      </c>
      <c r="B7" t="s">
        <v>2507</v>
      </c>
      <c r="C7" t="s">
        <v>4857</v>
      </c>
      <c r="D7" t="str">
        <f>TRIM(alias[[#This Row],[Column3]])</f>
        <v>PT Adaro Andalan Indonesia</v>
      </c>
      <c r="F7" t="str">
        <f t="shared" si="0"/>
        <v>INSERT INTO stock_alias (stock, alias) VALUES ((SELECT id FROM stock WHERE ticker = 'AADI'), 'PT Adaro Andalan Indonesia') ON CONFLICT DO NOTHING;</v>
      </c>
    </row>
    <row r="8" spans="1:7" x14ac:dyDescent="0.2">
      <c r="A8" t="s">
        <v>5</v>
      </c>
      <c r="B8" t="s">
        <v>6</v>
      </c>
      <c r="C8" t="s">
        <v>5</v>
      </c>
      <c r="D8" t="str">
        <f>TRIM(alias[[#This Row],[Column3]])</f>
        <v>AALI</v>
      </c>
      <c r="F8" t="str">
        <f t="shared" si="0"/>
        <v>INSERT INTO stock_alias (stock, alias) VALUES ((SELECT id FROM stock WHERE ticker = 'AALI'), 'AALI') ON CONFLICT DO NOTHING;</v>
      </c>
    </row>
    <row r="9" spans="1:7" x14ac:dyDescent="0.2">
      <c r="A9" t="s">
        <v>5</v>
      </c>
      <c r="B9" t="s">
        <v>6</v>
      </c>
      <c r="C9" t="s">
        <v>4858</v>
      </c>
      <c r="D9" t="str">
        <f>TRIM(alias[[#This Row],[Column3]])</f>
        <v>AAL</v>
      </c>
      <c r="F9" t="str">
        <f t="shared" si="0"/>
        <v>INSERT INTO stock_alias (stock, alias) VALUES ((SELECT id FROM stock WHERE ticker = 'AALI'), 'AAL') ON CONFLICT DO NOTHING;</v>
      </c>
    </row>
    <row r="10" spans="1:7" x14ac:dyDescent="0.2">
      <c r="A10" t="s">
        <v>5</v>
      </c>
      <c r="B10" t="s">
        <v>6</v>
      </c>
      <c r="C10" t="s">
        <v>4859</v>
      </c>
      <c r="D10" t="str">
        <f>TRIM(alias[[#This Row],[Column3]])</f>
        <v>Astra Agro Lestari</v>
      </c>
      <c r="F10" t="str">
        <f t="shared" si="0"/>
        <v>INSERT INTO stock_alias (stock, alias) VALUES ((SELECT id FROM stock WHERE ticker = 'AALI'), 'Astra Agro Lestari') ON CONFLICT DO NOTHING;</v>
      </c>
    </row>
    <row r="11" spans="1:7" x14ac:dyDescent="0.2">
      <c r="A11" t="s">
        <v>5</v>
      </c>
      <c r="B11" t="s">
        <v>6</v>
      </c>
      <c r="C11" t="s">
        <v>4860</v>
      </c>
      <c r="D11" t="str">
        <f>TRIM(alias[[#This Row],[Column3]])</f>
        <v>Astra Agro Lestari Tbk</v>
      </c>
      <c r="F11" t="str">
        <f t="shared" si="0"/>
        <v>INSERT INTO stock_alias (stock, alias) VALUES ((SELECT id FROM stock WHERE ticker = 'AALI'), 'Astra Agro Lestari Tbk') ON CONFLICT DO NOTHING;</v>
      </c>
    </row>
    <row r="12" spans="1:7" x14ac:dyDescent="0.2">
      <c r="A12" t="s">
        <v>5</v>
      </c>
      <c r="B12" t="s">
        <v>6</v>
      </c>
      <c r="C12" t="s">
        <v>4861</v>
      </c>
      <c r="D12" t="str">
        <f>TRIM(alias[[#This Row],[Column3]])</f>
        <v>PT Astra Agro Lestari</v>
      </c>
      <c r="F12" t="str">
        <f t="shared" si="0"/>
        <v>INSERT INTO stock_alias (stock, alias) VALUES ((SELECT id FROM stock WHERE ticker = 'AALI'), 'PT Astra Agro Lestari') ON CONFLICT DO NOTHING;</v>
      </c>
    </row>
    <row r="13" spans="1:7" x14ac:dyDescent="0.2">
      <c r="A13" t="s">
        <v>9</v>
      </c>
      <c r="B13" t="s">
        <v>10</v>
      </c>
      <c r="C13" t="s">
        <v>9</v>
      </c>
      <c r="D13" t="str">
        <f>TRIM(alias[[#This Row],[Column3]])</f>
        <v>ABBA</v>
      </c>
      <c r="F13" t="str">
        <f t="shared" si="0"/>
        <v>INSERT INTO stock_alias (stock, alias) VALUES ((SELECT id FROM stock WHERE ticker = 'ABBA'), 'ABBA') ON CONFLICT DO NOTHING;</v>
      </c>
    </row>
    <row r="14" spans="1:7" x14ac:dyDescent="0.2">
      <c r="A14" t="s">
        <v>9</v>
      </c>
      <c r="B14" t="s">
        <v>10</v>
      </c>
      <c r="C14" t="s">
        <v>4862</v>
      </c>
      <c r="D14" t="str">
        <f>TRIM(alias[[#This Row],[Column3]])</f>
        <v>Mahaka Media</v>
      </c>
      <c r="F14" t="str">
        <f t="shared" si="0"/>
        <v>INSERT INTO stock_alias (stock, alias) VALUES ((SELECT id FROM stock WHERE ticker = 'ABBA'), 'Mahaka Media') ON CONFLICT DO NOTHING;</v>
      </c>
    </row>
    <row r="15" spans="1:7" x14ac:dyDescent="0.2">
      <c r="A15" t="s">
        <v>9</v>
      </c>
      <c r="B15" t="s">
        <v>10</v>
      </c>
      <c r="C15" t="s">
        <v>4863</v>
      </c>
      <c r="D15" t="str">
        <f>TRIM(alias[[#This Row],[Column3]])</f>
        <v>Mahaka Media Tbk</v>
      </c>
      <c r="F15" t="str">
        <f t="shared" si="0"/>
        <v>INSERT INTO stock_alias (stock, alias) VALUES ((SELECT id FROM stock WHERE ticker = 'ABBA'), 'Mahaka Media Tbk') ON CONFLICT DO NOTHING;</v>
      </c>
    </row>
    <row r="16" spans="1:7" x14ac:dyDescent="0.2">
      <c r="A16" t="s">
        <v>9</v>
      </c>
      <c r="B16" t="s">
        <v>10</v>
      </c>
      <c r="C16" t="s">
        <v>4864</v>
      </c>
      <c r="D16" t="str">
        <f>TRIM(alias[[#This Row],[Column3]])</f>
        <v>PT Mahaka Media</v>
      </c>
      <c r="F16" t="str">
        <f t="shared" si="0"/>
        <v>INSERT INTO stock_alias (stock, alias) VALUES ((SELECT id FROM stock WHERE ticker = 'ABBA'), 'PT Mahaka Media') ON CONFLICT DO NOTHING;</v>
      </c>
    </row>
    <row r="17" spans="1:6" x14ac:dyDescent="0.2">
      <c r="A17" t="s">
        <v>13</v>
      </c>
      <c r="B17" t="s">
        <v>14</v>
      </c>
      <c r="C17" t="s">
        <v>13</v>
      </c>
      <c r="D17" t="str">
        <f>TRIM(alias[[#This Row],[Column3]])</f>
        <v>ABDA</v>
      </c>
      <c r="F17" t="str">
        <f t="shared" si="0"/>
        <v>INSERT INTO stock_alias (stock, alias) VALUES ((SELECT id FROM stock WHERE ticker = 'ABDA'), 'ABDA') ON CONFLICT DO NOTHING;</v>
      </c>
    </row>
    <row r="18" spans="1:6" x14ac:dyDescent="0.2">
      <c r="A18" t="s">
        <v>13</v>
      </c>
      <c r="B18" t="s">
        <v>14</v>
      </c>
      <c r="C18" t="s">
        <v>4865</v>
      </c>
      <c r="D18" t="str">
        <f>TRIM(alias[[#This Row],[Column3]])</f>
        <v>Asuransi Bina Dana Arta</v>
      </c>
      <c r="F18" t="str">
        <f t="shared" si="0"/>
        <v>INSERT INTO stock_alias (stock, alias) VALUES ((SELECT id FROM stock WHERE ticker = 'ABDA'), 'Asuransi Bina Dana Arta') ON CONFLICT DO NOTHING;</v>
      </c>
    </row>
    <row r="19" spans="1:6" x14ac:dyDescent="0.2">
      <c r="A19" t="s">
        <v>13</v>
      </c>
      <c r="B19" t="s">
        <v>14</v>
      </c>
      <c r="C19" t="s">
        <v>4866</v>
      </c>
      <c r="D19" t="str">
        <f>TRIM(alias[[#This Row],[Column3]])</f>
        <v>Asuransi Bina Dana Arta Tbk</v>
      </c>
      <c r="F19" t="str">
        <f t="shared" si="0"/>
        <v>INSERT INTO stock_alias (stock, alias) VALUES ((SELECT id FROM stock WHERE ticker = 'ABDA'), 'Asuransi Bina Dana Arta Tbk') ON CONFLICT DO NOTHING;</v>
      </c>
    </row>
    <row r="20" spans="1:6" x14ac:dyDescent="0.2">
      <c r="A20" t="s">
        <v>13</v>
      </c>
      <c r="B20" t="s">
        <v>14</v>
      </c>
      <c r="C20" t="s">
        <v>4867</v>
      </c>
      <c r="D20" t="str">
        <f>TRIM(alias[[#This Row],[Column3]])</f>
        <v>PT Asuransi Bina Dana Arta</v>
      </c>
      <c r="F20" t="str">
        <f t="shared" si="0"/>
        <v>INSERT INTO stock_alias (stock, alias) VALUES ((SELECT id FROM stock WHERE ticker = 'ABDA'), 'PT Asuransi Bina Dana Arta') ON CONFLICT DO NOTHING;</v>
      </c>
    </row>
    <row r="21" spans="1:6" x14ac:dyDescent="0.2">
      <c r="A21" t="s">
        <v>16</v>
      </c>
      <c r="B21" t="s">
        <v>17</v>
      </c>
      <c r="C21" t="s">
        <v>16</v>
      </c>
      <c r="D21" t="str">
        <f>TRIM(alias[[#This Row],[Column3]])</f>
        <v>ABMM</v>
      </c>
      <c r="F21" t="str">
        <f t="shared" si="0"/>
        <v>INSERT INTO stock_alias (stock, alias) VALUES ((SELECT id FROM stock WHERE ticker = 'ABMM'), 'ABMM') ON CONFLICT DO NOTHING;</v>
      </c>
    </row>
    <row r="22" spans="1:6" x14ac:dyDescent="0.2">
      <c r="A22" t="s">
        <v>16</v>
      </c>
      <c r="B22" t="s">
        <v>17</v>
      </c>
      <c r="C22" t="s">
        <v>4868</v>
      </c>
      <c r="D22" t="str">
        <f>TRIM(alias[[#This Row],[Column3]])</f>
        <v>ABM</v>
      </c>
      <c r="F22" t="str">
        <f t="shared" si="0"/>
        <v>INSERT INTO stock_alias (stock, alias) VALUES ((SELECT id FROM stock WHERE ticker = 'ABMM'), 'ABM') ON CONFLICT DO NOTHING;</v>
      </c>
    </row>
    <row r="23" spans="1:6" x14ac:dyDescent="0.2">
      <c r="A23" t="s">
        <v>16</v>
      </c>
      <c r="B23" t="s">
        <v>17</v>
      </c>
      <c r="C23" t="s">
        <v>4869</v>
      </c>
      <c r="D23" t="str">
        <f>TRIM(alias[[#This Row],[Column3]])</f>
        <v>ABM Investama</v>
      </c>
      <c r="F23" t="str">
        <f t="shared" si="0"/>
        <v>INSERT INTO stock_alias (stock, alias) VALUES ((SELECT id FROM stock WHERE ticker = 'ABMM'), 'ABM Investama') ON CONFLICT DO NOTHING;</v>
      </c>
    </row>
    <row r="24" spans="1:6" x14ac:dyDescent="0.2">
      <c r="A24" t="s">
        <v>16</v>
      </c>
      <c r="B24" t="s">
        <v>17</v>
      </c>
      <c r="C24" t="s">
        <v>4870</v>
      </c>
      <c r="D24" t="str">
        <f>TRIM(alias[[#This Row],[Column3]])</f>
        <v>ABM Investama Tbk</v>
      </c>
      <c r="F24" t="str">
        <f t="shared" si="0"/>
        <v>INSERT INTO stock_alias (stock, alias) VALUES ((SELECT id FROM stock WHERE ticker = 'ABMM'), 'ABM Investama Tbk') ON CONFLICT DO NOTHING;</v>
      </c>
    </row>
    <row r="25" spans="1:6" x14ac:dyDescent="0.2">
      <c r="A25" t="s">
        <v>16</v>
      </c>
      <c r="B25" t="s">
        <v>17</v>
      </c>
      <c r="C25" t="s">
        <v>4871</v>
      </c>
      <c r="D25" t="str">
        <f>TRIM(alias[[#This Row],[Column3]])</f>
        <v>PT ABM Investama</v>
      </c>
      <c r="F25" t="str">
        <f t="shared" si="0"/>
        <v>INSERT INTO stock_alias (stock, alias) VALUES ((SELECT id FROM stock WHERE ticker = 'ABMM'), 'PT ABM Investama') ON CONFLICT DO NOTHING;</v>
      </c>
    </row>
    <row r="26" spans="1:6" x14ac:dyDescent="0.2">
      <c r="A26" t="s">
        <v>19</v>
      </c>
      <c r="B26" t="s">
        <v>20</v>
      </c>
      <c r="C26" t="s">
        <v>19</v>
      </c>
      <c r="D26" t="str">
        <f>TRIM(alias[[#This Row],[Column3]])</f>
        <v>ACES</v>
      </c>
      <c r="F26" t="str">
        <f t="shared" si="0"/>
        <v>INSERT INTO stock_alias (stock, alias) VALUES ((SELECT id FROM stock WHERE ticker = 'ACES'), 'ACES') ON CONFLICT DO NOTHING;</v>
      </c>
    </row>
    <row r="27" spans="1:6" x14ac:dyDescent="0.2">
      <c r="A27" t="s">
        <v>19</v>
      </c>
      <c r="B27" t="s">
        <v>20</v>
      </c>
      <c r="C27" t="s">
        <v>4872</v>
      </c>
      <c r="D27" t="str">
        <f>TRIM(alias[[#This Row],[Column3]])</f>
        <v>AHI</v>
      </c>
      <c r="F27" t="str">
        <f t="shared" si="0"/>
        <v>INSERT INTO stock_alias (stock, alias) VALUES ((SELECT id FROM stock WHERE ticker = 'ACES'), 'AHI') ON CONFLICT DO NOTHING;</v>
      </c>
    </row>
    <row r="28" spans="1:6" x14ac:dyDescent="0.2">
      <c r="A28" t="s">
        <v>19</v>
      </c>
      <c r="B28" t="s">
        <v>20</v>
      </c>
      <c r="C28" t="s">
        <v>4873</v>
      </c>
      <c r="D28" t="str">
        <f>TRIM(alias[[#This Row],[Column3]])</f>
        <v>AZKO</v>
      </c>
      <c r="F28" t="str">
        <f t="shared" si="0"/>
        <v>INSERT INTO stock_alias (stock, alias) VALUES ((SELECT id FROM stock WHERE ticker = 'ACES'), 'AZKO') ON CONFLICT DO NOTHING;</v>
      </c>
    </row>
    <row r="29" spans="1:6" x14ac:dyDescent="0.2">
      <c r="A29" t="s">
        <v>19</v>
      </c>
      <c r="B29" t="s">
        <v>20</v>
      </c>
      <c r="C29" t="s">
        <v>4874</v>
      </c>
      <c r="D29" t="str">
        <f>TRIM(alias[[#This Row],[Column3]])</f>
        <v>Aspirasi Hidup Indonesia</v>
      </c>
      <c r="F29" t="str">
        <f t="shared" si="0"/>
        <v>INSERT INTO stock_alias (stock, alias) VALUES ((SELECT id FROM stock WHERE ticker = 'ACES'), 'Aspirasi Hidup Indonesia') ON CONFLICT DO NOTHING;</v>
      </c>
    </row>
    <row r="30" spans="1:6" x14ac:dyDescent="0.2">
      <c r="A30" t="s">
        <v>19</v>
      </c>
      <c r="B30" t="s">
        <v>20</v>
      </c>
      <c r="C30" t="s">
        <v>4875</v>
      </c>
      <c r="D30" t="str">
        <f>TRIM(alias[[#This Row],[Column3]])</f>
        <v>Aspirasi Hidup Indonesia Tbk</v>
      </c>
      <c r="F30" t="str">
        <f t="shared" si="0"/>
        <v>INSERT INTO stock_alias (stock, alias) VALUES ((SELECT id FROM stock WHERE ticker = 'ACES'), 'Aspirasi Hidup Indonesia Tbk') ON CONFLICT DO NOTHING;</v>
      </c>
    </row>
    <row r="31" spans="1:6" x14ac:dyDescent="0.2">
      <c r="A31" t="s">
        <v>19</v>
      </c>
      <c r="B31" t="s">
        <v>20</v>
      </c>
      <c r="C31" t="s">
        <v>4876</v>
      </c>
      <c r="D31" t="str">
        <f>TRIM(alias[[#This Row],[Column3]])</f>
        <v>PT Aspirasi Hidup Indonesia</v>
      </c>
      <c r="F31" t="str">
        <f t="shared" si="0"/>
        <v>INSERT INTO stock_alias (stock, alias) VALUES ((SELECT id FROM stock WHERE ticker = 'ACES'), 'PT Aspirasi Hidup Indonesia') ON CONFLICT DO NOTHING;</v>
      </c>
    </row>
    <row r="32" spans="1:6" x14ac:dyDescent="0.2">
      <c r="A32" t="s">
        <v>2637</v>
      </c>
      <c r="B32" t="s">
        <v>2638</v>
      </c>
      <c r="C32" t="s">
        <v>2637</v>
      </c>
      <c r="D32" t="str">
        <f>TRIM(alias[[#This Row],[Column3]])</f>
        <v>ACRO</v>
      </c>
      <c r="F32" t="str">
        <f t="shared" si="0"/>
        <v>INSERT INTO stock_alias (stock, alias) VALUES ((SELECT id FROM stock WHERE ticker = 'ACRO'), 'ACRO') ON CONFLICT DO NOTHING;</v>
      </c>
    </row>
    <row r="33" spans="1:6" x14ac:dyDescent="0.2">
      <c r="A33" t="s">
        <v>2637</v>
      </c>
      <c r="B33" t="s">
        <v>2638</v>
      </c>
      <c r="C33" t="s">
        <v>4877</v>
      </c>
      <c r="D33" t="str">
        <f>TRIM(alias[[#This Row],[Column3]])</f>
        <v>PT Samcro Hyosung Adilestari</v>
      </c>
      <c r="F33" t="str">
        <f t="shared" si="0"/>
        <v>INSERT INTO stock_alias (stock, alias) VALUES ((SELECT id FROM stock WHERE ticker = 'ACRO'), 'PT Samcro Hyosung Adilestari') ON CONFLICT DO NOTHING;</v>
      </c>
    </row>
    <row r="34" spans="1:6" x14ac:dyDescent="0.2">
      <c r="A34" t="s">
        <v>2637</v>
      </c>
      <c r="B34" t="s">
        <v>2638</v>
      </c>
      <c r="C34" t="s">
        <v>4878</v>
      </c>
      <c r="D34" t="str">
        <f>TRIM(alias[[#This Row],[Column3]])</f>
        <v>Samcro Hyosung Adilestari</v>
      </c>
      <c r="F34" t="str">
        <f t="shared" si="0"/>
        <v>INSERT INTO stock_alias (stock, alias) VALUES ((SELECT id FROM stock WHERE ticker = 'ACRO'), 'Samcro Hyosung Adilestari') ON CONFLICT DO NOTHING;</v>
      </c>
    </row>
    <row r="35" spans="1:6" x14ac:dyDescent="0.2">
      <c r="A35" t="s">
        <v>2637</v>
      </c>
      <c r="B35" t="s">
        <v>2638</v>
      </c>
      <c r="C35" t="s">
        <v>4879</v>
      </c>
      <c r="D35" t="str">
        <f>TRIM(alias[[#This Row],[Column3]])</f>
        <v>Samcro Hyosung Adilestari Tbk</v>
      </c>
      <c r="F35" t="str">
        <f t="shared" si="0"/>
        <v>INSERT INTO stock_alias (stock, alias) VALUES ((SELECT id FROM stock WHERE ticker = 'ACRO'), 'Samcro Hyosung Adilestari Tbk') ON CONFLICT DO NOTHING;</v>
      </c>
    </row>
    <row r="36" spans="1:6" x14ac:dyDescent="0.2">
      <c r="A36" t="s">
        <v>22</v>
      </c>
      <c r="B36" t="s">
        <v>23</v>
      </c>
      <c r="C36" t="s">
        <v>22</v>
      </c>
      <c r="D36" t="str">
        <f>TRIM(alias[[#This Row],[Column3]])</f>
        <v>ACST</v>
      </c>
      <c r="F36" t="str">
        <f t="shared" si="0"/>
        <v>INSERT INTO stock_alias (stock, alias) VALUES ((SELECT id FROM stock WHERE ticker = 'ACST'), 'ACST') ON CONFLICT DO NOTHING;</v>
      </c>
    </row>
    <row r="37" spans="1:6" x14ac:dyDescent="0.2">
      <c r="A37" t="s">
        <v>22</v>
      </c>
      <c r="B37" t="s">
        <v>23</v>
      </c>
      <c r="C37" t="s">
        <v>4880</v>
      </c>
      <c r="D37" t="str">
        <f>TRIM(alias[[#This Row],[Column3]])</f>
        <v>Acset</v>
      </c>
      <c r="F37" t="str">
        <f t="shared" si="0"/>
        <v>INSERT INTO stock_alias (stock, alias) VALUES ((SELECT id FROM stock WHERE ticker = 'ACST'), 'Acset') ON CONFLICT DO NOTHING;</v>
      </c>
    </row>
    <row r="38" spans="1:6" x14ac:dyDescent="0.2">
      <c r="A38" t="s">
        <v>22</v>
      </c>
      <c r="B38" t="s">
        <v>23</v>
      </c>
      <c r="C38" t="s">
        <v>4881</v>
      </c>
      <c r="D38" t="str">
        <f>TRIM(alias[[#This Row],[Column3]])</f>
        <v>Acset Indonusa</v>
      </c>
      <c r="F38" t="str">
        <f t="shared" si="0"/>
        <v>INSERT INTO stock_alias (stock, alias) VALUES ((SELECT id FROM stock WHERE ticker = 'ACST'), 'Acset Indonusa') ON CONFLICT DO NOTHING;</v>
      </c>
    </row>
    <row r="39" spans="1:6" x14ac:dyDescent="0.2">
      <c r="A39" t="s">
        <v>22</v>
      </c>
      <c r="B39" t="s">
        <v>23</v>
      </c>
      <c r="C39" t="s">
        <v>4882</v>
      </c>
      <c r="D39" t="str">
        <f>TRIM(alias[[#This Row],[Column3]])</f>
        <v>Acset Indonusa Tbk</v>
      </c>
      <c r="F39" t="str">
        <f t="shared" si="0"/>
        <v>INSERT INTO stock_alias (stock, alias) VALUES ((SELECT id FROM stock WHERE ticker = 'ACST'), 'Acset Indonusa Tbk') ON CONFLICT DO NOTHING;</v>
      </c>
    </row>
    <row r="40" spans="1:6" x14ac:dyDescent="0.2">
      <c r="A40" t="s">
        <v>22</v>
      </c>
      <c r="B40" t="s">
        <v>23</v>
      </c>
      <c r="C40" t="s">
        <v>4883</v>
      </c>
      <c r="D40" t="str">
        <f>TRIM(alias[[#This Row],[Column3]])</f>
        <v>PT Acset Indonusa</v>
      </c>
      <c r="F40" t="str">
        <f t="shared" si="0"/>
        <v>INSERT INTO stock_alias (stock, alias) VALUES ((SELECT id FROM stock WHERE ticker = 'ACST'), 'PT Acset Indonusa') ON CONFLICT DO NOTHING;</v>
      </c>
    </row>
    <row r="41" spans="1:6" x14ac:dyDescent="0.2">
      <c r="A41" t="s">
        <v>1945</v>
      </c>
      <c r="B41" t="s">
        <v>1946</v>
      </c>
      <c r="C41" t="s">
        <v>1945</v>
      </c>
      <c r="D41" t="str">
        <f>TRIM(alias[[#This Row],[Column3]])</f>
        <v>ADCP</v>
      </c>
      <c r="F41" t="str">
        <f t="shared" si="0"/>
        <v>INSERT INTO stock_alias (stock, alias) VALUES ((SELECT id FROM stock WHERE ticker = 'ADCP'), 'ADCP') ON CONFLICT DO NOTHING;</v>
      </c>
    </row>
    <row r="42" spans="1:6" x14ac:dyDescent="0.2">
      <c r="A42" t="s">
        <v>1945</v>
      </c>
      <c r="B42" t="s">
        <v>1946</v>
      </c>
      <c r="C42" t="s">
        <v>4884</v>
      </c>
      <c r="D42" t="str">
        <f>TRIM(alias[[#This Row],[Column3]])</f>
        <v>Adhi Commuter Properti</v>
      </c>
      <c r="F42" t="str">
        <f t="shared" si="0"/>
        <v>INSERT INTO stock_alias (stock, alias) VALUES ((SELECT id FROM stock WHERE ticker = 'ADCP'), 'Adhi Commuter Properti') ON CONFLICT DO NOTHING;</v>
      </c>
    </row>
    <row r="43" spans="1:6" x14ac:dyDescent="0.2">
      <c r="A43" t="s">
        <v>1945</v>
      </c>
      <c r="B43" t="s">
        <v>1946</v>
      </c>
      <c r="C43" t="s">
        <v>4885</v>
      </c>
      <c r="D43" t="str">
        <f>TRIM(alias[[#This Row],[Column3]])</f>
        <v>Adhi Commuter Properti Tbk</v>
      </c>
      <c r="F43" t="str">
        <f t="shared" si="0"/>
        <v>INSERT INTO stock_alias (stock, alias) VALUES ((SELECT id FROM stock WHERE ticker = 'ADCP'), 'Adhi Commuter Properti Tbk') ON CONFLICT DO NOTHING;</v>
      </c>
    </row>
    <row r="44" spans="1:6" x14ac:dyDescent="0.2">
      <c r="A44" t="s">
        <v>1945</v>
      </c>
      <c r="B44" t="s">
        <v>1946</v>
      </c>
      <c r="C44" t="s">
        <v>4886</v>
      </c>
      <c r="D44" t="str">
        <f>TRIM(alias[[#This Row],[Column3]])</f>
        <v>PT Adhi Commuter Properti</v>
      </c>
      <c r="F44" t="str">
        <f t="shared" si="0"/>
        <v>INSERT INTO stock_alias (stock, alias) VALUES ((SELECT id FROM stock WHERE ticker = 'ADCP'), 'PT Adhi Commuter Properti') ON CONFLICT DO NOTHING;</v>
      </c>
    </row>
    <row r="45" spans="1:6" x14ac:dyDescent="0.2">
      <c r="A45" t="s">
        <v>25</v>
      </c>
      <c r="B45" t="s">
        <v>26</v>
      </c>
      <c r="C45" t="s">
        <v>25</v>
      </c>
      <c r="D45" t="str">
        <f>TRIM(alias[[#This Row],[Column3]])</f>
        <v>ADES</v>
      </c>
      <c r="F45" t="str">
        <f t="shared" si="0"/>
        <v>INSERT INTO stock_alias (stock, alias) VALUES ((SELECT id FROM stock WHERE ticker = 'ADES'), 'ADES') ON CONFLICT DO NOTHING;</v>
      </c>
    </row>
    <row r="46" spans="1:6" x14ac:dyDescent="0.2">
      <c r="A46" t="s">
        <v>25</v>
      </c>
      <c r="B46" t="s">
        <v>26</v>
      </c>
      <c r="C46" t="s">
        <v>4887</v>
      </c>
      <c r="D46" t="str">
        <f>TRIM(alias[[#This Row],[Column3]])</f>
        <v>Makarizo</v>
      </c>
      <c r="F46" t="str">
        <f t="shared" si="0"/>
        <v>INSERT INTO stock_alias (stock, alias) VALUES ((SELECT id FROM stock WHERE ticker = 'ADES'), 'Makarizo') ON CONFLICT DO NOTHING;</v>
      </c>
    </row>
    <row r="47" spans="1:6" x14ac:dyDescent="0.2">
      <c r="A47" t="s">
        <v>25</v>
      </c>
      <c r="B47" t="s">
        <v>26</v>
      </c>
      <c r="C47" t="s">
        <v>4888</v>
      </c>
      <c r="D47" t="str">
        <f>TRIM(alias[[#This Row],[Column3]])</f>
        <v>Akasha Wira International</v>
      </c>
      <c r="F47" t="str">
        <f t="shared" si="0"/>
        <v>INSERT INTO stock_alias (stock, alias) VALUES ((SELECT id FROM stock WHERE ticker = 'ADES'), 'Akasha Wira International') ON CONFLICT DO NOTHING;</v>
      </c>
    </row>
    <row r="48" spans="1:6" x14ac:dyDescent="0.2">
      <c r="A48" t="s">
        <v>25</v>
      </c>
      <c r="B48" t="s">
        <v>26</v>
      </c>
      <c r="C48" t="s">
        <v>4889</v>
      </c>
      <c r="D48" t="str">
        <f>TRIM(alias[[#This Row],[Column3]])</f>
        <v>Akasha Wira International Tbk</v>
      </c>
      <c r="F48" t="str">
        <f t="shared" si="0"/>
        <v>INSERT INTO stock_alias (stock, alias) VALUES ((SELECT id FROM stock WHERE ticker = 'ADES'), 'Akasha Wira International Tbk') ON CONFLICT DO NOTHING;</v>
      </c>
    </row>
    <row r="49" spans="1:6" x14ac:dyDescent="0.2">
      <c r="A49" t="s">
        <v>25</v>
      </c>
      <c r="B49" t="s">
        <v>26</v>
      </c>
      <c r="C49" t="s">
        <v>4890</v>
      </c>
      <c r="D49" t="str">
        <f>TRIM(alias[[#This Row],[Column3]])</f>
        <v>PT Akasha Wira International</v>
      </c>
      <c r="F49" t="str">
        <f t="shared" si="0"/>
        <v>INSERT INTO stock_alias (stock, alias) VALUES ((SELECT id FROM stock WHERE ticker = 'ADES'), 'PT Akasha Wira International') ON CONFLICT DO NOTHING;</v>
      </c>
    </row>
    <row r="50" spans="1:6" x14ac:dyDescent="0.2">
      <c r="A50" t="s">
        <v>29</v>
      </c>
      <c r="B50" t="s">
        <v>30</v>
      </c>
      <c r="C50" t="s">
        <v>29</v>
      </c>
      <c r="D50" t="str">
        <f>TRIM(alias[[#This Row],[Column3]])</f>
        <v>ADHI</v>
      </c>
      <c r="F50" t="str">
        <f t="shared" si="0"/>
        <v>INSERT INTO stock_alias (stock, alias) VALUES ((SELECT id FROM stock WHERE ticker = 'ADHI'), 'ADHI') ON CONFLICT DO NOTHING;</v>
      </c>
    </row>
    <row r="51" spans="1:6" x14ac:dyDescent="0.2">
      <c r="A51" t="s">
        <v>29</v>
      </c>
      <c r="B51" t="s">
        <v>30</v>
      </c>
      <c r="C51" t="s">
        <v>4891</v>
      </c>
      <c r="D51" t="str">
        <f>TRIM(alias[[#This Row],[Column3]])</f>
        <v>Adhi Karya (Persero)</v>
      </c>
      <c r="F51" t="str">
        <f t="shared" si="0"/>
        <v>INSERT INTO stock_alias (stock, alias) VALUES ((SELECT id FROM stock WHERE ticker = 'ADHI'), 'Adhi Karya (Persero)') ON CONFLICT DO NOTHING;</v>
      </c>
    </row>
    <row r="52" spans="1:6" x14ac:dyDescent="0.2">
      <c r="A52" t="s">
        <v>29</v>
      </c>
      <c r="B52" t="s">
        <v>30</v>
      </c>
      <c r="C52" t="s">
        <v>4892</v>
      </c>
      <c r="D52" t="str">
        <f>TRIM(alias[[#This Row],[Column3]])</f>
        <v>Adhi Karya (Persero) Tbk</v>
      </c>
      <c r="F52" t="str">
        <f t="shared" si="0"/>
        <v>INSERT INTO stock_alias (stock, alias) VALUES ((SELECT id FROM stock WHERE ticker = 'ADHI'), 'Adhi Karya (Persero) Tbk') ON CONFLICT DO NOTHING;</v>
      </c>
    </row>
    <row r="53" spans="1:6" x14ac:dyDescent="0.2">
      <c r="A53" t="s">
        <v>29</v>
      </c>
      <c r="B53" t="s">
        <v>30</v>
      </c>
      <c r="C53" t="s">
        <v>4893</v>
      </c>
      <c r="D53" t="str">
        <f>TRIM(alias[[#This Row],[Column3]])</f>
        <v>PT Adhi Karya (Persero)</v>
      </c>
      <c r="F53" t="str">
        <f t="shared" si="0"/>
        <v>INSERT INTO stock_alias (stock, alias) VALUES ((SELECT id FROM stock WHERE ticker = 'ADHI'), 'PT Adhi Karya (Persero)') ON CONFLICT DO NOTHING;</v>
      </c>
    </row>
    <row r="54" spans="1:6" x14ac:dyDescent="0.2">
      <c r="A54" t="s">
        <v>2660</v>
      </c>
      <c r="B54" t="s">
        <v>3492</v>
      </c>
      <c r="C54" t="s">
        <v>2660</v>
      </c>
      <c r="D54" t="str">
        <f>TRIM(alias[[#This Row],[Column3]])</f>
        <v>ADMF</v>
      </c>
      <c r="F54" t="str">
        <f t="shared" si="0"/>
        <v>INSERT INTO stock_alias (stock, alias) VALUES ((SELECT id FROM stock WHERE ticker = 'ADMF'), 'ADMF') ON CONFLICT DO NOTHING;</v>
      </c>
    </row>
    <row r="55" spans="1:6" x14ac:dyDescent="0.2">
      <c r="A55" t="s">
        <v>2660</v>
      </c>
      <c r="B55" t="s">
        <v>3492</v>
      </c>
      <c r="C55" t="s">
        <v>4894</v>
      </c>
      <c r="D55" t="str">
        <f>TRIM(alias[[#This Row],[Column3]])</f>
        <v>Adira</v>
      </c>
      <c r="F55" t="str">
        <f t="shared" si="0"/>
        <v>INSERT INTO stock_alias (stock, alias) VALUES ((SELECT id FROM stock WHERE ticker = 'ADMF'), 'Adira') ON CONFLICT DO NOTHING;</v>
      </c>
    </row>
    <row r="56" spans="1:6" x14ac:dyDescent="0.2">
      <c r="A56" t="s">
        <v>2660</v>
      </c>
      <c r="B56" t="s">
        <v>3492</v>
      </c>
      <c r="C56" t="s">
        <v>4895</v>
      </c>
      <c r="D56" t="str">
        <f>TRIM(alias[[#This Row],[Column3]])</f>
        <v>Adira Dinamika Multi Finance</v>
      </c>
      <c r="F56" t="str">
        <f t="shared" si="0"/>
        <v>INSERT INTO stock_alias (stock, alias) VALUES ((SELECT id FROM stock WHERE ticker = 'ADMF'), 'Adira Dinamika Multi Finance') ON CONFLICT DO NOTHING;</v>
      </c>
    </row>
    <row r="57" spans="1:6" x14ac:dyDescent="0.2">
      <c r="A57" t="s">
        <v>2660</v>
      </c>
      <c r="B57" t="s">
        <v>3492</v>
      </c>
      <c r="C57" t="s">
        <v>4896</v>
      </c>
      <c r="D57" t="str">
        <f>TRIM(alias[[#This Row],[Column3]])</f>
        <v>Adira Dinamika Multi Finance Tbk</v>
      </c>
      <c r="F57" t="str">
        <f t="shared" si="0"/>
        <v>INSERT INTO stock_alias (stock, alias) VALUES ((SELECT id FROM stock WHERE ticker = 'ADMF'), 'Adira Dinamika Multi Finance Tbk') ON CONFLICT DO NOTHING;</v>
      </c>
    </row>
    <row r="58" spans="1:6" x14ac:dyDescent="0.2">
      <c r="A58" t="s">
        <v>2660</v>
      </c>
      <c r="B58" t="s">
        <v>3492</v>
      </c>
      <c r="C58" t="s">
        <v>4897</v>
      </c>
      <c r="D58" t="str">
        <f>TRIM(alias[[#This Row],[Column3]])</f>
        <v>PT Adira Dinamika Multi Finance</v>
      </c>
      <c r="F58" t="str">
        <f t="shared" si="0"/>
        <v>INSERT INTO stock_alias (stock, alias) VALUES ((SELECT id FROM stock WHERE ticker = 'ADMF'), 'PT Adira Dinamika Multi Finance') ON CONFLICT DO NOTHING;</v>
      </c>
    </row>
    <row r="59" spans="1:6" x14ac:dyDescent="0.2">
      <c r="A59" t="s">
        <v>2662</v>
      </c>
      <c r="B59" t="s">
        <v>3493</v>
      </c>
      <c r="C59" t="s">
        <v>2662</v>
      </c>
      <c r="D59" t="str">
        <f>TRIM(alias[[#This Row],[Column3]])</f>
        <v>ADMG</v>
      </c>
      <c r="F59" t="str">
        <f t="shared" si="0"/>
        <v>INSERT INTO stock_alias (stock, alias) VALUES ((SELECT id FROM stock WHERE ticker = 'ADMG'), 'ADMG') ON CONFLICT DO NOTHING;</v>
      </c>
    </row>
    <row r="60" spans="1:6" x14ac:dyDescent="0.2">
      <c r="A60" t="s">
        <v>2662</v>
      </c>
      <c r="B60" t="s">
        <v>3493</v>
      </c>
      <c r="C60" t="s">
        <v>4898</v>
      </c>
      <c r="D60" t="str">
        <f>TRIM(alias[[#This Row],[Column3]])</f>
        <v>Polychem</v>
      </c>
      <c r="F60" t="str">
        <f t="shared" si="0"/>
        <v>INSERT INTO stock_alias (stock, alias) VALUES ((SELECT id FROM stock WHERE ticker = 'ADMG'), 'Polychem') ON CONFLICT DO NOTHING;</v>
      </c>
    </row>
    <row r="61" spans="1:6" x14ac:dyDescent="0.2">
      <c r="A61" t="s">
        <v>2662</v>
      </c>
      <c r="B61" t="s">
        <v>3493</v>
      </c>
      <c r="C61" t="s">
        <v>4899</v>
      </c>
      <c r="D61" t="str">
        <f>TRIM(alias[[#This Row],[Column3]])</f>
        <v>PT Polychem Indonesia</v>
      </c>
      <c r="F61" t="str">
        <f t="shared" si="0"/>
        <v>INSERT INTO stock_alias (stock, alias) VALUES ((SELECT id FROM stock WHERE ticker = 'ADMG'), 'PT Polychem Indonesia') ON CONFLICT DO NOTHING;</v>
      </c>
    </row>
    <row r="62" spans="1:6" x14ac:dyDescent="0.2">
      <c r="A62" t="s">
        <v>2662</v>
      </c>
      <c r="B62" t="s">
        <v>3493</v>
      </c>
      <c r="C62" t="s">
        <v>4900</v>
      </c>
      <c r="D62" t="str">
        <f>TRIM(alias[[#This Row],[Column3]])</f>
        <v>Polychem Indonesia</v>
      </c>
      <c r="F62" t="str">
        <f t="shared" si="0"/>
        <v>INSERT INTO stock_alias (stock, alias) VALUES ((SELECT id FROM stock WHERE ticker = 'ADMG'), 'Polychem Indonesia') ON CONFLICT DO NOTHING;</v>
      </c>
    </row>
    <row r="63" spans="1:6" x14ac:dyDescent="0.2">
      <c r="A63" t="s">
        <v>2662</v>
      </c>
      <c r="B63" t="s">
        <v>3493</v>
      </c>
      <c r="C63" t="s">
        <v>4901</v>
      </c>
      <c r="D63" t="str">
        <f>TRIM(alias[[#This Row],[Column3]])</f>
        <v>Polychem Indonesia Tbk</v>
      </c>
      <c r="F63" t="str">
        <f t="shared" si="0"/>
        <v>INSERT INTO stock_alias (stock, alias) VALUES ((SELECT id FROM stock WHERE ticker = 'ADMG'), 'Polychem Indonesia Tbk') ON CONFLICT DO NOTHING;</v>
      </c>
    </row>
    <row r="64" spans="1:6" x14ac:dyDescent="0.2">
      <c r="A64" t="s">
        <v>2060</v>
      </c>
      <c r="B64" t="s">
        <v>3494</v>
      </c>
      <c r="C64" t="s">
        <v>2060</v>
      </c>
      <c r="D64" t="str">
        <f>TRIM(alias[[#This Row],[Column3]])</f>
        <v>ADMR</v>
      </c>
      <c r="F64" t="str">
        <f t="shared" si="0"/>
        <v>INSERT INTO stock_alias (stock, alias) VALUES ((SELECT id FROM stock WHERE ticker = 'ADMR'), 'ADMR') ON CONFLICT DO NOTHING;</v>
      </c>
    </row>
    <row r="65" spans="1:6" x14ac:dyDescent="0.2">
      <c r="A65" t="s">
        <v>2060</v>
      </c>
      <c r="B65" t="s">
        <v>3494</v>
      </c>
      <c r="C65" t="s">
        <v>4902</v>
      </c>
      <c r="D65" t="str">
        <f>TRIM(alias[[#This Row],[Column3]])</f>
        <v>Alamtri Minerals Indonesia</v>
      </c>
      <c r="F65" t="str">
        <f t="shared" si="0"/>
        <v>INSERT INTO stock_alias (stock, alias) VALUES ((SELECT id FROM stock WHERE ticker = 'ADMR'), 'Alamtri Minerals Indonesia') ON CONFLICT DO NOTHING;</v>
      </c>
    </row>
    <row r="66" spans="1:6" x14ac:dyDescent="0.2">
      <c r="A66" t="s">
        <v>2060</v>
      </c>
      <c r="B66" t="s">
        <v>3494</v>
      </c>
      <c r="C66" t="s">
        <v>4903</v>
      </c>
      <c r="D66" t="str">
        <f>TRIM(alias[[#This Row],[Column3]])</f>
        <v>Alamtri Minerals Indonesia Tbk</v>
      </c>
      <c r="F66" t="str">
        <f t="shared" si="0"/>
        <v>INSERT INTO stock_alias (stock, alias) VALUES ((SELECT id FROM stock WHERE ticker = 'ADMR'), 'Alamtri Minerals Indonesia Tbk') ON CONFLICT DO NOTHING;</v>
      </c>
    </row>
    <row r="67" spans="1:6" x14ac:dyDescent="0.2">
      <c r="A67" t="s">
        <v>2060</v>
      </c>
      <c r="B67" t="s">
        <v>3494</v>
      </c>
      <c r="C67" t="s">
        <v>4904</v>
      </c>
      <c r="D67" t="str">
        <f>TRIM(alias[[#This Row],[Column3]])</f>
        <v>PT Alamtri Minerals Indonesia</v>
      </c>
      <c r="F67" t="str">
        <f t="shared" si="0"/>
        <v>INSERT INTO stock_alias (stock, alias) VALUES ((SELECT id FROM stock WHERE ticker = 'ADMR'), 'PT Alamtri Minerals Indonesia') ON CONFLICT DO NOTHING;</v>
      </c>
    </row>
    <row r="68" spans="1:6" x14ac:dyDescent="0.2">
      <c r="A68" t="s">
        <v>2665</v>
      </c>
      <c r="B68" t="s">
        <v>3495</v>
      </c>
      <c r="C68" t="s">
        <v>2665</v>
      </c>
      <c r="D68" t="str">
        <f>TRIM(alias[[#This Row],[Column3]])</f>
        <v>ADRO</v>
      </c>
      <c r="F68" t="str">
        <f t="shared" ref="F68:F131" si="1">_xlfn.CONCAT($F$1, _xlfn.CONCAT($G$1, A68, "'), '", D68, "') ON CONFLICT DO NOTHING;"))</f>
        <v>INSERT INTO stock_alias (stock, alias) VALUES ((SELECT id FROM stock WHERE ticker = 'ADRO'), 'ADRO') ON CONFLICT DO NOTHING;</v>
      </c>
    </row>
    <row r="69" spans="1:6" x14ac:dyDescent="0.2">
      <c r="A69" t="s">
        <v>2665</v>
      </c>
      <c r="B69" t="s">
        <v>3495</v>
      </c>
      <c r="C69" t="s">
        <v>4905</v>
      </c>
      <c r="D69" t="str">
        <f>TRIM(alias[[#This Row],[Column3]])</f>
        <v>Alamtri Resources Indonesia</v>
      </c>
      <c r="F69" t="str">
        <f t="shared" si="1"/>
        <v>INSERT INTO stock_alias (stock, alias) VALUES ((SELECT id FROM stock WHERE ticker = 'ADRO'), 'Alamtri Resources Indonesia') ON CONFLICT DO NOTHING;</v>
      </c>
    </row>
    <row r="70" spans="1:6" x14ac:dyDescent="0.2">
      <c r="A70" t="s">
        <v>2665</v>
      </c>
      <c r="B70" t="s">
        <v>3495</v>
      </c>
      <c r="C70" t="s">
        <v>4906</v>
      </c>
      <c r="D70" t="str">
        <f>TRIM(alias[[#This Row],[Column3]])</f>
        <v>Alamtri Resources Indonesia Tbk</v>
      </c>
      <c r="F70" t="str">
        <f t="shared" si="1"/>
        <v>INSERT INTO stock_alias (stock, alias) VALUES ((SELECT id FROM stock WHERE ticker = 'ADRO'), 'Alamtri Resources Indonesia Tbk') ON CONFLICT DO NOTHING;</v>
      </c>
    </row>
    <row r="71" spans="1:6" x14ac:dyDescent="0.2">
      <c r="A71" t="s">
        <v>2665</v>
      </c>
      <c r="B71" t="s">
        <v>3495</v>
      </c>
      <c r="C71" t="s">
        <v>4907</v>
      </c>
      <c r="D71" t="str">
        <f>TRIM(alias[[#This Row],[Column3]])</f>
        <v>PT Alamtri Resources Indonesia</v>
      </c>
      <c r="F71" t="str">
        <f t="shared" si="1"/>
        <v>INSERT INTO stock_alias (stock, alias) VALUES ((SELECT id FROM stock WHERE ticker = 'ADRO'), 'PT Alamtri Resources Indonesia') ON CONFLICT DO NOTHING;</v>
      </c>
    </row>
    <row r="72" spans="1:6" x14ac:dyDescent="0.2">
      <c r="A72" t="s">
        <v>2376</v>
      </c>
      <c r="B72" t="s">
        <v>3496</v>
      </c>
      <c r="C72" t="s">
        <v>2376</v>
      </c>
      <c r="D72" t="str">
        <f>TRIM(alias[[#This Row],[Column3]])</f>
        <v>AEGS</v>
      </c>
      <c r="F72" t="str">
        <f t="shared" si="1"/>
        <v>INSERT INTO stock_alias (stock, alias) VALUES ((SELECT id FROM stock WHERE ticker = 'AEGS'), 'AEGS') ON CONFLICT DO NOTHING;</v>
      </c>
    </row>
    <row r="73" spans="1:6" x14ac:dyDescent="0.2">
      <c r="A73" t="s">
        <v>2376</v>
      </c>
      <c r="B73" t="s">
        <v>3496</v>
      </c>
      <c r="C73" t="s">
        <v>4908</v>
      </c>
      <c r="D73" t="str">
        <f>TRIM(alias[[#This Row],[Column3]])</f>
        <v>Anugerah Spareparts Sejahtera</v>
      </c>
      <c r="F73" t="str">
        <f t="shared" si="1"/>
        <v>INSERT INTO stock_alias (stock, alias) VALUES ((SELECT id FROM stock WHERE ticker = 'AEGS'), 'Anugerah Spareparts Sejahtera') ON CONFLICT DO NOTHING;</v>
      </c>
    </row>
    <row r="74" spans="1:6" x14ac:dyDescent="0.2">
      <c r="A74" t="s">
        <v>2376</v>
      </c>
      <c r="B74" t="s">
        <v>3496</v>
      </c>
      <c r="C74" t="s">
        <v>4909</v>
      </c>
      <c r="D74" t="str">
        <f>TRIM(alias[[#This Row],[Column3]])</f>
        <v>Anugerah Spareparts Sejahtera Tbk</v>
      </c>
      <c r="F74" t="str">
        <f t="shared" si="1"/>
        <v>INSERT INTO stock_alias (stock, alias) VALUES ((SELECT id FROM stock WHERE ticker = 'AEGS'), 'Anugerah Spareparts Sejahtera Tbk') ON CONFLICT DO NOTHING;</v>
      </c>
    </row>
    <row r="75" spans="1:6" x14ac:dyDescent="0.2">
      <c r="A75" t="s">
        <v>2376</v>
      </c>
      <c r="B75" t="s">
        <v>3496</v>
      </c>
      <c r="C75" t="s">
        <v>4910</v>
      </c>
      <c r="D75" t="str">
        <f>TRIM(alias[[#This Row],[Column3]])</f>
        <v>PT Anugerah Spareparts Sejahtera</v>
      </c>
      <c r="F75" t="str">
        <f t="shared" si="1"/>
        <v>INSERT INTO stock_alias (stock, alias) VALUES ((SELECT id FROM stock WHERE ticker = 'AEGS'), 'PT Anugerah Spareparts Sejahtera') ON CONFLICT DO NOTHING;</v>
      </c>
    </row>
    <row r="76" spans="1:6" x14ac:dyDescent="0.2">
      <c r="A76" t="s">
        <v>1774</v>
      </c>
      <c r="B76" t="s">
        <v>1775</v>
      </c>
      <c r="C76" t="s">
        <v>1774</v>
      </c>
      <c r="D76" t="str">
        <f>TRIM(alias[[#This Row],[Column3]])</f>
        <v>AGAR</v>
      </c>
      <c r="F76" t="str">
        <f t="shared" si="1"/>
        <v>INSERT INTO stock_alias (stock, alias) VALUES ((SELECT id FROM stock WHERE ticker = 'AGAR'), 'AGAR') ON CONFLICT DO NOTHING;</v>
      </c>
    </row>
    <row r="77" spans="1:6" x14ac:dyDescent="0.2">
      <c r="A77" t="s">
        <v>1774</v>
      </c>
      <c r="B77" t="s">
        <v>1775</v>
      </c>
      <c r="C77" t="s">
        <v>4911</v>
      </c>
      <c r="D77" t="str">
        <f>TRIM(alias[[#This Row],[Column3]])</f>
        <v>Asia Sejahtera Mina</v>
      </c>
      <c r="F77" t="str">
        <f t="shared" si="1"/>
        <v>INSERT INTO stock_alias (stock, alias) VALUES ((SELECT id FROM stock WHERE ticker = 'AGAR'), 'Asia Sejahtera Mina') ON CONFLICT DO NOTHING;</v>
      </c>
    </row>
    <row r="78" spans="1:6" x14ac:dyDescent="0.2">
      <c r="A78" t="s">
        <v>1774</v>
      </c>
      <c r="B78" t="s">
        <v>1775</v>
      </c>
      <c r="C78" t="s">
        <v>4912</v>
      </c>
      <c r="D78" t="str">
        <f>TRIM(alias[[#This Row],[Column3]])</f>
        <v>Asia Sejahtera Mina Tbk</v>
      </c>
      <c r="F78" t="str">
        <f t="shared" si="1"/>
        <v>INSERT INTO stock_alias (stock, alias) VALUES ((SELECT id FROM stock WHERE ticker = 'AGAR'), 'Asia Sejahtera Mina Tbk') ON CONFLICT DO NOTHING;</v>
      </c>
    </row>
    <row r="79" spans="1:6" x14ac:dyDescent="0.2">
      <c r="A79" t="s">
        <v>1774</v>
      </c>
      <c r="B79" t="s">
        <v>1775</v>
      </c>
      <c r="C79" t="s">
        <v>4913</v>
      </c>
      <c r="D79" t="str">
        <f>TRIM(alias[[#This Row],[Column3]])</f>
        <v>PT Asia Sejahtera Mina</v>
      </c>
      <c r="F79" t="str">
        <f t="shared" si="1"/>
        <v>INSERT INTO stock_alias (stock, alias) VALUES ((SELECT id FROM stock WHERE ticker = 'AGAR'), 'PT Asia Sejahtera Mina') ON CONFLICT DO NOTHING;</v>
      </c>
    </row>
    <row r="80" spans="1:6" x14ac:dyDescent="0.2">
      <c r="A80" t="s">
        <v>2667</v>
      </c>
      <c r="B80" t="s">
        <v>2668</v>
      </c>
      <c r="C80" t="s">
        <v>2667</v>
      </c>
      <c r="D80" t="str">
        <f>TRIM(alias[[#This Row],[Column3]])</f>
        <v>AGII</v>
      </c>
      <c r="F80" t="str">
        <f t="shared" si="1"/>
        <v>INSERT INTO stock_alias (stock, alias) VALUES ((SELECT id FROM stock WHERE ticker = 'AGII'), 'AGII') ON CONFLICT DO NOTHING;</v>
      </c>
    </row>
    <row r="81" spans="1:6" x14ac:dyDescent="0.2">
      <c r="A81" t="s">
        <v>2667</v>
      </c>
      <c r="B81" t="s">
        <v>2668</v>
      </c>
      <c r="C81" t="s">
        <v>4914</v>
      </c>
      <c r="D81" t="str">
        <f>TRIM(alias[[#This Row],[Column3]])</f>
        <v>PT Samator Indo Gas</v>
      </c>
      <c r="F81" t="str">
        <f t="shared" si="1"/>
        <v>INSERT INTO stock_alias (stock, alias) VALUES ((SELECT id FROM stock WHERE ticker = 'AGII'), 'PT Samator Indo Gas') ON CONFLICT DO NOTHING;</v>
      </c>
    </row>
    <row r="82" spans="1:6" x14ac:dyDescent="0.2">
      <c r="A82" t="s">
        <v>2667</v>
      </c>
      <c r="B82" t="s">
        <v>2668</v>
      </c>
      <c r="C82" t="s">
        <v>4915</v>
      </c>
      <c r="D82" t="str">
        <f>TRIM(alias[[#This Row],[Column3]])</f>
        <v>Samator Indo Gas</v>
      </c>
      <c r="F82" t="str">
        <f t="shared" si="1"/>
        <v>INSERT INTO stock_alias (stock, alias) VALUES ((SELECT id FROM stock WHERE ticker = 'AGII'), 'Samator Indo Gas') ON CONFLICT DO NOTHING;</v>
      </c>
    </row>
    <row r="83" spans="1:6" x14ac:dyDescent="0.2">
      <c r="A83" t="s">
        <v>2667</v>
      </c>
      <c r="B83" t="s">
        <v>2668</v>
      </c>
      <c r="C83" t="s">
        <v>4916</v>
      </c>
      <c r="D83" t="str">
        <f>TRIM(alias[[#This Row],[Column3]])</f>
        <v>Samator Indo Gas Tbk</v>
      </c>
      <c r="F83" t="str">
        <f t="shared" si="1"/>
        <v>INSERT INTO stock_alias (stock, alias) VALUES ((SELECT id FROM stock WHERE ticker = 'AGII'), 'Samator Indo Gas Tbk') ON CONFLICT DO NOTHING;</v>
      </c>
    </row>
    <row r="84" spans="1:6" x14ac:dyDescent="0.2">
      <c r="A84" t="s">
        <v>2670</v>
      </c>
      <c r="B84" t="s">
        <v>2671</v>
      </c>
      <c r="C84" t="s">
        <v>2670</v>
      </c>
      <c r="D84" t="str">
        <f>TRIM(alias[[#This Row],[Column3]])</f>
        <v>AGRO</v>
      </c>
      <c r="F84" t="str">
        <f t="shared" si="1"/>
        <v>INSERT INTO stock_alias (stock, alias) VALUES ((SELECT id FROM stock WHERE ticker = 'AGRO'), 'AGRO') ON CONFLICT DO NOTHING;</v>
      </c>
    </row>
    <row r="85" spans="1:6" x14ac:dyDescent="0.2">
      <c r="A85" t="s">
        <v>2670</v>
      </c>
      <c r="B85" t="s">
        <v>2671</v>
      </c>
      <c r="C85" t="s">
        <v>4917</v>
      </c>
      <c r="D85" t="str">
        <f>TRIM(alias[[#This Row],[Column3]])</f>
        <v>Bank Raya Indonesia</v>
      </c>
      <c r="F85" t="str">
        <f t="shared" si="1"/>
        <v>INSERT INTO stock_alias (stock, alias) VALUES ((SELECT id FROM stock WHERE ticker = 'AGRO'), 'Bank Raya Indonesia') ON CONFLICT DO NOTHING;</v>
      </c>
    </row>
    <row r="86" spans="1:6" x14ac:dyDescent="0.2">
      <c r="A86" t="s">
        <v>2670</v>
      </c>
      <c r="B86" t="s">
        <v>2671</v>
      </c>
      <c r="C86" t="s">
        <v>4918</v>
      </c>
      <c r="D86" t="str">
        <f>TRIM(alias[[#This Row],[Column3]])</f>
        <v>Bank Raya Indonesia Tbk</v>
      </c>
      <c r="F86" t="str">
        <f t="shared" si="1"/>
        <v>INSERT INTO stock_alias (stock, alias) VALUES ((SELECT id FROM stock WHERE ticker = 'AGRO'), 'Bank Raya Indonesia Tbk') ON CONFLICT DO NOTHING;</v>
      </c>
    </row>
    <row r="87" spans="1:6" x14ac:dyDescent="0.2">
      <c r="A87" t="s">
        <v>2670</v>
      </c>
      <c r="B87" t="s">
        <v>2671</v>
      </c>
      <c r="C87" t="s">
        <v>4919</v>
      </c>
      <c r="D87" t="str">
        <f>TRIM(alias[[#This Row],[Column3]])</f>
        <v>PT Bank Raya Indonesia</v>
      </c>
      <c r="F87" t="str">
        <f t="shared" si="1"/>
        <v>INSERT INTO stock_alias (stock, alias) VALUES ((SELECT id FROM stock WHERE ticker = 'AGRO'), 'PT Bank Raya Indonesia') ON CONFLICT DO NOTHING;</v>
      </c>
    </row>
    <row r="88" spans="1:6" x14ac:dyDescent="0.2">
      <c r="A88" t="s">
        <v>2673</v>
      </c>
      <c r="B88" t="s">
        <v>2674</v>
      </c>
      <c r="C88" t="s">
        <v>2673</v>
      </c>
      <c r="D88" t="str">
        <f>TRIM(alias[[#This Row],[Column3]])</f>
        <v>AGRS</v>
      </c>
      <c r="F88" t="str">
        <f t="shared" si="1"/>
        <v>INSERT INTO stock_alias (stock, alias) VALUES ((SELECT id FROM stock WHERE ticker = 'AGRS'), 'AGRS') ON CONFLICT DO NOTHING;</v>
      </c>
    </row>
    <row r="89" spans="1:6" x14ac:dyDescent="0.2">
      <c r="A89" t="s">
        <v>2673</v>
      </c>
      <c r="B89" t="s">
        <v>2674</v>
      </c>
      <c r="C89" t="s">
        <v>4920</v>
      </c>
      <c r="D89" t="str">
        <f>TRIM(alias[[#This Row],[Column3]])</f>
        <v>Bank IBK Indonesia</v>
      </c>
      <c r="F89" t="str">
        <f t="shared" si="1"/>
        <v>INSERT INTO stock_alias (stock, alias) VALUES ((SELECT id FROM stock WHERE ticker = 'AGRS'), 'Bank IBK Indonesia') ON CONFLICT DO NOTHING;</v>
      </c>
    </row>
    <row r="90" spans="1:6" x14ac:dyDescent="0.2">
      <c r="A90" t="s">
        <v>2673</v>
      </c>
      <c r="B90" t="s">
        <v>2674</v>
      </c>
      <c r="C90" t="s">
        <v>4921</v>
      </c>
      <c r="D90" t="str">
        <f>TRIM(alias[[#This Row],[Column3]])</f>
        <v>Bank IBK Indonesia Tbk</v>
      </c>
      <c r="F90" t="str">
        <f t="shared" si="1"/>
        <v>INSERT INTO stock_alias (stock, alias) VALUES ((SELECT id FROM stock WHERE ticker = 'AGRS'), 'Bank IBK Indonesia Tbk') ON CONFLICT DO NOTHING;</v>
      </c>
    </row>
    <row r="91" spans="1:6" x14ac:dyDescent="0.2">
      <c r="A91" t="s">
        <v>2673</v>
      </c>
      <c r="B91" t="s">
        <v>2674</v>
      </c>
      <c r="C91" t="s">
        <v>4922</v>
      </c>
      <c r="D91" t="str">
        <f>TRIM(alias[[#This Row],[Column3]])</f>
        <v>PT Bank IBK Indonesia</v>
      </c>
      <c r="F91" t="str">
        <f t="shared" si="1"/>
        <v>INSERT INTO stock_alias (stock, alias) VALUES ((SELECT id FROM stock WHERE ticker = 'AGRS'), 'PT Bank IBK Indonesia') ON CONFLICT DO NOTHING;</v>
      </c>
    </row>
    <row r="92" spans="1:6" x14ac:dyDescent="0.2">
      <c r="A92" t="s">
        <v>2676</v>
      </c>
      <c r="B92" t="s">
        <v>3497</v>
      </c>
      <c r="C92" t="s">
        <v>2676</v>
      </c>
      <c r="D92" t="str">
        <f>TRIM(alias[[#This Row],[Column3]])</f>
        <v>AHAP</v>
      </c>
      <c r="F92" t="str">
        <f t="shared" si="1"/>
        <v>INSERT INTO stock_alias (stock, alias) VALUES ((SELECT id FROM stock WHERE ticker = 'AHAP'), 'AHAP') ON CONFLICT DO NOTHING;</v>
      </c>
    </row>
    <row r="93" spans="1:6" x14ac:dyDescent="0.2">
      <c r="A93" t="s">
        <v>2676</v>
      </c>
      <c r="B93" t="s">
        <v>3497</v>
      </c>
      <c r="C93" t="s">
        <v>4923</v>
      </c>
      <c r="D93" t="str">
        <f>TRIM(alias[[#This Row],[Column3]])</f>
        <v>Asuransi Harta Aman Pratama</v>
      </c>
      <c r="F93" t="str">
        <f t="shared" si="1"/>
        <v>INSERT INTO stock_alias (stock, alias) VALUES ((SELECT id FROM stock WHERE ticker = 'AHAP'), 'Asuransi Harta Aman Pratama') ON CONFLICT DO NOTHING;</v>
      </c>
    </row>
    <row r="94" spans="1:6" x14ac:dyDescent="0.2">
      <c r="A94" t="s">
        <v>2676</v>
      </c>
      <c r="B94" t="s">
        <v>3497</v>
      </c>
      <c r="C94" t="s">
        <v>4924</v>
      </c>
      <c r="D94" t="str">
        <f>TRIM(alias[[#This Row],[Column3]])</f>
        <v>Asuransi Harta Aman Pratama Tbk</v>
      </c>
      <c r="F94" t="str">
        <f t="shared" si="1"/>
        <v>INSERT INTO stock_alias (stock, alias) VALUES ((SELECT id FROM stock WHERE ticker = 'AHAP'), 'Asuransi Harta Aman Pratama Tbk') ON CONFLICT DO NOTHING;</v>
      </c>
    </row>
    <row r="95" spans="1:6" x14ac:dyDescent="0.2">
      <c r="A95" t="s">
        <v>2676</v>
      </c>
      <c r="B95" t="s">
        <v>3497</v>
      </c>
      <c r="C95" t="s">
        <v>4925</v>
      </c>
      <c r="D95" t="str">
        <f>TRIM(alias[[#This Row],[Column3]])</f>
        <v>PT Asuransi Harta Aman Pratama</v>
      </c>
      <c r="F95" t="str">
        <f t="shared" si="1"/>
        <v>INSERT INTO stock_alias (stock, alias) VALUES ((SELECT id FROM stock WHERE ticker = 'AHAP'), 'PT Asuransi Harta Aman Pratama') ON CONFLICT DO NOTHING;</v>
      </c>
    </row>
    <row r="96" spans="1:6" x14ac:dyDescent="0.2">
      <c r="A96" t="s">
        <v>2678</v>
      </c>
      <c r="B96" t="s">
        <v>2679</v>
      </c>
      <c r="C96" t="s">
        <v>2678</v>
      </c>
      <c r="D96" t="str">
        <f>TRIM(alias[[#This Row],[Column3]])</f>
        <v>AIMS</v>
      </c>
      <c r="F96" t="str">
        <f t="shared" si="1"/>
        <v>INSERT INTO stock_alias (stock, alias) VALUES ((SELECT id FROM stock WHERE ticker = 'AIMS'), 'AIMS') ON CONFLICT DO NOTHING;</v>
      </c>
    </row>
    <row r="97" spans="1:6" x14ac:dyDescent="0.2">
      <c r="A97" t="s">
        <v>2678</v>
      </c>
      <c r="B97" t="s">
        <v>2679</v>
      </c>
      <c r="C97" t="s">
        <v>4926</v>
      </c>
      <c r="D97" t="str">
        <f>TRIM(alias[[#This Row],[Column3]])</f>
        <v>Artha Mahiya Investama</v>
      </c>
      <c r="F97" t="str">
        <f t="shared" si="1"/>
        <v>INSERT INTO stock_alias (stock, alias) VALUES ((SELECT id FROM stock WHERE ticker = 'AIMS'), 'Artha Mahiya Investama') ON CONFLICT DO NOTHING;</v>
      </c>
    </row>
    <row r="98" spans="1:6" x14ac:dyDescent="0.2">
      <c r="A98" t="s">
        <v>2678</v>
      </c>
      <c r="B98" t="s">
        <v>2679</v>
      </c>
      <c r="C98" t="s">
        <v>4927</v>
      </c>
      <c r="D98" t="str">
        <f>TRIM(alias[[#This Row],[Column3]])</f>
        <v>Artha Mahiya Investama Tbk</v>
      </c>
      <c r="F98" t="str">
        <f t="shared" si="1"/>
        <v>INSERT INTO stock_alias (stock, alias) VALUES ((SELECT id FROM stock WHERE ticker = 'AIMS'), 'Artha Mahiya Investama Tbk') ON CONFLICT DO NOTHING;</v>
      </c>
    </row>
    <row r="99" spans="1:6" x14ac:dyDescent="0.2">
      <c r="A99" t="s">
        <v>2678</v>
      </c>
      <c r="B99" t="s">
        <v>2679</v>
      </c>
      <c r="C99" t="s">
        <v>4928</v>
      </c>
      <c r="D99" t="str">
        <f>TRIM(alias[[#This Row],[Column3]])</f>
        <v>PT Artha Mahiya Investama</v>
      </c>
      <c r="F99" t="str">
        <f t="shared" si="1"/>
        <v>INSERT INTO stock_alias (stock, alias) VALUES ((SELECT id FROM stock WHERE ticker = 'AIMS'), 'PT Artha Mahiya Investama') ON CONFLICT DO NOTHING;</v>
      </c>
    </row>
    <row r="100" spans="1:6" x14ac:dyDescent="0.2">
      <c r="A100" t="s">
        <v>32</v>
      </c>
      <c r="B100" t="s">
        <v>33</v>
      </c>
      <c r="C100" t="s">
        <v>32</v>
      </c>
      <c r="D100" t="str">
        <f>TRIM(alias[[#This Row],[Column3]])</f>
        <v>AISA</v>
      </c>
      <c r="F100" t="str">
        <f t="shared" si="1"/>
        <v>INSERT INTO stock_alias (stock, alias) VALUES ((SELECT id FROM stock WHERE ticker = 'AISA'), 'AISA') ON CONFLICT DO NOTHING;</v>
      </c>
    </row>
    <row r="101" spans="1:6" x14ac:dyDescent="0.2">
      <c r="A101" t="s">
        <v>32</v>
      </c>
      <c r="B101" t="s">
        <v>33</v>
      </c>
      <c r="C101" t="s">
        <v>4929</v>
      </c>
      <c r="D101" t="str">
        <f>TRIM(alias[[#This Row],[Column3]])</f>
        <v>FKS Food Sejahtera</v>
      </c>
      <c r="F101" t="str">
        <f t="shared" si="1"/>
        <v>INSERT INTO stock_alias (stock, alias) VALUES ((SELECT id FROM stock WHERE ticker = 'AISA'), 'FKS Food Sejahtera') ON CONFLICT DO NOTHING;</v>
      </c>
    </row>
    <row r="102" spans="1:6" x14ac:dyDescent="0.2">
      <c r="A102" t="s">
        <v>32</v>
      </c>
      <c r="B102" t="s">
        <v>33</v>
      </c>
      <c r="C102" t="s">
        <v>4930</v>
      </c>
      <c r="D102" t="str">
        <f>TRIM(alias[[#This Row],[Column3]])</f>
        <v>FKS Food Sejahtera Tbk</v>
      </c>
      <c r="F102" t="str">
        <f t="shared" si="1"/>
        <v>INSERT INTO stock_alias (stock, alias) VALUES ((SELECT id FROM stock WHERE ticker = 'AISA'), 'FKS Food Sejahtera Tbk') ON CONFLICT DO NOTHING;</v>
      </c>
    </row>
    <row r="103" spans="1:6" x14ac:dyDescent="0.2">
      <c r="A103" t="s">
        <v>32</v>
      </c>
      <c r="B103" t="s">
        <v>33</v>
      </c>
      <c r="C103" t="s">
        <v>4931</v>
      </c>
      <c r="D103" t="str">
        <f>TRIM(alias[[#This Row],[Column3]])</f>
        <v>PT FKS Food Sejahtera</v>
      </c>
      <c r="F103" t="str">
        <f t="shared" si="1"/>
        <v>INSERT INTO stock_alias (stock, alias) VALUES ((SELECT id FROM stock WHERE ticker = 'AISA'), 'PT FKS Food Sejahtera') ON CONFLICT DO NOTHING;</v>
      </c>
    </row>
    <row r="104" spans="1:6" x14ac:dyDescent="0.2">
      <c r="A104" t="s">
        <v>35</v>
      </c>
      <c r="B104" t="s">
        <v>3498</v>
      </c>
      <c r="C104" t="s">
        <v>35</v>
      </c>
      <c r="D104" t="str">
        <f>TRIM(alias[[#This Row],[Column3]])</f>
        <v>AKKU</v>
      </c>
      <c r="F104" t="str">
        <f t="shared" si="1"/>
        <v>INSERT INTO stock_alias (stock, alias) VALUES ((SELECT id FROM stock WHERE ticker = 'AKKU'), 'AKKU') ON CONFLICT DO NOTHING;</v>
      </c>
    </row>
    <row r="105" spans="1:6" x14ac:dyDescent="0.2">
      <c r="A105" t="s">
        <v>35</v>
      </c>
      <c r="B105" t="s">
        <v>3498</v>
      </c>
      <c r="C105" t="s">
        <v>4932</v>
      </c>
      <c r="D105" t="str">
        <f>TRIM(alias[[#This Row],[Column3]])</f>
        <v>Anugerah Kagum Karya Utama</v>
      </c>
      <c r="F105" t="str">
        <f t="shared" si="1"/>
        <v>INSERT INTO stock_alias (stock, alias) VALUES ((SELECT id FROM stock WHERE ticker = 'AKKU'), 'Anugerah Kagum Karya Utama') ON CONFLICT DO NOTHING;</v>
      </c>
    </row>
    <row r="106" spans="1:6" x14ac:dyDescent="0.2">
      <c r="A106" t="s">
        <v>35</v>
      </c>
      <c r="B106" t="s">
        <v>3498</v>
      </c>
      <c r="C106" t="s">
        <v>4933</v>
      </c>
      <c r="D106" t="str">
        <f>TRIM(alias[[#This Row],[Column3]])</f>
        <v>Anugerah Kagum Karya Utama Tbk</v>
      </c>
      <c r="F106" t="str">
        <f t="shared" si="1"/>
        <v>INSERT INTO stock_alias (stock, alias) VALUES ((SELECT id FROM stock WHERE ticker = 'AKKU'), 'Anugerah Kagum Karya Utama Tbk') ON CONFLICT DO NOTHING;</v>
      </c>
    </row>
    <row r="107" spans="1:6" x14ac:dyDescent="0.2">
      <c r="A107" t="s">
        <v>35</v>
      </c>
      <c r="B107" t="s">
        <v>3498</v>
      </c>
      <c r="C107" t="s">
        <v>4934</v>
      </c>
      <c r="D107" t="str">
        <f>TRIM(alias[[#This Row],[Column3]])</f>
        <v>PT Anugerah Kagum Karya Utama</v>
      </c>
      <c r="F107" t="str">
        <f t="shared" si="1"/>
        <v>INSERT INTO stock_alias (stock, alias) VALUES ((SELECT id FROM stock WHERE ticker = 'AKKU'), 'PT Anugerah Kagum Karya Utama') ON CONFLICT DO NOTHING;</v>
      </c>
    </row>
    <row r="108" spans="1:6" x14ac:dyDescent="0.2">
      <c r="A108" t="s">
        <v>38</v>
      </c>
      <c r="B108" t="s">
        <v>3499</v>
      </c>
      <c r="C108" t="s">
        <v>38</v>
      </c>
      <c r="D108" t="str">
        <f>TRIM(alias[[#This Row],[Column3]])</f>
        <v>AKPI</v>
      </c>
      <c r="F108" t="str">
        <f t="shared" si="1"/>
        <v>INSERT INTO stock_alias (stock, alias) VALUES ((SELECT id FROM stock WHERE ticker = 'AKPI'), 'AKPI') ON CONFLICT DO NOTHING;</v>
      </c>
    </row>
    <row r="109" spans="1:6" x14ac:dyDescent="0.2">
      <c r="A109" t="s">
        <v>38</v>
      </c>
      <c r="B109" t="s">
        <v>3499</v>
      </c>
      <c r="C109" t="s">
        <v>4935</v>
      </c>
      <c r="D109" t="str">
        <f>TRIM(alias[[#This Row],[Column3]])</f>
        <v>Argha Karya Prima Industry</v>
      </c>
      <c r="F109" t="str">
        <f t="shared" si="1"/>
        <v>INSERT INTO stock_alias (stock, alias) VALUES ((SELECT id FROM stock WHERE ticker = 'AKPI'), 'Argha Karya Prima Industry') ON CONFLICT DO NOTHING;</v>
      </c>
    </row>
    <row r="110" spans="1:6" x14ac:dyDescent="0.2">
      <c r="A110" t="s">
        <v>38</v>
      </c>
      <c r="B110" t="s">
        <v>3499</v>
      </c>
      <c r="C110" t="s">
        <v>4936</v>
      </c>
      <c r="D110" t="str">
        <f>TRIM(alias[[#This Row],[Column3]])</f>
        <v>Argha Karya Prima Industry Tbk</v>
      </c>
      <c r="F110" t="str">
        <f t="shared" si="1"/>
        <v>INSERT INTO stock_alias (stock, alias) VALUES ((SELECT id FROM stock WHERE ticker = 'AKPI'), 'Argha Karya Prima Industry Tbk') ON CONFLICT DO NOTHING;</v>
      </c>
    </row>
    <row r="111" spans="1:6" x14ac:dyDescent="0.2">
      <c r="A111" t="s">
        <v>38</v>
      </c>
      <c r="B111" t="s">
        <v>3499</v>
      </c>
      <c r="C111" t="s">
        <v>4937</v>
      </c>
      <c r="D111" t="str">
        <f>TRIM(alias[[#This Row],[Column3]])</f>
        <v>PT Argha Karya Prima Industry</v>
      </c>
      <c r="F111" t="str">
        <f t="shared" si="1"/>
        <v>INSERT INTO stock_alias (stock, alias) VALUES ((SELECT id FROM stock WHERE ticker = 'AKPI'), 'PT Argha Karya Prima Industry') ON CONFLICT DO NOTHING;</v>
      </c>
    </row>
    <row r="112" spans="1:6" x14ac:dyDescent="0.2">
      <c r="A112" t="s">
        <v>41</v>
      </c>
      <c r="B112" t="s">
        <v>42</v>
      </c>
      <c r="C112" t="s">
        <v>41</v>
      </c>
      <c r="D112" t="str">
        <f>TRIM(alias[[#This Row],[Column3]])</f>
        <v>AKRA</v>
      </c>
      <c r="F112" t="str">
        <f t="shared" si="1"/>
        <v>INSERT INTO stock_alias (stock, alias) VALUES ((SELECT id FROM stock WHERE ticker = 'AKRA'), 'AKRA') ON CONFLICT DO NOTHING;</v>
      </c>
    </row>
    <row r="113" spans="1:6" x14ac:dyDescent="0.2">
      <c r="A113" t="s">
        <v>41</v>
      </c>
      <c r="B113" t="s">
        <v>42</v>
      </c>
      <c r="C113" t="s">
        <v>4938</v>
      </c>
      <c r="D113" t="str">
        <f>TRIM(alias[[#This Row],[Column3]])</f>
        <v>AKR</v>
      </c>
      <c r="F113" t="str">
        <f t="shared" si="1"/>
        <v>INSERT INTO stock_alias (stock, alias) VALUES ((SELECT id FROM stock WHERE ticker = 'AKRA'), 'AKR') ON CONFLICT DO NOTHING;</v>
      </c>
    </row>
    <row r="114" spans="1:6" x14ac:dyDescent="0.2">
      <c r="A114" t="s">
        <v>41</v>
      </c>
      <c r="B114" t="s">
        <v>42</v>
      </c>
      <c r="C114" t="s">
        <v>4939</v>
      </c>
      <c r="D114" t="str">
        <f>TRIM(alias[[#This Row],[Column3]])</f>
        <v>AKR Corporindo</v>
      </c>
      <c r="F114" t="str">
        <f t="shared" si="1"/>
        <v>INSERT INTO stock_alias (stock, alias) VALUES ((SELECT id FROM stock WHERE ticker = 'AKRA'), 'AKR Corporindo') ON CONFLICT DO NOTHING;</v>
      </c>
    </row>
    <row r="115" spans="1:6" x14ac:dyDescent="0.2">
      <c r="A115" t="s">
        <v>41</v>
      </c>
      <c r="B115" t="s">
        <v>42</v>
      </c>
      <c r="C115" t="s">
        <v>4940</v>
      </c>
      <c r="D115" t="str">
        <f>TRIM(alias[[#This Row],[Column3]])</f>
        <v>AKR Corporindo Tbk</v>
      </c>
      <c r="F115" t="str">
        <f t="shared" si="1"/>
        <v>INSERT INTO stock_alias (stock, alias) VALUES ((SELECT id FROM stock WHERE ticker = 'AKRA'), 'AKR Corporindo Tbk') ON CONFLICT DO NOTHING;</v>
      </c>
    </row>
    <row r="116" spans="1:6" x14ac:dyDescent="0.2">
      <c r="A116" t="s">
        <v>41</v>
      </c>
      <c r="B116" t="s">
        <v>42</v>
      </c>
      <c r="C116" t="s">
        <v>4941</v>
      </c>
      <c r="D116" t="str">
        <f>TRIM(alias[[#This Row],[Column3]])</f>
        <v>PT AKR Corporindo</v>
      </c>
      <c r="F116" t="str">
        <f t="shared" si="1"/>
        <v>INSERT INTO stock_alias (stock, alias) VALUES ((SELECT id FROM stock WHERE ticker = 'AKRA'), 'PT AKR Corporindo') ON CONFLICT DO NOTHING;</v>
      </c>
    </row>
    <row r="117" spans="1:6" x14ac:dyDescent="0.2">
      <c r="A117" t="s">
        <v>44</v>
      </c>
      <c r="B117" t="s">
        <v>3500</v>
      </c>
      <c r="C117" t="s">
        <v>44</v>
      </c>
      <c r="D117" t="str">
        <f>TRIM(alias[[#This Row],[Column3]])</f>
        <v>AKSI</v>
      </c>
      <c r="F117" t="str">
        <f t="shared" si="1"/>
        <v>INSERT INTO stock_alias (stock, alias) VALUES ((SELECT id FROM stock WHERE ticker = 'AKSI'), 'AKSI') ON CONFLICT DO NOTHING;</v>
      </c>
    </row>
    <row r="118" spans="1:6" x14ac:dyDescent="0.2">
      <c r="A118" t="s">
        <v>44</v>
      </c>
      <c r="B118" t="s">
        <v>3500</v>
      </c>
      <c r="C118" t="s">
        <v>4942</v>
      </c>
      <c r="D118" t="str">
        <f>TRIM(alias[[#This Row],[Column3]])</f>
        <v>Mineral Sumberdaya Mandiri</v>
      </c>
      <c r="F118" t="str">
        <f t="shared" si="1"/>
        <v>INSERT INTO stock_alias (stock, alias) VALUES ((SELECT id FROM stock WHERE ticker = 'AKSI'), 'Mineral Sumberdaya Mandiri') ON CONFLICT DO NOTHING;</v>
      </c>
    </row>
    <row r="119" spans="1:6" x14ac:dyDescent="0.2">
      <c r="A119" t="s">
        <v>44</v>
      </c>
      <c r="B119" t="s">
        <v>3500</v>
      </c>
      <c r="C119" t="s">
        <v>4943</v>
      </c>
      <c r="D119" t="str">
        <f>TRIM(alias[[#This Row],[Column3]])</f>
        <v>Mineral Sumberdaya Mandiri Tbk</v>
      </c>
      <c r="F119" t="str">
        <f t="shared" si="1"/>
        <v>INSERT INTO stock_alias (stock, alias) VALUES ((SELECT id FROM stock WHERE ticker = 'AKSI'), 'Mineral Sumberdaya Mandiri Tbk') ON CONFLICT DO NOTHING;</v>
      </c>
    </row>
    <row r="120" spans="1:6" x14ac:dyDescent="0.2">
      <c r="A120" t="s">
        <v>44</v>
      </c>
      <c r="B120" t="s">
        <v>3500</v>
      </c>
      <c r="C120" t="s">
        <v>4944</v>
      </c>
      <c r="D120" t="str">
        <f>TRIM(alias[[#This Row],[Column3]])</f>
        <v>PT Mineral Sumberdaya Mandiri</v>
      </c>
      <c r="F120" t="str">
        <f t="shared" si="1"/>
        <v>INSERT INTO stock_alias (stock, alias) VALUES ((SELECT id FROM stock WHERE ticker = 'AKSI'), 'PT Mineral Sumberdaya Mandiri') ON CONFLICT DO NOTHING;</v>
      </c>
    </row>
    <row r="121" spans="1:6" x14ac:dyDescent="0.2">
      <c r="A121" t="s">
        <v>46</v>
      </c>
      <c r="B121" t="s">
        <v>47</v>
      </c>
      <c r="C121" t="s">
        <v>46</v>
      </c>
      <c r="D121" t="str">
        <f>TRIM(alias[[#This Row],[Column3]])</f>
        <v>ALDO</v>
      </c>
      <c r="F121" t="str">
        <f t="shared" si="1"/>
        <v>INSERT INTO stock_alias (stock, alias) VALUES ((SELECT id FROM stock WHERE ticker = 'ALDO'), 'ALDO') ON CONFLICT DO NOTHING;</v>
      </c>
    </row>
    <row r="122" spans="1:6" x14ac:dyDescent="0.2">
      <c r="A122" t="s">
        <v>46</v>
      </c>
      <c r="B122" t="s">
        <v>47</v>
      </c>
      <c r="C122" t="s">
        <v>4945</v>
      </c>
      <c r="D122" t="str">
        <f>TRIM(alias[[#This Row],[Column3]])</f>
        <v>Alkindo Naratama</v>
      </c>
      <c r="F122" t="str">
        <f t="shared" si="1"/>
        <v>INSERT INTO stock_alias (stock, alias) VALUES ((SELECT id FROM stock WHERE ticker = 'ALDO'), 'Alkindo Naratama') ON CONFLICT DO NOTHING;</v>
      </c>
    </row>
    <row r="123" spans="1:6" x14ac:dyDescent="0.2">
      <c r="A123" t="s">
        <v>46</v>
      </c>
      <c r="B123" t="s">
        <v>47</v>
      </c>
      <c r="C123" t="s">
        <v>4946</v>
      </c>
      <c r="D123" t="str">
        <f>TRIM(alias[[#This Row],[Column3]])</f>
        <v>Alkindo Naratama Tbk</v>
      </c>
      <c r="F123" t="str">
        <f t="shared" si="1"/>
        <v>INSERT INTO stock_alias (stock, alias) VALUES ((SELECT id FROM stock WHERE ticker = 'ALDO'), 'Alkindo Naratama Tbk') ON CONFLICT DO NOTHING;</v>
      </c>
    </row>
    <row r="124" spans="1:6" x14ac:dyDescent="0.2">
      <c r="A124" t="s">
        <v>46</v>
      </c>
      <c r="B124" t="s">
        <v>47</v>
      </c>
      <c r="C124" t="s">
        <v>4947</v>
      </c>
      <c r="D124" t="str">
        <f>TRIM(alias[[#This Row],[Column3]])</f>
        <v>PT Alkindo Naratama</v>
      </c>
      <c r="F124" t="str">
        <f t="shared" si="1"/>
        <v>INSERT INTO stock_alias (stock, alias) VALUES ((SELECT id FROM stock WHERE ticker = 'ALDO'), 'PT Alkindo Naratama') ON CONFLICT DO NOTHING;</v>
      </c>
    </row>
    <row r="125" spans="1:6" x14ac:dyDescent="0.2">
      <c r="A125" t="s">
        <v>2430</v>
      </c>
      <c r="B125" t="s">
        <v>3501</v>
      </c>
      <c r="C125" t="s">
        <v>2430</v>
      </c>
      <c r="D125" t="str">
        <f>TRIM(alias[[#This Row],[Column3]])</f>
        <v>ALII</v>
      </c>
      <c r="F125" t="str">
        <f t="shared" si="1"/>
        <v>INSERT INTO stock_alias (stock, alias) VALUES ((SELECT id FROM stock WHERE ticker = 'ALII'), 'ALII') ON CONFLICT DO NOTHING;</v>
      </c>
    </row>
    <row r="126" spans="1:6" x14ac:dyDescent="0.2">
      <c r="A126" t="s">
        <v>2430</v>
      </c>
      <c r="B126" t="s">
        <v>3501</v>
      </c>
      <c r="C126" t="s">
        <v>4948</v>
      </c>
      <c r="D126" t="str">
        <f>TRIM(alias[[#This Row],[Column3]])</f>
        <v>Ancara Logistics Indonesia</v>
      </c>
      <c r="F126" t="str">
        <f t="shared" si="1"/>
        <v>INSERT INTO stock_alias (stock, alias) VALUES ((SELECT id FROM stock WHERE ticker = 'ALII'), 'Ancara Logistics Indonesia') ON CONFLICT DO NOTHING;</v>
      </c>
    </row>
    <row r="127" spans="1:6" x14ac:dyDescent="0.2">
      <c r="A127" t="s">
        <v>2430</v>
      </c>
      <c r="B127" t="s">
        <v>3501</v>
      </c>
      <c r="C127" t="s">
        <v>4949</v>
      </c>
      <c r="D127" t="str">
        <f>TRIM(alias[[#This Row],[Column3]])</f>
        <v>Ancara Logistics Indonesia Tbk</v>
      </c>
      <c r="F127" t="str">
        <f t="shared" si="1"/>
        <v>INSERT INTO stock_alias (stock, alias) VALUES ((SELECT id FROM stock WHERE ticker = 'ALII'), 'Ancara Logistics Indonesia Tbk') ON CONFLICT DO NOTHING;</v>
      </c>
    </row>
    <row r="128" spans="1:6" x14ac:dyDescent="0.2">
      <c r="A128" t="s">
        <v>2430</v>
      </c>
      <c r="B128" t="s">
        <v>3501</v>
      </c>
      <c r="C128" t="s">
        <v>4950</v>
      </c>
      <c r="D128" t="str">
        <f>TRIM(alias[[#This Row],[Column3]])</f>
        <v>PT Ancara Logistics Indonesia</v>
      </c>
      <c r="F128" t="str">
        <f t="shared" si="1"/>
        <v>INSERT INTO stock_alias (stock, alias) VALUES ((SELECT id FROM stock WHERE ticker = 'ALII'), 'PT Ancara Logistics Indonesia') ON CONFLICT DO NOTHING;</v>
      </c>
    </row>
    <row r="129" spans="1:6" x14ac:dyDescent="0.2">
      <c r="A129" t="s">
        <v>49</v>
      </c>
      <c r="B129" t="s">
        <v>3502</v>
      </c>
      <c r="C129" t="s">
        <v>49</v>
      </c>
      <c r="D129" t="str">
        <f>TRIM(alias[[#This Row],[Column3]])</f>
        <v>ALKA</v>
      </c>
      <c r="F129" t="str">
        <f t="shared" si="1"/>
        <v>INSERT INTO stock_alias (stock, alias) VALUES ((SELECT id FROM stock WHERE ticker = 'ALKA'), 'ALKA') ON CONFLICT DO NOTHING;</v>
      </c>
    </row>
    <row r="130" spans="1:6" x14ac:dyDescent="0.2">
      <c r="A130" t="s">
        <v>49</v>
      </c>
      <c r="B130" t="s">
        <v>3502</v>
      </c>
      <c r="C130" t="s">
        <v>4951</v>
      </c>
      <c r="D130" t="str">
        <f>TRIM(alias[[#This Row],[Column3]])</f>
        <v>Alakasa Industrindo</v>
      </c>
      <c r="F130" t="str">
        <f t="shared" si="1"/>
        <v>INSERT INTO stock_alias (stock, alias) VALUES ((SELECT id FROM stock WHERE ticker = 'ALKA'), 'Alakasa Industrindo') ON CONFLICT DO NOTHING;</v>
      </c>
    </row>
    <row r="131" spans="1:6" x14ac:dyDescent="0.2">
      <c r="A131" t="s">
        <v>49</v>
      </c>
      <c r="B131" t="s">
        <v>3502</v>
      </c>
      <c r="C131" t="s">
        <v>4952</v>
      </c>
      <c r="D131" t="str">
        <f>TRIM(alias[[#This Row],[Column3]])</f>
        <v>Alakasa Industrindo Tbk</v>
      </c>
      <c r="F131" t="str">
        <f t="shared" si="1"/>
        <v>INSERT INTO stock_alias (stock, alias) VALUES ((SELECT id FROM stock WHERE ticker = 'ALKA'), 'Alakasa Industrindo Tbk') ON CONFLICT DO NOTHING;</v>
      </c>
    </row>
    <row r="132" spans="1:6" x14ac:dyDescent="0.2">
      <c r="A132" t="s">
        <v>49</v>
      </c>
      <c r="B132" t="s">
        <v>3502</v>
      </c>
      <c r="C132" t="s">
        <v>4953</v>
      </c>
      <c r="D132" t="str">
        <f>TRIM(alias[[#This Row],[Column3]])</f>
        <v>PT Alakasa Industrindo</v>
      </c>
      <c r="F132" t="str">
        <f t="shared" ref="F132:F195" si="2">_xlfn.CONCAT($F$1, _xlfn.CONCAT($G$1, A132, "'), '", D132, "') ON CONFLICT DO NOTHING;"))</f>
        <v>INSERT INTO stock_alias (stock, alias) VALUES ((SELECT id FROM stock WHERE ticker = 'ALKA'), 'PT Alakasa Industrindo') ON CONFLICT DO NOTHING;</v>
      </c>
    </row>
    <row r="133" spans="1:6" x14ac:dyDescent="0.2">
      <c r="A133" t="s">
        <v>52</v>
      </c>
      <c r="B133" t="s">
        <v>3503</v>
      </c>
      <c r="C133" t="s">
        <v>52</v>
      </c>
      <c r="D133" t="str">
        <f>TRIM(alias[[#This Row],[Column3]])</f>
        <v>ALMI</v>
      </c>
      <c r="F133" t="str">
        <f t="shared" si="2"/>
        <v>INSERT INTO stock_alias (stock, alias) VALUES ((SELECT id FROM stock WHERE ticker = 'ALMI'), 'ALMI') ON CONFLICT DO NOTHING;</v>
      </c>
    </row>
    <row r="134" spans="1:6" x14ac:dyDescent="0.2">
      <c r="A134" t="s">
        <v>52</v>
      </c>
      <c r="B134" t="s">
        <v>3503</v>
      </c>
      <c r="C134" t="s">
        <v>4954</v>
      </c>
      <c r="D134" t="str">
        <f>TRIM(alias[[#This Row],[Column3]])</f>
        <v>Alumindo Light Metal Industry</v>
      </c>
      <c r="F134" t="str">
        <f t="shared" si="2"/>
        <v>INSERT INTO stock_alias (stock, alias) VALUES ((SELECT id FROM stock WHERE ticker = 'ALMI'), 'Alumindo Light Metal Industry') ON CONFLICT DO NOTHING;</v>
      </c>
    </row>
    <row r="135" spans="1:6" x14ac:dyDescent="0.2">
      <c r="A135" t="s">
        <v>52</v>
      </c>
      <c r="B135" t="s">
        <v>3503</v>
      </c>
      <c r="C135" t="s">
        <v>4955</v>
      </c>
      <c r="D135" t="str">
        <f>TRIM(alias[[#This Row],[Column3]])</f>
        <v>Alumindo Light Metal Industry Tbk</v>
      </c>
      <c r="F135" t="str">
        <f t="shared" si="2"/>
        <v>INSERT INTO stock_alias (stock, alias) VALUES ((SELECT id FROM stock WHERE ticker = 'ALMI'), 'Alumindo Light Metal Industry Tbk') ON CONFLICT DO NOTHING;</v>
      </c>
    </row>
    <row r="136" spans="1:6" x14ac:dyDescent="0.2">
      <c r="A136" t="s">
        <v>52</v>
      </c>
      <c r="B136" t="s">
        <v>3503</v>
      </c>
      <c r="C136" t="s">
        <v>4956</v>
      </c>
      <c r="D136" t="str">
        <f>TRIM(alias[[#This Row],[Column3]])</f>
        <v>PT Alumindo Light Metal Industry</v>
      </c>
      <c r="F136" t="str">
        <f t="shared" si="2"/>
        <v>INSERT INTO stock_alias (stock, alias) VALUES ((SELECT id FROM stock WHERE ticker = 'ALMI'), 'PT Alumindo Light Metal Industry') ON CONFLICT DO NOTHING;</v>
      </c>
    </row>
    <row r="137" spans="1:6" x14ac:dyDescent="0.2">
      <c r="A137" t="s">
        <v>54</v>
      </c>
      <c r="B137" t="s">
        <v>55</v>
      </c>
      <c r="C137" t="s">
        <v>54</v>
      </c>
      <c r="D137" t="str">
        <f>TRIM(alias[[#This Row],[Column3]])</f>
        <v>ALTO</v>
      </c>
      <c r="F137" t="str">
        <f t="shared" si="2"/>
        <v>INSERT INTO stock_alias (stock, alias) VALUES ((SELECT id FROM stock WHERE ticker = 'ALTO'), 'ALTO') ON CONFLICT DO NOTHING;</v>
      </c>
    </row>
    <row r="138" spans="1:6" x14ac:dyDescent="0.2">
      <c r="A138" t="s">
        <v>54</v>
      </c>
      <c r="B138" t="s">
        <v>55</v>
      </c>
      <c r="C138" t="s">
        <v>4957</v>
      </c>
      <c r="D138" t="str">
        <f>TRIM(alias[[#This Row],[Column3]])</f>
        <v>PT Tri Banyan Tirta</v>
      </c>
      <c r="F138" t="str">
        <f t="shared" si="2"/>
        <v>INSERT INTO stock_alias (stock, alias) VALUES ((SELECT id FROM stock WHERE ticker = 'ALTO'), 'PT Tri Banyan Tirta') ON CONFLICT DO NOTHING;</v>
      </c>
    </row>
    <row r="139" spans="1:6" x14ac:dyDescent="0.2">
      <c r="A139" t="s">
        <v>54</v>
      </c>
      <c r="B139" t="s">
        <v>55</v>
      </c>
      <c r="C139" t="s">
        <v>4958</v>
      </c>
      <c r="D139" t="str">
        <f>TRIM(alias[[#This Row],[Column3]])</f>
        <v>Tri Banyan Tirta</v>
      </c>
      <c r="F139" t="str">
        <f t="shared" si="2"/>
        <v>INSERT INTO stock_alias (stock, alias) VALUES ((SELECT id FROM stock WHERE ticker = 'ALTO'), 'Tri Banyan Tirta') ON CONFLICT DO NOTHING;</v>
      </c>
    </row>
    <row r="140" spans="1:6" x14ac:dyDescent="0.2">
      <c r="A140" t="s">
        <v>54</v>
      </c>
      <c r="B140" t="s">
        <v>55</v>
      </c>
      <c r="C140" t="s">
        <v>4959</v>
      </c>
      <c r="D140" t="str">
        <f>TRIM(alias[[#This Row],[Column3]])</f>
        <v>Tri Banyan Tirta Tbk</v>
      </c>
      <c r="F140" t="str">
        <f t="shared" si="2"/>
        <v>INSERT INTO stock_alias (stock, alias) VALUES ((SELECT id FROM stock WHERE ticker = 'ALTO'), 'Tri Banyan Tirta Tbk') ON CONFLICT DO NOTHING;</v>
      </c>
    </row>
    <row r="141" spans="1:6" x14ac:dyDescent="0.2">
      <c r="A141" t="s">
        <v>57</v>
      </c>
      <c r="B141" t="s">
        <v>58</v>
      </c>
      <c r="C141" t="s">
        <v>57</v>
      </c>
      <c r="D141" t="str">
        <f>TRIM(alias[[#This Row],[Column3]])</f>
        <v>AMAG</v>
      </c>
      <c r="F141" t="str">
        <f t="shared" si="2"/>
        <v>INSERT INTO stock_alias (stock, alias) VALUES ((SELECT id FROM stock WHERE ticker = 'AMAG'), 'AMAG') ON CONFLICT DO NOTHING;</v>
      </c>
    </row>
    <row r="142" spans="1:6" x14ac:dyDescent="0.2">
      <c r="A142" t="s">
        <v>57</v>
      </c>
      <c r="B142" t="s">
        <v>58</v>
      </c>
      <c r="C142" t="s">
        <v>4960</v>
      </c>
      <c r="D142" t="str">
        <f>TRIM(alias[[#This Row],[Column3]])</f>
        <v>Asuransi Multi Artha Guna</v>
      </c>
      <c r="F142" t="str">
        <f t="shared" si="2"/>
        <v>INSERT INTO stock_alias (stock, alias) VALUES ((SELECT id FROM stock WHERE ticker = 'AMAG'), 'Asuransi Multi Artha Guna') ON CONFLICT DO NOTHING;</v>
      </c>
    </row>
    <row r="143" spans="1:6" x14ac:dyDescent="0.2">
      <c r="A143" t="s">
        <v>57</v>
      </c>
      <c r="B143" t="s">
        <v>58</v>
      </c>
      <c r="C143" t="s">
        <v>4961</v>
      </c>
      <c r="D143" t="str">
        <f>TRIM(alias[[#This Row],[Column3]])</f>
        <v>Asuransi Multi Artha Guna Tbk</v>
      </c>
      <c r="F143" t="str">
        <f t="shared" si="2"/>
        <v>INSERT INTO stock_alias (stock, alias) VALUES ((SELECT id FROM stock WHERE ticker = 'AMAG'), 'Asuransi Multi Artha Guna Tbk') ON CONFLICT DO NOTHING;</v>
      </c>
    </row>
    <row r="144" spans="1:6" x14ac:dyDescent="0.2">
      <c r="A144" t="s">
        <v>57</v>
      </c>
      <c r="B144" t="s">
        <v>58</v>
      </c>
      <c r="C144" t="s">
        <v>4962</v>
      </c>
      <c r="D144" t="str">
        <f>TRIM(alias[[#This Row],[Column3]])</f>
        <v>PT Asuransi Multi Artha Guna</v>
      </c>
      <c r="F144" t="str">
        <f t="shared" si="2"/>
        <v>INSERT INTO stock_alias (stock, alias) VALUES ((SELECT id FROM stock WHERE ticker = 'AMAG'), 'PT Asuransi Multi Artha Guna') ON CONFLICT DO NOTHING;</v>
      </c>
    </row>
    <row r="145" spans="1:6" x14ac:dyDescent="0.2">
      <c r="A145" t="s">
        <v>2598</v>
      </c>
      <c r="B145" t="s">
        <v>2599</v>
      </c>
      <c r="C145" t="s">
        <v>2598</v>
      </c>
      <c r="D145" t="str">
        <f>TRIM(alias[[#This Row],[Column3]])</f>
        <v>AMAN</v>
      </c>
      <c r="F145" t="str">
        <f t="shared" si="2"/>
        <v>INSERT INTO stock_alias (stock, alias) VALUES ((SELECT id FROM stock WHERE ticker = 'AMAN'), 'AMAN') ON CONFLICT DO NOTHING;</v>
      </c>
    </row>
    <row r="146" spans="1:6" x14ac:dyDescent="0.2">
      <c r="A146" t="s">
        <v>2598</v>
      </c>
      <c r="B146" t="s">
        <v>2599</v>
      </c>
      <c r="C146" t="s">
        <v>4963</v>
      </c>
      <c r="D146" t="str">
        <f>TRIM(alias[[#This Row],[Column3]])</f>
        <v>Makmur Berkah Amanda</v>
      </c>
      <c r="F146" t="str">
        <f t="shared" si="2"/>
        <v>INSERT INTO stock_alias (stock, alias) VALUES ((SELECT id FROM stock WHERE ticker = 'AMAN'), 'Makmur Berkah Amanda') ON CONFLICT DO NOTHING;</v>
      </c>
    </row>
    <row r="147" spans="1:6" x14ac:dyDescent="0.2">
      <c r="A147" t="s">
        <v>2598</v>
      </c>
      <c r="B147" t="s">
        <v>2599</v>
      </c>
      <c r="C147" t="s">
        <v>4964</v>
      </c>
      <c r="D147" t="str">
        <f>TRIM(alias[[#This Row],[Column3]])</f>
        <v>Makmur Berkah Amanda Tbk</v>
      </c>
      <c r="F147" t="str">
        <f t="shared" si="2"/>
        <v>INSERT INTO stock_alias (stock, alias) VALUES ((SELECT id FROM stock WHERE ticker = 'AMAN'), 'Makmur Berkah Amanda Tbk') ON CONFLICT DO NOTHING;</v>
      </c>
    </row>
    <row r="148" spans="1:6" x14ac:dyDescent="0.2">
      <c r="A148" t="s">
        <v>2598</v>
      </c>
      <c r="B148" t="s">
        <v>2599</v>
      </c>
      <c r="C148" t="s">
        <v>4965</v>
      </c>
      <c r="D148" t="str">
        <f>TRIM(alias[[#This Row],[Column3]])</f>
        <v>PT Makmur Berkah Amanda</v>
      </c>
      <c r="F148" t="str">
        <f t="shared" si="2"/>
        <v>INSERT INTO stock_alias (stock, alias) VALUES ((SELECT id FROM stock WHERE ticker = 'AMAN'), 'PT Makmur Berkah Amanda') ON CONFLICT DO NOTHING;</v>
      </c>
    </row>
    <row r="149" spans="1:6" x14ac:dyDescent="0.2">
      <c r="A149" t="s">
        <v>1796</v>
      </c>
      <c r="B149" t="s">
        <v>1797</v>
      </c>
      <c r="C149" t="s">
        <v>1796</v>
      </c>
      <c r="D149" t="str">
        <f>TRIM(alias[[#This Row],[Column3]])</f>
        <v>AMAR</v>
      </c>
      <c r="F149" t="str">
        <f t="shared" si="2"/>
        <v>INSERT INTO stock_alias (stock, alias) VALUES ((SELECT id FROM stock WHERE ticker = 'AMAR'), 'AMAR') ON CONFLICT DO NOTHING;</v>
      </c>
    </row>
    <row r="150" spans="1:6" x14ac:dyDescent="0.2">
      <c r="A150" t="s">
        <v>1796</v>
      </c>
      <c r="B150" t="s">
        <v>1797</v>
      </c>
      <c r="C150" t="s">
        <v>4966</v>
      </c>
      <c r="D150" t="str">
        <f>TRIM(alias[[#This Row],[Column3]])</f>
        <v>Bank Amar Indonesia</v>
      </c>
      <c r="F150" t="str">
        <f t="shared" si="2"/>
        <v>INSERT INTO stock_alias (stock, alias) VALUES ((SELECT id FROM stock WHERE ticker = 'AMAR'), 'Bank Amar Indonesia') ON CONFLICT DO NOTHING;</v>
      </c>
    </row>
    <row r="151" spans="1:6" x14ac:dyDescent="0.2">
      <c r="A151" t="s">
        <v>1796</v>
      </c>
      <c r="B151" t="s">
        <v>1797</v>
      </c>
      <c r="C151" t="s">
        <v>4967</v>
      </c>
      <c r="D151" t="str">
        <f>TRIM(alias[[#This Row],[Column3]])</f>
        <v>Bank Amar Indonesia Tbk</v>
      </c>
      <c r="F151" t="str">
        <f t="shared" si="2"/>
        <v>INSERT INTO stock_alias (stock, alias) VALUES ((SELECT id FROM stock WHERE ticker = 'AMAR'), 'Bank Amar Indonesia Tbk') ON CONFLICT DO NOTHING;</v>
      </c>
    </row>
    <row r="152" spans="1:6" x14ac:dyDescent="0.2">
      <c r="A152" t="s">
        <v>1796</v>
      </c>
      <c r="B152" t="s">
        <v>1797</v>
      </c>
      <c r="C152" t="s">
        <v>4968</v>
      </c>
      <c r="D152" t="str">
        <f>TRIM(alias[[#This Row],[Column3]])</f>
        <v>PT Bank Amar Indonesia</v>
      </c>
      <c r="F152" t="str">
        <f t="shared" si="2"/>
        <v>INSERT INTO stock_alias (stock, alias) VALUES ((SELECT id FROM stock WHERE ticker = 'AMAR'), 'PT Bank Amar Indonesia') ON CONFLICT DO NOTHING;</v>
      </c>
    </row>
    <row r="153" spans="1:6" x14ac:dyDescent="0.2">
      <c r="A153" t="s">
        <v>60</v>
      </c>
      <c r="B153" t="s">
        <v>61</v>
      </c>
      <c r="C153" t="s">
        <v>60</v>
      </c>
      <c r="D153" t="str">
        <f>TRIM(alias[[#This Row],[Column3]])</f>
        <v>AMFG</v>
      </c>
      <c r="F153" t="str">
        <f t="shared" si="2"/>
        <v>INSERT INTO stock_alias (stock, alias) VALUES ((SELECT id FROM stock WHERE ticker = 'AMFG'), 'AMFG') ON CONFLICT DO NOTHING;</v>
      </c>
    </row>
    <row r="154" spans="1:6" x14ac:dyDescent="0.2">
      <c r="A154" t="s">
        <v>60</v>
      </c>
      <c r="B154" t="s">
        <v>61</v>
      </c>
      <c r="C154" t="s">
        <v>4969</v>
      </c>
      <c r="D154" t="str">
        <f>TRIM(alias[[#This Row],[Column3]])</f>
        <v>Asahimas Flat Glass</v>
      </c>
      <c r="F154" t="str">
        <f t="shared" si="2"/>
        <v>INSERT INTO stock_alias (stock, alias) VALUES ((SELECT id FROM stock WHERE ticker = 'AMFG'), 'Asahimas Flat Glass') ON CONFLICT DO NOTHING;</v>
      </c>
    </row>
    <row r="155" spans="1:6" x14ac:dyDescent="0.2">
      <c r="A155" t="s">
        <v>60</v>
      </c>
      <c r="B155" t="s">
        <v>61</v>
      </c>
      <c r="C155" t="s">
        <v>4970</v>
      </c>
      <c r="D155" t="str">
        <f>TRIM(alias[[#This Row],[Column3]])</f>
        <v>Asahimas Flat Glass Tbk</v>
      </c>
      <c r="F155" t="str">
        <f t="shared" si="2"/>
        <v>INSERT INTO stock_alias (stock, alias) VALUES ((SELECT id FROM stock WHERE ticker = 'AMFG'), 'Asahimas Flat Glass Tbk') ON CONFLICT DO NOTHING;</v>
      </c>
    </row>
    <row r="156" spans="1:6" x14ac:dyDescent="0.2">
      <c r="A156" t="s">
        <v>60</v>
      </c>
      <c r="B156" t="s">
        <v>61</v>
      </c>
      <c r="C156" t="s">
        <v>4971</v>
      </c>
      <c r="D156" t="str">
        <f>TRIM(alias[[#This Row],[Column3]])</f>
        <v>PT Asahimas Flat Glass</v>
      </c>
      <c r="F156" t="str">
        <f t="shared" si="2"/>
        <v>INSERT INTO stock_alias (stock, alias) VALUES ((SELECT id FROM stock WHERE ticker = 'AMFG'), 'PT Asahimas Flat Glass') ON CONFLICT DO NOTHING;</v>
      </c>
    </row>
    <row r="157" spans="1:6" x14ac:dyDescent="0.2">
      <c r="A157" t="s">
        <v>63</v>
      </c>
      <c r="B157" t="s">
        <v>3504</v>
      </c>
      <c r="C157" t="s">
        <v>63</v>
      </c>
      <c r="D157" t="str">
        <f>TRIM(alias[[#This Row],[Column3]])</f>
        <v>AMIN</v>
      </c>
      <c r="F157" t="str">
        <f t="shared" si="2"/>
        <v>INSERT INTO stock_alias (stock, alias) VALUES ((SELECT id FROM stock WHERE ticker = 'AMIN'), 'AMIN') ON CONFLICT DO NOTHING;</v>
      </c>
    </row>
    <row r="158" spans="1:6" x14ac:dyDescent="0.2">
      <c r="A158" t="s">
        <v>63</v>
      </c>
      <c r="B158" t="s">
        <v>3504</v>
      </c>
      <c r="C158" t="s">
        <v>4972</v>
      </c>
      <c r="D158" t="str">
        <f>TRIM(alias[[#This Row],[Column3]])</f>
        <v>Ateliers Mecaniques D Indonesie</v>
      </c>
      <c r="F158" t="str">
        <f t="shared" si="2"/>
        <v>INSERT INTO stock_alias (stock, alias) VALUES ((SELECT id FROM stock WHERE ticker = 'AMIN'), 'Ateliers Mecaniques D Indonesie') ON CONFLICT DO NOTHING;</v>
      </c>
    </row>
    <row r="159" spans="1:6" x14ac:dyDescent="0.2">
      <c r="A159" t="s">
        <v>63</v>
      </c>
      <c r="B159" t="s">
        <v>3504</v>
      </c>
      <c r="C159" t="s">
        <v>4973</v>
      </c>
      <c r="D159" t="str">
        <f>TRIM(alias[[#This Row],[Column3]])</f>
        <v>Ateliers Mecaniques D Indonesie Tbk</v>
      </c>
      <c r="F159" t="str">
        <f t="shared" si="2"/>
        <v>INSERT INTO stock_alias (stock, alias) VALUES ((SELECT id FROM stock WHERE ticker = 'AMIN'), 'Ateliers Mecaniques D Indonesie Tbk') ON CONFLICT DO NOTHING;</v>
      </c>
    </row>
    <row r="160" spans="1:6" x14ac:dyDescent="0.2">
      <c r="A160" t="s">
        <v>63</v>
      </c>
      <c r="B160" t="s">
        <v>3504</v>
      </c>
      <c r="C160" t="s">
        <v>4974</v>
      </c>
      <c r="D160" t="str">
        <f>TRIM(alias[[#This Row],[Column3]])</f>
        <v>PT Ateliers Mecaniques D Indonesie</v>
      </c>
      <c r="F160" t="str">
        <f t="shared" si="2"/>
        <v>INSERT INTO stock_alias (stock, alias) VALUES ((SELECT id FROM stock WHERE ticker = 'AMIN'), 'PT Ateliers Mecaniques D Indonesie') ON CONFLICT DO NOTHING;</v>
      </c>
    </row>
    <row r="161" spans="1:6" x14ac:dyDescent="0.2">
      <c r="A161" t="s">
        <v>2319</v>
      </c>
      <c r="B161" t="s">
        <v>3505</v>
      </c>
      <c r="C161" t="s">
        <v>2319</v>
      </c>
      <c r="D161" t="str">
        <f>TRIM(alias[[#This Row],[Column3]])</f>
        <v>AMMN</v>
      </c>
      <c r="F161" t="str">
        <f t="shared" si="2"/>
        <v>INSERT INTO stock_alias (stock, alias) VALUES ((SELECT id FROM stock WHERE ticker = 'AMMN'), 'AMMN') ON CONFLICT DO NOTHING;</v>
      </c>
    </row>
    <row r="162" spans="1:6" x14ac:dyDescent="0.2">
      <c r="A162" t="s">
        <v>2319</v>
      </c>
      <c r="B162" t="s">
        <v>3505</v>
      </c>
      <c r="C162" t="s">
        <v>4975</v>
      </c>
      <c r="D162" t="str">
        <f>TRIM(alias[[#This Row],[Column3]])</f>
        <v>Amman Mineral Internasional</v>
      </c>
      <c r="F162" t="str">
        <f t="shared" si="2"/>
        <v>INSERT INTO stock_alias (stock, alias) VALUES ((SELECT id FROM stock WHERE ticker = 'AMMN'), 'Amman Mineral Internasional') ON CONFLICT DO NOTHING;</v>
      </c>
    </row>
    <row r="163" spans="1:6" x14ac:dyDescent="0.2">
      <c r="A163" t="s">
        <v>2319</v>
      </c>
      <c r="B163" t="s">
        <v>3505</v>
      </c>
      <c r="C163" t="s">
        <v>4976</v>
      </c>
      <c r="D163" t="str">
        <f>TRIM(alias[[#This Row],[Column3]])</f>
        <v>Amman Mineral Internasional Tbk</v>
      </c>
      <c r="F163" t="str">
        <f t="shared" si="2"/>
        <v>INSERT INTO stock_alias (stock, alias) VALUES ((SELECT id FROM stock WHERE ticker = 'AMMN'), 'Amman Mineral Internasional Tbk') ON CONFLICT DO NOTHING;</v>
      </c>
    </row>
    <row r="164" spans="1:6" x14ac:dyDescent="0.2">
      <c r="A164" t="s">
        <v>2319</v>
      </c>
      <c r="B164" t="s">
        <v>3505</v>
      </c>
      <c r="C164" t="s">
        <v>4977</v>
      </c>
      <c r="D164" t="str">
        <f>TRIM(alias[[#This Row],[Column3]])</f>
        <v>PT Amman Mineral Internasional</v>
      </c>
      <c r="F164" t="str">
        <f t="shared" si="2"/>
        <v>INSERT INTO stock_alias (stock, alias) VALUES ((SELECT id FROM stock WHERE ticker = 'AMMN'), 'PT Amman Mineral Internasional') ON CONFLICT DO NOTHING;</v>
      </c>
    </row>
    <row r="165" spans="1:6" x14ac:dyDescent="0.2">
      <c r="A165" t="s">
        <v>2146</v>
      </c>
      <c r="B165" t="s">
        <v>2147</v>
      </c>
      <c r="C165" t="s">
        <v>2146</v>
      </c>
      <c r="D165" t="str">
        <f>TRIM(alias[[#This Row],[Column3]])</f>
        <v>AMMS</v>
      </c>
      <c r="F165" t="str">
        <f t="shared" si="2"/>
        <v>INSERT INTO stock_alias (stock, alias) VALUES ((SELECT id FROM stock WHERE ticker = 'AMMS'), 'AMMS') ON CONFLICT DO NOTHING;</v>
      </c>
    </row>
    <row r="166" spans="1:6" x14ac:dyDescent="0.2">
      <c r="A166" t="s">
        <v>2146</v>
      </c>
      <c r="B166" t="s">
        <v>2147</v>
      </c>
      <c r="C166" t="s">
        <v>4978</v>
      </c>
      <c r="D166" t="str">
        <f>TRIM(alias[[#This Row],[Column3]])</f>
        <v>Agung Menjangan Mas</v>
      </c>
      <c r="F166" t="str">
        <f t="shared" si="2"/>
        <v>INSERT INTO stock_alias (stock, alias) VALUES ((SELECT id FROM stock WHERE ticker = 'AMMS'), 'Agung Menjangan Mas') ON CONFLICT DO NOTHING;</v>
      </c>
    </row>
    <row r="167" spans="1:6" x14ac:dyDescent="0.2">
      <c r="A167" t="s">
        <v>2146</v>
      </c>
      <c r="B167" t="s">
        <v>2147</v>
      </c>
      <c r="C167" t="s">
        <v>4979</v>
      </c>
      <c r="D167" t="str">
        <f>TRIM(alias[[#This Row],[Column3]])</f>
        <v>Agung Menjangan Mas Tbk</v>
      </c>
      <c r="F167" t="str">
        <f t="shared" si="2"/>
        <v>INSERT INTO stock_alias (stock, alias) VALUES ((SELECT id FROM stock WHERE ticker = 'AMMS'), 'Agung Menjangan Mas Tbk') ON CONFLICT DO NOTHING;</v>
      </c>
    </row>
    <row r="168" spans="1:6" x14ac:dyDescent="0.2">
      <c r="A168" t="s">
        <v>2146</v>
      </c>
      <c r="B168" t="s">
        <v>2147</v>
      </c>
      <c r="C168" t="s">
        <v>4980</v>
      </c>
      <c r="D168" t="str">
        <f>TRIM(alias[[#This Row],[Column3]])</f>
        <v>PT Agung Menjangan Mas</v>
      </c>
      <c r="F168" t="str">
        <f t="shared" si="2"/>
        <v>INSERT INTO stock_alias (stock, alias) VALUES ((SELECT id FROM stock WHERE ticker = 'AMMS'), 'PT Agung Menjangan Mas') ON CONFLICT DO NOTHING;</v>
      </c>
    </row>
    <row r="169" spans="1:6" x14ac:dyDescent="0.2">
      <c r="A169" t="s">
        <v>1805</v>
      </c>
      <c r="B169" t="s">
        <v>3506</v>
      </c>
      <c r="C169" t="s">
        <v>1805</v>
      </c>
      <c r="D169" t="str">
        <f>TRIM(alias[[#This Row],[Column3]])</f>
        <v>AMOR</v>
      </c>
      <c r="F169" t="str">
        <f t="shared" si="2"/>
        <v>INSERT INTO stock_alias (stock, alias) VALUES ((SELECT id FROM stock WHERE ticker = 'AMOR'), 'AMOR') ON CONFLICT DO NOTHING;</v>
      </c>
    </row>
    <row r="170" spans="1:6" x14ac:dyDescent="0.2">
      <c r="A170" t="s">
        <v>1805</v>
      </c>
      <c r="B170" t="s">
        <v>3506</v>
      </c>
      <c r="C170" t="s">
        <v>4981</v>
      </c>
      <c r="D170" t="str">
        <f>TRIM(alias[[#This Row],[Column3]])</f>
        <v>Ashmore Asset Management Indonesia</v>
      </c>
      <c r="F170" t="str">
        <f t="shared" si="2"/>
        <v>INSERT INTO stock_alias (stock, alias) VALUES ((SELECT id FROM stock WHERE ticker = 'AMOR'), 'Ashmore Asset Management Indonesia') ON CONFLICT DO NOTHING;</v>
      </c>
    </row>
    <row r="171" spans="1:6" x14ac:dyDescent="0.2">
      <c r="A171" t="s">
        <v>1805</v>
      </c>
      <c r="B171" t="s">
        <v>3506</v>
      </c>
      <c r="C171" t="s">
        <v>4982</v>
      </c>
      <c r="D171" t="str">
        <f>TRIM(alias[[#This Row],[Column3]])</f>
        <v>Ashmore Asset Management Indonesia Tbk</v>
      </c>
      <c r="F171" t="str">
        <f t="shared" si="2"/>
        <v>INSERT INTO stock_alias (stock, alias) VALUES ((SELECT id FROM stock WHERE ticker = 'AMOR'), 'Ashmore Asset Management Indonesia Tbk') ON CONFLICT DO NOTHING;</v>
      </c>
    </row>
    <row r="172" spans="1:6" x14ac:dyDescent="0.2">
      <c r="A172" t="s">
        <v>1805</v>
      </c>
      <c r="B172" t="s">
        <v>3506</v>
      </c>
      <c r="C172" t="s">
        <v>4983</v>
      </c>
      <c r="D172" t="str">
        <f>TRIM(alias[[#This Row],[Column3]])</f>
        <v>PT Ashmore Asset Management Indonesia</v>
      </c>
      <c r="F172" t="str">
        <f t="shared" si="2"/>
        <v>INSERT INTO stock_alias (stock, alias) VALUES ((SELECT id FROM stock WHERE ticker = 'AMOR'), 'PT Ashmore Asset Management Indonesia') ON CONFLICT DO NOTHING;</v>
      </c>
    </row>
    <row r="173" spans="1:6" x14ac:dyDescent="0.2">
      <c r="A173" t="s">
        <v>65</v>
      </c>
      <c r="B173" t="s">
        <v>66</v>
      </c>
      <c r="C173" t="s">
        <v>65</v>
      </c>
      <c r="D173" t="str">
        <f>TRIM(alias[[#This Row],[Column3]])</f>
        <v>AMRT</v>
      </c>
      <c r="F173" t="str">
        <f t="shared" si="2"/>
        <v>INSERT INTO stock_alias (stock, alias) VALUES ((SELECT id FROM stock WHERE ticker = 'AMRT'), 'AMRT') ON CONFLICT DO NOTHING;</v>
      </c>
    </row>
    <row r="174" spans="1:6" x14ac:dyDescent="0.2">
      <c r="A174" t="s">
        <v>65</v>
      </c>
      <c r="B174" t="s">
        <v>66</v>
      </c>
      <c r="C174" t="s">
        <v>4984</v>
      </c>
      <c r="D174" t="str">
        <f>TRIM(alias[[#This Row],[Column3]])</f>
        <v>PT Sumber Alfaria Trijaya</v>
      </c>
      <c r="F174" t="str">
        <f t="shared" si="2"/>
        <v>INSERT INTO stock_alias (stock, alias) VALUES ((SELECT id FROM stock WHERE ticker = 'AMRT'), 'PT Sumber Alfaria Trijaya') ON CONFLICT DO NOTHING;</v>
      </c>
    </row>
    <row r="175" spans="1:6" x14ac:dyDescent="0.2">
      <c r="A175" t="s">
        <v>65</v>
      </c>
      <c r="B175" t="s">
        <v>66</v>
      </c>
      <c r="C175" t="s">
        <v>4985</v>
      </c>
      <c r="D175" t="str">
        <f>TRIM(alias[[#This Row],[Column3]])</f>
        <v>Sumber Alfaria Trijaya</v>
      </c>
      <c r="F175" t="str">
        <f t="shared" si="2"/>
        <v>INSERT INTO stock_alias (stock, alias) VALUES ((SELECT id FROM stock WHERE ticker = 'AMRT'), 'Sumber Alfaria Trijaya') ON CONFLICT DO NOTHING;</v>
      </c>
    </row>
    <row r="176" spans="1:6" x14ac:dyDescent="0.2">
      <c r="A176" t="s">
        <v>65</v>
      </c>
      <c r="B176" t="s">
        <v>66</v>
      </c>
      <c r="C176" t="s">
        <v>4986</v>
      </c>
      <c r="D176" t="str">
        <f>TRIM(alias[[#This Row],[Column3]])</f>
        <v>Sumber Alfaria Trijaya Tbk</v>
      </c>
      <c r="F176" t="str">
        <f t="shared" si="2"/>
        <v>INSERT INTO stock_alias (stock, alias) VALUES ((SELECT id FROM stock WHERE ticker = 'AMRT'), 'Sumber Alfaria Trijaya Tbk') ON CONFLICT DO NOTHING;</v>
      </c>
    </row>
    <row r="177" spans="1:6" x14ac:dyDescent="0.2">
      <c r="A177" t="s">
        <v>1571</v>
      </c>
      <c r="B177" t="s">
        <v>1572</v>
      </c>
      <c r="C177" t="s">
        <v>1571</v>
      </c>
      <c r="D177" t="str">
        <f>TRIM(alias[[#This Row],[Column3]])</f>
        <v>ANDI</v>
      </c>
      <c r="F177" t="str">
        <f t="shared" si="2"/>
        <v>INSERT INTO stock_alias (stock, alias) VALUES ((SELECT id FROM stock WHERE ticker = 'ANDI'), 'ANDI') ON CONFLICT DO NOTHING;</v>
      </c>
    </row>
    <row r="178" spans="1:6" x14ac:dyDescent="0.2">
      <c r="A178" t="s">
        <v>1571</v>
      </c>
      <c r="B178" t="s">
        <v>1572</v>
      </c>
      <c r="C178" t="s">
        <v>4987</v>
      </c>
      <c r="D178" t="str">
        <f>TRIM(alias[[#This Row],[Column3]])</f>
        <v>Andira Agro</v>
      </c>
      <c r="F178" t="str">
        <f t="shared" si="2"/>
        <v>INSERT INTO stock_alias (stock, alias) VALUES ((SELECT id FROM stock WHERE ticker = 'ANDI'), 'Andira Agro') ON CONFLICT DO NOTHING;</v>
      </c>
    </row>
    <row r="179" spans="1:6" x14ac:dyDescent="0.2">
      <c r="A179" t="s">
        <v>1571</v>
      </c>
      <c r="B179" t="s">
        <v>1572</v>
      </c>
      <c r="C179" t="s">
        <v>4988</v>
      </c>
      <c r="D179" t="str">
        <f>TRIM(alias[[#This Row],[Column3]])</f>
        <v>Andira Agro Tbk</v>
      </c>
      <c r="F179" t="str">
        <f t="shared" si="2"/>
        <v>INSERT INTO stock_alias (stock, alias) VALUES ((SELECT id FROM stock WHERE ticker = 'ANDI'), 'Andira Agro Tbk') ON CONFLICT DO NOTHING;</v>
      </c>
    </row>
    <row r="180" spans="1:6" x14ac:dyDescent="0.2">
      <c r="A180" t="s">
        <v>1571</v>
      </c>
      <c r="B180" t="s">
        <v>1572</v>
      </c>
      <c r="C180" t="s">
        <v>4989</v>
      </c>
      <c r="D180" t="str">
        <f>TRIM(alias[[#This Row],[Column3]])</f>
        <v>PT Andira Agro</v>
      </c>
      <c r="F180" t="str">
        <f t="shared" si="2"/>
        <v>INSERT INTO stock_alias (stock, alias) VALUES ((SELECT id FROM stock WHERE ticker = 'ANDI'), 'PT Andira Agro') ON CONFLICT DO NOTHING;</v>
      </c>
    </row>
    <row r="181" spans="1:6" x14ac:dyDescent="0.2">
      <c r="A181" t="s">
        <v>68</v>
      </c>
      <c r="B181" t="s">
        <v>69</v>
      </c>
      <c r="C181" t="s">
        <v>68</v>
      </c>
      <c r="D181" t="str">
        <f>TRIM(alias[[#This Row],[Column3]])</f>
        <v>ANJT</v>
      </c>
      <c r="F181" t="str">
        <f t="shared" si="2"/>
        <v>INSERT INTO stock_alias (stock, alias) VALUES ((SELECT id FROM stock WHERE ticker = 'ANJT'), 'ANJT') ON CONFLICT DO NOTHING;</v>
      </c>
    </row>
    <row r="182" spans="1:6" x14ac:dyDescent="0.2">
      <c r="A182" t="s">
        <v>68</v>
      </c>
      <c r="B182" t="s">
        <v>69</v>
      </c>
      <c r="C182" t="s">
        <v>4990</v>
      </c>
      <c r="D182" t="str">
        <f>TRIM(alias[[#This Row],[Column3]])</f>
        <v>ANJ</v>
      </c>
      <c r="F182" t="str">
        <f t="shared" si="2"/>
        <v>INSERT INTO stock_alias (stock, alias) VALUES ((SELECT id FROM stock WHERE ticker = 'ANJT'), 'ANJ') ON CONFLICT DO NOTHING;</v>
      </c>
    </row>
    <row r="183" spans="1:6" x14ac:dyDescent="0.2">
      <c r="A183" t="s">
        <v>68</v>
      </c>
      <c r="B183" t="s">
        <v>69</v>
      </c>
      <c r="C183" t="s">
        <v>4991</v>
      </c>
      <c r="D183" t="str">
        <f>TRIM(alias[[#This Row],[Column3]])</f>
        <v>Austindo Nusantara Jaya</v>
      </c>
      <c r="F183" t="str">
        <f t="shared" si="2"/>
        <v>INSERT INTO stock_alias (stock, alias) VALUES ((SELECT id FROM stock WHERE ticker = 'ANJT'), 'Austindo Nusantara Jaya') ON CONFLICT DO NOTHING;</v>
      </c>
    </row>
    <row r="184" spans="1:6" x14ac:dyDescent="0.2">
      <c r="A184" t="s">
        <v>68</v>
      </c>
      <c r="B184" t="s">
        <v>69</v>
      </c>
      <c r="C184" t="s">
        <v>4992</v>
      </c>
      <c r="D184" t="str">
        <f>TRIM(alias[[#This Row],[Column3]])</f>
        <v>Austindo Nusantara Jaya Tbk</v>
      </c>
      <c r="F184" t="str">
        <f t="shared" si="2"/>
        <v>INSERT INTO stock_alias (stock, alias) VALUES ((SELECT id FROM stock WHERE ticker = 'ANJT'), 'Austindo Nusantara Jaya Tbk') ON CONFLICT DO NOTHING;</v>
      </c>
    </row>
    <row r="185" spans="1:6" x14ac:dyDescent="0.2">
      <c r="A185" t="s">
        <v>68</v>
      </c>
      <c r="B185" t="s">
        <v>69</v>
      </c>
      <c r="C185" t="s">
        <v>4993</v>
      </c>
      <c r="D185" t="str">
        <f>TRIM(alias[[#This Row],[Column3]])</f>
        <v>PT Austindo Nusantara Jaya</v>
      </c>
      <c r="F185" t="str">
        <f t="shared" si="2"/>
        <v>INSERT INTO stock_alias (stock, alias) VALUES ((SELECT id FROM stock WHERE ticker = 'ANJT'), 'PT Austindo Nusantara Jaya') ON CONFLICT DO NOTHING;</v>
      </c>
    </row>
    <row r="186" spans="1:6" x14ac:dyDescent="0.2">
      <c r="A186" t="s">
        <v>71</v>
      </c>
      <c r="B186" t="s">
        <v>72</v>
      </c>
      <c r="C186" t="s">
        <v>71</v>
      </c>
      <c r="D186" t="str">
        <f>TRIM(alias[[#This Row],[Column3]])</f>
        <v>ANTM</v>
      </c>
      <c r="F186" t="str">
        <f t="shared" si="2"/>
        <v>INSERT INTO stock_alias (stock, alias) VALUES ((SELECT id FROM stock WHERE ticker = 'ANTM'), 'ANTM') ON CONFLICT DO NOTHING;</v>
      </c>
    </row>
    <row r="187" spans="1:6" x14ac:dyDescent="0.2">
      <c r="A187" t="s">
        <v>71</v>
      </c>
      <c r="B187" t="s">
        <v>72</v>
      </c>
      <c r="C187" t="s">
        <v>4994</v>
      </c>
      <c r="D187" t="str">
        <f>TRIM(alias[[#This Row],[Column3]])</f>
        <v>ANTAM</v>
      </c>
      <c r="F187" t="str">
        <f t="shared" si="2"/>
        <v>INSERT INTO stock_alias (stock, alias) VALUES ((SELECT id FROM stock WHERE ticker = 'ANTM'), 'ANTAM') ON CONFLICT DO NOTHING;</v>
      </c>
    </row>
    <row r="188" spans="1:6" x14ac:dyDescent="0.2">
      <c r="A188" t="s">
        <v>71</v>
      </c>
      <c r="B188" t="s">
        <v>72</v>
      </c>
      <c r="C188" t="s">
        <v>4995</v>
      </c>
      <c r="D188" t="str">
        <f>TRIM(alias[[#This Row],[Column3]])</f>
        <v>Aneka Tambang</v>
      </c>
      <c r="F188" t="str">
        <f t="shared" si="2"/>
        <v>INSERT INTO stock_alias (stock, alias) VALUES ((SELECT id FROM stock WHERE ticker = 'ANTM'), 'Aneka Tambang') ON CONFLICT DO NOTHING;</v>
      </c>
    </row>
    <row r="189" spans="1:6" x14ac:dyDescent="0.2">
      <c r="A189" t="s">
        <v>71</v>
      </c>
      <c r="B189" t="s">
        <v>72</v>
      </c>
      <c r="C189" t="s">
        <v>4996</v>
      </c>
      <c r="D189" t="str">
        <f>TRIM(alias[[#This Row],[Column3]])</f>
        <v>Aneka Tambang Tbk</v>
      </c>
      <c r="F189" t="str">
        <f t="shared" si="2"/>
        <v>INSERT INTO stock_alias (stock, alias) VALUES ((SELECT id FROM stock WHERE ticker = 'ANTM'), 'Aneka Tambang Tbk') ON CONFLICT DO NOTHING;</v>
      </c>
    </row>
    <row r="190" spans="1:6" x14ac:dyDescent="0.2">
      <c r="A190" t="s">
        <v>71</v>
      </c>
      <c r="B190" t="s">
        <v>72</v>
      </c>
      <c r="C190" t="s">
        <v>4997</v>
      </c>
      <c r="D190" t="str">
        <f>TRIM(alias[[#This Row],[Column3]])</f>
        <v>PT Aneka Tambang</v>
      </c>
      <c r="F190" t="str">
        <f t="shared" si="2"/>
        <v>INSERT INTO stock_alias (stock, alias) VALUES ((SELECT id FROM stock WHERE ticker = 'ANTM'), 'PT Aneka Tambang') ON CONFLICT DO NOTHING;</v>
      </c>
    </row>
    <row r="191" spans="1:6" x14ac:dyDescent="0.2">
      <c r="A191" t="s">
        <v>74</v>
      </c>
      <c r="B191" t="s">
        <v>75</v>
      </c>
      <c r="C191" t="s">
        <v>74</v>
      </c>
      <c r="D191" t="str">
        <f>TRIM(alias[[#This Row],[Column3]])</f>
        <v>APEX</v>
      </c>
      <c r="F191" t="str">
        <f t="shared" si="2"/>
        <v>INSERT INTO stock_alias (stock, alias) VALUES ((SELECT id FROM stock WHERE ticker = 'APEX'), 'APEX') ON CONFLICT DO NOTHING;</v>
      </c>
    </row>
    <row r="192" spans="1:6" x14ac:dyDescent="0.2">
      <c r="A192" t="s">
        <v>74</v>
      </c>
      <c r="B192" t="s">
        <v>75</v>
      </c>
      <c r="C192" t="s">
        <v>4998</v>
      </c>
      <c r="D192" t="str">
        <f>TRIM(alias[[#This Row],[Column3]])</f>
        <v>Apexindo Pratama Duta</v>
      </c>
      <c r="F192" t="str">
        <f t="shared" si="2"/>
        <v>INSERT INTO stock_alias (stock, alias) VALUES ((SELECT id FROM stock WHERE ticker = 'APEX'), 'Apexindo Pratama Duta') ON CONFLICT DO NOTHING;</v>
      </c>
    </row>
    <row r="193" spans="1:6" x14ac:dyDescent="0.2">
      <c r="A193" t="s">
        <v>74</v>
      </c>
      <c r="B193" t="s">
        <v>75</v>
      </c>
      <c r="C193" t="s">
        <v>4999</v>
      </c>
      <c r="D193" t="str">
        <f>TRIM(alias[[#This Row],[Column3]])</f>
        <v>Apexindo Pratama Duta Tbk</v>
      </c>
      <c r="F193" t="str">
        <f t="shared" si="2"/>
        <v>INSERT INTO stock_alias (stock, alias) VALUES ((SELECT id FROM stock WHERE ticker = 'APEX'), 'Apexindo Pratama Duta Tbk') ON CONFLICT DO NOTHING;</v>
      </c>
    </row>
    <row r="194" spans="1:6" x14ac:dyDescent="0.2">
      <c r="A194" t="s">
        <v>74</v>
      </c>
      <c r="B194" t="s">
        <v>75</v>
      </c>
      <c r="C194" t="s">
        <v>5000</v>
      </c>
      <c r="D194" t="str">
        <f>TRIM(alias[[#This Row],[Column3]])</f>
        <v>PT Apexindo Pratama Duta</v>
      </c>
      <c r="F194" t="str">
        <f t="shared" si="2"/>
        <v>INSERT INTO stock_alias (stock, alias) VALUES ((SELECT id FROM stock WHERE ticker = 'APEX'), 'PT Apexindo Pratama Duta') ON CONFLICT DO NOTHING;</v>
      </c>
    </row>
    <row r="195" spans="1:6" x14ac:dyDescent="0.2">
      <c r="A195" t="s">
        <v>77</v>
      </c>
      <c r="B195" t="s">
        <v>3507</v>
      </c>
      <c r="C195" t="s">
        <v>77</v>
      </c>
      <c r="D195" t="str">
        <f>TRIM(alias[[#This Row],[Column3]])</f>
        <v>APIC</v>
      </c>
      <c r="F195" t="str">
        <f t="shared" si="2"/>
        <v>INSERT INTO stock_alias (stock, alias) VALUES ((SELECT id FROM stock WHERE ticker = 'APIC'), 'APIC') ON CONFLICT DO NOTHING;</v>
      </c>
    </row>
    <row r="196" spans="1:6" x14ac:dyDescent="0.2">
      <c r="A196" t="s">
        <v>77</v>
      </c>
      <c r="B196" t="s">
        <v>3507</v>
      </c>
      <c r="C196" t="s">
        <v>5001</v>
      </c>
      <c r="D196" t="str">
        <f>TRIM(alias[[#This Row],[Column3]])</f>
        <v>PT Pacific Strategic Financial</v>
      </c>
      <c r="F196" t="str">
        <f t="shared" ref="F196:F259" si="3">_xlfn.CONCAT($F$1, _xlfn.CONCAT($G$1, A196, "'), '", D196, "') ON CONFLICT DO NOTHING;"))</f>
        <v>INSERT INTO stock_alias (stock, alias) VALUES ((SELECT id FROM stock WHERE ticker = 'APIC'), 'PT Pacific Strategic Financial') ON CONFLICT DO NOTHING;</v>
      </c>
    </row>
    <row r="197" spans="1:6" x14ac:dyDescent="0.2">
      <c r="A197" t="s">
        <v>77</v>
      </c>
      <c r="B197" t="s">
        <v>3507</v>
      </c>
      <c r="C197" t="s">
        <v>5002</v>
      </c>
      <c r="D197" t="str">
        <f>TRIM(alias[[#This Row],[Column3]])</f>
        <v>Pacific Strategic Financial</v>
      </c>
      <c r="F197" t="str">
        <f t="shared" si="3"/>
        <v>INSERT INTO stock_alias (stock, alias) VALUES ((SELECT id FROM stock WHERE ticker = 'APIC'), 'Pacific Strategic Financial') ON CONFLICT DO NOTHING;</v>
      </c>
    </row>
    <row r="198" spans="1:6" x14ac:dyDescent="0.2">
      <c r="A198" t="s">
        <v>77</v>
      </c>
      <c r="B198" t="s">
        <v>3507</v>
      </c>
      <c r="C198" t="s">
        <v>5003</v>
      </c>
      <c r="D198" t="str">
        <f>TRIM(alias[[#This Row],[Column3]])</f>
        <v>Pacific Strategic Financial Tbk</v>
      </c>
      <c r="F198" t="str">
        <f t="shared" si="3"/>
        <v>INSERT INTO stock_alias (stock, alias) VALUES ((SELECT id FROM stock WHERE ticker = 'APIC'), 'Pacific Strategic Financial Tbk') ON CONFLICT DO NOTHING;</v>
      </c>
    </row>
    <row r="199" spans="1:6" x14ac:dyDescent="0.2">
      <c r="A199" t="s">
        <v>79</v>
      </c>
      <c r="B199" t="s">
        <v>80</v>
      </c>
      <c r="C199" t="s">
        <v>79</v>
      </c>
      <c r="D199" t="str">
        <f>TRIM(alias[[#This Row],[Column3]])</f>
        <v>APII</v>
      </c>
      <c r="F199" t="str">
        <f t="shared" si="3"/>
        <v>INSERT INTO stock_alias (stock, alias) VALUES ((SELECT id FROM stock WHERE ticker = 'APII'), 'APII') ON CONFLICT DO NOTHING;</v>
      </c>
    </row>
    <row r="200" spans="1:6" x14ac:dyDescent="0.2">
      <c r="A200" t="s">
        <v>79</v>
      </c>
      <c r="B200" t="s">
        <v>80</v>
      </c>
      <c r="C200" t="s">
        <v>5004</v>
      </c>
      <c r="D200" t="str">
        <f>TRIM(alias[[#This Row],[Column3]])</f>
        <v>Arita Prima Indonesia</v>
      </c>
      <c r="F200" t="str">
        <f t="shared" si="3"/>
        <v>INSERT INTO stock_alias (stock, alias) VALUES ((SELECT id FROM stock WHERE ticker = 'APII'), 'Arita Prima Indonesia') ON CONFLICT DO NOTHING;</v>
      </c>
    </row>
    <row r="201" spans="1:6" x14ac:dyDescent="0.2">
      <c r="A201" t="s">
        <v>79</v>
      </c>
      <c r="B201" t="s">
        <v>80</v>
      </c>
      <c r="C201" t="s">
        <v>5005</v>
      </c>
      <c r="D201" t="str">
        <f>TRIM(alias[[#This Row],[Column3]])</f>
        <v>Arita Prima Indonesia Tbk</v>
      </c>
      <c r="F201" t="str">
        <f t="shared" si="3"/>
        <v>INSERT INTO stock_alias (stock, alias) VALUES ((SELECT id FROM stock WHERE ticker = 'APII'), 'Arita Prima Indonesia Tbk') ON CONFLICT DO NOTHING;</v>
      </c>
    </row>
    <row r="202" spans="1:6" x14ac:dyDescent="0.2">
      <c r="A202" t="s">
        <v>79</v>
      </c>
      <c r="B202" t="s">
        <v>80</v>
      </c>
      <c r="C202" t="s">
        <v>5006</v>
      </c>
      <c r="D202" t="str">
        <f>TRIM(alias[[#This Row],[Column3]])</f>
        <v>PT Arita Prima Indonesia</v>
      </c>
      <c r="F202" t="str">
        <f t="shared" si="3"/>
        <v>INSERT INTO stock_alias (stock, alias) VALUES ((SELECT id FROM stock WHERE ticker = 'APII'), 'PT Arita Prima Indonesia') ON CONFLICT DO NOTHING;</v>
      </c>
    </row>
    <row r="203" spans="1:6" x14ac:dyDescent="0.2">
      <c r="A203" t="s">
        <v>82</v>
      </c>
      <c r="B203" t="s">
        <v>83</v>
      </c>
      <c r="C203" t="s">
        <v>82</v>
      </c>
      <c r="D203" t="str">
        <f>TRIM(alias[[#This Row],[Column3]])</f>
        <v>APLI</v>
      </c>
      <c r="F203" t="str">
        <f t="shared" si="3"/>
        <v>INSERT INTO stock_alias (stock, alias) VALUES ((SELECT id FROM stock WHERE ticker = 'APLI'), 'APLI') ON CONFLICT DO NOTHING;</v>
      </c>
    </row>
    <row r="204" spans="1:6" x14ac:dyDescent="0.2">
      <c r="A204" t="s">
        <v>82</v>
      </c>
      <c r="B204" t="s">
        <v>83</v>
      </c>
      <c r="C204" t="s">
        <v>5007</v>
      </c>
      <c r="D204" t="str">
        <f>TRIM(alias[[#This Row],[Column3]])</f>
        <v>Asiaplast Industries</v>
      </c>
      <c r="F204" t="str">
        <f t="shared" si="3"/>
        <v>INSERT INTO stock_alias (stock, alias) VALUES ((SELECT id FROM stock WHERE ticker = 'APLI'), 'Asiaplast Industries') ON CONFLICT DO NOTHING;</v>
      </c>
    </row>
    <row r="205" spans="1:6" x14ac:dyDescent="0.2">
      <c r="A205" t="s">
        <v>82</v>
      </c>
      <c r="B205" t="s">
        <v>83</v>
      </c>
      <c r="C205" t="s">
        <v>5008</v>
      </c>
      <c r="D205" t="str">
        <f>TRIM(alias[[#This Row],[Column3]])</f>
        <v>Asiaplast Industries Tbk</v>
      </c>
      <c r="F205" t="str">
        <f t="shared" si="3"/>
        <v>INSERT INTO stock_alias (stock, alias) VALUES ((SELECT id FROM stock WHERE ticker = 'APLI'), 'Asiaplast Industries Tbk') ON CONFLICT DO NOTHING;</v>
      </c>
    </row>
    <row r="206" spans="1:6" x14ac:dyDescent="0.2">
      <c r="A206" t="s">
        <v>82</v>
      </c>
      <c r="B206" t="s">
        <v>83</v>
      </c>
      <c r="C206" t="s">
        <v>5009</v>
      </c>
      <c r="D206" t="str">
        <f>TRIM(alias[[#This Row],[Column3]])</f>
        <v>PT Asiaplast Industries</v>
      </c>
      <c r="F206" t="str">
        <f t="shared" si="3"/>
        <v>INSERT INTO stock_alias (stock, alias) VALUES ((SELECT id FROM stock WHERE ticker = 'APLI'), 'PT Asiaplast Industries') ON CONFLICT DO NOTHING;</v>
      </c>
    </row>
    <row r="207" spans="1:6" x14ac:dyDescent="0.2">
      <c r="A207" t="s">
        <v>85</v>
      </c>
      <c r="B207" t="s">
        <v>86</v>
      </c>
      <c r="C207" t="s">
        <v>85</v>
      </c>
      <c r="D207" t="str">
        <f>TRIM(alias[[#This Row],[Column3]])</f>
        <v>APLN</v>
      </c>
      <c r="F207" t="str">
        <f t="shared" si="3"/>
        <v>INSERT INTO stock_alias (stock, alias) VALUES ((SELECT id FROM stock WHERE ticker = 'APLN'), 'APLN') ON CONFLICT DO NOTHING;</v>
      </c>
    </row>
    <row r="208" spans="1:6" x14ac:dyDescent="0.2">
      <c r="A208" t="s">
        <v>85</v>
      </c>
      <c r="B208" t="s">
        <v>86</v>
      </c>
      <c r="C208" t="s">
        <v>5010</v>
      </c>
      <c r="D208" t="str">
        <f>TRIM(alias[[#This Row],[Column3]])</f>
        <v>APL</v>
      </c>
      <c r="F208" t="str">
        <f t="shared" si="3"/>
        <v>INSERT INTO stock_alias (stock, alias) VALUES ((SELECT id FROM stock WHERE ticker = 'APLN'), 'APL') ON CONFLICT DO NOTHING;</v>
      </c>
    </row>
    <row r="209" spans="1:6" x14ac:dyDescent="0.2">
      <c r="A209" t="s">
        <v>85</v>
      </c>
      <c r="B209" t="s">
        <v>86</v>
      </c>
      <c r="C209" t="s">
        <v>5011</v>
      </c>
      <c r="D209" t="str">
        <f>TRIM(alias[[#This Row],[Column3]])</f>
        <v>Agung Podomoro Land</v>
      </c>
      <c r="F209" t="str">
        <f t="shared" si="3"/>
        <v>INSERT INTO stock_alias (stock, alias) VALUES ((SELECT id FROM stock WHERE ticker = 'APLN'), 'Agung Podomoro Land') ON CONFLICT DO NOTHING;</v>
      </c>
    </row>
    <row r="210" spans="1:6" x14ac:dyDescent="0.2">
      <c r="A210" t="s">
        <v>85</v>
      </c>
      <c r="B210" t="s">
        <v>86</v>
      </c>
      <c r="C210" t="s">
        <v>5012</v>
      </c>
      <c r="D210" t="str">
        <f>TRIM(alias[[#This Row],[Column3]])</f>
        <v>Agung Podomoro Land Tbk</v>
      </c>
      <c r="F210" t="str">
        <f t="shared" si="3"/>
        <v>INSERT INTO stock_alias (stock, alias) VALUES ((SELECT id FROM stock WHERE ticker = 'APLN'), 'Agung Podomoro Land Tbk') ON CONFLICT DO NOTHING;</v>
      </c>
    </row>
    <row r="211" spans="1:6" x14ac:dyDescent="0.2">
      <c r="A211" t="s">
        <v>85</v>
      </c>
      <c r="B211" t="s">
        <v>86</v>
      </c>
      <c r="C211" t="s">
        <v>5013</v>
      </c>
      <c r="D211" t="str">
        <f>TRIM(alias[[#This Row],[Column3]])</f>
        <v>PT Agung Podomoro Land</v>
      </c>
      <c r="F211" t="str">
        <f t="shared" si="3"/>
        <v>INSERT INTO stock_alias (stock, alias) VALUES ((SELECT id FROM stock WHERE ticker = 'APLN'), 'PT Agung Podomoro Land') ON CONFLICT DO NOTHING;</v>
      </c>
    </row>
    <row r="212" spans="1:6" x14ac:dyDescent="0.2">
      <c r="A212" t="s">
        <v>1960</v>
      </c>
      <c r="B212" t="s">
        <v>1961</v>
      </c>
      <c r="C212" t="s">
        <v>1960</v>
      </c>
      <c r="D212" t="str">
        <f>TRIM(alias[[#This Row],[Column3]])</f>
        <v>ARCI</v>
      </c>
      <c r="F212" t="str">
        <f t="shared" si="3"/>
        <v>INSERT INTO stock_alias (stock, alias) VALUES ((SELECT id FROM stock WHERE ticker = 'ARCI'), 'ARCI') ON CONFLICT DO NOTHING;</v>
      </c>
    </row>
    <row r="213" spans="1:6" x14ac:dyDescent="0.2">
      <c r="A213" t="s">
        <v>1960</v>
      </c>
      <c r="B213" t="s">
        <v>1961</v>
      </c>
      <c r="C213" t="s">
        <v>5014</v>
      </c>
      <c r="D213" t="str">
        <f>TRIM(alias[[#This Row],[Column3]])</f>
        <v>Archi Indonesia</v>
      </c>
      <c r="F213" t="str">
        <f t="shared" si="3"/>
        <v>INSERT INTO stock_alias (stock, alias) VALUES ((SELECT id FROM stock WHERE ticker = 'ARCI'), 'Archi Indonesia') ON CONFLICT DO NOTHING;</v>
      </c>
    </row>
    <row r="214" spans="1:6" x14ac:dyDescent="0.2">
      <c r="A214" t="s">
        <v>1960</v>
      </c>
      <c r="B214" t="s">
        <v>1961</v>
      </c>
      <c r="C214" t="s">
        <v>5015</v>
      </c>
      <c r="D214" t="str">
        <f>TRIM(alias[[#This Row],[Column3]])</f>
        <v>Archi Indonesia Tbk</v>
      </c>
      <c r="F214" t="str">
        <f t="shared" si="3"/>
        <v>INSERT INTO stock_alias (stock, alias) VALUES ((SELECT id FROM stock WHERE ticker = 'ARCI'), 'Archi Indonesia Tbk') ON CONFLICT DO NOTHING;</v>
      </c>
    </row>
    <row r="215" spans="1:6" x14ac:dyDescent="0.2">
      <c r="A215" t="s">
        <v>1960</v>
      </c>
      <c r="B215" t="s">
        <v>1961</v>
      </c>
      <c r="C215" t="s">
        <v>5016</v>
      </c>
      <c r="D215" t="str">
        <f>TRIM(alias[[#This Row],[Column3]])</f>
        <v>PT Archi Indonesia</v>
      </c>
      <c r="F215" t="str">
        <f t="shared" si="3"/>
        <v>INSERT INTO stock_alias (stock, alias) VALUES ((SELECT id FROM stock WHERE ticker = 'ARCI'), 'PT Archi Indonesia') ON CONFLICT DO NOTHING;</v>
      </c>
    </row>
    <row r="216" spans="1:6" x14ac:dyDescent="0.2">
      <c r="A216" t="s">
        <v>2450</v>
      </c>
      <c r="B216" t="s">
        <v>2451</v>
      </c>
      <c r="C216" t="s">
        <v>2450</v>
      </c>
      <c r="D216" t="str">
        <f>TRIM(alias[[#This Row],[Column3]])</f>
        <v>AREA</v>
      </c>
      <c r="F216" t="str">
        <f t="shared" si="3"/>
        <v>INSERT INTO stock_alias (stock, alias) VALUES ((SELECT id FROM stock WHERE ticker = 'AREA'), 'AREA') ON CONFLICT DO NOTHING;</v>
      </c>
    </row>
    <row r="217" spans="1:6" x14ac:dyDescent="0.2">
      <c r="A217" t="s">
        <v>2450</v>
      </c>
      <c r="B217" t="s">
        <v>2451</v>
      </c>
      <c r="C217" t="s">
        <v>5017</v>
      </c>
      <c r="D217" t="str">
        <f>TRIM(alias[[#This Row],[Column3]])</f>
        <v>Dunia Virtual Online</v>
      </c>
      <c r="F217" t="str">
        <f t="shared" si="3"/>
        <v>INSERT INTO stock_alias (stock, alias) VALUES ((SELECT id FROM stock WHERE ticker = 'AREA'), 'Dunia Virtual Online') ON CONFLICT DO NOTHING;</v>
      </c>
    </row>
    <row r="218" spans="1:6" x14ac:dyDescent="0.2">
      <c r="A218" t="s">
        <v>2450</v>
      </c>
      <c r="B218" t="s">
        <v>2451</v>
      </c>
      <c r="C218" t="s">
        <v>5018</v>
      </c>
      <c r="D218" t="str">
        <f>TRIM(alias[[#This Row],[Column3]])</f>
        <v>Dunia Virtual Online Tbk</v>
      </c>
      <c r="F218" t="str">
        <f t="shared" si="3"/>
        <v>INSERT INTO stock_alias (stock, alias) VALUES ((SELECT id FROM stock WHERE ticker = 'AREA'), 'Dunia Virtual Online Tbk') ON CONFLICT DO NOTHING;</v>
      </c>
    </row>
    <row r="219" spans="1:6" x14ac:dyDescent="0.2">
      <c r="A219" t="s">
        <v>2450</v>
      </c>
      <c r="B219" t="s">
        <v>2451</v>
      </c>
      <c r="C219" t="s">
        <v>5019</v>
      </c>
      <c r="D219" t="str">
        <f>TRIM(alias[[#This Row],[Column3]])</f>
        <v>PT Dunia Virtual Online</v>
      </c>
      <c r="F219" t="str">
        <f t="shared" si="3"/>
        <v>INSERT INTO stock_alias (stock, alias) VALUES ((SELECT id FROM stock WHERE ticker = 'AREA'), 'PT Dunia Virtual Online') ON CONFLICT DO NOTHING;</v>
      </c>
    </row>
    <row r="220" spans="1:6" x14ac:dyDescent="0.2">
      <c r="A220" t="s">
        <v>88</v>
      </c>
      <c r="B220" t="s">
        <v>3508</v>
      </c>
      <c r="C220" t="s">
        <v>88</v>
      </c>
      <c r="D220" t="str">
        <f>TRIM(alias[[#This Row],[Column3]])</f>
        <v>ARGO</v>
      </c>
      <c r="F220" t="str">
        <f t="shared" si="3"/>
        <v>INSERT INTO stock_alias (stock, alias) VALUES ((SELECT id FROM stock WHERE ticker = 'ARGO'), 'ARGO') ON CONFLICT DO NOTHING;</v>
      </c>
    </row>
    <row r="221" spans="1:6" x14ac:dyDescent="0.2">
      <c r="A221" t="s">
        <v>88</v>
      </c>
      <c r="B221" t="s">
        <v>3508</v>
      </c>
      <c r="C221" t="s">
        <v>5020</v>
      </c>
      <c r="D221" t="str">
        <f>TRIM(alias[[#This Row],[Column3]])</f>
        <v>Argo Pantes</v>
      </c>
      <c r="F221" t="str">
        <f t="shared" si="3"/>
        <v>INSERT INTO stock_alias (stock, alias) VALUES ((SELECT id FROM stock WHERE ticker = 'ARGO'), 'Argo Pantes') ON CONFLICT DO NOTHING;</v>
      </c>
    </row>
    <row r="222" spans="1:6" x14ac:dyDescent="0.2">
      <c r="A222" t="s">
        <v>88</v>
      </c>
      <c r="B222" t="s">
        <v>3508</v>
      </c>
      <c r="C222" t="s">
        <v>5021</v>
      </c>
      <c r="D222" t="str">
        <f>TRIM(alias[[#This Row],[Column3]])</f>
        <v>Argo Pantes Tbk</v>
      </c>
      <c r="F222" t="str">
        <f t="shared" si="3"/>
        <v>INSERT INTO stock_alias (stock, alias) VALUES ((SELECT id FROM stock WHERE ticker = 'ARGO'), 'Argo Pantes Tbk') ON CONFLICT DO NOTHING;</v>
      </c>
    </row>
    <row r="223" spans="1:6" x14ac:dyDescent="0.2">
      <c r="A223" t="s">
        <v>88</v>
      </c>
      <c r="B223" t="s">
        <v>3508</v>
      </c>
      <c r="C223" t="s">
        <v>5022</v>
      </c>
      <c r="D223" t="str">
        <f>TRIM(alias[[#This Row],[Column3]])</f>
        <v>PT Argo Pantes</v>
      </c>
      <c r="F223" t="str">
        <f t="shared" si="3"/>
        <v>INSERT INTO stock_alias (stock, alias) VALUES ((SELECT id FROM stock WHERE ticker = 'ARGO'), 'PT Argo Pantes') ON CONFLICT DO NOTHING;</v>
      </c>
    </row>
    <row r="224" spans="1:6" x14ac:dyDescent="0.2">
      <c r="A224" t="s">
        <v>91</v>
      </c>
      <c r="B224" t="s">
        <v>92</v>
      </c>
      <c r="C224" t="s">
        <v>91</v>
      </c>
      <c r="D224" t="str">
        <f>TRIM(alias[[#This Row],[Column3]])</f>
        <v>ARII</v>
      </c>
      <c r="F224" t="str">
        <f t="shared" si="3"/>
        <v>INSERT INTO stock_alias (stock, alias) VALUES ((SELECT id FROM stock WHERE ticker = 'ARII'), 'ARII') ON CONFLICT DO NOTHING;</v>
      </c>
    </row>
    <row r="225" spans="1:6" x14ac:dyDescent="0.2">
      <c r="A225" t="s">
        <v>91</v>
      </c>
      <c r="B225" t="s">
        <v>92</v>
      </c>
      <c r="C225" t="s">
        <v>5023</v>
      </c>
      <c r="D225" t="str">
        <f>TRIM(alias[[#This Row],[Column3]])</f>
        <v>Atlas Resources</v>
      </c>
      <c r="F225" t="str">
        <f t="shared" si="3"/>
        <v>INSERT INTO stock_alias (stock, alias) VALUES ((SELECT id FROM stock WHERE ticker = 'ARII'), 'Atlas Resources') ON CONFLICT DO NOTHING;</v>
      </c>
    </row>
    <row r="226" spans="1:6" x14ac:dyDescent="0.2">
      <c r="A226" t="s">
        <v>91</v>
      </c>
      <c r="B226" t="s">
        <v>92</v>
      </c>
      <c r="C226" t="s">
        <v>5024</v>
      </c>
      <c r="D226" t="str">
        <f>TRIM(alias[[#This Row],[Column3]])</f>
        <v>Atlas Resources Tbk</v>
      </c>
      <c r="F226" t="str">
        <f t="shared" si="3"/>
        <v>INSERT INTO stock_alias (stock, alias) VALUES ((SELECT id FROM stock WHERE ticker = 'ARII'), 'Atlas Resources Tbk') ON CONFLICT DO NOTHING;</v>
      </c>
    </row>
    <row r="227" spans="1:6" x14ac:dyDescent="0.2">
      <c r="A227" t="s">
        <v>91</v>
      </c>
      <c r="B227" t="s">
        <v>92</v>
      </c>
      <c r="C227" t="s">
        <v>5025</v>
      </c>
      <c r="D227" t="str">
        <f>TRIM(alias[[#This Row],[Column3]])</f>
        <v>PT Atlas Resources</v>
      </c>
      <c r="F227" t="str">
        <f t="shared" si="3"/>
        <v>INSERT INTO stock_alias (stock, alias) VALUES ((SELECT id FROM stock WHERE ticker = 'ARII'), 'PT Atlas Resources') ON CONFLICT DO NOTHING;</v>
      </c>
    </row>
    <row r="228" spans="1:6" x14ac:dyDescent="0.2">
      <c r="A228" t="s">
        <v>1720</v>
      </c>
      <c r="B228" t="s">
        <v>1721</v>
      </c>
      <c r="C228" t="s">
        <v>1720</v>
      </c>
      <c r="D228" t="str">
        <f>TRIM(alias[[#This Row],[Column3]])</f>
        <v>ARKA</v>
      </c>
      <c r="F228" t="str">
        <f t="shared" si="3"/>
        <v>INSERT INTO stock_alias (stock, alias) VALUES ((SELECT id FROM stock WHERE ticker = 'ARKA'), 'ARKA') ON CONFLICT DO NOTHING;</v>
      </c>
    </row>
    <row r="229" spans="1:6" x14ac:dyDescent="0.2">
      <c r="A229" t="s">
        <v>1720</v>
      </c>
      <c r="B229" t="s">
        <v>1721</v>
      </c>
      <c r="C229" t="s">
        <v>5026</v>
      </c>
      <c r="D229" t="str">
        <f>TRIM(alias[[#This Row],[Column3]])</f>
        <v>Arkha Jayanti Persada</v>
      </c>
      <c r="F229" t="str">
        <f t="shared" si="3"/>
        <v>INSERT INTO stock_alias (stock, alias) VALUES ((SELECT id FROM stock WHERE ticker = 'ARKA'), 'Arkha Jayanti Persada') ON CONFLICT DO NOTHING;</v>
      </c>
    </row>
    <row r="230" spans="1:6" x14ac:dyDescent="0.2">
      <c r="A230" t="s">
        <v>1720</v>
      </c>
      <c r="B230" t="s">
        <v>1721</v>
      </c>
      <c r="C230" t="s">
        <v>5027</v>
      </c>
      <c r="D230" t="str">
        <f>TRIM(alias[[#This Row],[Column3]])</f>
        <v>Arkha Jayanti Persada Tbk</v>
      </c>
      <c r="F230" t="str">
        <f t="shared" si="3"/>
        <v>INSERT INTO stock_alias (stock, alias) VALUES ((SELECT id FROM stock WHERE ticker = 'ARKA'), 'Arkha Jayanti Persada Tbk') ON CONFLICT DO NOTHING;</v>
      </c>
    </row>
    <row r="231" spans="1:6" x14ac:dyDescent="0.2">
      <c r="A231" t="s">
        <v>1720</v>
      </c>
      <c r="B231" t="s">
        <v>1721</v>
      </c>
      <c r="C231" t="s">
        <v>5028</v>
      </c>
      <c r="D231" t="str">
        <f>TRIM(alias[[#This Row],[Column3]])</f>
        <v>PT Arkha Jayanti Persada</v>
      </c>
      <c r="F231" t="str">
        <f t="shared" si="3"/>
        <v>INSERT INTO stock_alias (stock, alias) VALUES ((SELECT id FROM stock WHERE ticker = 'ARKA'), 'PT Arkha Jayanti Persada') ON CONFLICT DO NOTHING;</v>
      </c>
    </row>
    <row r="232" spans="1:6" x14ac:dyDescent="0.2">
      <c r="A232" t="s">
        <v>2120</v>
      </c>
      <c r="B232" t="s">
        <v>2121</v>
      </c>
      <c r="C232" t="s">
        <v>2120</v>
      </c>
      <c r="D232" t="str">
        <f>TRIM(alias[[#This Row],[Column3]])</f>
        <v>ARKO</v>
      </c>
      <c r="F232" t="str">
        <f t="shared" si="3"/>
        <v>INSERT INTO stock_alias (stock, alias) VALUES ((SELECT id FROM stock WHERE ticker = 'ARKO'), 'ARKO') ON CONFLICT DO NOTHING;</v>
      </c>
    </row>
    <row r="233" spans="1:6" x14ac:dyDescent="0.2">
      <c r="A233" t="s">
        <v>2120</v>
      </c>
      <c r="B233" t="s">
        <v>2121</v>
      </c>
      <c r="C233" t="s">
        <v>5029</v>
      </c>
      <c r="D233" t="str">
        <f>TRIM(alias[[#This Row],[Column3]])</f>
        <v>Arkora Hydro</v>
      </c>
      <c r="F233" t="str">
        <f t="shared" si="3"/>
        <v>INSERT INTO stock_alias (stock, alias) VALUES ((SELECT id FROM stock WHERE ticker = 'ARKO'), 'Arkora Hydro') ON CONFLICT DO NOTHING;</v>
      </c>
    </row>
    <row r="234" spans="1:6" x14ac:dyDescent="0.2">
      <c r="A234" t="s">
        <v>2120</v>
      </c>
      <c r="B234" t="s">
        <v>2121</v>
      </c>
      <c r="C234" t="s">
        <v>5030</v>
      </c>
      <c r="D234" t="str">
        <f>TRIM(alias[[#This Row],[Column3]])</f>
        <v>Arkora Hydro Tbk</v>
      </c>
      <c r="F234" t="str">
        <f t="shared" si="3"/>
        <v>INSERT INTO stock_alias (stock, alias) VALUES ((SELECT id FROM stock WHERE ticker = 'ARKO'), 'Arkora Hydro Tbk') ON CONFLICT DO NOTHING;</v>
      </c>
    </row>
    <row r="235" spans="1:6" x14ac:dyDescent="0.2">
      <c r="A235" t="s">
        <v>2120</v>
      </c>
      <c r="B235" t="s">
        <v>2121</v>
      </c>
      <c r="C235" t="s">
        <v>5031</v>
      </c>
      <c r="D235" t="str">
        <f>TRIM(alias[[#This Row],[Column3]])</f>
        <v>PT Arkora Hydro</v>
      </c>
      <c r="F235" t="str">
        <f t="shared" si="3"/>
        <v>INSERT INTO stock_alias (stock, alias) VALUES ((SELECT id FROM stock WHERE ticker = 'ARKO'), 'PT Arkora Hydro') ON CONFLICT DO NOTHING;</v>
      </c>
    </row>
    <row r="236" spans="1:6" x14ac:dyDescent="0.2">
      <c r="A236" t="s">
        <v>1419</v>
      </c>
      <c r="B236" t="s">
        <v>1420</v>
      </c>
      <c r="C236" t="s">
        <v>1419</v>
      </c>
      <c r="D236" t="str">
        <f>TRIM(alias[[#This Row],[Column3]])</f>
        <v>ARMY</v>
      </c>
      <c r="F236" t="str">
        <f t="shared" si="3"/>
        <v>INSERT INTO stock_alias (stock, alias) VALUES ((SELECT id FROM stock WHERE ticker = 'ARMY'), 'ARMY') ON CONFLICT DO NOTHING;</v>
      </c>
    </row>
    <row r="237" spans="1:6" x14ac:dyDescent="0.2">
      <c r="A237" t="s">
        <v>1419</v>
      </c>
      <c r="B237" t="s">
        <v>1420</v>
      </c>
      <c r="C237" t="s">
        <v>5032</v>
      </c>
      <c r="D237" t="str">
        <f>TRIM(alias[[#This Row],[Column3]])</f>
        <v>Armidian Karyatama</v>
      </c>
      <c r="F237" t="str">
        <f t="shared" si="3"/>
        <v>INSERT INTO stock_alias (stock, alias) VALUES ((SELECT id FROM stock WHERE ticker = 'ARMY'), 'Armidian Karyatama') ON CONFLICT DO NOTHING;</v>
      </c>
    </row>
    <row r="238" spans="1:6" x14ac:dyDescent="0.2">
      <c r="A238" t="s">
        <v>1419</v>
      </c>
      <c r="B238" t="s">
        <v>1420</v>
      </c>
      <c r="C238" t="s">
        <v>5033</v>
      </c>
      <c r="D238" t="str">
        <f>TRIM(alias[[#This Row],[Column3]])</f>
        <v>Armidian Karyatama Tbk</v>
      </c>
      <c r="F238" t="str">
        <f t="shared" si="3"/>
        <v>INSERT INTO stock_alias (stock, alias) VALUES ((SELECT id FROM stock WHERE ticker = 'ARMY'), 'Armidian Karyatama Tbk') ON CONFLICT DO NOTHING;</v>
      </c>
    </row>
    <row r="239" spans="1:6" x14ac:dyDescent="0.2">
      <c r="A239" t="s">
        <v>1419</v>
      </c>
      <c r="B239" t="s">
        <v>1420</v>
      </c>
      <c r="C239" t="s">
        <v>5034</v>
      </c>
      <c r="D239" t="str">
        <f>TRIM(alias[[#This Row],[Column3]])</f>
        <v>PT Armidian Karyatama</v>
      </c>
      <c r="F239" t="str">
        <f t="shared" si="3"/>
        <v>INSERT INTO stock_alias (stock, alias) VALUES ((SELECT id FROM stock WHERE ticker = 'ARMY'), 'PT Armidian Karyatama') ON CONFLICT DO NOTHING;</v>
      </c>
    </row>
    <row r="240" spans="1:6" x14ac:dyDescent="0.2">
      <c r="A240" t="s">
        <v>94</v>
      </c>
      <c r="B240" t="s">
        <v>95</v>
      </c>
      <c r="C240" t="s">
        <v>94</v>
      </c>
      <c r="D240" t="str">
        <f>TRIM(alias[[#This Row],[Column3]])</f>
        <v>ARNA</v>
      </c>
      <c r="F240" t="str">
        <f t="shared" si="3"/>
        <v>INSERT INTO stock_alias (stock, alias) VALUES ((SELECT id FROM stock WHERE ticker = 'ARNA'), 'ARNA') ON CONFLICT DO NOTHING;</v>
      </c>
    </row>
    <row r="241" spans="1:6" x14ac:dyDescent="0.2">
      <c r="A241" t="s">
        <v>94</v>
      </c>
      <c r="B241" t="s">
        <v>95</v>
      </c>
      <c r="C241" t="s">
        <v>5035</v>
      </c>
      <c r="D241" t="str">
        <f>TRIM(alias[[#This Row],[Column3]])</f>
        <v>Arwana Citramulia</v>
      </c>
      <c r="F241" t="str">
        <f t="shared" si="3"/>
        <v>INSERT INTO stock_alias (stock, alias) VALUES ((SELECT id FROM stock WHERE ticker = 'ARNA'), 'Arwana Citramulia') ON CONFLICT DO NOTHING;</v>
      </c>
    </row>
    <row r="242" spans="1:6" x14ac:dyDescent="0.2">
      <c r="A242" t="s">
        <v>94</v>
      </c>
      <c r="B242" t="s">
        <v>95</v>
      </c>
      <c r="C242" t="s">
        <v>5036</v>
      </c>
      <c r="D242" t="str">
        <f>TRIM(alias[[#This Row],[Column3]])</f>
        <v>Arwana Citramulia Tbk</v>
      </c>
      <c r="F242" t="str">
        <f t="shared" si="3"/>
        <v>INSERT INTO stock_alias (stock, alias) VALUES ((SELECT id FROM stock WHERE ticker = 'ARNA'), 'Arwana Citramulia Tbk') ON CONFLICT DO NOTHING;</v>
      </c>
    </row>
    <row r="243" spans="1:6" x14ac:dyDescent="0.2">
      <c r="A243" t="s">
        <v>94</v>
      </c>
      <c r="B243" t="s">
        <v>95</v>
      </c>
      <c r="C243" t="s">
        <v>5037</v>
      </c>
      <c r="D243" t="str">
        <f>TRIM(alias[[#This Row],[Column3]])</f>
        <v>PT Arwana Citramulia</v>
      </c>
      <c r="F243" t="str">
        <f t="shared" si="3"/>
        <v>INSERT INTO stock_alias (stock, alias) VALUES ((SELECT id FROM stock WHERE ticker = 'ARNA'), 'PT Arwana Citramulia') ON CONFLICT DO NOTHING;</v>
      </c>
    </row>
    <row r="244" spans="1:6" x14ac:dyDescent="0.2">
      <c r="A244" t="s">
        <v>97</v>
      </c>
      <c r="B244" t="s">
        <v>3509</v>
      </c>
      <c r="C244" t="s">
        <v>5038</v>
      </c>
      <c r="D244" t="str">
        <f>TRIM(alias[[#This Row],[Column3]])</f>
        <v>ARTA Tbk</v>
      </c>
      <c r="F244" t="str">
        <f t="shared" si="3"/>
        <v>INSERT INTO stock_alias (stock, alias) VALUES ((SELECT id FROM stock WHERE ticker = 'ARTA'), 'ARTA Tbk') ON CONFLICT DO NOTHING;</v>
      </c>
    </row>
    <row r="245" spans="1:6" x14ac:dyDescent="0.2">
      <c r="A245" t="s">
        <v>97</v>
      </c>
      <c r="B245" t="s">
        <v>3509</v>
      </c>
      <c r="C245" t="s">
        <v>5039</v>
      </c>
      <c r="D245" t="str">
        <f>TRIM(alias[[#This Row],[Column3]])</f>
        <v>PT Arthavest</v>
      </c>
      <c r="F245" t="str">
        <f t="shared" si="3"/>
        <v>INSERT INTO stock_alias (stock, alias) VALUES ((SELECT id FROM stock WHERE ticker = 'ARTA'), 'PT Arthavest') ON CONFLICT DO NOTHING;</v>
      </c>
    </row>
    <row r="246" spans="1:6" x14ac:dyDescent="0.2">
      <c r="A246" t="s">
        <v>100</v>
      </c>
      <c r="B246" t="s">
        <v>3510</v>
      </c>
      <c r="C246" t="s">
        <v>100</v>
      </c>
      <c r="D246" t="str">
        <f>TRIM(alias[[#This Row],[Column3]])</f>
        <v>ARTI</v>
      </c>
      <c r="F246" t="str">
        <f t="shared" si="3"/>
        <v>INSERT INTO stock_alias (stock, alias) VALUES ((SELECT id FROM stock WHERE ticker = 'ARTI'), 'ARTI') ON CONFLICT DO NOTHING;</v>
      </c>
    </row>
    <row r="247" spans="1:6" x14ac:dyDescent="0.2">
      <c r="A247" t="s">
        <v>100</v>
      </c>
      <c r="B247" t="s">
        <v>3510</v>
      </c>
      <c r="C247" t="s">
        <v>5040</v>
      </c>
      <c r="D247" t="str">
        <f>TRIM(alias[[#This Row],[Column3]])</f>
        <v>PT Ratu Prabu Energi</v>
      </c>
      <c r="F247" t="str">
        <f t="shared" si="3"/>
        <v>INSERT INTO stock_alias (stock, alias) VALUES ((SELECT id FROM stock WHERE ticker = 'ARTI'), 'PT Ratu Prabu Energi') ON CONFLICT DO NOTHING;</v>
      </c>
    </row>
    <row r="248" spans="1:6" x14ac:dyDescent="0.2">
      <c r="A248" t="s">
        <v>100</v>
      </c>
      <c r="B248" t="s">
        <v>3510</v>
      </c>
      <c r="C248" t="s">
        <v>5041</v>
      </c>
      <c r="D248" t="str">
        <f>TRIM(alias[[#This Row],[Column3]])</f>
        <v>Ratu Prabu Energi</v>
      </c>
      <c r="F248" t="str">
        <f t="shared" si="3"/>
        <v>INSERT INTO stock_alias (stock, alias) VALUES ((SELECT id FROM stock WHERE ticker = 'ARTI'), 'Ratu Prabu Energi') ON CONFLICT DO NOTHING;</v>
      </c>
    </row>
    <row r="249" spans="1:6" x14ac:dyDescent="0.2">
      <c r="A249" t="s">
        <v>100</v>
      </c>
      <c r="B249" t="s">
        <v>3510</v>
      </c>
      <c r="C249" t="s">
        <v>5042</v>
      </c>
      <c r="D249" t="str">
        <f>TRIM(alias[[#This Row],[Column3]])</f>
        <v>Ratu Prabu Energi Tbk</v>
      </c>
      <c r="F249" t="str">
        <f t="shared" si="3"/>
        <v>INSERT INTO stock_alias (stock, alias) VALUES ((SELECT id FROM stock WHERE ticker = 'ARTI'), 'Ratu Prabu Energi Tbk') ON CONFLICT DO NOTHING;</v>
      </c>
    </row>
    <row r="250" spans="1:6" x14ac:dyDescent="0.2">
      <c r="A250" t="s">
        <v>103</v>
      </c>
      <c r="B250" t="s">
        <v>104</v>
      </c>
      <c r="C250" t="s">
        <v>103</v>
      </c>
      <c r="D250" t="str">
        <f>TRIM(alias[[#This Row],[Column3]])</f>
        <v>ARTO</v>
      </c>
      <c r="F250" t="str">
        <f t="shared" si="3"/>
        <v>INSERT INTO stock_alias (stock, alias) VALUES ((SELECT id FROM stock WHERE ticker = 'ARTO'), 'ARTO') ON CONFLICT DO NOTHING;</v>
      </c>
    </row>
    <row r="251" spans="1:6" x14ac:dyDescent="0.2">
      <c r="A251" t="s">
        <v>103</v>
      </c>
      <c r="B251" t="s">
        <v>104</v>
      </c>
      <c r="C251" t="s">
        <v>5043</v>
      </c>
      <c r="D251" t="str">
        <f>TRIM(alias[[#This Row],[Column3]])</f>
        <v>Bank Jago</v>
      </c>
      <c r="F251" t="str">
        <f t="shared" si="3"/>
        <v>INSERT INTO stock_alias (stock, alias) VALUES ((SELECT id FROM stock WHERE ticker = 'ARTO'), 'Bank Jago') ON CONFLICT DO NOTHING;</v>
      </c>
    </row>
    <row r="252" spans="1:6" x14ac:dyDescent="0.2">
      <c r="A252" t="s">
        <v>103</v>
      </c>
      <c r="B252" t="s">
        <v>104</v>
      </c>
      <c r="C252" t="s">
        <v>5044</v>
      </c>
      <c r="D252" t="str">
        <f>TRIM(alias[[#This Row],[Column3]])</f>
        <v>Bank Jago Tbk</v>
      </c>
      <c r="F252" t="str">
        <f t="shared" si="3"/>
        <v>INSERT INTO stock_alias (stock, alias) VALUES ((SELECT id FROM stock WHERE ticker = 'ARTO'), 'Bank Jago Tbk') ON CONFLICT DO NOTHING;</v>
      </c>
    </row>
    <row r="253" spans="1:6" x14ac:dyDescent="0.2">
      <c r="A253" t="s">
        <v>103</v>
      </c>
      <c r="B253" t="s">
        <v>104</v>
      </c>
      <c r="C253" t="s">
        <v>5045</v>
      </c>
      <c r="D253" t="str">
        <f>TRIM(alias[[#This Row],[Column3]])</f>
        <v>Jago</v>
      </c>
      <c r="F253" t="str">
        <f t="shared" si="3"/>
        <v>INSERT INTO stock_alias (stock, alias) VALUES ((SELECT id FROM stock WHERE ticker = 'ARTO'), 'Jago') ON CONFLICT DO NOTHING;</v>
      </c>
    </row>
    <row r="254" spans="1:6" x14ac:dyDescent="0.2">
      <c r="A254" t="s">
        <v>103</v>
      </c>
      <c r="B254" t="s">
        <v>104</v>
      </c>
      <c r="C254" t="s">
        <v>5046</v>
      </c>
      <c r="D254" t="str">
        <f>TRIM(alias[[#This Row],[Column3]])</f>
        <v>PT Bank Jago</v>
      </c>
      <c r="F254" t="str">
        <f t="shared" si="3"/>
        <v>INSERT INTO stock_alias (stock, alias) VALUES ((SELECT id FROM stock WHERE ticker = 'ARTO'), 'PT Bank Jago') ON CONFLICT DO NOTHING;</v>
      </c>
    </row>
    <row r="255" spans="1:6" x14ac:dyDescent="0.2">
      <c r="A255" t="s">
        <v>106</v>
      </c>
      <c r="B255" t="s">
        <v>107</v>
      </c>
      <c r="C255" t="s">
        <v>106</v>
      </c>
      <c r="D255" t="str">
        <f>TRIM(alias[[#This Row],[Column3]])</f>
        <v>ASBI</v>
      </c>
      <c r="F255" t="str">
        <f t="shared" si="3"/>
        <v>INSERT INTO stock_alias (stock, alias) VALUES ((SELECT id FROM stock WHERE ticker = 'ASBI'), 'ASBI') ON CONFLICT DO NOTHING;</v>
      </c>
    </row>
    <row r="256" spans="1:6" x14ac:dyDescent="0.2">
      <c r="A256" t="s">
        <v>106</v>
      </c>
      <c r="B256" t="s">
        <v>107</v>
      </c>
      <c r="C256" t="s">
        <v>5047</v>
      </c>
      <c r="D256" t="str">
        <f>TRIM(alias[[#This Row],[Column3]])</f>
        <v>Asuransi Bintang</v>
      </c>
      <c r="F256" t="str">
        <f t="shared" si="3"/>
        <v>INSERT INTO stock_alias (stock, alias) VALUES ((SELECT id FROM stock WHERE ticker = 'ASBI'), 'Asuransi Bintang') ON CONFLICT DO NOTHING;</v>
      </c>
    </row>
    <row r="257" spans="1:6" x14ac:dyDescent="0.2">
      <c r="A257" t="s">
        <v>106</v>
      </c>
      <c r="B257" t="s">
        <v>107</v>
      </c>
      <c r="C257" t="s">
        <v>5048</v>
      </c>
      <c r="D257" t="str">
        <f>TRIM(alias[[#This Row],[Column3]])</f>
        <v>Asuransi Bintang Tbk</v>
      </c>
      <c r="F257" t="str">
        <f t="shared" si="3"/>
        <v>INSERT INTO stock_alias (stock, alias) VALUES ((SELECT id FROM stock WHERE ticker = 'ASBI'), 'Asuransi Bintang Tbk') ON CONFLICT DO NOTHING;</v>
      </c>
    </row>
    <row r="258" spans="1:6" x14ac:dyDescent="0.2">
      <c r="A258" t="s">
        <v>106</v>
      </c>
      <c r="B258" t="s">
        <v>107</v>
      </c>
      <c r="C258" t="s">
        <v>5049</v>
      </c>
      <c r="D258" t="str">
        <f>TRIM(alias[[#This Row],[Column3]])</f>
        <v>PT Asuransi Bintang</v>
      </c>
      <c r="F258" t="str">
        <f t="shared" si="3"/>
        <v>INSERT INTO stock_alias (stock, alias) VALUES ((SELECT id FROM stock WHERE ticker = 'ASBI'), 'PT Asuransi Bintang') ON CONFLICT DO NOTHING;</v>
      </c>
    </row>
    <row r="259" spans="1:6" x14ac:dyDescent="0.2">
      <c r="A259" t="s">
        <v>109</v>
      </c>
      <c r="B259" t="s">
        <v>110</v>
      </c>
      <c r="C259" t="s">
        <v>109</v>
      </c>
      <c r="D259" t="str">
        <f>TRIM(alias[[#This Row],[Column3]])</f>
        <v>ASDM</v>
      </c>
      <c r="F259" t="str">
        <f t="shared" si="3"/>
        <v>INSERT INTO stock_alias (stock, alias) VALUES ((SELECT id FROM stock WHERE ticker = 'ASDM'), 'ASDM') ON CONFLICT DO NOTHING;</v>
      </c>
    </row>
    <row r="260" spans="1:6" x14ac:dyDescent="0.2">
      <c r="A260" t="s">
        <v>109</v>
      </c>
      <c r="B260" t="s">
        <v>110</v>
      </c>
      <c r="C260" t="s">
        <v>5050</v>
      </c>
      <c r="D260" t="str">
        <f>TRIM(alias[[#This Row],[Column3]])</f>
        <v>Asuransi Dayin Mitra</v>
      </c>
      <c r="F260" t="str">
        <f t="shared" ref="F260:F323" si="4">_xlfn.CONCAT($F$1, _xlfn.CONCAT($G$1, A260, "'), '", D260, "') ON CONFLICT DO NOTHING;"))</f>
        <v>INSERT INTO stock_alias (stock, alias) VALUES ((SELECT id FROM stock WHERE ticker = 'ASDM'), 'Asuransi Dayin Mitra') ON CONFLICT DO NOTHING;</v>
      </c>
    </row>
    <row r="261" spans="1:6" x14ac:dyDescent="0.2">
      <c r="A261" t="s">
        <v>109</v>
      </c>
      <c r="B261" t="s">
        <v>110</v>
      </c>
      <c r="C261" t="s">
        <v>5051</v>
      </c>
      <c r="D261" t="str">
        <f>TRIM(alias[[#This Row],[Column3]])</f>
        <v>Asuransi Dayin Mitra Tbk</v>
      </c>
      <c r="F261" t="str">
        <f t="shared" si="4"/>
        <v>INSERT INTO stock_alias (stock, alias) VALUES ((SELECT id FROM stock WHERE ticker = 'ASDM'), 'Asuransi Dayin Mitra Tbk') ON CONFLICT DO NOTHING;</v>
      </c>
    </row>
    <row r="262" spans="1:6" x14ac:dyDescent="0.2">
      <c r="A262" t="s">
        <v>109</v>
      </c>
      <c r="B262" t="s">
        <v>110</v>
      </c>
      <c r="C262" t="s">
        <v>5052</v>
      </c>
      <c r="D262" t="str">
        <f>TRIM(alias[[#This Row],[Column3]])</f>
        <v>PT Asuransi Dayin Mitra</v>
      </c>
      <c r="F262" t="str">
        <f t="shared" si="4"/>
        <v>INSERT INTO stock_alias (stock, alias) VALUES ((SELECT id FROM stock WHERE ticker = 'ASDM'), 'PT Asuransi Dayin Mitra') ON CONFLICT DO NOTHING;</v>
      </c>
    </row>
    <row r="263" spans="1:6" x14ac:dyDescent="0.2">
      <c r="A263" t="s">
        <v>112</v>
      </c>
      <c r="B263" t="s">
        <v>113</v>
      </c>
      <c r="C263" t="s">
        <v>112</v>
      </c>
      <c r="D263" t="str">
        <f>TRIM(alias[[#This Row],[Column3]])</f>
        <v>ASGR</v>
      </c>
      <c r="F263" t="str">
        <f t="shared" si="4"/>
        <v>INSERT INTO stock_alias (stock, alias) VALUES ((SELECT id FROM stock WHERE ticker = 'ASGR'), 'ASGR') ON CONFLICT DO NOTHING;</v>
      </c>
    </row>
    <row r="264" spans="1:6" x14ac:dyDescent="0.2">
      <c r="A264" t="s">
        <v>112</v>
      </c>
      <c r="B264" t="s">
        <v>113</v>
      </c>
      <c r="C264" t="s">
        <v>5053</v>
      </c>
      <c r="D264" t="str">
        <f>TRIM(alias[[#This Row],[Column3]])</f>
        <v>Astra Graphia</v>
      </c>
      <c r="F264" t="str">
        <f t="shared" si="4"/>
        <v>INSERT INTO stock_alias (stock, alias) VALUES ((SELECT id FROM stock WHERE ticker = 'ASGR'), 'Astra Graphia') ON CONFLICT DO NOTHING;</v>
      </c>
    </row>
    <row r="265" spans="1:6" x14ac:dyDescent="0.2">
      <c r="A265" t="s">
        <v>112</v>
      </c>
      <c r="B265" t="s">
        <v>113</v>
      </c>
      <c r="C265" t="s">
        <v>5054</v>
      </c>
      <c r="D265" t="str">
        <f>TRIM(alias[[#This Row],[Column3]])</f>
        <v>Astra Graphia Tbk</v>
      </c>
      <c r="F265" t="str">
        <f t="shared" si="4"/>
        <v>INSERT INTO stock_alias (stock, alias) VALUES ((SELECT id FROM stock WHERE ticker = 'ASGR'), 'Astra Graphia Tbk') ON CONFLICT DO NOTHING;</v>
      </c>
    </row>
    <row r="266" spans="1:6" x14ac:dyDescent="0.2">
      <c r="A266" t="s">
        <v>112</v>
      </c>
      <c r="B266" t="s">
        <v>113</v>
      </c>
      <c r="C266" t="s">
        <v>5055</v>
      </c>
      <c r="D266" t="str">
        <f>TRIM(alias[[#This Row],[Column3]])</f>
        <v>PT Astra Graphia</v>
      </c>
      <c r="F266" t="str">
        <f t="shared" si="4"/>
        <v>INSERT INTO stock_alias (stock, alias) VALUES ((SELECT id FROM stock WHERE ticker = 'ASGR'), 'PT Astra Graphia') ON CONFLICT DO NOTHING;</v>
      </c>
    </row>
    <row r="267" spans="1:6" x14ac:dyDescent="0.2">
      <c r="A267" t="s">
        <v>2114</v>
      </c>
      <c r="B267" t="s">
        <v>3511</v>
      </c>
      <c r="C267" t="s">
        <v>2114</v>
      </c>
      <c r="D267" t="str">
        <f>TRIM(alias[[#This Row],[Column3]])</f>
        <v>ASHA</v>
      </c>
      <c r="F267" t="str">
        <f t="shared" si="4"/>
        <v>INSERT INTO stock_alias (stock, alias) VALUES ((SELECT id FROM stock WHERE ticker = 'ASHA'), 'ASHA') ON CONFLICT DO NOTHING;</v>
      </c>
    </row>
    <row r="268" spans="1:6" x14ac:dyDescent="0.2">
      <c r="A268" t="s">
        <v>2114</v>
      </c>
      <c r="B268" t="s">
        <v>3511</v>
      </c>
      <c r="C268" t="s">
        <v>5056</v>
      </c>
      <c r="D268" t="str">
        <f>TRIM(alias[[#This Row],[Column3]])</f>
        <v>Cilacap Samudera Fishing Industry</v>
      </c>
      <c r="F268" t="str">
        <f t="shared" si="4"/>
        <v>INSERT INTO stock_alias (stock, alias) VALUES ((SELECT id FROM stock WHERE ticker = 'ASHA'), 'Cilacap Samudera Fishing Industry') ON CONFLICT DO NOTHING;</v>
      </c>
    </row>
    <row r="269" spans="1:6" x14ac:dyDescent="0.2">
      <c r="A269" t="s">
        <v>2114</v>
      </c>
      <c r="B269" t="s">
        <v>3511</v>
      </c>
      <c r="C269" t="s">
        <v>5057</v>
      </c>
      <c r="D269" t="str">
        <f>TRIM(alias[[#This Row],[Column3]])</f>
        <v>Cilacap Samudera Fishing Industry Tbk</v>
      </c>
      <c r="F269" t="str">
        <f t="shared" si="4"/>
        <v>INSERT INTO stock_alias (stock, alias) VALUES ((SELECT id FROM stock WHERE ticker = 'ASHA'), 'Cilacap Samudera Fishing Industry Tbk') ON CONFLICT DO NOTHING;</v>
      </c>
    </row>
    <row r="270" spans="1:6" x14ac:dyDescent="0.2">
      <c r="A270" t="s">
        <v>2114</v>
      </c>
      <c r="B270" t="s">
        <v>3511</v>
      </c>
      <c r="C270" t="s">
        <v>5058</v>
      </c>
      <c r="D270" t="str">
        <f>TRIM(alias[[#This Row],[Column3]])</f>
        <v>PT Cilacap Samudera Fishing Industry</v>
      </c>
      <c r="F270" t="str">
        <f t="shared" si="4"/>
        <v>INSERT INTO stock_alias (stock, alias) VALUES ((SELECT id FROM stock WHERE ticker = 'ASHA'), 'PT Cilacap Samudera Fishing Industry') ON CONFLICT DO NOTHING;</v>
      </c>
    </row>
    <row r="271" spans="1:6" x14ac:dyDescent="0.2">
      <c r="A271" t="s">
        <v>115</v>
      </c>
      <c r="B271" t="s">
        <v>116</v>
      </c>
      <c r="C271" t="s">
        <v>115</v>
      </c>
      <c r="D271" t="str">
        <f>TRIM(alias[[#This Row],[Column3]])</f>
        <v>ASII</v>
      </c>
      <c r="F271" t="str">
        <f t="shared" si="4"/>
        <v>INSERT INTO stock_alias (stock, alias) VALUES ((SELECT id FROM stock WHERE ticker = 'ASII'), 'ASII') ON CONFLICT DO NOTHING;</v>
      </c>
    </row>
    <row r="272" spans="1:6" x14ac:dyDescent="0.2">
      <c r="A272" t="s">
        <v>115</v>
      </c>
      <c r="B272" t="s">
        <v>116</v>
      </c>
      <c r="C272" t="s">
        <v>5059</v>
      </c>
      <c r="D272" t="str">
        <f>TRIM(alias[[#This Row],[Column3]])</f>
        <v>Astra International</v>
      </c>
      <c r="F272" t="str">
        <f t="shared" si="4"/>
        <v>INSERT INTO stock_alias (stock, alias) VALUES ((SELECT id FROM stock WHERE ticker = 'ASII'), 'Astra International') ON CONFLICT DO NOTHING;</v>
      </c>
    </row>
    <row r="273" spans="1:6" x14ac:dyDescent="0.2">
      <c r="A273" t="s">
        <v>115</v>
      </c>
      <c r="B273" t="s">
        <v>116</v>
      </c>
      <c r="C273" t="s">
        <v>5060</v>
      </c>
      <c r="D273" t="str">
        <f>TRIM(alias[[#This Row],[Column3]])</f>
        <v>Astra International Tbk</v>
      </c>
      <c r="F273" t="str">
        <f t="shared" si="4"/>
        <v>INSERT INTO stock_alias (stock, alias) VALUES ((SELECT id FROM stock WHERE ticker = 'ASII'), 'Astra International Tbk') ON CONFLICT DO NOTHING;</v>
      </c>
    </row>
    <row r="274" spans="1:6" x14ac:dyDescent="0.2">
      <c r="A274" t="s">
        <v>115</v>
      </c>
      <c r="B274" t="s">
        <v>116</v>
      </c>
      <c r="C274" t="s">
        <v>5061</v>
      </c>
      <c r="D274" t="str">
        <f>TRIM(alias[[#This Row],[Column3]])</f>
        <v>PT Astra International</v>
      </c>
      <c r="F274" t="str">
        <f t="shared" si="4"/>
        <v>INSERT INTO stock_alias (stock, alias) VALUES ((SELECT id FROM stock WHERE ticker = 'ASII'), 'PT Astra International') ON CONFLICT DO NOTHING;</v>
      </c>
    </row>
    <row r="275" spans="1:6" x14ac:dyDescent="0.2">
      <c r="A275" t="s">
        <v>118</v>
      </c>
      <c r="B275" t="s">
        <v>119</v>
      </c>
      <c r="C275" t="s">
        <v>118</v>
      </c>
      <c r="D275" t="str">
        <f>TRIM(alias[[#This Row],[Column3]])</f>
        <v>ASJT</v>
      </c>
      <c r="F275" t="str">
        <f t="shared" si="4"/>
        <v>INSERT INTO stock_alias (stock, alias) VALUES ((SELECT id FROM stock WHERE ticker = 'ASJT'), 'ASJT') ON CONFLICT DO NOTHING;</v>
      </c>
    </row>
    <row r="276" spans="1:6" x14ac:dyDescent="0.2">
      <c r="A276" t="s">
        <v>118</v>
      </c>
      <c r="B276" t="s">
        <v>119</v>
      </c>
      <c r="C276" t="s">
        <v>5062</v>
      </c>
      <c r="D276" t="str">
        <f>TRIM(alias[[#This Row],[Column3]])</f>
        <v>Asuransi Jasa Tania</v>
      </c>
      <c r="F276" t="str">
        <f t="shared" si="4"/>
        <v>INSERT INTO stock_alias (stock, alias) VALUES ((SELECT id FROM stock WHERE ticker = 'ASJT'), 'Asuransi Jasa Tania') ON CONFLICT DO NOTHING;</v>
      </c>
    </row>
    <row r="277" spans="1:6" x14ac:dyDescent="0.2">
      <c r="A277" t="s">
        <v>118</v>
      </c>
      <c r="B277" t="s">
        <v>119</v>
      </c>
      <c r="C277" t="s">
        <v>5063</v>
      </c>
      <c r="D277" t="str">
        <f>TRIM(alias[[#This Row],[Column3]])</f>
        <v>Asuransi Jasa Tania Tbk</v>
      </c>
      <c r="F277" t="str">
        <f t="shared" si="4"/>
        <v>INSERT INTO stock_alias (stock, alias) VALUES ((SELECT id FROM stock WHERE ticker = 'ASJT'), 'Asuransi Jasa Tania Tbk') ON CONFLICT DO NOTHING;</v>
      </c>
    </row>
    <row r="278" spans="1:6" x14ac:dyDescent="0.2">
      <c r="A278" t="s">
        <v>118</v>
      </c>
      <c r="B278" t="s">
        <v>119</v>
      </c>
      <c r="C278" t="s">
        <v>5064</v>
      </c>
      <c r="D278" t="str">
        <f>TRIM(alias[[#This Row],[Column3]])</f>
        <v>PT Asuransi Jasa Tania</v>
      </c>
      <c r="F278" t="str">
        <f t="shared" si="4"/>
        <v>INSERT INTO stock_alias (stock, alias) VALUES ((SELECT id FROM stock WHERE ticker = 'ASJT'), 'PT Asuransi Jasa Tania') ON CONFLICT DO NOTHING;</v>
      </c>
    </row>
    <row r="279" spans="1:6" x14ac:dyDescent="0.2">
      <c r="A279" t="s">
        <v>2065</v>
      </c>
      <c r="B279" t="s">
        <v>2066</v>
      </c>
      <c r="C279" t="s">
        <v>2065</v>
      </c>
      <c r="D279" t="str">
        <f>TRIM(alias[[#This Row],[Column3]])</f>
        <v>ASLC</v>
      </c>
      <c r="F279" t="str">
        <f t="shared" si="4"/>
        <v>INSERT INTO stock_alias (stock, alias) VALUES ((SELECT id FROM stock WHERE ticker = 'ASLC'), 'ASLC') ON CONFLICT DO NOTHING;</v>
      </c>
    </row>
    <row r="280" spans="1:6" x14ac:dyDescent="0.2">
      <c r="A280" t="s">
        <v>2065</v>
      </c>
      <c r="B280" t="s">
        <v>2066</v>
      </c>
      <c r="C280" t="s">
        <v>5065</v>
      </c>
      <c r="D280" t="str">
        <f>TRIM(alias[[#This Row],[Column3]])</f>
        <v>Caroline</v>
      </c>
      <c r="F280" t="str">
        <f t="shared" si="4"/>
        <v>INSERT INTO stock_alias (stock, alias) VALUES ((SELECT id FROM stock WHERE ticker = 'ASLC'), 'Caroline') ON CONFLICT DO NOTHING;</v>
      </c>
    </row>
    <row r="281" spans="1:6" x14ac:dyDescent="0.2">
      <c r="A281" t="s">
        <v>2065</v>
      </c>
      <c r="B281" t="s">
        <v>2066</v>
      </c>
      <c r="C281" t="s">
        <v>5066</v>
      </c>
      <c r="D281" t="str">
        <f>TRIM(alias[[#This Row],[Column3]])</f>
        <v>Autopedia Sukses Lestari</v>
      </c>
      <c r="F281" t="str">
        <f t="shared" si="4"/>
        <v>INSERT INTO stock_alias (stock, alias) VALUES ((SELECT id FROM stock WHERE ticker = 'ASLC'), 'Autopedia Sukses Lestari') ON CONFLICT DO NOTHING;</v>
      </c>
    </row>
    <row r="282" spans="1:6" x14ac:dyDescent="0.2">
      <c r="A282" t="s">
        <v>2065</v>
      </c>
      <c r="B282" t="s">
        <v>2066</v>
      </c>
      <c r="C282" t="s">
        <v>5067</v>
      </c>
      <c r="D282" t="str">
        <f>TRIM(alias[[#This Row],[Column3]])</f>
        <v>Autopedia Sukses Lestari Tbk</v>
      </c>
      <c r="F282" t="str">
        <f t="shared" si="4"/>
        <v>INSERT INTO stock_alias (stock, alias) VALUES ((SELECT id FROM stock WHERE ticker = 'ASLC'), 'Autopedia Sukses Lestari Tbk') ON CONFLICT DO NOTHING;</v>
      </c>
    </row>
    <row r="283" spans="1:6" x14ac:dyDescent="0.2">
      <c r="A283" t="s">
        <v>2065</v>
      </c>
      <c r="B283" t="s">
        <v>2066</v>
      </c>
      <c r="C283" t="s">
        <v>5068</v>
      </c>
      <c r="D283" t="str">
        <f>TRIM(alias[[#This Row],[Column3]])</f>
        <v>PT Autopedia Sukses Lestari</v>
      </c>
      <c r="F283" t="str">
        <f t="shared" si="4"/>
        <v>INSERT INTO stock_alias (stock, alias) VALUES ((SELECT id FROM stock WHERE ticker = 'ASLC'), 'PT Autopedia Sukses Lestari') ON CONFLICT DO NOTHING;</v>
      </c>
    </row>
    <row r="284" spans="1:6" x14ac:dyDescent="0.2">
      <c r="A284" t="s">
        <v>2415</v>
      </c>
      <c r="B284" t="s">
        <v>2416</v>
      </c>
      <c r="C284" t="s">
        <v>2415</v>
      </c>
      <c r="D284" t="str">
        <f>TRIM(alias[[#This Row],[Column3]])</f>
        <v>ASLI</v>
      </c>
      <c r="F284" t="str">
        <f t="shared" si="4"/>
        <v>INSERT INTO stock_alias (stock, alias) VALUES ((SELECT id FROM stock WHERE ticker = 'ASLI'), 'ASLI') ON CONFLICT DO NOTHING;</v>
      </c>
    </row>
    <row r="285" spans="1:6" x14ac:dyDescent="0.2">
      <c r="A285" t="s">
        <v>2415</v>
      </c>
      <c r="B285" t="s">
        <v>2416</v>
      </c>
      <c r="C285" t="s">
        <v>5069</v>
      </c>
      <c r="D285" t="str">
        <f>TRIM(alias[[#This Row],[Column3]])</f>
        <v>Asri Karya Lestari</v>
      </c>
      <c r="F285" t="str">
        <f t="shared" si="4"/>
        <v>INSERT INTO stock_alias (stock, alias) VALUES ((SELECT id FROM stock WHERE ticker = 'ASLI'), 'Asri Karya Lestari') ON CONFLICT DO NOTHING;</v>
      </c>
    </row>
    <row r="286" spans="1:6" x14ac:dyDescent="0.2">
      <c r="A286" t="s">
        <v>2415</v>
      </c>
      <c r="B286" t="s">
        <v>2416</v>
      </c>
      <c r="C286" t="s">
        <v>5070</v>
      </c>
      <c r="D286" t="str">
        <f>TRIM(alias[[#This Row],[Column3]])</f>
        <v>Asri Karya Lestari Tbk</v>
      </c>
      <c r="F286" t="str">
        <f t="shared" si="4"/>
        <v>INSERT INTO stock_alias (stock, alias) VALUES ((SELECT id FROM stock WHERE ticker = 'ASLI'), 'Asri Karya Lestari Tbk') ON CONFLICT DO NOTHING;</v>
      </c>
    </row>
    <row r="287" spans="1:6" x14ac:dyDescent="0.2">
      <c r="A287" t="s">
        <v>2415</v>
      </c>
      <c r="B287" t="s">
        <v>2416</v>
      </c>
      <c r="C287" t="s">
        <v>5071</v>
      </c>
      <c r="D287" t="str">
        <f>TRIM(alias[[#This Row],[Column3]])</f>
        <v>PT Asri Karya Lestari</v>
      </c>
      <c r="F287" t="str">
        <f t="shared" si="4"/>
        <v>INSERT INTO stock_alias (stock, alias) VALUES ((SELECT id FROM stock WHERE ticker = 'ASLI'), 'PT Asri Karya Lestari') ON CONFLICT DO NOTHING;</v>
      </c>
    </row>
    <row r="288" spans="1:6" x14ac:dyDescent="0.2">
      <c r="A288" t="s">
        <v>121</v>
      </c>
      <c r="B288" t="s">
        <v>3512</v>
      </c>
      <c r="C288" t="s">
        <v>121</v>
      </c>
      <c r="D288" t="str">
        <f>TRIM(alias[[#This Row],[Column3]])</f>
        <v>ASMI</v>
      </c>
      <c r="F288" t="str">
        <f t="shared" si="4"/>
        <v>INSERT INTO stock_alias (stock, alias) VALUES ((SELECT id FROM stock WHERE ticker = 'ASMI'), 'ASMI') ON CONFLICT DO NOTHING;</v>
      </c>
    </row>
    <row r="289" spans="1:6" x14ac:dyDescent="0.2">
      <c r="A289" t="s">
        <v>121</v>
      </c>
      <c r="B289" t="s">
        <v>3512</v>
      </c>
      <c r="C289" t="s">
        <v>5072</v>
      </c>
      <c r="D289" t="str">
        <f>TRIM(alias[[#This Row],[Column3]])</f>
        <v>Asuransi Maximus Graha Persada</v>
      </c>
      <c r="F289" t="str">
        <f t="shared" si="4"/>
        <v>INSERT INTO stock_alias (stock, alias) VALUES ((SELECT id FROM stock WHERE ticker = 'ASMI'), 'Asuransi Maximus Graha Persada') ON CONFLICT DO NOTHING;</v>
      </c>
    </row>
    <row r="290" spans="1:6" x14ac:dyDescent="0.2">
      <c r="A290" t="s">
        <v>121</v>
      </c>
      <c r="B290" t="s">
        <v>3512</v>
      </c>
      <c r="C290" t="s">
        <v>5073</v>
      </c>
      <c r="D290" t="str">
        <f>TRIM(alias[[#This Row],[Column3]])</f>
        <v>Asuransi Maximus Graha Persada Tbk</v>
      </c>
      <c r="F290" t="str">
        <f t="shared" si="4"/>
        <v>INSERT INTO stock_alias (stock, alias) VALUES ((SELECT id FROM stock WHERE ticker = 'ASMI'), 'Asuransi Maximus Graha Persada Tbk') ON CONFLICT DO NOTHING;</v>
      </c>
    </row>
    <row r="291" spans="1:6" x14ac:dyDescent="0.2">
      <c r="A291" t="s">
        <v>121</v>
      </c>
      <c r="B291" t="s">
        <v>3512</v>
      </c>
      <c r="C291" t="s">
        <v>5074</v>
      </c>
      <c r="D291" t="str">
        <f>TRIM(alias[[#This Row],[Column3]])</f>
        <v>PT Asuransi Maximus Graha Persada</v>
      </c>
      <c r="F291" t="str">
        <f t="shared" si="4"/>
        <v>INSERT INTO stock_alias (stock, alias) VALUES ((SELECT id FROM stock WHERE ticker = 'ASMI'), 'PT Asuransi Maximus Graha Persada') ON CONFLICT DO NOTHING;</v>
      </c>
    </row>
    <row r="292" spans="1:6" x14ac:dyDescent="0.2">
      <c r="A292" t="s">
        <v>2590</v>
      </c>
      <c r="B292" t="s">
        <v>2591</v>
      </c>
      <c r="C292" t="s">
        <v>2590</v>
      </c>
      <c r="D292" t="str">
        <f>TRIM(alias[[#This Row],[Column3]])</f>
        <v>ASPI</v>
      </c>
      <c r="F292" t="str">
        <f t="shared" si="4"/>
        <v>INSERT INTO stock_alias (stock, alias) VALUES ((SELECT id FROM stock WHERE ticker = 'ASPI'), 'ASPI') ON CONFLICT DO NOTHING;</v>
      </c>
    </row>
    <row r="293" spans="1:6" x14ac:dyDescent="0.2">
      <c r="A293" t="s">
        <v>2590</v>
      </c>
      <c r="B293" t="s">
        <v>2591</v>
      </c>
      <c r="C293" t="s">
        <v>5075</v>
      </c>
      <c r="D293" t="str">
        <f>TRIM(alias[[#This Row],[Column3]])</f>
        <v>Andalan Sakti Primaindo</v>
      </c>
      <c r="F293" t="str">
        <f t="shared" si="4"/>
        <v>INSERT INTO stock_alias (stock, alias) VALUES ((SELECT id FROM stock WHERE ticker = 'ASPI'), 'Andalan Sakti Primaindo') ON CONFLICT DO NOTHING;</v>
      </c>
    </row>
    <row r="294" spans="1:6" x14ac:dyDescent="0.2">
      <c r="A294" t="s">
        <v>2590</v>
      </c>
      <c r="B294" t="s">
        <v>2591</v>
      </c>
      <c r="C294" t="s">
        <v>5076</v>
      </c>
      <c r="D294" t="str">
        <f>TRIM(alias[[#This Row],[Column3]])</f>
        <v>Andalan Sakti Primaindo Tbk</v>
      </c>
      <c r="F294" t="str">
        <f t="shared" si="4"/>
        <v>INSERT INTO stock_alias (stock, alias) VALUES ((SELECT id FROM stock WHERE ticker = 'ASPI'), 'Andalan Sakti Primaindo Tbk') ON CONFLICT DO NOTHING;</v>
      </c>
    </row>
    <row r="295" spans="1:6" x14ac:dyDescent="0.2">
      <c r="A295" t="s">
        <v>2590</v>
      </c>
      <c r="B295" t="s">
        <v>2591</v>
      </c>
      <c r="C295" t="s">
        <v>5077</v>
      </c>
      <c r="D295" t="str">
        <f>TRIM(alias[[#This Row],[Column3]])</f>
        <v>PT Andalan Sakti Primaindo</v>
      </c>
      <c r="F295" t="str">
        <f t="shared" si="4"/>
        <v>INSERT INTO stock_alias (stock, alias) VALUES ((SELECT id FROM stock WHERE ticker = 'ASPI'), 'PT Andalan Sakti Primaindo') ON CONFLICT DO NOTHING;</v>
      </c>
    </row>
    <row r="296" spans="1:6" x14ac:dyDescent="0.2">
      <c r="A296" t="s">
        <v>2536</v>
      </c>
      <c r="B296" t="s">
        <v>2537</v>
      </c>
      <c r="C296" t="s">
        <v>2536</v>
      </c>
      <c r="D296" t="str">
        <f>TRIM(alias[[#This Row],[Column3]])</f>
        <v>ASPR</v>
      </c>
      <c r="F296" t="str">
        <f t="shared" si="4"/>
        <v>INSERT INTO stock_alias (stock, alias) VALUES ((SELECT id FROM stock WHERE ticker = 'ASPR'), 'ASPR') ON CONFLICT DO NOTHING;</v>
      </c>
    </row>
    <row r="297" spans="1:6" x14ac:dyDescent="0.2">
      <c r="A297" t="s">
        <v>2536</v>
      </c>
      <c r="B297" t="s">
        <v>2537</v>
      </c>
      <c r="C297" t="s">
        <v>5078</v>
      </c>
      <c r="D297" t="str">
        <f>TRIM(alias[[#This Row],[Column3]])</f>
        <v>Asia Pramulia</v>
      </c>
      <c r="F297" t="str">
        <f t="shared" si="4"/>
        <v>INSERT INTO stock_alias (stock, alias) VALUES ((SELECT id FROM stock WHERE ticker = 'ASPR'), 'Asia Pramulia') ON CONFLICT DO NOTHING;</v>
      </c>
    </row>
    <row r="298" spans="1:6" x14ac:dyDescent="0.2">
      <c r="A298" t="s">
        <v>2536</v>
      </c>
      <c r="B298" t="s">
        <v>2537</v>
      </c>
      <c r="C298" t="s">
        <v>5079</v>
      </c>
      <c r="D298" t="str">
        <f>TRIM(alias[[#This Row],[Column3]])</f>
        <v>Asia Pramulia Tbk</v>
      </c>
      <c r="F298" t="str">
        <f t="shared" si="4"/>
        <v>INSERT INTO stock_alias (stock, alias) VALUES ((SELECT id FROM stock WHERE ticker = 'ASPR'), 'Asia Pramulia Tbk') ON CONFLICT DO NOTHING;</v>
      </c>
    </row>
    <row r="299" spans="1:6" x14ac:dyDescent="0.2">
      <c r="A299" t="s">
        <v>2536</v>
      </c>
      <c r="B299" t="s">
        <v>2537</v>
      </c>
      <c r="C299" t="s">
        <v>5080</v>
      </c>
      <c r="D299" t="str">
        <f>TRIM(alias[[#This Row],[Column3]])</f>
        <v>PT Asia Pramulia</v>
      </c>
      <c r="F299" t="str">
        <f t="shared" si="4"/>
        <v>INSERT INTO stock_alias (stock, alias) VALUES ((SELECT id FROM stock WHERE ticker = 'ASPR'), 'PT Asia Pramulia') ON CONFLICT DO NOTHING;</v>
      </c>
    </row>
    <row r="300" spans="1:6" x14ac:dyDescent="0.2">
      <c r="A300" t="s">
        <v>123</v>
      </c>
      <c r="B300" t="s">
        <v>124</v>
      </c>
      <c r="C300" t="s">
        <v>123</v>
      </c>
      <c r="D300" t="str">
        <f>TRIM(alias[[#This Row],[Column3]])</f>
        <v>ASRI</v>
      </c>
      <c r="F300" t="str">
        <f t="shared" si="4"/>
        <v>INSERT INTO stock_alias (stock, alias) VALUES ((SELECT id FROM stock WHERE ticker = 'ASRI'), 'ASRI') ON CONFLICT DO NOTHING;</v>
      </c>
    </row>
    <row r="301" spans="1:6" x14ac:dyDescent="0.2">
      <c r="A301" t="s">
        <v>123</v>
      </c>
      <c r="B301" t="s">
        <v>124</v>
      </c>
      <c r="C301" t="s">
        <v>5081</v>
      </c>
      <c r="D301" t="str">
        <f>TRIM(alias[[#This Row],[Column3]])</f>
        <v>Alam Sutera Realty</v>
      </c>
      <c r="F301" t="str">
        <f t="shared" si="4"/>
        <v>INSERT INTO stock_alias (stock, alias) VALUES ((SELECT id FROM stock WHERE ticker = 'ASRI'), 'Alam Sutera Realty') ON CONFLICT DO NOTHING;</v>
      </c>
    </row>
    <row r="302" spans="1:6" x14ac:dyDescent="0.2">
      <c r="A302" t="s">
        <v>123</v>
      </c>
      <c r="B302" t="s">
        <v>124</v>
      </c>
      <c r="C302" t="s">
        <v>5082</v>
      </c>
      <c r="D302" t="str">
        <f>TRIM(alias[[#This Row],[Column3]])</f>
        <v>Alam Sutera Realty Tbk</v>
      </c>
      <c r="F302" t="str">
        <f t="shared" si="4"/>
        <v>INSERT INTO stock_alias (stock, alias) VALUES ((SELECT id FROM stock WHERE ticker = 'ASRI'), 'Alam Sutera Realty Tbk') ON CONFLICT DO NOTHING;</v>
      </c>
    </row>
    <row r="303" spans="1:6" x14ac:dyDescent="0.2">
      <c r="A303" t="s">
        <v>123</v>
      </c>
      <c r="B303" t="s">
        <v>124</v>
      </c>
      <c r="C303" t="s">
        <v>5083</v>
      </c>
      <c r="D303" t="str">
        <f>TRIM(alias[[#This Row],[Column3]])</f>
        <v>PT Alam Sutera Realty</v>
      </c>
      <c r="F303" t="str">
        <f t="shared" si="4"/>
        <v>INSERT INTO stock_alias (stock, alias) VALUES ((SELECT id FROM stock WHERE ticker = 'ASRI'), 'PT Alam Sutera Realty') ON CONFLICT DO NOTHING;</v>
      </c>
    </row>
    <row r="304" spans="1:6" x14ac:dyDescent="0.2">
      <c r="A304" t="s">
        <v>126</v>
      </c>
      <c r="B304" t="s">
        <v>127</v>
      </c>
      <c r="C304" t="s">
        <v>126</v>
      </c>
      <c r="D304" t="str">
        <f>TRIM(alias[[#This Row],[Column3]])</f>
        <v>ASRM</v>
      </c>
      <c r="F304" t="str">
        <f t="shared" si="4"/>
        <v>INSERT INTO stock_alias (stock, alias) VALUES ((SELECT id FROM stock WHERE ticker = 'ASRM'), 'ASRM') ON CONFLICT DO NOTHING;</v>
      </c>
    </row>
    <row r="305" spans="1:6" x14ac:dyDescent="0.2">
      <c r="A305" t="s">
        <v>126</v>
      </c>
      <c r="B305" t="s">
        <v>127</v>
      </c>
      <c r="C305" t="s">
        <v>5084</v>
      </c>
      <c r="D305" t="str">
        <f>TRIM(alias[[#This Row],[Column3]])</f>
        <v>Asuransi Ramayana</v>
      </c>
      <c r="F305" t="str">
        <f t="shared" si="4"/>
        <v>INSERT INTO stock_alias (stock, alias) VALUES ((SELECT id FROM stock WHERE ticker = 'ASRM'), 'Asuransi Ramayana') ON CONFLICT DO NOTHING;</v>
      </c>
    </row>
    <row r="306" spans="1:6" x14ac:dyDescent="0.2">
      <c r="A306" t="s">
        <v>126</v>
      </c>
      <c r="B306" t="s">
        <v>127</v>
      </c>
      <c r="C306" t="s">
        <v>5085</v>
      </c>
      <c r="D306" t="str">
        <f>TRIM(alias[[#This Row],[Column3]])</f>
        <v>Asuransi Ramayana Tbk</v>
      </c>
      <c r="F306" t="str">
        <f t="shared" si="4"/>
        <v>INSERT INTO stock_alias (stock, alias) VALUES ((SELECT id FROM stock WHERE ticker = 'ASRM'), 'Asuransi Ramayana Tbk') ON CONFLICT DO NOTHING;</v>
      </c>
    </row>
    <row r="307" spans="1:6" x14ac:dyDescent="0.2">
      <c r="A307" t="s">
        <v>126</v>
      </c>
      <c r="B307" t="s">
        <v>127</v>
      </c>
      <c r="C307" t="s">
        <v>5086</v>
      </c>
      <c r="D307" t="str">
        <f>TRIM(alias[[#This Row],[Column3]])</f>
        <v>PT Asuransi Ramayana</v>
      </c>
      <c r="F307" t="str">
        <f t="shared" si="4"/>
        <v>INSERT INTO stock_alias (stock, alias) VALUES ((SELECT id FROM stock WHERE ticker = 'ASRM'), 'PT Asuransi Ramayana') ON CONFLICT DO NOTHING;</v>
      </c>
    </row>
    <row r="308" spans="1:6" x14ac:dyDescent="0.2">
      <c r="A308" t="s">
        <v>129</v>
      </c>
      <c r="B308" t="s">
        <v>130</v>
      </c>
      <c r="C308" t="s">
        <v>129</v>
      </c>
      <c r="D308" t="str">
        <f>TRIM(alias[[#This Row],[Column3]])</f>
        <v>ASSA</v>
      </c>
      <c r="F308" t="str">
        <f t="shared" si="4"/>
        <v>INSERT INTO stock_alias (stock, alias) VALUES ((SELECT id FROM stock WHERE ticker = 'ASSA'), 'ASSA') ON CONFLICT DO NOTHING;</v>
      </c>
    </row>
    <row r="309" spans="1:6" x14ac:dyDescent="0.2">
      <c r="A309" t="s">
        <v>129</v>
      </c>
      <c r="B309" t="s">
        <v>130</v>
      </c>
      <c r="C309" t="s">
        <v>5087</v>
      </c>
      <c r="D309" t="str">
        <f>TRIM(alias[[#This Row],[Column3]])</f>
        <v>Adi Sarana Armada</v>
      </c>
      <c r="F309" t="str">
        <f t="shared" si="4"/>
        <v>INSERT INTO stock_alias (stock, alias) VALUES ((SELECT id FROM stock WHERE ticker = 'ASSA'), 'Adi Sarana Armada') ON CONFLICT DO NOTHING;</v>
      </c>
    </row>
    <row r="310" spans="1:6" x14ac:dyDescent="0.2">
      <c r="A310" t="s">
        <v>129</v>
      </c>
      <c r="B310" t="s">
        <v>130</v>
      </c>
      <c r="C310" t="s">
        <v>5088</v>
      </c>
      <c r="D310" t="str">
        <f>TRIM(alias[[#This Row],[Column3]])</f>
        <v>Adi Sarana Armada Tbk</v>
      </c>
      <c r="F310" t="str">
        <f t="shared" si="4"/>
        <v>INSERT INTO stock_alias (stock, alias) VALUES ((SELECT id FROM stock WHERE ticker = 'ASSA'), 'Adi Sarana Armada Tbk') ON CONFLICT DO NOTHING;</v>
      </c>
    </row>
    <row r="311" spans="1:6" x14ac:dyDescent="0.2">
      <c r="A311" t="s">
        <v>129</v>
      </c>
      <c r="B311" t="s">
        <v>130</v>
      </c>
      <c r="C311" t="s">
        <v>5089</v>
      </c>
      <c r="D311" t="str">
        <f>TRIM(alias[[#This Row],[Column3]])</f>
        <v>PT Adi Sarana Armada</v>
      </c>
      <c r="F311" t="str">
        <f t="shared" si="4"/>
        <v>INSERT INTO stock_alias (stock, alias) VALUES ((SELECT id FROM stock WHERE ticker = 'ASSA'), 'PT Adi Sarana Armada') ON CONFLICT DO NOTHING;</v>
      </c>
    </row>
    <row r="312" spans="1:6" x14ac:dyDescent="0.2">
      <c r="A312" t="s">
        <v>1901</v>
      </c>
      <c r="B312" t="s">
        <v>1902</v>
      </c>
      <c r="C312" t="s">
        <v>1901</v>
      </c>
      <c r="D312" t="str">
        <f>TRIM(alias[[#This Row],[Column3]])</f>
        <v>ATAP</v>
      </c>
      <c r="F312" t="str">
        <f t="shared" si="4"/>
        <v>INSERT INTO stock_alias (stock, alias) VALUES ((SELECT id FROM stock WHERE ticker = 'ATAP'), 'ATAP') ON CONFLICT DO NOTHING;</v>
      </c>
    </row>
    <row r="313" spans="1:6" x14ac:dyDescent="0.2">
      <c r="A313" t="s">
        <v>1901</v>
      </c>
      <c r="B313" t="s">
        <v>1902</v>
      </c>
      <c r="C313" t="s">
        <v>5090</v>
      </c>
      <c r="D313" t="str">
        <f>TRIM(alias[[#This Row],[Column3]])</f>
        <v>PT Trimitra Prawara Goldland</v>
      </c>
      <c r="F313" t="str">
        <f t="shared" si="4"/>
        <v>INSERT INTO stock_alias (stock, alias) VALUES ((SELECT id FROM stock WHERE ticker = 'ATAP'), 'PT Trimitra Prawara Goldland') ON CONFLICT DO NOTHING;</v>
      </c>
    </row>
    <row r="314" spans="1:6" x14ac:dyDescent="0.2">
      <c r="A314" t="s">
        <v>1901</v>
      </c>
      <c r="B314" t="s">
        <v>1902</v>
      </c>
      <c r="C314" t="s">
        <v>5091</v>
      </c>
      <c r="D314" t="str">
        <f>TRIM(alias[[#This Row],[Column3]])</f>
        <v>Trimitra Prawara Goldland</v>
      </c>
      <c r="F314" t="str">
        <f t="shared" si="4"/>
        <v>INSERT INTO stock_alias (stock, alias) VALUES ((SELECT id FROM stock WHERE ticker = 'ATAP'), 'Trimitra Prawara Goldland') ON CONFLICT DO NOTHING;</v>
      </c>
    </row>
    <row r="315" spans="1:6" x14ac:dyDescent="0.2">
      <c r="A315" t="s">
        <v>1901</v>
      </c>
      <c r="B315" t="s">
        <v>1902</v>
      </c>
      <c r="C315" t="s">
        <v>5092</v>
      </c>
      <c r="D315" t="str">
        <f>TRIM(alias[[#This Row],[Column3]])</f>
        <v>Trimitra Prawara Goldland Tbk</v>
      </c>
      <c r="F315" t="str">
        <f t="shared" si="4"/>
        <v>INSERT INTO stock_alias (stock, alias) VALUES ((SELECT id FROM stock WHERE ticker = 'ATAP'), 'Trimitra Prawara Goldland Tbk') ON CONFLICT DO NOTHING;</v>
      </c>
    </row>
    <row r="316" spans="1:6" x14ac:dyDescent="0.2">
      <c r="A316" t="s">
        <v>132</v>
      </c>
      <c r="B316" t="s">
        <v>133</v>
      </c>
      <c r="C316" t="s">
        <v>132</v>
      </c>
      <c r="D316" t="str">
        <f>TRIM(alias[[#This Row],[Column3]])</f>
        <v>ATIC</v>
      </c>
      <c r="F316" t="str">
        <f t="shared" si="4"/>
        <v>INSERT INTO stock_alias (stock, alias) VALUES ((SELECT id FROM stock WHERE ticker = 'ATIC'), 'ATIC') ON CONFLICT DO NOTHING;</v>
      </c>
    </row>
    <row r="317" spans="1:6" x14ac:dyDescent="0.2">
      <c r="A317" t="s">
        <v>132</v>
      </c>
      <c r="B317" t="s">
        <v>133</v>
      </c>
      <c r="C317" t="s">
        <v>5093</v>
      </c>
      <c r="D317" t="str">
        <f>TRIM(alias[[#This Row],[Column3]])</f>
        <v>Anabatic Technologies</v>
      </c>
      <c r="F317" t="str">
        <f t="shared" si="4"/>
        <v>INSERT INTO stock_alias (stock, alias) VALUES ((SELECT id FROM stock WHERE ticker = 'ATIC'), 'Anabatic Technologies') ON CONFLICT DO NOTHING;</v>
      </c>
    </row>
    <row r="318" spans="1:6" x14ac:dyDescent="0.2">
      <c r="A318" t="s">
        <v>132</v>
      </c>
      <c r="B318" t="s">
        <v>133</v>
      </c>
      <c r="C318" t="s">
        <v>5094</v>
      </c>
      <c r="D318" t="str">
        <f>TRIM(alias[[#This Row],[Column3]])</f>
        <v>Anabatic Technologies Tbk</v>
      </c>
      <c r="F318" t="str">
        <f t="shared" si="4"/>
        <v>INSERT INTO stock_alias (stock, alias) VALUES ((SELECT id FROM stock WHERE ticker = 'ATIC'), 'Anabatic Technologies Tbk') ON CONFLICT DO NOTHING;</v>
      </c>
    </row>
    <row r="319" spans="1:6" x14ac:dyDescent="0.2">
      <c r="A319" t="s">
        <v>132</v>
      </c>
      <c r="B319" t="s">
        <v>133</v>
      </c>
      <c r="C319" t="s">
        <v>5095</v>
      </c>
      <c r="D319" t="str">
        <f>TRIM(alias[[#This Row],[Column3]])</f>
        <v>PT Anabatic Technologies</v>
      </c>
      <c r="F319" t="str">
        <f t="shared" si="4"/>
        <v>INSERT INTO stock_alias (stock, alias) VALUES ((SELECT id FROM stock WHERE ticker = 'ATIC'), 'PT Anabatic Technologies') ON CONFLICT DO NOTHING;</v>
      </c>
    </row>
    <row r="320" spans="1:6" x14ac:dyDescent="0.2">
      <c r="A320" t="s">
        <v>2455</v>
      </c>
      <c r="B320" t="s">
        <v>2456</v>
      </c>
      <c r="C320" t="s">
        <v>2455</v>
      </c>
      <c r="D320" t="str">
        <f>TRIM(alias[[#This Row],[Column3]])</f>
        <v>ATLA</v>
      </c>
      <c r="F320" t="str">
        <f t="shared" si="4"/>
        <v>INSERT INTO stock_alias (stock, alias) VALUES ((SELECT id FROM stock WHERE ticker = 'ATLA'), 'ATLA') ON CONFLICT DO NOTHING;</v>
      </c>
    </row>
    <row r="321" spans="1:6" x14ac:dyDescent="0.2">
      <c r="A321" t="s">
        <v>2455</v>
      </c>
      <c r="B321" t="s">
        <v>2456</v>
      </c>
      <c r="C321" t="s">
        <v>5096</v>
      </c>
      <c r="D321" t="str">
        <f>TRIM(alias[[#This Row],[Column3]])</f>
        <v>Atlantis Subsea Indonesia</v>
      </c>
      <c r="F321" t="str">
        <f t="shared" si="4"/>
        <v>INSERT INTO stock_alias (stock, alias) VALUES ((SELECT id FROM stock WHERE ticker = 'ATLA'), 'Atlantis Subsea Indonesia') ON CONFLICT DO NOTHING;</v>
      </c>
    </row>
    <row r="322" spans="1:6" x14ac:dyDescent="0.2">
      <c r="A322" t="s">
        <v>2455</v>
      </c>
      <c r="B322" t="s">
        <v>2456</v>
      </c>
      <c r="C322" t="s">
        <v>5097</v>
      </c>
      <c r="D322" t="str">
        <f>TRIM(alias[[#This Row],[Column3]])</f>
        <v>Atlantis Subsea Indonesia Tbk</v>
      </c>
      <c r="F322" t="str">
        <f t="shared" si="4"/>
        <v>INSERT INTO stock_alias (stock, alias) VALUES ((SELECT id FROM stock WHERE ticker = 'ATLA'), 'Atlantis Subsea Indonesia Tbk') ON CONFLICT DO NOTHING;</v>
      </c>
    </row>
    <row r="323" spans="1:6" x14ac:dyDescent="0.2">
      <c r="A323" t="s">
        <v>2455</v>
      </c>
      <c r="B323" t="s">
        <v>2456</v>
      </c>
      <c r="C323" t="s">
        <v>5098</v>
      </c>
      <c r="D323" t="str">
        <f>TRIM(alias[[#This Row],[Column3]])</f>
        <v>PT Atlantis Subsea Indonesia</v>
      </c>
      <c r="F323" t="str">
        <f t="shared" si="4"/>
        <v>INSERT INTO stock_alias (stock, alias) VALUES ((SELECT id FROM stock WHERE ticker = 'ATLA'), 'PT Atlantis Subsea Indonesia') ON CONFLICT DO NOTHING;</v>
      </c>
    </row>
    <row r="324" spans="1:6" x14ac:dyDescent="0.2">
      <c r="A324" t="s">
        <v>135</v>
      </c>
      <c r="B324" t="s">
        <v>136</v>
      </c>
      <c r="C324" t="s">
        <v>135</v>
      </c>
      <c r="D324" t="str">
        <f>TRIM(alias[[#This Row],[Column3]])</f>
        <v>AUTO</v>
      </c>
      <c r="F324" t="str">
        <f t="shared" ref="F324:F387" si="5">_xlfn.CONCAT($F$1, _xlfn.CONCAT($G$1, A324, "'), '", D324, "') ON CONFLICT DO NOTHING;"))</f>
        <v>INSERT INTO stock_alias (stock, alias) VALUES ((SELECT id FROM stock WHERE ticker = 'AUTO'), 'AUTO') ON CONFLICT DO NOTHING;</v>
      </c>
    </row>
    <row r="325" spans="1:6" x14ac:dyDescent="0.2">
      <c r="A325" t="s">
        <v>135</v>
      </c>
      <c r="B325" t="s">
        <v>136</v>
      </c>
      <c r="C325" t="s">
        <v>5099</v>
      </c>
      <c r="D325" t="str">
        <f>TRIM(alias[[#This Row],[Column3]])</f>
        <v>Astra Otoparts</v>
      </c>
      <c r="F325" t="str">
        <f t="shared" si="5"/>
        <v>INSERT INTO stock_alias (stock, alias) VALUES ((SELECT id FROM stock WHERE ticker = 'AUTO'), 'Astra Otoparts') ON CONFLICT DO NOTHING;</v>
      </c>
    </row>
    <row r="326" spans="1:6" x14ac:dyDescent="0.2">
      <c r="A326" t="s">
        <v>135</v>
      </c>
      <c r="B326" t="s">
        <v>136</v>
      </c>
      <c r="C326" t="s">
        <v>5100</v>
      </c>
      <c r="D326" t="str">
        <f>TRIM(alias[[#This Row],[Column3]])</f>
        <v>Astra Otoparts Tbk</v>
      </c>
      <c r="F326" t="str">
        <f t="shared" si="5"/>
        <v>INSERT INTO stock_alias (stock, alias) VALUES ((SELECT id FROM stock WHERE ticker = 'AUTO'), 'Astra Otoparts Tbk') ON CONFLICT DO NOTHING;</v>
      </c>
    </row>
    <row r="327" spans="1:6" x14ac:dyDescent="0.2">
      <c r="A327" t="s">
        <v>135</v>
      </c>
      <c r="B327" t="s">
        <v>136</v>
      </c>
      <c r="C327" t="s">
        <v>5101</v>
      </c>
      <c r="D327" t="str">
        <f>TRIM(alias[[#This Row],[Column3]])</f>
        <v>PT Astra Otoparts</v>
      </c>
      <c r="F327" t="str">
        <f t="shared" si="5"/>
        <v>INSERT INTO stock_alias (stock, alias) VALUES ((SELECT id FROM stock WHERE ticker = 'AUTO'), 'PT Astra Otoparts') ON CONFLICT DO NOTHING;</v>
      </c>
    </row>
    <row r="328" spans="1:6" x14ac:dyDescent="0.2">
      <c r="A328" t="s">
        <v>2046</v>
      </c>
      <c r="B328" t="s">
        <v>2047</v>
      </c>
      <c r="C328" t="s">
        <v>2046</v>
      </c>
      <c r="D328" t="str">
        <f>TRIM(alias[[#This Row],[Column3]])</f>
        <v>AVIA</v>
      </c>
      <c r="F328" t="str">
        <f t="shared" si="5"/>
        <v>INSERT INTO stock_alias (stock, alias) VALUES ((SELECT id FROM stock WHERE ticker = 'AVIA'), 'AVIA') ON CONFLICT DO NOTHING;</v>
      </c>
    </row>
    <row r="329" spans="1:6" x14ac:dyDescent="0.2">
      <c r="A329" t="s">
        <v>2046</v>
      </c>
      <c r="B329" t="s">
        <v>2047</v>
      </c>
      <c r="C329" t="s">
        <v>5102</v>
      </c>
      <c r="D329" t="str">
        <f>TRIM(alias[[#This Row],[Column3]])</f>
        <v>Avia Avian</v>
      </c>
      <c r="F329" t="str">
        <f t="shared" si="5"/>
        <v>INSERT INTO stock_alias (stock, alias) VALUES ((SELECT id FROM stock WHERE ticker = 'AVIA'), 'Avia Avian') ON CONFLICT DO NOTHING;</v>
      </c>
    </row>
    <row r="330" spans="1:6" x14ac:dyDescent="0.2">
      <c r="A330" t="s">
        <v>2046</v>
      </c>
      <c r="B330" t="s">
        <v>2047</v>
      </c>
      <c r="C330" t="s">
        <v>5103</v>
      </c>
      <c r="D330" t="str">
        <f>TRIM(alias[[#This Row],[Column3]])</f>
        <v>Avia Avian Tbk</v>
      </c>
      <c r="F330" t="str">
        <f t="shared" si="5"/>
        <v>INSERT INTO stock_alias (stock, alias) VALUES ((SELECT id FROM stock WHERE ticker = 'AVIA'), 'Avia Avian Tbk') ON CONFLICT DO NOTHING;</v>
      </c>
    </row>
    <row r="331" spans="1:6" x14ac:dyDescent="0.2">
      <c r="A331" t="s">
        <v>2046</v>
      </c>
      <c r="B331" t="s">
        <v>2047</v>
      </c>
      <c r="C331" t="s">
        <v>5104</v>
      </c>
      <c r="D331" t="str">
        <f>TRIM(alias[[#This Row],[Column3]])</f>
        <v>PT Avia Avian</v>
      </c>
      <c r="F331" t="str">
        <f t="shared" si="5"/>
        <v>INSERT INTO stock_alias (stock, alias) VALUES ((SELECT id FROM stock WHERE ticker = 'AVIA'), 'PT Avia Avian') ON CONFLICT DO NOTHING;</v>
      </c>
    </row>
    <row r="332" spans="1:6" x14ac:dyDescent="0.2">
      <c r="A332" t="s">
        <v>2613</v>
      </c>
      <c r="B332" t="s">
        <v>2614</v>
      </c>
      <c r="C332" t="s">
        <v>2613</v>
      </c>
      <c r="D332" t="str">
        <f>TRIM(alias[[#This Row],[Column3]])</f>
        <v>AWAN</v>
      </c>
      <c r="F332" t="str">
        <f t="shared" si="5"/>
        <v>INSERT INTO stock_alias (stock, alias) VALUES ((SELECT id FROM stock WHERE ticker = 'AWAN'), 'AWAN') ON CONFLICT DO NOTHING;</v>
      </c>
    </row>
    <row r="333" spans="1:6" x14ac:dyDescent="0.2">
      <c r="A333" t="s">
        <v>2613</v>
      </c>
      <c r="B333" t="s">
        <v>2614</v>
      </c>
      <c r="C333" t="s">
        <v>5105</v>
      </c>
      <c r="D333" t="str">
        <f>TRIM(alias[[#This Row],[Column3]])</f>
        <v>Era Digital Media</v>
      </c>
      <c r="F333" t="str">
        <f t="shared" si="5"/>
        <v>INSERT INTO stock_alias (stock, alias) VALUES ((SELECT id FROM stock WHERE ticker = 'AWAN'), 'Era Digital Media') ON CONFLICT DO NOTHING;</v>
      </c>
    </row>
    <row r="334" spans="1:6" x14ac:dyDescent="0.2">
      <c r="A334" t="s">
        <v>2613</v>
      </c>
      <c r="B334" t="s">
        <v>2614</v>
      </c>
      <c r="C334" t="s">
        <v>5106</v>
      </c>
      <c r="D334" t="str">
        <f>TRIM(alias[[#This Row],[Column3]])</f>
        <v>Era Digital Media Tbk</v>
      </c>
      <c r="F334" t="str">
        <f t="shared" si="5"/>
        <v>INSERT INTO stock_alias (stock, alias) VALUES ((SELECT id FROM stock WHERE ticker = 'AWAN'), 'Era Digital Media Tbk') ON CONFLICT DO NOTHING;</v>
      </c>
    </row>
    <row r="335" spans="1:6" x14ac:dyDescent="0.2">
      <c r="A335" t="s">
        <v>2613</v>
      </c>
      <c r="B335" t="s">
        <v>2614</v>
      </c>
      <c r="C335" t="s">
        <v>5107</v>
      </c>
      <c r="D335" t="str">
        <f>TRIM(alias[[#This Row],[Column3]])</f>
        <v>PT Era Digital Media</v>
      </c>
      <c r="F335" t="str">
        <f t="shared" si="5"/>
        <v>INSERT INTO stock_alias (stock, alias) VALUES ((SELECT id FROM stock WHERE ticker = 'AWAN'), 'PT Era Digital Media') ON CONFLICT DO NOTHING;</v>
      </c>
    </row>
    <row r="336" spans="1:6" x14ac:dyDescent="0.2">
      <c r="A336" t="s">
        <v>2128</v>
      </c>
      <c r="B336" t="s">
        <v>2129</v>
      </c>
      <c r="C336" t="s">
        <v>2128</v>
      </c>
      <c r="D336" t="str">
        <f>TRIM(alias[[#This Row],[Column3]])</f>
        <v>AXIO</v>
      </c>
      <c r="F336" t="str">
        <f t="shared" si="5"/>
        <v>INSERT INTO stock_alias (stock, alias) VALUES ((SELECT id FROM stock WHERE ticker = 'AXIO'), 'AXIO') ON CONFLICT DO NOTHING;</v>
      </c>
    </row>
    <row r="337" spans="1:6" x14ac:dyDescent="0.2">
      <c r="A337" t="s">
        <v>2128</v>
      </c>
      <c r="B337" t="s">
        <v>2129</v>
      </c>
      <c r="C337" t="s">
        <v>5108</v>
      </c>
      <c r="D337" t="str">
        <f>TRIM(alias[[#This Row],[Column3]])</f>
        <v>PT Tera Data Indonusa</v>
      </c>
      <c r="F337" t="str">
        <f t="shared" si="5"/>
        <v>INSERT INTO stock_alias (stock, alias) VALUES ((SELECT id FROM stock WHERE ticker = 'AXIO'), 'PT Tera Data Indonusa') ON CONFLICT DO NOTHING;</v>
      </c>
    </row>
    <row r="338" spans="1:6" x14ac:dyDescent="0.2">
      <c r="A338" t="s">
        <v>2128</v>
      </c>
      <c r="B338" t="s">
        <v>2129</v>
      </c>
      <c r="C338" t="s">
        <v>5109</v>
      </c>
      <c r="D338" t="str">
        <f>TRIM(alias[[#This Row],[Column3]])</f>
        <v>TDI</v>
      </c>
      <c r="F338" t="str">
        <f t="shared" si="5"/>
        <v>INSERT INTO stock_alias (stock, alias) VALUES ((SELECT id FROM stock WHERE ticker = 'AXIO'), 'TDI') ON CONFLICT DO NOTHING;</v>
      </c>
    </row>
    <row r="339" spans="1:6" x14ac:dyDescent="0.2">
      <c r="A339" t="s">
        <v>2128</v>
      </c>
      <c r="B339" t="s">
        <v>2129</v>
      </c>
      <c r="C339" t="s">
        <v>5110</v>
      </c>
      <c r="D339" t="str">
        <f>TRIM(alias[[#This Row],[Column3]])</f>
        <v>Tera Data Indonusa</v>
      </c>
      <c r="F339" t="str">
        <f t="shared" si="5"/>
        <v>INSERT INTO stock_alias (stock, alias) VALUES ((SELECT id FROM stock WHERE ticker = 'AXIO'), 'Tera Data Indonusa') ON CONFLICT DO NOTHING;</v>
      </c>
    </row>
    <row r="340" spans="1:6" x14ac:dyDescent="0.2">
      <c r="A340" t="s">
        <v>2128</v>
      </c>
      <c r="B340" t="s">
        <v>2129</v>
      </c>
      <c r="C340" t="s">
        <v>5111</v>
      </c>
      <c r="D340" t="str">
        <f>TRIM(alias[[#This Row],[Column3]])</f>
        <v>Tera Data Indonusa Tbk</v>
      </c>
      <c r="F340" t="str">
        <f t="shared" si="5"/>
        <v>INSERT INTO stock_alias (stock, alias) VALUES ((SELECT id FROM stock WHERE ticker = 'AXIO'), 'Tera Data Indonusa Tbk') ON CONFLICT DO NOTHING;</v>
      </c>
    </row>
    <row r="341" spans="1:6" x14ac:dyDescent="0.2">
      <c r="A341" t="s">
        <v>2410</v>
      </c>
      <c r="B341" t="s">
        <v>2411</v>
      </c>
      <c r="C341" t="s">
        <v>2410</v>
      </c>
      <c r="D341" t="str">
        <f>TRIM(alias[[#This Row],[Column3]])</f>
        <v>AYAM</v>
      </c>
      <c r="F341" t="str">
        <f t="shared" si="5"/>
        <v>INSERT INTO stock_alias (stock, alias) VALUES ((SELECT id FROM stock WHERE ticker = 'AYAM'), 'AYAM') ON CONFLICT DO NOTHING;</v>
      </c>
    </row>
    <row r="342" spans="1:6" x14ac:dyDescent="0.2">
      <c r="A342" t="s">
        <v>2410</v>
      </c>
      <c r="B342" t="s">
        <v>2411</v>
      </c>
      <c r="C342" t="s">
        <v>5112</v>
      </c>
      <c r="D342" t="str">
        <f>TRIM(alias[[#This Row],[Column3]])</f>
        <v>Janu Putra Sejahtera</v>
      </c>
      <c r="F342" t="str">
        <f t="shared" si="5"/>
        <v>INSERT INTO stock_alias (stock, alias) VALUES ((SELECT id FROM stock WHERE ticker = 'AYAM'), 'Janu Putra Sejahtera') ON CONFLICT DO NOTHING;</v>
      </c>
    </row>
    <row r="343" spans="1:6" x14ac:dyDescent="0.2">
      <c r="A343" t="s">
        <v>2410</v>
      </c>
      <c r="B343" t="s">
        <v>2411</v>
      </c>
      <c r="C343" t="s">
        <v>5113</v>
      </c>
      <c r="D343" t="str">
        <f>TRIM(alias[[#This Row],[Column3]])</f>
        <v>Janu Putra Sejahtera Tbk</v>
      </c>
      <c r="F343" t="str">
        <f t="shared" si="5"/>
        <v>INSERT INTO stock_alias (stock, alias) VALUES ((SELECT id FROM stock WHERE ticker = 'AYAM'), 'Janu Putra Sejahtera Tbk') ON CONFLICT DO NOTHING;</v>
      </c>
    </row>
    <row r="344" spans="1:6" x14ac:dyDescent="0.2">
      <c r="A344" t="s">
        <v>2410</v>
      </c>
      <c r="B344" t="s">
        <v>2411</v>
      </c>
      <c r="C344" t="s">
        <v>5114</v>
      </c>
      <c r="D344" t="str">
        <f>TRIM(alias[[#This Row],[Column3]])</f>
        <v>PT Janu Putra Sejahtera</v>
      </c>
      <c r="F344" t="str">
        <f t="shared" si="5"/>
        <v>INSERT INTO stock_alias (stock, alias) VALUES ((SELECT id FROM stock WHERE ticker = 'AYAM'), 'PT Janu Putra Sejahtera') ON CONFLICT DO NOTHING;</v>
      </c>
    </row>
    <row r="345" spans="1:6" x14ac:dyDescent="0.2">
      <c r="A345" t="s">
        <v>2584</v>
      </c>
      <c r="B345" t="s">
        <v>2585</v>
      </c>
      <c r="C345" t="s">
        <v>2584</v>
      </c>
      <c r="D345" t="str">
        <f>TRIM(alias[[#This Row],[Column3]])</f>
        <v>AYLS</v>
      </c>
      <c r="F345" t="str">
        <f t="shared" si="5"/>
        <v>INSERT INTO stock_alias (stock, alias) VALUES ((SELECT id FROM stock WHERE ticker = 'AYLS'), 'AYLS') ON CONFLICT DO NOTHING;</v>
      </c>
    </row>
    <row r="346" spans="1:6" x14ac:dyDescent="0.2">
      <c r="A346" t="s">
        <v>2584</v>
      </c>
      <c r="B346" t="s">
        <v>2585</v>
      </c>
      <c r="C346" t="s">
        <v>5115</v>
      </c>
      <c r="D346" t="str">
        <f>TRIM(alias[[#This Row],[Column3]])</f>
        <v>Agro Yasa Lestari</v>
      </c>
      <c r="F346" t="str">
        <f t="shared" si="5"/>
        <v>INSERT INTO stock_alias (stock, alias) VALUES ((SELECT id FROM stock WHERE ticker = 'AYLS'), 'Agro Yasa Lestari') ON CONFLICT DO NOTHING;</v>
      </c>
    </row>
    <row r="347" spans="1:6" x14ac:dyDescent="0.2">
      <c r="A347" t="s">
        <v>2584</v>
      </c>
      <c r="B347" t="s">
        <v>2585</v>
      </c>
      <c r="C347" t="s">
        <v>5116</v>
      </c>
      <c r="D347" t="str">
        <f>TRIM(alias[[#This Row],[Column3]])</f>
        <v>Agro Yasa Lestari Tbk</v>
      </c>
      <c r="F347" t="str">
        <f t="shared" si="5"/>
        <v>INSERT INTO stock_alias (stock, alias) VALUES ((SELECT id FROM stock WHERE ticker = 'AYLS'), 'Agro Yasa Lestari Tbk') ON CONFLICT DO NOTHING;</v>
      </c>
    </row>
    <row r="348" spans="1:6" x14ac:dyDescent="0.2">
      <c r="A348" t="s">
        <v>2584</v>
      </c>
      <c r="B348" t="s">
        <v>2585</v>
      </c>
      <c r="C348" t="s">
        <v>5117</v>
      </c>
      <c r="D348" t="str">
        <f>TRIM(alias[[#This Row],[Column3]])</f>
        <v>PT Agro Yasa Lestari</v>
      </c>
      <c r="F348" t="str">
        <f t="shared" si="5"/>
        <v>INSERT INTO stock_alias (stock, alias) VALUES ((SELECT id FROM stock WHERE ticker = 'AYLS'), 'PT Agro Yasa Lestari') ON CONFLICT DO NOTHING;</v>
      </c>
    </row>
    <row r="349" spans="1:6" x14ac:dyDescent="0.2">
      <c r="A349" t="s">
        <v>138</v>
      </c>
      <c r="B349" t="s">
        <v>139</v>
      </c>
      <c r="C349" t="s">
        <v>138</v>
      </c>
      <c r="D349" t="str">
        <f>TRIM(alias[[#This Row],[Column3]])</f>
        <v>BABP</v>
      </c>
      <c r="F349" t="str">
        <f t="shared" si="5"/>
        <v>INSERT INTO stock_alias (stock, alias) VALUES ((SELECT id FROM stock WHERE ticker = 'BABP'), 'BABP') ON CONFLICT DO NOTHING;</v>
      </c>
    </row>
    <row r="350" spans="1:6" x14ac:dyDescent="0.2">
      <c r="A350" t="s">
        <v>138</v>
      </c>
      <c r="B350" t="s">
        <v>139</v>
      </c>
      <c r="C350" t="s">
        <v>5118</v>
      </c>
      <c r="D350" t="str">
        <f>TRIM(alias[[#This Row],[Column3]])</f>
        <v>BMI</v>
      </c>
      <c r="F350" t="str">
        <f t="shared" si="5"/>
        <v>INSERT INTO stock_alias (stock, alias) VALUES ((SELECT id FROM stock WHERE ticker = 'BABP'), 'BMI') ON CONFLICT DO NOTHING;</v>
      </c>
    </row>
    <row r="351" spans="1:6" x14ac:dyDescent="0.2">
      <c r="A351" t="s">
        <v>138</v>
      </c>
      <c r="B351" t="s">
        <v>139</v>
      </c>
      <c r="C351" t="s">
        <v>5119</v>
      </c>
      <c r="D351" t="str">
        <f>TRIM(alias[[#This Row],[Column3]])</f>
        <v>Bank Internasional</v>
      </c>
      <c r="F351" t="str">
        <f t="shared" si="5"/>
        <v>INSERT INTO stock_alias (stock, alias) VALUES ((SELECT id FROM stock WHERE ticker = 'BABP'), 'Bank Internasional') ON CONFLICT DO NOTHING;</v>
      </c>
    </row>
    <row r="352" spans="1:6" x14ac:dyDescent="0.2">
      <c r="A352" t="s">
        <v>138</v>
      </c>
      <c r="B352" t="s">
        <v>139</v>
      </c>
      <c r="C352" t="s">
        <v>5120</v>
      </c>
      <c r="D352" t="str">
        <f>TRIM(alias[[#This Row],[Column3]])</f>
        <v>Bank MNC Internasional</v>
      </c>
      <c r="F352" t="str">
        <f t="shared" si="5"/>
        <v>INSERT INTO stock_alias (stock, alias) VALUES ((SELECT id FROM stock WHERE ticker = 'BABP'), 'Bank MNC Internasional') ON CONFLICT DO NOTHING;</v>
      </c>
    </row>
    <row r="353" spans="1:6" x14ac:dyDescent="0.2">
      <c r="A353" t="s">
        <v>138</v>
      </c>
      <c r="B353" t="s">
        <v>139</v>
      </c>
      <c r="C353" t="s">
        <v>5121</v>
      </c>
      <c r="D353" t="str">
        <f>TRIM(alias[[#This Row],[Column3]])</f>
        <v>Bank MNC Internasional Tbk</v>
      </c>
      <c r="F353" t="str">
        <f t="shared" si="5"/>
        <v>INSERT INTO stock_alias (stock, alias) VALUES ((SELECT id FROM stock WHERE ticker = 'BABP'), 'Bank MNC Internasional Tbk') ON CONFLICT DO NOTHING;</v>
      </c>
    </row>
    <row r="354" spans="1:6" x14ac:dyDescent="0.2">
      <c r="A354" t="s">
        <v>138</v>
      </c>
      <c r="B354" t="s">
        <v>139</v>
      </c>
      <c r="C354" t="s">
        <v>5122</v>
      </c>
      <c r="D354" t="str">
        <f>TRIM(alias[[#This Row],[Column3]])</f>
        <v>Internasional</v>
      </c>
      <c r="F354" t="str">
        <f t="shared" si="5"/>
        <v>INSERT INTO stock_alias (stock, alias) VALUES ((SELECT id FROM stock WHERE ticker = 'BABP'), 'Internasional') ON CONFLICT DO NOTHING;</v>
      </c>
    </row>
    <row r="355" spans="1:6" x14ac:dyDescent="0.2">
      <c r="A355" t="s">
        <v>138</v>
      </c>
      <c r="B355" t="s">
        <v>139</v>
      </c>
      <c r="C355" t="s">
        <v>5123</v>
      </c>
      <c r="D355" t="str">
        <f>TRIM(alias[[#This Row],[Column3]])</f>
        <v>PT Bank MNC Internasional</v>
      </c>
      <c r="F355" t="str">
        <f t="shared" si="5"/>
        <v>INSERT INTO stock_alias (stock, alias) VALUES ((SELECT id FROM stock WHERE ticker = 'BABP'), 'PT Bank MNC Internasional') ON CONFLICT DO NOTHING;</v>
      </c>
    </row>
    <row r="356" spans="1:6" x14ac:dyDescent="0.2">
      <c r="A356" t="s">
        <v>2373</v>
      </c>
      <c r="B356" t="s">
        <v>2374</v>
      </c>
      <c r="C356" t="s">
        <v>2373</v>
      </c>
      <c r="D356" t="str">
        <f>TRIM(alias[[#This Row],[Column3]])</f>
        <v>BABY</v>
      </c>
      <c r="F356" t="str">
        <f t="shared" si="5"/>
        <v>INSERT INTO stock_alias (stock, alias) VALUES ((SELECT id FROM stock WHERE ticker = 'BABY'), 'BABY') ON CONFLICT DO NOTHING;</v>
      </c>
    </row>
    <row r="357" spans="1:6" x14ac:dyDescent="0.2">
      <c r="A357" t="s">
        <v>2373</v>
      </c>
      <c r="B357" t="s">
        <v>2374</v>
      </c>
      <c r="C357" t="s">
        <v>5124</v>
      </c>
      <c r="D357" t="str">
        <f>TRIM(alias[[#This Row],[Column3]])</f>
        <v>Multitrend Indo</v>
      </c>
      <c r="F357" t="str">
        <f t="shared" si="5"/>
        <v>INSERT INTO stock_alias (stock, alias) VALUES ((SELECT id FROM stock WHERE ticker = 'BABY'), 'Multitrend Indo') ON CONFLICT DO NOTHING;</v>
      </c>
    </row>
    <row r="358" spans="1:6" x14ac:dyDescent="0.2">
      <c r="A358" t="s">
        <v>2373</v>
      </c>
      <c r="B358" t="s">
        <v>2374</v>
      </c>
      <c r="C358" t="s">
        <v>5125</v>
      </c>
      <c r="D358" t="str">
        <f>TRIM(alias[[#This Row],[Column3]])</f>
        <v>Multitrend Indo Tbk</v>
      </c>
      <c r="F358" t="str">
        <f t="shared" si="5"/>
        <v>INSERT INTO stock_alias (stock, alias) VALUES ((SELECT id FROM stock WHERE ticker = 'BABY'), 'Multitrend Indo Tbk') ON CONFLICT DO NOTHING;</v>
      </c>
    </row>
    <row r="359" spans="1:6" x14ac:dyDescent="0.2">
      <c r="A359" t="s">
        <v>2373</v>
      </c>
      <c r="B359" t="s">
        <v>2374</v>
      </c>
      <c r="C359" t="s">
        <v>5126</v>
      </c>
      <c r="D359" t="str">
        <f>TRIM(alias[[#This Row],[Column3]])</f>
        <v>PT Multitrend Indo</v>
      </c>
      <c r="F359" t="str">
        <f t="shared" si="5"/>
        <v>INSERT INTO stock_alias (stock, alias) VALUES ((SELECT id FROM stock WHERE ticker = 'BABY'), 'PT Multitrend Indo') ON CONFLICT DO NOTHING;</v>
      </c>
    </row>
    <row r="360" spans="1:6" x14ac:dyDescent="0.2">
      <c r="A360" t="s">
        <v>141</v>
      </c>
      <c r="B360" t="s">
        <v>142</v>
      </c>
      <c r="C360" t="s">
        <v>141</v>
      </c>
      <c r="D360" t="str">
        <f>TRIM(alias[[#This Row],[Column3]])</f>
        <v>BACA</v>
      </c>
      <c r="F360" t="str">
        <f t="shared" si="5"/>
        <v>INSERT INTO stock_alias (stock, alias) VALUES ((SELECT id FROM stock WHERE ticker = 'BACA'), 'BACA') ON CONFLICT DO NOTHING;</v>
      </c>
    </row>
    <row r="361" spans="1:6" x14ac:dyDescent="0.2">
      <c r="A361" t="s">
        <v>141</v>
      </c>
      <c r="B361" t="s">
        <v>142</v>
      </c>
      <c r="C361" t="s">
        <v>5127</v>
      </c>
      <c r="D361" t="str">
        <f>TRIM(alias[[#This Row],[Column3]])</f>
        <v>Bank Capital Indonesia</v>
      </c>
      <c r="F361" t="str">
        <f t="shared" si="5"/>
        <v>INSERT INTO stock_alias (stock, alias) VALUES ((SELECT id FROM stock WHERE ticker = 'BACA'), 'Bank Capital Indonesia') ON CONFLICT DO NOTHING;</v>
      </c>
    </row>
    <row r="362" spans="1:6" x14ac:dyDescent="0.2">
      <c r="A362" t="s">
        <v>141</v>
      </c>
      <c r="B362" t="s">
        <v>142</v>
      </c>
      <c r="C362" t="s">
        <v>5128</v>
      </c>
      <c r="D362" t="str">
        <f>TRIM(alias[[#This Row],[Column3]])</f>
        <v>Bank Capital Indonesia Tbk</v>
      </c>
      <c r="F362" t="str">
        <f t="shared" si="5"/>
        <v>INSERT INTO stock_alias (stock, alias) VALUES ((SELECT id FROM stock WHERE ticker = 'BACA'), 'Bank Capital Indonesia Tbk') ON CONFLICT DO NOTHING;</v>
      </c>
    </row>
    <row r="363" spans="1:6" x14ac:dyDescent="0.2">
      <c r="A363" t="s">
        <v>141</v>
      </c>
      <c r="B363" t="s">
        <v>142</v>
      </c>
      <c r="C363" t="s">
        <v>5129</v>
      </c>
      <c r="D363" t="str">
        <f>TRIM(alias[[#This Row],[Column3]])</f>
        <v>PT Bank Capital Indonesia</v>
      </c>
      <c r="F363" t="str">
        <f t="shared" si="5"/>
        <v>INSERT INTO stock_alias (stock, alias) VALUES ((SELECT id FROM stock WHERE ticker = 'BACA'), 'PT Bank Capital Indonesia') ON CONFLICT DO NOTHING;</v>
      </c>
    </row>
    <row r="364" spans="1:6" x14ac:dyDescent="0.2">
      <c r="A364" t="s">
        <v>2444</v>
      </c>
      <c r="B364" t="s">
        <v>2445</v>
      </c>
      <c r="C364" t="s">
        <v>2444</v>
      </c>
      <c r="D364" t="str">
        <f>TRIM(alias[[#This Row],[Column3]])</f>
        <v>BAIK</v>
      </c>
      <c r="F364" t="str">
        <f t="shared" si="5"/>
        <v>INSERT INTO stock_alias (stock, alias) VALUES ((SELECT id FROM stock WHERE ticker = 'BAIK'), 'BAIK') ON CONFLICT DO NOTHING;</v>
      </c>
    </row>
    <row r="365" spans="1:6" x14ac:dyDescent="0.2">
      <c r="A365" t="s">
        <v>2444</v>
      </c>
      <c r="B365" t="s">
        <v>2445</v>
      </c>
      <c r="C365" t="s">
        <v>5130</v>
      </c>
      <c r="D365" t="str">
        <f>TRIM(alias[[#This Row],[Column3]])</f>
        <v>Bersama Mencapai Puncak</v>
      </c>
      <c r="F365" t="str">
        <f t="shared" si="5"/>
        <v>INSERT INTO stock_alias (stock, alias) VALUES ((SELECT id FROM stock WHERE ticker = 'BAIK'), 'Bersama Mencapai Puncak') ON CONFLICT DO NOTHING;</v>
      </c>
    </row>
    <row r="366" spans="1:6" x14ac:dyDescent="0.2">
      <c r="A366" t="s">
        <v>2444</v>
      </c>
      <c r="B366" t="s">
        <v>2445</v>
      </c>
      <c r="C366" t="s">
        <v>5131</v>
      </c>
      <c r="D366" t="str">
        <f>TRIM(alias[[#This Row],[Column3]])</f>
        <v>Bersama Mencapai Puncak Tbk</v>
      </c>
      <c r="F366" t="str">
        <f t="shared" si="5"/>
        <v>INSERT INTO stock_alias (stock, alias) VALUES ((SELECT id FROM stock WHERE ticker = 'BAIK'), 'Bersama Mencapai Puncak Tbk') ON CONFLICT DO NOTHING;</v>
      </c>
    </row>
    <row r="367" spans="1:6" x14ac:dyDescent="0.2">
      <c r="A367" t="s">
        <v>2444</v>
      </c>
      <c r="B367" t="s">
        <v>2445</v>
      </c>
      <c r="C367" t="s">
        <v>5132</v>
      </c>
      <c r="D367" t="str">
        <f>TRIM(alias[[#This Row],[Column3]])</f>
        <v>PT Bersama Mencapai Puncak</v>
      </c>
      <c r="F367" t="str">
        <f t="shared" si="5"/>
        <v>INSERT INTO stock_alias (stock, alias) VALUES ((SELECT id FROM stock WHERE ticker = 'BAIK'), 'PT Bersama Mencapai Puncak') ON CONFLICT DO NOTHING;</v>
      </c>
    </row>
    <row r="368" spans="1:6" x14ac:dyDescent="0.2">
      <c r="A368" t="s">
        <v>144</v>
      </c>
      <c r="B368" t="s">
        <v>145</v>
      </c>
      <c r="C368" t="s">
        <v>144</v>
      </c>
      <c r="D368" t="str">
        <f>TRIM(alias[[#This Row],[Column3]])</f>
        <v>BAJA</v>
      </c>
      <c r="F368" t="str">
        <f t="shared" si="5"/>
        <v>INSERT INTO stock_alias (stock, alias) VALUES ((SELECT id FROM stock WHERE ticker = 'BAJA'), 'BAJA') ON CONFLICT DO NOTHING;</v>
      </c>
    </row>
    <row r="369" spans="1:6" x14ac:dyDescent="0.2">
      <c r="A369" t="s">
        <v>144</v>
      </c>
      <c r="B369" t="s">
        <v>145</v>
      </c>
      <c r="C369" t="s">
        <v>5133</v>
      </c>
      <c r="D369" t="str">
        <f>TRIM(alias[[#This Row],[Column3]])</f>
        <v>PT Saranacentral Bajatama</v>
      </c>
      <c r="F369" t="str">
        <f t="shared" si="5"/>
        <v>INSERT INTO stock_alias (stock, alias) VALUES ((SELECT id FROM stock WHERE ticker = 'BAJA'), 'PT Saranacentral Bajatama') ON CONFLICT DO NOTHING;</v>
      </c>
    </row>
    <row r="370" spans="1:6" x14ac:dyDescent="0.2">
      <c r="A370" t="s">
        <v>144</v>
      </c>
      <c r="B370" t="s">
        <v>145</v>
      </c>
      <c r="C370" t="s">
        <v>5134</v>
      </c>
      <c r="D370" t="str">
        <f>TRIM(alias[[#This Row],[Column3]])</f>
        <v>Saranacentral Bajatama</v>
      </c>
      <c r="F370" t="str">
        <f t="shared" si="5"/>
        <v>INSERT INTO stock_alias (stock, alias) VALUES ((SELECT id FROM stock WHERE ticker = 'BAJA'), 'Saranacentral Bajatama') ON CONFLICT DO NOTHING;</v>
      </c>
    </row>
    <row r="371" spans="1:6" x14ac:dyDescent="0.2">
      <c r="A371" t="s">
        <v>144</v>
      </c>
      <c r="B371" t="s">
        <v>145</v>
      </c>
      <c r="C371" t="s">
        <v>5135</v>
      </c>
      <c r="D371" t="str">
        <f>TRIM(alias[[#This Row],[Column3]])</f>
        <v>Saranacentral Bajatama Tbk</v>
      </c>
      <c r="F371" t="str">
        <f t="shared" si="5"/>
        <v>INSERT INTO stock_alias (stock, alias) VALUES ((SELECT id FROM stock WHERE ticker = 'BAJA'), 'Saranacentral Bajatama Tbk') ON CONFLICT DO NOTHING;</v>
      </c>
    </row>
    <row r="372" spans="1:6" x14ac:dyDescent="0.2">
      <c r="A372" t="s">
        <v>147</v>
      </c>
      <c r="B372" t="s">
        <v>148</v>
      </c>
      <c r="C372" t="s">
        <v>147</v>
      </c>
      <c r="D372" t="str">
        <f>TRIM(alias[[#This Row],[Column3]])</f>
        <v>BALI</v>
      </c>
      <c r="F372" t="str">
        <f t="shared" si="5"/>
        <v>INSERT INTO stock_alias (stock, alias) VALUES ((SELECT id FROM stock WHERE ticker = 'BALI'), 'BALI') ON CONFLICT DO NOTHING;</v>
      </c>
    </row>
    <row r="373" spans="1:6" x14ac:dyDescent="0.2">
      <c r="A373" t="s">
        <v>147</v>
      </c>
      <c r="B373" t="s">
        <v>148</v>
      </c>
      <c r="C373" t="s">
        <v>5136</v>
      </c>
      <c r="D373" t="str">
        <f>TRIM(alias[[#This Row],[Column3]])</f>
        <v>Bali Towerindo Sentra</v>
      </c>
      <c r="F373" t="str">
        <f t="shared" si="5"/>
        <v>INSERT INTO stock_alias (stock, alias) VALUES ((SELECT id FROM stock WHERE ticker = 'BALI'), 'Bali Towerindo Sentra') ON CONFLICT DO NOTHING;</v>
      </c>
    </row>
    <row r="374" spans="1:6" x14ac:dyDescent="0.2">
      <c r="A374" t="s">
        <v>147</v>
      </c>
      <c r="B374" t="s">
        <v>148</v>
      </c>
      <c r="C374" t="s">
        <v>5137</v>
      </c>
      <c r="D374" t="str">
        <f>TRIM(alias[[#This Row],[Column3]])</f>
        <v>Bali Towerindo Sentra Tbk</v>
      </c>
      <c r="F374" t="str">
        <f t="shared" si="5"/>
        <v>INSERT INTO stock_alias (stock, alias) VALUES ((SELECT id FROM stock WHERE ticker = 'BALI'), 'Bali Towerindo Sentra Tbk') ON CONFLICT DO NOTHING;</v>
      </c>
    </row>
    <row r="375" spans="1:6" x14ac:dyDescent="0.2">
      <c r="A375" t="s">
        <v>147</v>
      </c>
      <c r="B375" t="s">
        <v>148</v>
      </c>
      <c r="C375" t="s">
        <v>5138</v>
      </c>
      <c r="D375" t="str">
        <f>TRIM(alias[[#This Row],[Column3]])</f>
        <v>PT Bali Towerindo Sentra</v>
      </c>
      <c r="F375" t="str">
        <f t="shared" si="5"/>
        <v>INSERT INTO stock_alias (stock, alias) VALUES ((SELECT id FROM stock WHERE ticker = 'BALI'), 'PT Bali Towerindo Sentra') ON CONFLICT DO NOTHING;</v>
      </c>
    </row>
    <row r="376" spans="1:6" x14ac:dyDescent="0.2">
      <c r="A376" t="s">
        <v>1909</v>
      </c>
      <c r="B376" t="s">
        <v>1910</v>
      </c>
      <c r="C376" t="s">
        <v>1909</v>
      </c>
      <c r="D376" t="str">
        <f>TRIM(alias[[#This Row],[Column3]])</f>
        <v>BANK</v>
      </c>
      <c r="F376" t="str">
        <f t="shared" si="5"/>
        <v>INSERT INTO stock_alias (stock, alias) VALUES ((SELECT id FROM stock WHERE ticker = 'BANK'), 'BANK') ON CONFLICT DO NOTHING;</v>
      </c>
    </row>
    <row r="377" spans="1:6" x14ac:dyDescent="0.2">
      <c r="A377" t="s">
        <v>1909</v>
      </c>
      <c r="B377" t="s">
        <v>1910</v>
      </c>
      <c r="C377" t="s">
        <v>5139</v>
      </c>
      <c r="D377" t="str">
        <f>TRIM(alias[[#This Row],[Column3]])</f>
        <v>Bank Aladin Syariah</v>
      </c>
      <c r="F377" t="str">
        <f t="shared" si="5"/>
        <v>INSERT INTO stock_alias (stock, alias) VALUES ((SELECT id FROM stock WHERE ticker = 'BANK'), 'Bank Aladin Syariah') ON CONFLICT DO NOTHING;</v>
      </c>
    </row>
    <row r="378" spans="1:6" x14ac:dyDescent="0.2">
      <c r="A378" t="s">
        <v>1909</v>
      </c>
      <c r="B378" t="s">
        <v>1910</v>
      </c>
      <c r="C378" t="s">
        <v>5140</v>
      </c>
      <c r="D378" t="str">
        <f>TRIM(alias[[#This Row],[Column3]])</f>
        <v>Bank Aladin Syariah Tbk</v>
      </c>
      <c r="F378" t="str">
        <f t="shared" si="5"/>
        <v>INSERT INTO stock_alias (stock, alias) VALUES ((SELECT id FROM stock WHERE ticker = 'BANK'), 'Bank Aladin Syariah Tbk') ON CONFLICT DO NOTHING;</v>
      </c>
    </row>
    <row r="379" spans="1:6" x14ac:dyDescent="0.2">
      <c r="A379" t="s">
        <v>1909</v>
      </c>
      <c r="B379" t="s">
        <v>1910</v>
      </c>
      <c r="C379" t="s">
        <v>5141</v>
      </c>
      <c r="D379" t="str">
        <f>TRIM(alias[[#This Row],[Column3]])</f>
        <v>Bank Syariah</v>
      </c>
      <c r="F379" t="str">
        <f t="shared" si="5"/>
        <v>INSERT INTO stock_alias (stock, alias) VALUES ((SELECT id FROM stock WHERE ticker = 'BANK'), 'Bank Syariah') ON CONFLICT DO NOTHING;</v>
      </c>
    </row>
    <row r="380" spans="1:6" x14ac:dyDescent="0.2">
      <c r="A380" t="s">
        <v>1909</v>
      </c>
      <c r="B380" t="s">
        <v>1910</v>
      </c>
      <c r="C380" t="s">
        <v>5142</v>
      </c>
      <c r="D380" t="str">
        <f>TRIM(alias[[#This Row],[Column3]])</f>
        <v>PT Bank Aladin Syariah</v>
      </c>
      <c r="F380" t="str">
        <f t="shared" si="5"/>
        <v>INSERT INTO stock_alias (stock, alias) VALUES ((SELECT id FROM stock WHERE ticker = 'BANK'), 'PT Bank Aladin Syariah') ON CONFLICT DO NOTHING;</v>
      </c>
    </row>
    <row r="381" spans="1:6" x14ac:dyDescent="0.2">
      <c r="A381" t="s">
        <v>1909</v>
      </c>
      <c r="B381" t="s">
        <v>1910</v>
      </c>
      <c r="C381" t="s">
        <v>5143</v>
      </c>
      <c r="D381" t="str">
        <f>TRIM(alias[[#This Row],[Column3]])</f>
        <v>Syariah</v>
      </c>
      <c r="F381" t="str">
        <f t="shared" si="5"/>
        <v>INSERT INTO stock_alias (stock, alias) VALUES ((SELECT id FROM stock WHERE ticker = 'BANK'), 'Syariah') ON CONFLICT DO NOTHING;</v>
      </c>
    </row>
    <row r="382" spans="1:6" x14ac:dyDescent="0.2">
      <c r="A382" t="s">
        <v>150</v>
      </c>
      <c r="B382" t="s">
        <v>151</v>
      </c>
      <c r="C382" t="s">
        <v>150</v>
      </c>
      <c r="D382" t="str">
        <f>TRIM(alias[[#This Row],[Column3]])</f>
        <v>BAPA</v>
      </c>
      <c r="F382" t="str">
        <f t="shared" si="5"/>
        <v>INSERT INTO stock_alias (stock, alias) VALUES ((SELECT id FROM stock WHERE ticker = 'BAPA'), 'BAPA') ON CONFLICT DO NOTHING;</v>
      </c>
    </row>
    <row r="383" spans="1:6" x14ac:dyDescent="0.2">
      <c r="A383" t="s">
        <v>150</v>
      </c>
      <c r="B383" t="s">
        <v>151</v>
      </c>
      <c r="C383" t="s">
        <v>5144</v>
      </c>
      <c r="D383" t="str">
        <f>TRIM(alias[[#This Row],[Column3]])</f>
        <v>Bekasi Asri Pemula</v>
      </c>
      <c r="F383" t="str">
        <f t="shared" si="5"/>
        <v>INSERT INTO stock_alias (stock, alias) VALUES ((SELECT id FROM stock WHERE ticker = 'BAPA'), 'Bekasi Asri Pemula') ON CONFLICT DO NOTHING;</v>
      </c>
    </row>
    <row r="384" spans="1:6" x14ac:dyDescent="0.2">
      <c r="A384" t="s">
        <v>150</v>
      </c>
      <c r="B384" t="s">
        <v>151</v>
      </c>
      <c r="C384" t="s">
        <v>5145</v>
      </c>
      <c r="D384" t="str">
        <f>TRIM(alias[[#This Row],[Column3]])</f>
        <v>Bekasi Asri Pemula Tbk</v>
      </c>
      <c r="F384" t="str">
        <f t="shared" si="5"/>
        <v>INSERT INTO stock_alias (stock, alias) VALUES ((SELECT id FROM stock WHERE ticker = 'BAPA'), 'Bekasi Asri Pemula Tbk') ON CONFLICT DO NOTHING;</v>
      </c>
    </row>
    <row r="385" spans="1:6" x14ac:dyDescent="0.2">
      <c r="A385" t="s">
        <v>150</v>
      </c>
      <c r="B385" t="s">
        <v>151</v>
      </c>
      <c r="C385" t="s">
        <v>5146</v>
      </c>
      <c r="D385" t="str">
        <f>TRIM(alias[[#This Row],[Column3]])</f>
        <v>PT Bekasi Asri Pemula</v>
      </c>
      <c r="F385" t="str">
        <f t="shared" si="5"/>
        <v>INSERT INTO stock_alias (stock, alias) VALUES ((SELECT id FROM stock WHERE ticker = 'BAPA'), 'PT Bekasi Asri Pemula') ON CONFLICT DO NOTHING;</v>
      </c>
    </row>
    <row r="386" spans="1:6" x14ac:dyDescent="0.2">
      <c r="A386" t="s">
        <v>1732</v>
      </c>
      <c r="B386" t="s">
        <v>1733</v>
      </c>
      <c r="C386" t="s">
        <v>1732</v>
      </c>
      <c r="D386" t="str">
        <f>TRIM(alias[[#This Row],[Column3]])</f>
        <v>BAPI</v>
      </c>
      <c r="F386" t="str">
        <f t="shared" si="5"/>
        <v>INSERT INTO stock_alias (stock, alias) VALUES ((SELECT id FROM stock WHERE ticker = 'BAPI'), 'BAPI') ON CONFLICT DO NOTHING;</v>
      </c>
    </row>
    <row r="387" spans="1:6" x14ac:dyDescent="0.2">
      <c r="A387" t="s">
        <v>1732</v>
      </c>
      <c r="B387" t="s">
        <v>1733</v>
      </c>
      <c r="C387" t="s">
        <v>5147</v>
      </c>
      <c r="D387" t="str">
        <f>TRIM(alias[[#This Row],[Column3]])</f>
        <v>Bhakti Agung Propertindo</v>
      </c>
      <c r="F387" t="str">
        <f t="shared" si="5"/>
        <v>INSERT INTO stock_alias (stock, alias) VALUES ((SELECT id FROM stock WHERE ticker = 'BAPI'), 'Bhakti Agung Propertindo') ON CONFLICT DO NOTHING;</v>
      </c>
    </row>
    <row r="388" spans="1:6" x14ac:dyDescent="0.2">
      <c r="A388" t="s">
        <v>1732</v>
      </c>
      <c r="B388" t="s">
        <v>1733</v>
      </c>
      <c r="C388" t="s">
        <v>5148</v>
      </c>
      <c r="D388" t="str">
        <f>TRIM(alias[[#This Row],[Column3]])</f>
        <v>Bhakti Agung Propertindo Tbk</v>
      </c>
      <c r="F388" t="str">
        <f t="shared" ref="F388:F450" si="6">_xlfn.CONCAT($F$1, _xlfn.CONCAT($G$1, A388, "'), '", D388, "') ON CONFLICT DO NOTHING;"))</f>
        <v>INSERT INTO stock_alias (stock, alias) VALUES ((SELECT id FROM stock WHERE ticker = 'BAPI'), 'Bhakti Agung Propertindo Tbk') ON CONFLICT DO NOTHING;</v>
      </c>
    </row>
    <row r="389" spans="1:6" x14ac:dyDescent="0.2">
      <c r="A389" t="s">
        <v>1732</v>
      </c>
      <c r="B389" t="s">
        <v>1733</v>
      </c>
      <c r="C389" t="s">
        <v>5149</v>
      </c>
      <c r="D389" t="str">
        <f>TRIM(alias[[#This Row],[Column3]])</f>
        <v>PT Bhakti Agung Propertindo</v>
      </c>
      <c r="F389" t="str">
        <f t="shared" si="6"/>
        <v>INSERT INTO stock_alias (stock, alias) VALUES ((SELECT id FROM stock WHERE ticker = 'BAPI'), 'PT Bhakti Agung Propertindo') ON CONFLICT DO NOTHING;</v>
      </c>
    </row>
    <row r="390" spans="1:6" x14ac:dyDescent="0.2">
      <c r="A390" t="s">
        <v>153</v>
      </c>
      <c r="B390" t="s">
        <v>154</v>
      </c>
      <c r="C390" t="s">
        <v>153</v>
      </c>
      <c r="D390" t="str">
        <f>TRIM(alias[[#This Row],[Column3]])</f>
        <v>BATA</v>
      </c>
      <c r="F390" t="str">
        <f t="shared" si="6"/>
        <v>INSERT INTO stock_alias (stock, alias) VALUES ((SELECT id FROM stock WHERE ticker = 'BATA'), 'BATA') ON CONFLICT DO NOTHING;</v>
      </c>
    </row>
    <row r="391" spans="1:6" x14ac:dyDescent="0.2">
      <c r="A391" t="s">
        <v>153</v>
      </c>
      <c r="B391" t="s">
        <v>154</v>
      </c>
      <c r="C391" t="s">
        <v>5150</v>
      </c>
      <c r="D391" t="str">
        <f>TRIM(alias[[#This Row],[Column3]])</f>
        <v>PT Sepatu Bata</v>
      </c>
      <c r="F391" t="str">
        <f t="shared" si="6"/>
        <v>INSERT INTO stock_alias (stock, alias) VALUES ((SELECT id FROM stock WHERE ticker = 'BATA'), 'PT Sepatu Bata') ON CONFLICT DO NOTHING;</v>
      </c>
    </row>
    <row r="392" spans="1:6" x14ac:dyDescent="0.2">
      <c r="A392" t="s">
        <v>153</v>
      </c>
      <c r="B392" t="s">
        <v>154</v>
      </c>
      <c r="C392" t="s">
        <v>5151</v>
      </c>
      <c r="D392" t="str">
        <f>TRIM(alias[[#This Row],[Column3]])</f>
        <v>Sepatu Bata</v>
      </c>
      <c r="F392" t="str">
        <f t="shared" si="6"/>
        <v>INSERT INTO stock_alias (stock, alias) VALUES ((SELECT id FROM stock WHERE ticker = 'BATA'), 'Sepatu Bata') ON CONFLICT DO NOTHING;</v>
      </c>
    </row>
    <row r="393" spans="1:6" x14ac:dyDescent="0.2">
      <c r="A393" t="s">
        <v>153</v>
      </c>
      <c r="B393" t="s">
        <v>154</v>
      </c>
      <c r="C393" t="s">
        <v>5152</v>
      </c>
      <c r="D393" t="str">
        <f>TRIM(alias[[#This Row],[Column3]])</f>
        <v>Sepatu Bata Tbk</v>
      </c>
      <c r="F393" t="str">
        <f t="shared" si="6"/>
        <v>INSERT INTO stock_alias (stock, alias) VALUES ((SELECT id FROM stock WHERE ticker = 'BATA'), 'Sepatu Bata Tbk') ON CONFLICT DO NOTHING;</v>
      </c>
    </row>
    <row r="394" spans="1:6" x14ac:dyDescent="0.2">
      <c r="A394" t="s">
        <v>2463</v>
      </c>
      <c r="B394" t="s">
        <v>2464</v>
      </c>
      <c r="C394" t="s">
        <v>2463</v>
      </c>
      <c r="D394" t="str">
        <f>TRIM(alias[[#This Row],[Column3]])</f>
        <v>BATR</v>
      </c>
      <c r="F394" t="str">
        <f t="shared" si="6"/>
        <v>INSERT INTO stock_alias (stock, alias) VALUES ((SELECT id FROM stock WHERE ticker = 'BATR'), 'BATR') ON CONFLICT DO NOTHING;</v>
      </c>
    </row>
    <row r="395" spans="1:6" x14ac:dyDescent="0.2">
      <c r="A395" t="s">
        <v>2463</v>
      </c>
      <c r="B395" t="s">
        <v>2464</v>
      </c>
      <c r="C395" t="s">
        <v>5153</v>
      </c>
      <c r="D395" t="str">
        <f>TRIM(alias[[#This Row],[Column3]])</f>
        <v>Benteng Api Technic</v>
      </c>
      <c r="F395" t="str">
        <f t="shared" si="6"/>
        <v>INSERT INTO stock_alias (stock, alias) VALUES ((SELECT id FROM stock WHERE ticker = 'BATR'), 'Benteng Api Technic') ON CONFLICT DO NOTHING;</v>
      </c>
    </row>
    <row r="396" spans="1:6" x14ac:dyDescent="0.2">
      <c r="A396" t="s">
        <v>2463</v>
      </c>
      <c r="B396" t="s">
        <v>2464</v>
      </c>
      <c r="C396" t="s">
        <v>5154</v>
      </c>
      <c r="D396" t="str">
        <f>TRIM(alias[[#This Row],[Column3]])</f>
        <v>Benteng Api Technic Tbk</v>
      </c>
      <c r="F396" t="str">
        <f t="shared" si="6"/>
        <v>INSERT INTO stock_alias (stock, alias) VALUES ((SELECT id FROM stock WHERE ticker = 'BATR'), 'Benteng Api Technic Tbk') ON CONFLICT DO NOTHING;</v>
      </c>
    </row>
    <row r="397" spans="1:6" x14ac:dyDescent="0.2">
      <c r="A397" t="s">
        <v>2463</v>
      </c>
      <c r="B397" t="s">
        <v>2464</v>
      </c>
      <c r="C397" t="s">
        <v>5155</v>
      </c>
      <c r="D397" t="str">
        <f>TRIM(alias[[#This Row],[Column3]])</f>
        <v>PT Benteng Api Technic</v>
      </c>
      <c r="F397" t="str">
        <f t="shared" si="6"/>
        <v>INSERT INTO stock_alias (stock, alias) VALUES ((SELECT id FROM stock WHERE ticker = 'BATR'), 'PT Benteng Api Technic') ON CONFLICT DO NOTHING;</v>
      </c>
    </row>
    <row r="398" spans="1:6" x14ac:dyDescent="0.2">
      <c r="A398" t="s">
        <v>2071</v>
      </c>
      <c r="B398" t="s">
        <v>2072</v>
      </c>
      <c r="C398" t="s">
        <v>2071</v>
      </c>
      <c r="D398" t="str">
        <f>TRIM(alias[[#This Row],[Column3]])</f>
        <v>BAUT</v>
      </c>
      <c r="F398" t="str">
        <f t="shared" si="6"/>
        <v>INSERT INTO stock_alias (stock, alias) VALUES ((SELECT id FROM stock WHERE ticker = 'BAUT'), 'BAUT') ON CONFLICT DO NOTHING;</v>
      </c>
    </row>
    <row r="399" spans="1:6" x14ac:dyDescent="0.2">
      <c r="A399" t="s">
        <v>2071</v>
      </c>
      <c r="B399" t="s">
        <v>2072</v>
      </c>
      <c r="C399" t="s">
        <v>5156</v>
      </c>
      <c r="D399" t="str">
        <f>TRIM(alias[[#This Row],[Column3]])</f>
        <v>Mitra Angkasa Sejahtera</v>
      </c>
      <c r="F399" t="str">
        <f t="shared" si="6"/>
        <v>INSERT INTO stock_alias (stock, alias) VALUES ((SELECT id FROM stock WHERE ticker = 'BAUT'), 'Mitra Angkasa Sejahtera') ON CONFLICT DO NOTHING;</v>
      </c>
    </row>
    <row r="400" spans="1:6" x14ac:dyDescent="0.2">
      <c r="A400" t="s">
        <v>2071</v>
      </c>
      <c r="B400" t="s">
        <v>2072</v>
      </c>
      <c r="C400" t="s">
        <v>5157</v>
      </c>
      <c r="D400" t="str">
        <f>TRIM(alias[[#This Row],[Column3]])</f>
        <v>Mitra Angkasa Sejahtera Tbk</v>
      </c>
      <c r="F400" t="str">
        <f t="shared" si="6"/>
        <v>INSERT INTO stock_alias (stock, alias) VALUES ((SELECT id FROM stock WHERE ticker = 'BAUT'), 'Mitra Angkasa Sejahtera Tbk') ON CONFLICT DO NOTHING;</v>
      </c>
    </row>
    <row r="401" spans="1:6" x14ac:dyDescent="0.2">
      <c r="A401" t="s">
        <v>2071</v>
      </c>
      <c r="B401" t="s">
        <v>2072</v>
      </c>
      <c r="C401" t="s">
        <v>5158</v>
      </c>
      <c r="D401" t="str">
        <f>TRIM(alias[[#This Row],[Column3]])</f>
        <v>PT Mitra Angkasa Sejahtera</v>
      </c>
      <c r="F401" t="str">
        <f t="shared" si="6"/>
        <v>INSERT INTO stock_alias (stock, alias) VALUES ((SELECT id FROM stock WHERE ticker = 'BAUT'), 'PT Mitra Angkasa Sejahtera') ON CONFLICT DO NOTHING;</v>
      </c>
    </row>
    <row r="402" spans="1:6" x14ac:dyDescent="0.2">
      <c r="A402" t="s">
        <v>156</v>
      </c>
      <c r="B402" t="s">
        <v>3513</v>
      </c>
      <c r="C402" t="s">
        <v>156</v>
      </c>
      <c r="D402" t="str">
        <f>TRIM(alias[[#This Row],[Column3]])</f>
        <v>BAYU</v>
      </c>
      <c r="F402" t="str">
        <f t="shared" si="6"/>
        <v>INSERT INTO stock_alias (stock, alias) VALUES ((SELECT id FROM stock WHERE ticker = 'BAYU'), 'BAYU') ON CONFLICT DO NOTHING;</v>
      </c>
    </row>
    <row r="403" spans="1:6" x14ac:dyDescent="0.2">
      <c r="A403" t="s">
        <v>156</v>
      </c>
      <c r="B403" t="s">
        <v>3513</v>
      </c>
      <c r="C403" t="s">
        <v>5159</v>
      </c>
      <c r="D403" t="str">
        <f>TRIM(alias[[#This Row],[Column3]])</f>
        <v>Bayu Buana</v>
      </c>
      <c r="F403" t="str">
        <f t="shared" si="6"/>
        <v>INSERT INTO stock_alias (stock, alias) VALUES ((SELECT id FROM stock WHERE ticker = 'BAYU'), 'Bayu Buana') ON CONFLICT DO NOTHING;</v>
      </c>
    </row>
    <row r="404" spans="1:6" x14ac:dyDescent="0.2">
      <c r="A404" t="s">
        <v>156</v>
      </c>
      <c r="B404" t="s">
        <v>3513</v>
      </c>
      <c r="C404" t="s">
        <v>5160</v>
      </c>
      <c r="D404" t="str">
        <f>TRIM(alias[[#This Row],[Column3]])</f>
        <v>Bayu Buana Tbk</v>
      </c>
      <c r="F404" t="str">
        <f t="shared" si="6"/>
        <v>INSERT INTO stock_alias (stock, alias) VALUES ((SELECT id FROM stock WHERE ticker = 'BAYU'), 'Bayu Buana Tbk') ON CONFLICT DO NOTHING;</v>
      </c>
    </row>
    <row r="405" spans="1:6" x14ac:dyDescent="0.2">
      <c r="A405" t="s">
        <v>156</v>
      </c>
      <c r="B405" t="s">
        <v>3513</v>
      </c>
      <c r="C405" t="s">
        <v>5161</v>
      </c>
      <c r="D405" t="str">
        <f>TRIM(alias[[#This Row],[Column3]])</f>
        <v>PT Bayu Buana</v>
      </c>
      <c r="F405" t="str">
        <f t="shared" si="6"/>
        <v>INSERT INTO stock_alias (stock, alias) VALUES ((SELECT id FROM stock WHERE ticker = 'BAYU'), 'PT Bayu Buana') ON CONFLICT DO NOTHING;</v>
      </c>
    </row>
    <row r="406" spans="1:6" x14ac:dyDescent="0.2">
      <c r="A406" t="s">
        <v>159</v>
      </c>
      <c r="B406" t="s">
        <v>160</v>
      </c>
      <c r="C406" t="s">
        <v>159</v>
      </c>
      <c r="D406" t="str">
        <f>TRIM(alias[[#This Row],[Column3]])</f>
        <v>BBCA</v>
      </c>
      <c r="F406" t="str">
        <f t="shared" si="6"/>
        <v>INSERT INTO stock_alias (stock, alias) VALUES ((SELECT id FROM stock WHERE ticker = 'BBCA'), 'BBCA') ON CONFLICT DO NOTHING;</v>
      </c>
    </row>
    <row r="407" spans="1:6" x14ac:dyDescent="0.2">
      <c r="A407" t="s">
        <v>159</v>
      </c>
      <c r="B407" t="s">
        <v>160</v>
      </c>
      <c r="C407" t="s">
        <v>5162</v>
      </c>
      <c r="D407" t="str">
        <f>TRIM(alias[[#This Row],[Column3]])</f>
        <v>BCA</v>
      </c>
      <c r="F407" t="str">
        <f t="shared" si="6"/>
        <v>INSERT INTO stock_alias (stock, alias) VALUES ((SELECT id FROM stock WHERE ticker = 'BBCA'), 'BCA') ON CONFLICT DO NOTHING;</v>
      </c>
    </row>
    <row r="408" spans="1:6" x14ac:dyDescent="0.2">
      <c r="A408" t="s">
        <v>159</v>
      </c>
      <c r="B408" t="s">
        <v>160</v>
      </c>
      <c r="C408" t="s">
        <v>5163</v>
      </c>
      <c r="D408" t="str">
        <f>TRIM(alias[[#This Row],[Column3]])</f>
        <v>Bank Central Asia</v>
      </c>
      <c r="F408" t="str">
        <f t="shared" si="6"/>
        <v>INSERT INTO stock_alias (stock, alias) VALUES ((SELECT id FROM stock WHERE ticker = 'BBCA'), 'Bank Central Asia') ON CONFLICT DO NOTHING;</v>
      </c>
    </row>
    <row r="409" spans="1:6" x14ac:dyDescent="0.2">
      <c r="A409" t="s">
        <v>159</v>
      </c>
      <c r="B409" t="s">
        <v>160</v>
      </c>
      <c r="C409" t="s">
        <v>5164</v>
      </c>
      <c r="D409" t="str">
        <f>TRIM(alias[[#This Row],[Column3]])</f>
        <v>Bank Central Asia Tbk</v>
      </c>
      <c r="F409" t="str">
        <f t="shared" si="6"/>
        <v>INSERT INTO stock_alias (stock, alias) VALUES ((SELECT id FROM stock WHERE ticker = 'BBCA'), 'Bank Central Asia Tbk') ON CONFLICT DO NOTHING;</v>
      </c>
    </row>
    <row r="410" spans="1:6" x14ac:dyDescent="0.2">
      <c r="A410" t="s">
        <v>159</v>
      </c>
      <c r="B410" t="s">
        <v>160</v>
      </c>
      <c r="C410" t="s">
        <v>5165</v>
      </c>
      <c r="D410" t="str">
        <f>TRIM(alias[[#This Row],[Column3]])</f>
        <v>PT Bank Central Asia</v>
      </c>
      <c r="F410" t="str">
        <f t="shared" si="6"/>
        <v>INSERT INTO stock_alias (stock, alias) VALUES ((SELECT id FROM stock WHERE ticker = 'BBCA'), 'PT Bank Central Asia') ON CONFLICT DO NOTHING;</v>
      </c>
    </row>
    <row r="411" spans="1:6" x14ac:dyDescent="0.2">
      <c r="A411" t="s">
        <v>162</v>
      </c>
      <c r="B411" t="s">
        <v>163</v>
      </c>
      <c r="C411" t="s">
        <v>162</v>
      </c>
      <c r="D411" t="str">
        <f>TRIM(alias[[#This Row],[Column3]])</f>
        <v>BBHI</v>
      </c>
      <c r="F411" t="str">
        <f t="shared" si="6"/>
        <v>INSERT INTO stock_alias (stock, alias) VALUES ((SELECT id FROM stock WHERE ticker = 'BBHI'), 'BBHI') ON CONFLICT DO NOTHING;</v>
      </c>
    </row>
    <row r="412" spans="1:6" x14ac:dyDescent="0.2">
      <c r="A412" t="s">
        <v>162</v>
      </c>
      <c r="B412" t="s">
        <v>163</v>
      </c>
      <c r="C412" t="s">
        <v>5166</v>
      </c>
      <c r="D412" t="str">
        <f>TRIM(alias[[#This Row],[Column3]])</f>
        <v>Allo Bank Indonesia</v>
      </c>
      <c r="F412" t="str">
        <f t="shared" si="6"/>
        <v>INSERT INTO stock_alias (stock, alias) VALUES ((SELECT id FROM stock WHERE ticker = 'BBHI'), 'Allo Bank Indonesia') ON CONFLICT DO NOTHING;</v>
      </c>
    </row>
    <row r="413" spans="1:6" x14ac:dyDescent="0.2">
      <c r="A413" t="s">
        <v>162</v>
      </c>
      <c r="B413" t="s">
        <v>163</v>
      </c>
      <c r="C413" t="s">
        <v>5167</v>
      </c>
      <c r="D413" t="str">
        <f>TRIM(alias[[#This Row],[Column3]])</f>
        <v>Allo Bank Indonesia Tbk</v>
      </c>
      <c r="F413" t="str">
        <f t="shared" si="6"/>
        <v>INSERT INTO stock_alias (stock, alias) VALUES ((SELECT id FROM stock WHERE ticker = 'BBHI'), 'Allo Bank Indonesia Tbk') ON CONFLICT DO NOTHING;</v>
      </c>
    </row>
    <row r="414" spans="1:6" x14ac:dyDescent="0.2">
      <c r="A414" t="s">
        <v>162</v>
      </c>
      <c r="B414" t="s">
        <v>163</v>
      </c>
      <c r="C414" t="s">
        <v>5168</v>
      </c>
      <c r="D414" t="str">
        <f>TRIM(alias[[#This Row],[Column3]])</f>
        <v>PT Allo Bank Indonesia</v>
      </c>
      <c r="F414" t="str">
        <f t="shared" si="6"/>
        <v>INSERT INTO stock_alias (stock, alias) VALUES ((SELECT id FROM stock WHERE ticker = 'BBHI'), 'PT Allo Bank Indonesia') ON CONFLICT DO NOTHING;</v>
      </c>
    </row>
    <row r="415" spans="1:6" x14ac:dyDescent="0.2">
      <c r="A415" t="s">
        <v>165</v>
      </c>
      <c r="B415" t="s">
        <v>166</v>
      </c>
      <c r="C415" t="s">
        <v>165</v>
      </c>
      <c r="D415" t="str">
        <f>TRIM(alias[[#This Row],[Column3]])</f>
        <v>BBKP</v>
      </c>
      <c r="F415" t="str">
        <f t="shared" si="6"/>
        <v>INSERT INTO stock_alias (stock, alias) VALUES ((SELECT id FROM stock WHERE ticker = 'BBKP'), 'BBKP') ON CONFLICT DO NOTHING;</v>
      </c>
    </row>
    <row r="416" spans="1:6" x14ac:dyDescent="0.2">
      <c r="A416" t="s">
        <v>165</v>
      </c>
      <c r="B416" t="s">
        <v>166</v>
      </c>
      <c r="C416" t="s">
        <v>5169</v>
      </c>
      <c r="D416" t="str">
        <f>TRIM(alias[[#This Row],[Column3]])</f>
        <v>Bank KB Indonesia</v>
      </c>
      <c r="F416" t="str">
        <f t="shared" si="6"/>
        <v>INSERT INTO stock_alias (stock, alias) VALUES ((SELECT id FROM stock WHERE ticker = 'BBKP'), 'Bank KB Indonesia') ON CONFLICT DO NOTHING;</v>
      </c>
    </row>
    <row r="417" spans="1:6" x14ac:dyDescent="0.2">
      <c r="A417" t="s">
        <v>165</v>
      </c>
      <c r="B417" t="s">
        <v>166</v>
      </c>
      <c r="C417" t="s">
        <v>5170</v>
      </c>
      <c r="D417" t="str">
        <f>TRIM(alias[[#This Row],[Column3]])</f>
        <v>Bank KB Indonesia Tbk</v>
      </c>
      <c r="F417" t="str">
        <f t="shared" si="6"/>
        <v>INSERT INTO stock_alias (stock, alias) VALUES ((SELECT id FROM stock WHERE ticker = 'BBKP'), 'Bank KB Indonesia Tbk') ON CONFLICT DO NOTHING;</v>
      </c>
    </row>
    <row r="418" spans="1:6" x14ac:dyDescent="0.2">
      <c r="A418" t="s">
        <v>165</v>
      </c>
      <c r="B418" t="s">
        <v>166</v>
      </c>
      <c r="C418" t="s">
        <v>5171</v>
      </c>
      <c r="D418" t="str">
        <f>TRIM(alias[[#This Row],[Column3]])</f>
        <v>PT Bank KB Indonesia</v>
      </c>
      <c r="F418" t="str">
        <f t="shared" si="6"/>
        <v>INSERT INTO stock_alias (stock, alias) VALUES ((SELECT id FROM stock WHERE ticker = 'BBKP'), 'PT Bank KB Indonesia') ON CONFLICT DO NOTHING;</v>
      </c>
    </row>
    <row r="419" spans="1:6" x14ac:dyDescent="0.2">
      <c r="A419" t="s">
        <v>168</v>
      </c>
      <c r="B419" t="s">
        <v>169</v>
      </c>
      <c r="C419" t="s">
        <v>168</v>
      </c>
      <c r="D419" t="str">
        <f>TRIM(alias[[#This Row],[Column3]])</f>
        <v>BBLD</v>
      </c>
      <c r="F419" t="str">
        <f t="shared" si="6"/>
        <v>INSERT INTO stock_alias (stock, alias) VALUES ((SELECT id FROM stock WHERE ticker = 'BBLD'), 'BBLD') ON CONFLICT DO NOTHING;</v>
      </c>
    </row>
    <row r="420" spans="1:6" x14ac:dyDescent="0.2">
      <c r="A420" t="s">
        <v>168</v>
      </c>
      <c r="B420" t="s">
        <v>169</v>
      </c>
      <c r="C420" t="s">
        <v>5172</v>
      </c>
      <c r="D420" t="str">
        <f>TRIM(alias[[#This Row],[Column3]])</f>
        <v>Buana Finance</v>
      </c>
      <c r="F420" t="str">
        <f t="shared" si="6"/>
        <v>INSERT INTO stock_alias (stock, alias) VALUES ((SELECT id FROM stock WHERE ticker = 'BBLD'), 'Buana Finance') ON CONFLICT DO NOTHING;</v>
      </c>
    </row>
    <row r="421" spans="1:6" x14ac:dyDescent="0.2">
      <c r="A421" t="s">
        <v>168</v>
      </c>
      <c r="B421" t="s">
        <v>169</v>
      </c>
      <c r="C421" t="s">
        <v>5173</v>
      </c>
      <c r="D421" t="str">
        <f>TRIM(alias[[#This Row],[Column3]])</f>
        <v>Buana Finance Tbk</v>
      </c>
      <c r="F421" t="str">
        <f t="shared" si="6"/>
        <v>INSERT INTO stock_alias (stock, alias) VALUES ((SELECT id FROM stock WHERE ticker = 'BBLD'), 'Buana Finance Tbk') ON CONFLICT DO NOTHING;</v>
      </c>
    </row>
    <row r="422" spans="1:6" x14ac:dyDescent="0.2">
      <c r="A422" t="s">
        <v>168</v>
      </c>
      <c r="B422" t="s">
        <v>169</v>
      </c>
      <c r="C422" t="s">
        <v>5174</v>
      </c>
      <c r="D422" t="str">
        <f>TRIM(alias[[#This Row],[Column3]])</f>
        <v>PT Buana Finance</v>
      </c>
      <c r="F422" t="str">
        <f t="shared" si="6"/>
        <v>INSERT INTO stock_alias (stock, alias) VALUES ((SELECT id FROM stock WHERE ticker = 'BBLD'), 'PT Buana Finance') ON CONFLICT DO NOTHING;</v>
      </c>
    </row>
    <row r="423" spans="1:6" x14ac:dyDescent="0.2">
      <c r="A423" t="s">
        <v>171</v>
      </c>
      <c r="B423" t="s">
        <v>172</v>
      </c>
      <c r="C423" t="s">
        <v>171</v>
      </c>
      <c r="D423" t="str">
        <f>TRIM(alias[[#This Row],[Column3]])</f>
        <v>BBMD</v>
      </c>
      <c r="F423" t="str">
        <f t="shared" si="6"/>
        <v>INSERT INTO stock_alias (stock, alias) VALUES ((SELECT id FROM stock WHERE ticker = 'BBMD'), 'BBMD') ON CONFLICT DO NOTHING;</v>
      </c>
    </row>
    <row r="424" spans="1:6" x14ac:dyDescent="0.2">
      <c r="A424" t="s">
        <v>171</v>
      </c>
      <c r="B424" t="s">
        <v>172</v>
      </c>
      <c r="C424" t="s">
        <v>5175</v>
      </c>
      <c r="D424" t="str">
        <f>TRIM(alias[[#This Row],[Column3]])</f>
        <v>Bank Dharma</v>
      </c>
      <c r="F424" t="str">
        <f t="shared" si="6"/>
        <v>INSERT INTO stock_alias (stock, alias) VALUES ((SELECT id FROM stock WHERE ticker = 'BBMD'), 'Bank Dharma') ON CONFLICT DO NOTHING;</v>
      </c>
    </row>
    <row r="425" spans="1:6" x14ac:dyDescent="0.2">
      <c r="A425" t="s">
        <v>171</v>
      </c>
      <c r="B425" t="s">
        <v>172</v>
      </c>
      <c r="C425" t="s">
        <v>5176</v>
      </c>
      <c r="D425" t="str">
        <f>TRIM(alias[[#This Row],[Column3]])</f>
        <v>Bank Mestika Dharma</v>
      </c>
      <c r="F425" t="str">
        <f t="shared" si="6"/>
        <v>INSERT INTO stock_alias (stock, alias) VALUES ((SELECT id FROM stock WHERE ticker = 'BBMD'), 'Bank Mestika Dharma') ON CONFLICT DO NOTHING;</v>
      </c>
    </row>
    <row r="426" spans="1:6" x14ac:dyDescent="0.2">
      <c r="A426" t="s">
        <v>171</v>
      </c>
      <c r="B426" t="s">
        <v>172</v>
      </c>
      <c r="C426" t="s">
        <v>5177</v>
      </c>
      <c r="D426" t="str">
        <f>TRIM(alias[[#This Row],[Column3]])</f>
        <v>Bank Mestika Dharma Tbk</v>
      </c>
      <c r="F426" t="str">
        <f t="shared" si="6"/>
        <v>INSERT INTO stock_alias (stock, alias) VALUES ((SELECT id FROM stock WHERE ticker = 'BBMD'), 'Bank Mestika Dharma Tbk') ON CONFLICT DO NOTHING;</v>
      </c>
    </row>
    <row r="427" spans="1:6" x14ac:dyDescent="0.2">
      <c r="A427" t="s">
        <v>171</v>
      </c>
      <c r="B427" t="s">
        <v>172</v>
      </c>
      <c r="C427" t="s">
        <v>5178</v>
      </c>
      <c r="D427" t="str">
        <f>TRIM(alias[[#This Row],[Column3]])</f>
        <v>Dharma</v>
      </c>
      <c r="F427" t="str">
        <f t="shared" si="6"/>
        <v>INSERT INTO stock_alias (stock, alias) VALUES ((SELECT id FROM stock WHERE ticker = 'BBMD'), 'Dharma') ON CONFLICT DO NOTHING;</v>
      </c>
    </row>
    <row r="428" spans="1:6" x14ac:dyDescent="0.2">
      <c r="A428" t="s">
        <v>171</v>
      </c>
      <c r="B428" t="s">
        <v>172</v>
      </c>
      <c r="C428" t="s">
        <v>5179</v>
      </c>
      <c r="D428" t="str">
        <f>TRIM(alias[[#This Row],[Column3]])</f>
        <v>PT Bank Mestika Dharma</v>
      </c>
      <c r="F428" t="str">
        <f t="shared" si="6"/>
        <v>INSERT INTO stock_alias (stock, alias) VALUES ((SELECT id FROM stock WHERE ticker = 'BBMD'), 'PT Bank Mestika Dharma') ON CONFLICT DO NOTHING;</v>
      </c>
    </row>
    <row r="429" spans="1:6" x14ac:dyDescent="0.2">
      <c r="A429" t="s">
        <v>174</v>
      </c>
      <c r="B429" t="s">
        <v>3514</v>
      </c>
      <c r="C429" t="s">
        <v>174</v>
      </c>
      <c r="D429" t="str">
        <f>TRIM(alias[[#This Row],[Column3]])</f>
        <v>BBNI</v>
      </c>
      <c r="F429" t="str">
        <f t="shared" si="6"/>
        <v>INSERT INTO stock_alias (stock, alias) VALUES ((SELECT id FROM stock WHERE ticker = 'BBNI'), 'BBNI') ON CONFLICT DO NOTHING;</v>
      </c>
    </row>
    <row r="430" spans="1:6" x14ac:dyDescent="0.2">
      <c r="A430" t="s">
        <v>174</v>
      </c>
      <c r="B430" t="s">
        <v>3514</v>
      </c>
      <c r="C430" t="s">
        <v>5180</v>
      </c>
      <c r="D430" t="str">
        <f>TRIM(alias[[#This Row],[Column3]])</f>
        <v>BNI</v>
      </c>
      <c r="F430" t="str">
        <f t="shared" si="6"/>
        <v>INSERT INTO stock_alias (stock, alias) VALUES ((SELECT id FROM stock WHERE ticker = 'BBNI'), 'BNI') ON CONFLICT DO NOTHING;</v>
      </c>
    </row>
    <row r="431" spans="1:6" x14ac:dyDescent="0.2">
      <c r="A431" t="s">
        <v>174</v>
      </c>
      <c r="B431" t="s">
        <v>3514</v>
      </c>
      <c r="C431" t="s">
        <v>5181</v>
      </c>
      <c r="D431" t="str">
        <f>TRIM(alias[[#This Row],[Column3]])</f>
        <v>Bank Negara Indonesia (Persero)</v>
      </c>
      <c r="F431" t="str">
        <f t="shared" si="6"/>
        <v>INSERT INTO stock_alias (stock, alias) VALUES ((SELECT id FROM stock WHERE ticker = 'BBNI'), 'Bank Negara Indonesia (Persero)') ON CONFLICT DO NOTHING;</v>
      </c>
    </row>
    <row r="432" spans="1:6" x14ac:dyDescent="0.2">
      <c r="A432" t="s">
        <v>174</v>
      </c>
      <c r="B432" t="s">
        <v>3514</v>
      </c>
      <c r="C432" t="s">
        <v>5182</v>
      </c>
      <c r="D432" t="str">
        <f>TRIM(alias[[#This Row],[Column3]])</f>
        <v>Bank Negara Indonesia (Persero) Tbk</v>
      </c>
      <c r="F432" t="str">
        <f t="shared" si="6"/>
        <v>INSERT INTO stock_alias (stock, alias) VALUES ((SELECT id FROM stock WHERE ticker = 'BBNI'), 'Bank Negara Indonesia (Persero) Tbk') ON CONFLICT DO NOTHING;</v>
      </c>
    </row>
    <row r="433" spans="1:6" x14ac:dyDescent="0.2">
      <c r="A433" t="s">
        <v>174</v>
      </c>
      <c r="B433" t="s">
        <v>3514</v>
      </c>
      <c r="C433" t="s">
        <v>5183</v>
      </c>
      <c r="D433" t="str">
        <f>TRIM(alias[[#This Row],[Column3]])</f>
        <v>PT Bank Negara Indonesia (Persero)</v>
      </c>
      <c r="F433" t="str">
        <f t="shared" si="6"/>
        <v>INSERT INTO stock_alias (stock, alias) VALUES ((SELECT id FROM stock WHERE ticker = 'BBNI'), 'PT Bank Negara Indonesia (Persero)') ON CONFLICT DO NOTHING;</v>
      </c>
    </row>
    <row r="434" spans="1:6" x14ac:dyDescent="0.2">
      <c r="A434" t="s">
        <v>176</v>
      </c>
      <c r="B434" t="s">
        <v>3515</v>
      </c>
      <c r="C434" t="s">
        <v>176</v>
      </c>
      <c r="D434" t="str">
        <f>TRIM(alias[[#This Row],[Column3]])</f>
        <v>BBRI</v>
      </c>
      <c r="F434" t="str">
        <f t="shared" si="6"/>
        <v>INSERT INTO stock_alias (stock, alias) VALUES ((SELECT id FROM stock WHERE ticker = 'BBRI'), 'BBRI') ON CONFLICT DO NOTHING;</v>
      </c>
    </row>
    <row r="435" spans="1:6" x14ac:dyDescent="0.2">
      <c r="A435" t="s">
        <v>176</v>
      </c>
      <c r="B435" t="s">
        <v>3515</v>
      </c>
      <c r="C435" t="s">
        <v>5184</v>
      </c>
      <c r="D435" t="str">
        <f>TRIM(alias[[#This Row],[Column3]])</f>
        <v>BRI</v>
      </c>
      <c r="F435" t="str">
        <f t="shared" si="6"/>
        <v>INSERT INTO stock_alias (stock, alias) VALUES ((SELECT id FROM stock WHERE ticker = 'BBRI'), 'BRI') ON CONFLICT DO NOTHING;</v>
      </c>
    </row>
    <row r="436" spans="1:6" x14ac:dyDescent="0.2">
      <c r="A436" t="s">
        <v>176</v>
      </c>
      <c r="B436" t="s">
        <v>3515</v>
      </c>
      <c r="C436" t="s">
        <v>5185</v>
      </c>
      <c r="D436" t="str">
        <f>TRIM(alias[[#This Row],[Column3]])</f>
        <v>Bank Rakyat Indonesia (Persero)</v>
      </c>
      <c r="F436" t="str">
        <f t="shared" si="6"/>
        <v>INSERT INTO stock_alias (stock, alias) VALUES ((SELECT id FROM stock WHERE ticker = 'BBRI'), 'Bank Rakyat Indonesia (Persero)') ON CONFLICT DO NOTHING;</v>
      </c>
    </row>
    <row r="437" spans="1:6" x14ac:dyDescent="0.2">
      <c r="A437" t="s">
        <v>176</v>
      </c>
      <c r="B437" t="s">
        <v>3515</v>
      </c>
      <c r="C437" t="s">
        <v>5186</v>
      </c>
      <c r="D437" t="str">
        <f>TRIM(alias[[#This Row],[Column3]])</f>
        <v>Bank Rakyat Indonesia (Persero) Tbk</v>
      </c>
      <c r="F437" t="str">
        <f t="shared" si="6"/>
        <v>INSERT INTO stock_alias (stock, alias) VALUES ((SELECT id FROM stock WHERE ticker = 'BBRI'), 'Bank Rakyat Indonesia (Persero) Tbk') ON CONFLICT DO NOTHING;</v>
      </c>
    </row>
    <row r="438" spans="1:6" x14ac:dyDescent="0.2">
      <c r="A438" t="s">
        <v>176</v>
      </c>
      <c r="B438" t="s">
        <v>3515</v>
      </c>
      <c r="C438" t="s">
        <v>5187</v>
      </c>
      <c r="D438" t="str">
        <f>TRIM(alias[[#This Row],[Column3]])</f>
        <v>PT Bank Rakyat Indonesia (Persero)</v>
      </c>
      <c r="F438" t="str">
        <f t="shared" si="6"/>
        <v>INSERT INTO stock_alias (stock, alias) VALUES ((SELECT id FROM stock WHERE ticker = 'BBRI'), 'PT Bank Rakyat Indonesia (Persero)') ON CONFLICT DO NOTHING;</v>
      </c>
    </row>
    <row r="439" spans="1:6" x14ac:dyDescent="0.2">
      <c r="A439" t="s">
        <v>178</v>
      </c>
      <c r="B439" t="s">
        <v>3516</v>
      </c>
      <c r="C439" t="s">
        <v>178</v>
      </c>
      <c r="D439" t="str">
        <f>TRIM(alias[[#This Row],[Column3]])</f>
        <v>BBRM</v>
      </c>
      <c r="F439" t="str">
        <f t="shared" si="6"/>
        <v>INSERT INTO stock_alias (stock, alias) VALUES ((SELECT id FROM stock WHERE ticker = 'BBRM'), 'BBRM') ON CONFLICT DO NOTHING;</v>
      </c>
    </row>
    <row r="440" spans="1:6" x14ac:dyDescent="0.2">
      <c r="A440" t="s">
        <v>178</v>
      </c>
      <c r="B440" t="s">
        <v>3516</v>
      </c>
      <c r="C440" t="s">
        <v>5188</v>
      </c>
      <c r="D440" t="str">
        <f>TRIM(alias[[#This Row],[Column3]])</f>
        <v>PNBBR</v>
      </c>
      <c r="F440" t="str">
        <f t="shared" si="6"/>
        <v>INSERT INTO stock_alias (stock, alias) VALUES ((SELECT id FROM stock WHERE ticker = 'BBRM'), 'PNBBR') ON CONFLICT DO NOTHING;</v>
      </c>
    </row>
    <row r="441" spans="1:6" x14ac:dyDescent="0.2">
      <c r="A441" t="s">
        <v>178</v>
      </c>
      <c r="B441" t="s">
        <v>3516</v>
      </c>
      <c r="C441" t="s">
        <v>5189</v>
      </c>
      <c r="D441" t="str">
        <f>TRIM(alias[[#This Row],[Column3]])</f>
        <v>PT Pelayaran Nasional Bina Buana Raya</v>
      </c>
      <c r="F441" t="str">
        <f t="shared" si="6"/>
        <v>INSERT INTO stock_alias (stock, alias) VALUES ((SELECT id FROM stock WHERE ticker = 'BBRM'), 'PT Pelayaran Nasional Bina Buana Raya') ON CONFLICT DO NOTHING;</v>
      </c>
    </row>
    <row r="442" spans="1:6" x14ac:dyDescent="0.2">
      <c r="A442" t="s">
        <v>178</v>
      </c>
      <c r="B442" t="s">
        <v>3516</v>
      </c>
      <c r="C442" t="s">
        <v>5190</v>
      </c>
      <c r="D442" t="str">
        <f>TRIM(alias[[#This Row],[Column3]])</f>
        <v>Pelayaran Nasional Bina Buana Raya</v>
      </c>
      <c r="F442" t="str">
        <f t="shared" si="6"/>
        <v>INSERT INTO stock_alias (stock, alias) VALUES ((SELECT id FROM stock WHERE ticker = 'BBRM'), 'Pelayaran Nasional Bina Buana Raya') ON CONFLICT DO NOTHING;</v>
      </c>
    </row>
    <row r="443" spans="1:6" x14ac:dyDescent="0.2">
      <c r="A443" t="s">
        <v>178</v>
      </c>
      <c r="B443" t="s">
        <v>3516</v>
      </c>
      <c r="C443" t="s">
        <v>5191</v>
      </c>
      <c r="D443" t="str">
        <f>TRIM(alias[[#This Row],[Column3]])</f>
        <v>Pelayaran Nasional Bina Buana Raya Tbk</v>
      </c>
      <c r="F443" t="str">
        <f t="shared" si="6"/>
        <v>INSERT INTO stock_alias (stock, alias) VALUES ((SELECT id FROM stock WHERE ticker = 'BBRM'), 'Pelayaran Nasional Bina Buana Raya Tbk') ON CONFLICT DO NOTHING;</v>
      </c>
    </row>
    <row r="444" spans="1:6" x14ac:dyDescent="0.2">
      <c r="A444" t="s">
        <v>1878</v>
      </c>
      <c r="B444" t="s">
        <v>1879</v>
      </c>
      <c r="C444" t="s">
        <v>1878</v>
      </c>
      <c r="D444" t="str">
        <f>TRIM(alias[[#This Row],[Column3]])</f>
        <v>BBSI</v>
      </c>
      <c r="F444" t="str">
        <f t="shared" si="6"/>
        <v>INSERT INTO stock_alias (stock, alias) VALUES ((SELECT id FROM stock WHERE ticker = 'BBSI'), 'BBSI') ON CONFLICT DO NOTHING;</v>
      </c>
    </row>
    <row r="445" spans="1:6" x14ac:dyDescent="0.2">
      <c r="A445" t="s">
        <v>1878</v>
      </c>
      <c r="B445" t="s">
        <v>1879</v>
      </c>
      <c r="C445" t="s">
        <v>5192</v>
      </c>
      <c r="D445" t="str">
        <f>TRIM(alias[[#This Row],[Column3]])</f>
        <v>Krom Bank Indonesia</v>
      </c>
      <c r="F445" t="str">
        <f t="shared" si="6"/>
        <v>INSERT INTO stock_alias (stock, alias) VALUES ((SELECT id FROM stock WHERE ticker = 'BBSI'), 'Krom Bank Indonesia') ON CONFLICT DO NOTHING;</v>
      </c>
    </row>
    <row r="446" spans="1:6" x14ac:dyDescent="0.2">
      <c r="A446" t="s">
        <v>1878</v>
      </c>
      <c r="B446" t="s">
        <v>1879</v>
      </c>
      <c r="C446" t="s">
        <v>5193</v>
      </c>
      <c r="D446" t="str">
        <f>TRIM(alias[[#This Row],[Column3]])</f>
        <v>Krom Bank Indonesia Tbk</v>
      </c>
      <c r="F446" t="str">
        <f t="shared" si="6"/>
        <v>INSERT INTO stock_alias (stock, alias) VALUES ((SELECT id FROM stock WHERE ticker = 'BBSI'), 'Krom Bank Indonesia Tbk') ON CONFLICT DO NOTHING;</v>
      </c>
    </row>
    <row r="447" spans="1:6" x14ac:dyDescent="0.2">
      <c r="A447" t="s">
        <v>1878</v>
      </c>
      <c r="B447" t="s">
        <v>1879</v>
      </c>
      <c r="C447" t="s">
        <v>5194</v>
      </c>
      <c r="D447" t="str">
        <f>TRIM(alias[[#This Row],[Column3]])</f>
        <v>PT Krom Bank Indonesia</v>
      </c>
      <c r="F447" t="str">
        <f t="shared" si="6"/>
        <v>INSERT INTO stock_alias (stock, alias) VALUES ((SELECT id FROM stock WHERE ticker = 'BBSI'), 'PT Krom Bank Indonesia') ON CONFLICT DO NOTHING;</v>
      </c>
    </row>
    <row r="448" spans="1:6" x14ac:dyDescent="0.2">
      <c r="A448" t="s">
        <v>1841</v>
      </c>
      <c r="B448" t="s">
        <v>3517</v>
      </c>
      <c r="C448" t="s">
        <v>1841</v>
      </c>
      <c r="D448" t="str">
        <f>TRIM(alias[[#This Row],[Column3]])</f>
        <v>BBSS</v>
      </c>
      <c r="F448" t="str">
        <f t="shared" si="6"/>
        <v>INSERT INTO stock_alias (stock, alias) VALUES ((SELECT id FROM stock WHERE ticker = 'BBSS'), 'BBSS') ON CONFLICT DO NOTHING;</v>
      </c>
    </row>
    <row r="449" spans="1:6" x14ac:dyDescent="0.2">
      <c r="A449" t="s">
        <v>1841</v>
      </c>
      <c r="B449" t="s">
        <v>3517</v>
      </c>
      <c r="C449" t="s">
        <v>5195</v>
      </c>
      <c r="D449" t="str">
        <f>TRIM(alias[[#This Row],[Column3]])</f>
        <v>Bumi Benowo Sukses Sejahtera</v>
      </c>
      <c r="F449" t="str">
        <f t="shared" si="6"/>
        <v>INSERT INTO stock_alias (stock, alias) VALUES ((SELECT id FROM stock WHERE ticker = 'BBSS'), 'Bumi Benowo Sukses Sejahtera') ON CONFLICT DO NOTHING;</v>
      </c>
    </row>
    <row r="450" spans="1:6" x14ac:dyDescent="0.2">
      <c r="A450" t="s">
        <v>1841</v>
      </c>
      <c r="B450" t="s">
        <v>3517</v>
      </c>
      <c r="C450" t="s">
        <v>5196</v>
      </c>
      <c r="D450" t="str">
        <f>TRIM(alias[[#This Row],[Column3]])</f>
        <v>Bumi Benowo Sukses Sejahtera Tbk</v>
      </c>
      <c r="F450" t="str">
        <f t="shared" si="6"/>
        <v>INSERT INTO stock_alias (stock, alias) VALUES ((SELECT id FROM stock WHERE ticker = 'BBSS'), 'Bumi Benowo Sukses Sejahtera Tbk') ON CONFLICT DO NOTHING;</v>
      </c>
    </row>
    <row r="451" spans="1:6" x14ac:dyDescent="0.2">
      <c r="A451" t="s">
        <v>1841</v>
      </c>
      <c r="B451" t="s">
        <v>3517</v>
      </c>
      <c r="C451" t="s">
        <v>5197</v>
      </c>
      <c r="D451" t="str">
        <f>TRIM(alias[[#This Row],[Column3]])</f>
        <v>PT Bumi Benowo Sukses Sejahtera</v>
      </c>
      <c r="F451" t="str">
        <f t="shared" ref="F451:F514" si="7">_xlfn.CONCAT($F$1, _xlfn.CONCAT($G$1, A451, "'), '", D451, "') ON CONFLICT DO NOTHING;"))</f>
        <v>INSERT INTO stock_alias (stock, alias) VALUES ((SELECT id FROM stock WHERE ticker = 'BBSS'), 'PT Bumi Benowo Sukses Sejahtera') ON CONFLICT DO NOTHING;</v>
      </c>
    </row>
    <row r="452" spans="1:6" x14ac:dyDescent="0.2">
      <c r="A452" t="s">
        <v>180</v>
      </c>
      <c r="B452" t="s">
        <v>3518</v>
      </c>
      <c r="C452" t="s">
        <v>180</v>
      </c>
      <c r="D452" t="str">
        <f>TRIM(alias[[#This Row],[Column3]])</f>
        <v>BBTN</v>
      </c>
      <c r="F452" t="str">
        <f t="shared" si="7"/>
        <v>INSERT INTO stock_alias (stock, alias) VALUES ((SELECT id FROM stock WHERE ticker = 'BBTN'), 'BBTN') ON CONFLICT DO NOTHING;</v>
      </c>
    </row>
    <row r="453" spans="1:6" x14ac:dyDescent="0.2">
      <c r="A453" t="s">
        <v>180</v>
      </c>
      <c r="B453" t="s">
        <v>3518</v>
      </c>
      <c r="C453" t="s">
        <v>5198</v>
      </c>
      <c r="D453" t="str">
        <f>TRIM(alias[[#This Row],[Column3]])</f>
        <v>BTN</v>
      </c>
      <c r="F453" t="str">
        <f t="shared" si="7"/>
        <v>INSERT INTO stock_alias (stock, alias) VALUES ((SELECT id FROM stock WHERE ticker = 'BBTN'), 'BTN') ON CONFLICT DO NOTHING;</v>
      </c>
    </row>
    <row r="454" spans="1:6" x14ac:dyDescent="0.2">
      <c r="A454" t="s">
        <v>180</v>
      </c>
      <c r="B454" t="s">
        <v>3518</v>
      </c>
      <c r="C454" t="s">
        <v>5199</v>
      </c>
      <c r="D454" t="str">
        <f>TRIM(alias[[#This Row],[Column3]])</f>
        <v>Bank Tabungan Negara (Persero)</v>
      </c>
      <c r="F454" t="str">
        <f t="shared" si="7"/>
        <v>INSERT INTO stock_alias (stock, alias) VALUES ((SELECT id FROM stock WHERE ticker = 'BBTN'), 'Bank Tabungan Negara (Persero)') ON CONFLICT DO NOTHING;</v>
      </c>
    </row>
    <row r="455" spans="1:6" x14ac:dyDescent="0.2">
      <c r="A455" t="s">
        <v>180</v>
      </c>
      <c r="B455" t="s">
        <v>3518</v>
      </c>
      <c r="C455" t="s">
        <v>5200</v>
      </c>
      <c r="D455" t="str">
        <f>TRIM(alias[[#This Row],[Column3]])</f>
        <v>Bank Tabungan Negara (Persero) Tbk</v>
      </c>
      <c r="F455" t="str">
        <f t="shared" si="7"/>
        <v>INSERT INTO stock_alias (stock, alias) VALUES ((SELECT id FROM stock WHERE ticker = 'BBTN'), 'Bank Tabungan Negara (Persero) Tbk') ON CONFLICT DO NOTHING;</v>
      </c>
    </row>
    <row r="456" spans="1:6" x14ac:dyDescent="0.2">
      <c r="A456" t="s">
        <v>180</v>
      </c>
      <c r="B456" t="s">
        <v>3518</v>
      </c>
      <c r="C456" t="s">
        <v>5201</v>
      </c>
      <c r="D456" t="str">
        <f>TRIM(alias[[#This Row],[Column3]])</f>
        <v>PT Bank Tabungan Negara (Persero)</v>
      </c>
      <c r="F456" t="str">
        <f t="shared" si="7"/>
        <v>INSERT INTO stock_alias (stock, alias) VALUES ((SELECT id FROM stock WHERE ticker = 'BBTN'), 'PT Bank Tabungan Negara (Persero)') ON CONFLICT DO NOTHING;</v>
      </c>
    </row>
    <row r="457" spans="1:6" x14ac:dyDescent="0.2">
      <c r="A457" t="s">
        <v>182</v>
      </c>
      <c r="B457" t="s">
        <v>183</v>
      </c>
      <c r="C457" t="s">
        <v>182</v>
      </c>
      <c r="D457" t="str">
        <f>TRIM(alias[[#This Row],[Column3]])</f>
        <v>BBYB</v>
      </c>
      <c r="F457" t="str">
        <f t="shared" si="7"/>
        <v>INSERT INTO stock_alias (stock, alias) VALUES ((SELECT id FROM stock WHERE ticker = 'BBYB'), 'BBYB') ON CONFLICT DO NOTHING;</v>
      </c>
    </row>
    <row r="458" spans="1:6" x14ac:dyDescent="0.2">
      <c r="A458" t="s">
        <v>182</v>
      </c>
      <c r="B458" t="s">
        <v>183</v>
      </c>
      <c r="C458" t="s">
        <v>5202</v>
      </c>
      <c r="D458" t="str">
        <f>TRIM(alias[[#This Row],[Column3]])</f>
        <v>BNC</v>
      </c>
      <c r="F458" t="str">
        <f t="shared" si="7"/>
        <v>INSERT INTO stock_alias (stock, alias) VALUES ((SELECT id FROM stock WHERE ticker = 'BBYB'), 'BNC') ON CONFLICT DO NOTHING;</v>
      </c>
    </row>
    <row r="459" spans="1:6" x14ac:dyDescent="0.2">
      <c r="A459" t="s">
        <v>182</v>
      </c>
      <c r="B459" t="s">
        <v>183</v>
      </c>
      <c r="C459" t="s">
        <v>5203</v>
      </c>
      <c r="D459" t="str">
        <f>TRIM(alias[[#This Row],[Column3]])</f>
        <v>Bank Commerce</v>
      </c>
      <c r="F459" t="str">
        <f t="shared" si="7"/>
        <v>INSERT INTO stock_alias (stock, alias) VALUES ((SELECT id FROM stock WHERE ticker = 'BBYB'), 'Bank Commerce') ON CONFLICT DO NOTHING;</v>
      </c>
    </row>
    <row r="460" spans="1:6" x14ac:dyDescent="0.2">
      <c r="A460" t="s">
        <v>182</v>
      </c>
      <c r="B460" t="s">
        <v>183</v>
      </c>
      <c r="C460" t="s">
        <v>5204</v>
      </c>
      <c r="D460" t="str">
        <f>TRIM(alias[[#This Row],[Column3]])</f>
        <v>Bank Neo Commerce</v>
      </c>
      <c r="F460" t="str">
        <f t="shared" si="7"/>
        <v>INSERT INTO stock_alias (stock, alias) VALUES ((SELECT id FROM stock WHERE ticker = 'BBYB'), 'Bank Neo Commerce') ON CONFLICT DO NOTHING;</v>
      </c>
    </row>
    <row r="461" spans="1:6" x14ac:dyDescent="0.2">
      <c r="A461" t="s">
        <v>182</v>
      </c>
      <c r="B461" t="s">
        <v>183</v>
      </c>
      <c r="C461" t="s">
        <v>5205</v>
      </c>
      <c r="D461" t="str">
        <f>TRIM(alias[[#This Row],[Column3]])</f>
        <v>Bank Neo Commerce Tbk</v>
      </c>
      <c r="F461" t="str">
        <f t="shared" si="7"/>
        <v>INSERT INTO stock_alias (stock, alias) VALUES ((SELECT id FROM stock WHERE ticker = 'BBYB'), 'Bank Neo Commerce Tbk') ON CONFLICT DO NOTHING;</v>
      </c>
    </row>
    <row r="462" spans="1:6" x14ac:dyDescent="0.2">
      <c r="A462" t="s">
        <v>182</v>
      </c>
      <c r="B462" t="s">
        <v>183</v>
      </c>
      <c r="C462" t="s">
        <v>5206</v>
      </c>
      <c r="D462" t="str">
        <f>TRIM(alias[[#This Row],[Column3]])</f>
        <v>Commerce</v>
      </c>
      <c r="F462" t="str">
        <f t="shared" si="7"/>
        <v>INSERT INTO stock_alias (stock, alias) VALUES ((SELECT id FROM stock WHERE ticker = 'BBYB'), 'Commerce') ON CONFLICT DO NOTHING;</v>
      </c>
    </row>
    <row r="463" spans="1:6" x14ac:dyDescent="0.2">
      <c r="A463" t="s">
        <v>182</v>
      </c>
      <c r="B463" t="s">
        <v>183</v>
      </c>
      <c r="C463" t="s">
        <v>5207</v>
      </c>
      <c r="D463" t="str">
        <f>TRIM(alias[[#This Row],[Column3]])</f>
        <v>PT Bank Neo Commerce</v>
      </c>
      <c r="F463" t="str">
        <f t="shared" si="7"/>
        <v>INSERT INTO stock_alias (stock, alias) VALUES ((SELECT id FROM stock WHERE ticker = 'BBYB'), 'PT Bank Neo Commerce') ON CONFLICT DO NOTHING;</v>
      </c>
    </row>
    <row r="464" spans="1:6" x14ac:dyDescent="0.2">
      <c r="A464" t="s">
        <v>185</v>
      </c>
      <c r="B464" t="s">
        <v>186</v>
      </c>
      <c r="C464" t="s">
        <v>185</v>
      </c>
      <c r="D464" t="str">
        <f>TRIM(alias[[#This Row],[Column3]])</f>
        <v>BCAP</v>
      </c>
      <c r="F464" t="str">
        <f t="shared" si="7"/>
        <v>INSERT INTO stock_alias (stock, alias) VALUES ((SELECT id FROM stock WHERE ticker = 'BCAP'), 'BCAP') ON CONFLICT DO NOTHING;</v>
      </c>
    </row>
    <row r="465" spans="1:6" x14ac:dyDescent="0.2">
      <c r="A465" t="s">
        <v>185</v>
      </c>
      <c r="B465" t="s">
        <v>186</v>
      </c>
      <c r="C465" t="s">
        <v>5208</v>
      </c>
      <c r="D465" t="str">
        <f>TRIM(alias[[#This Row],[Column3]])</f>
        <v>MNC Kapital Indonesia</v>
      </c>
      <c r="F465" t="str">
        <f t="shared" si="7"/>
        <v>INSERT INTO stock_alias (stock, alias) VALUES ((SELECT id FROM stock WHERE ticker = 'BCAP'), 'MNC Kapital Indonesia') ON CONFLICT DO NOTHING;</v>
      </c>
    </row>
    <row r="466" spans="1:6" x14ac:dyDescent="0.2">
      <c r="A466" t="s">
        <v>185</v>
      </c>
      <c r="B466" t="s">
        <v>186</v>
      </c>
      <c r="C466" t="s">
        <v>5209</v>
      </c>
      <c r="D466" t="str">
        <f>TRIM(alias[[#This Row],[Column3]])</f>
        <v>MNC Kapital Indonesia Tbk</v>
      </c>
      <c r="F466" t="str">
        <f t="shared" si="7"/>
        <v>INSERT INTO stock_alias (stock, alias) VALUES ((SELECT id FROM stock WHERE ticker = 'BCAP'), 'MNC Kapital Indonesia Tbk') ON CONFLICT DO NOTHING;</v>
      </c>
    </row>
    <row r="467" spans="1:6" x14ac:dyDescent="0.2">
      <c r="A467" t="s">
        <v>185</v>
      </c>
      <c r="B467" t="s">
        <v>186</v>
      </c>
      <c r="C467" t="s">
        <v>5210</v>
      </c>
      <c r="D467" t="str">
        <f>TRIM(alias[[#This Row],[Column3]])</f>
        <v>PT MNC Kapital Indonesia</v>
      </c>
      <c r="F467" t="str">
        <f t="shared" si="7"/>
        <v>INSERT INTO stock_alias (stock, alias) VALUES ((SELECT id FROM stock WHERE ticker = 'BCAP'), 'PT MNC Kapital Indonesia') ON CONFLICT DO NOTHING;</v>
      </c>
    </row>
    <row r="468" spans="1:6" x14ac:dyDescent="0.2">
      <c r="A468" t="s">
        <v>188</v>
      </c>
      <c r="B468" t="s">
        <v>189</v>
      </c>
      <c r="C468" t="s">
        <v>188</v>
      </c>
      <c r="D468" t="str">
        <f>TRIM(alias[[#This Row],[Column3]])</f>
        <v>BCIC</v>
      </c>
      <c r="F468" t="str">
        <f t="shared" si="7"/>
        <v>INSERT INTO stock_alias (stock, alias) VALUES ((SELECT id FROM stock WHERE ticker = 'BCIC'), 'BCIC') ON CONFLICT DO NOTHING;</v>
      </c>
    </row>
    <row r="469" spans="1:6" x14ac:dyDescent="0.2">
      <c r="A469" t="s">
        <v>188</v>
      </c>
      <c r="B469" t="s">
        <v>189</v>
      </c>
      <c r="C469" t="s">
        <v>5211</v>
      </c>
      <c r="D469" t="str">
        <f>TRIM(alias[[#This Row],[Column3]])</f>
        <v>Bank JTrust Indonesia</v>
      </c>
      <c r="F469" t="str">
        <f t="shared" si="7"/>
        <v>INSERT INTO stock_alias (stock, alias) VALUES ((SELECT id FROM stock WHERE ticker = 'BCIC'), 'Bank JTrust Indonesia') ON CONFLICT DO NOTHING;</v>
      </c>
    </row>
    <row r="470" spans="1:6" x14ac:dyDescent="0.2">
      <c r="A470" t="s">
        <v>188</v>
      </c>
      <c r="B470" t="s">
        <v>189</v>
      </c>
      <c r="C470" t="s">
        <v>5212</v>
      </c>
      <c r="D470" t="str">
        <f>TRIM(alias[[#This Row],[Column3]])</f>
        <v>Bank JTrust Indonesia Tbk</v>
      </c>
      <c r="F470" t="str">
        <f t="shared" si="7"/>
        <v>INSERT INTO stock_alias (stock, alias) VALUES ((SELECT id FROM stock WHERE ticker = 'BCIC'), 'Bank JTrust Indonesia Tbk') ON CONFLICT DO NOTHING;</v>
      </c>
    </row>
    <row r="471" spans="1:6" x14ac:dyDescent="0.2">
      <c r="A471" t="s">
        <v>188</v>
      </c>
      <c r="B471" t="s">
        <v>189</v>
      </c>
      <c r="C471" t="s">
        <v>5213</v>
      </c>
      <c r="D471" t="str">
        <f>TRIM(alias[[#This Row],[Column3]])</f>
        <v>PT Bank JTrust Indonesia</v>
      </c>
      <c r="F471" t="str">
        <f t="shared" si="7"/>
        <v>INSERT INTO stock_alias (stock, alias) VALUES ((SELECT id FROM stock WHERE ticker = 'BCIC'), 'PT Bank JTrust Indonesia') ON CONFLICT DO NOTHING;</v>
      </c>
    </row>
    <row r="472" spans="1:6" x14ac:dyDescent="0.2">
      <c r="A472" t="s">
        <v>191</v>
      </c>
      <c r="B472" t="s">
        <v>192</v>
      </c>
      <c r="C472" t="s">
        <v>191</v>
      </c>
      <c r="D472" t="str">
        <f>TRIM(alias[[#This Row],[Column3]])</f>
        <v>BCIP</v>
      </c>
      <c r="F472" t="str">
        <f t="shared" si="7"/>
        <v>INSERT INTO stock_alias (stock, alias) VALUES ((SELECT id FROM stock WHERE ticker = 'BCIP'), 'BCIP') ON CONFLICT DO NOTHING;</v>
      </c>
    </row>
    <row r="473" spans="1:6" x14ac:dyDescent="0.2">
      <c r="A473" t="s">
        <v>191</v>
      </c>
      <c r="B473" t="s">
        <v>192</v>
      </c>
      <c r="C473" t="s">
        <v>5214</v>
      </c>
      <c r="D473" t="str">
        <f>TRIM(alias[[#This Row],[Column3]])</f>
        <v>Bumi Citra Permai</v>
      </c>
      <c r="F473" t="str">
        <f t="shared" si="7"/>
        <v>INSERT INTO stock_alias (stock, alias) VALUES ((SELECT id FROM stock WHERE ticker = 'BCIP'), 'Bumi Citra Permai') ON CONFLICT DO NOTHING;</v>
      </c>
    </row>
    <row r="474" spans="1:6" x14ac:dyDescent="0.2">
      <c r="A474" t="s">
        <v>191</v>
      </c>
      <c r="B474" t="s">
        <v>192</v>
      </c>
      <c r="C474" t="s">
        <v>5215</v>
      </c>
      <c r="D474" t="str">
        <f>TRIM(alias[[#This Row],[Column3]])</f>
        <v>Bumi Citra Permai Tbk</v>
      </c>
      <c r="F474" t="str">
        <f t="shared" si="7"/>
        <v>INSERT INTO stock_alias (stock, alias) VALUES ((SELECT id FROM stock WHERE ticker = 'BCIP'), 'Bumi Citra Permai Tbk') ON CONFLICT DO NOTHING;</v>
      </c>
    </row>
    <row r="475" spans="1:6" x14ac:dyDescent="0.2">
      <c r="A475" t="s">
        <v>191</v>
      </c>
      <c r="B475" t="s">
        <v>192</v>
      </c>
      <c r="C475" t="s">
        <v>5216</v>
      </c>
      <c r="D475" t="str">
        <f>TRIM(alias[[#This Row],[Column3]])</f>
        <v>PT Bumi Citra Permai</v>
      </c>
      <c r="F475" t="str">
        <f t="shared" si="7"/>
        <v>INSERT INTO stock_alias (stock, alias) VALUES ((SELECT id FROM stock WHERE ticker = 'BCIP'), 'PT Bumi Citra Permai') ON CONFLICT DO NOTHING;</v>
      </c>
    </row>
    <row r="476" spans="1:6" x14ac:dyDescent="0.2">
      <c r="A476" t="s">
        <v>2275</v>
      </c>
      <c r="B476" t="s">
        <v>2276</v>
      </c>
      <c r="C476" t="s">
        <v>2275</v>
      </c>
      <c r="D476" t="str">
        <f>TRIM(alias[[#This Row],[Column3]])</f>
        <v>BDKR</v>
      </c>
      <c r="F476" t="str">
        <f t="shared" si="7"/>
        <v>INSERT INTO stock_alias (stock, alias) VALUES ((SELECT id FROM stock WHERE ticker = 'BDKR'), 'BDKR') ON CONFLICT DO NOTHING;</v>
      </c>
    </row>
    <row r="477" spans="1:6" x14ac:dyDescent="0.2">
      <c r="A477" t="s">
        <v>2275</v>
      </c>
      <c r="B477" t="s">
        <v>2276</v>
      </c>
      <c r="C477" t="s">
        <v>5217</v>
      </c>
      <c r="D477" t="str">
        <f>TRIM(alias[[#This Row],[Column3]])</f>
        <v>Berdikari Pondasi Perkasa</v>
      </c>
      <c r="F477" t="str">
        <f t="shared" si="7"/>
        <v>INSERT INTO stock_alias (stock, alias) VALUES ((SELECT id FROM stock WHERE ticker = 'BDKR'), 'Berdikari Pondasi Perkasa') ON CONFLICT DO NOTHING;</v>
      </c>
    </row>
    <row r="478" spans="1:6" x14ac:dyDescent="0.2">
      <c r="A478" t="s">
        <v>2275</v>
      </c>
      <c r="B478" t="s">
        <v>2276</v>
      </c>
      <c r="C478" t="s">
        <v>5218</v>
      </c>
      <c r="D478" t="str">
        <f>TRIM(alias[[#This Row],[Column3]])</f>
        <v>Berdikari Pondasi Perkasa Tbk</v>
      </c>
      <c r="F478" t="str">
        <f t="shared" si="7"/>
        <v>INSERT INTO stock_alias (stock, alias) VALUES ((SELECT id FROM stock WHERE ticker = 'BDKR'), 'Berdikari Pondasi Perkasa Tbk') ON CONFLICT DO NOTHING;</v>
      </c>
    </row>
    <row r="479" spans="1:6" x14ac:dyDescent="0.2">
      <c r="A479" t="s">
        <v>2275</v>
      </c>
      <c r="B479" t="s">
        <v>2276</v>
      </c>
      <c r="C479" t="s">
        <v>5219</v>
      </c>
      <c r="D479" t="str">
        <f>TRIM(alias[[#This Row],[Column3]])</f>
        <v>PT Berdikari Pondasi Perkasa</v>
      </c>
      <c r="F479" t="str">
        <f t="shared" si="7"/>
        <v>INSERT INTO stock_alias (stock, alias) VALUES ((SELECT id FROM stock WHERE ticker = 'BDKR'), 'PT Berdikari Pondasi Perkasa') ON CONFLICT DO NOTHING;</v>
      </c>
    </row>
    <row r="480" spans="1:6" x14ac:dyDescent="0.2">
      <c r="A480" t="s">
        <v>194</v>
      </c>
      <c r="B480" t="s">
        <v>195</v>
      </c>
      <c r="C480" t="s">
        <v>194</v>
      </c>
      <c r="D480" t="str">
        <f>TRIM(alias[[#This Row],[Column3]])</f>
        <v>BDMN</v>
      </c>
      <c r="F480" t="str">
        <f t="shared" si="7"/>
        <v>INSERT INTO stock_alias (stock, alias) VALUES ((SELECT id FROM stock WHERE ticker = 'BDMN'), 'BDMN') ON CONFLICT DO NOTHING;</v>
      </c>
    </row>
    <row r="481" spans="1:6" x14ac:dyDescent="0.2">
      <c r="A481" t="s">
        <v>194</v>
      </c>
      <c r="B481" t="s">
        <v>195</v>
      </c>
      <c r="C481" t="s">
        <v>5220</v>
      </c>
      <c r="D481" t="str">
        <f>TRIM(alias[[#This Row],[Column3]])</f>
        <v>Bank Danamon Indonesia</v>
      </c>
      <c r="F481" t="str">
        <f t="shared" si="7"/>
        <v>INSERT INTO stock_alias (stock, alias) VALUES ((SELECT id FROM stock WHERE ticker = 'BDMN'), 'Bank Danamon Indonesia') ON CONFLICT DO NOTHING;</v>
      </c>
    </row>
    <row r="482" spans="1:6" x14ac:dyDescent="0.2">
      <c r="A482" t="s">
        <v>194</v>
      </c>
      <c r="B482" t="s">
        <v>195</v>
      </c>
      <c r="C482" t="s">
        <v>5221</v>
      </c>
      <c r="D482" t="str">
        <f>TRIM(alias[[#This Row],[Column3]])</f>
        <v>Bank Danamon Indonesia Tbk</v>
      </c>
      <c r="F482" t="str">
        <f t="shared" si="7"/>
        <v>INSERT INTO stock_alias (stock, alias) VALUES ((SELECT id FROM stock WHERE ticker = 'BDMN'), 'Bank Danamon Indonesia Tbk') ON CONFLICT DO NOTHING;</v>
      </c>
    </row>
    <row r="483" spans="1:6" x14ac:dyDescent="0.2">
      <c r="A483" t="s">
        <v>194</v>
      </c>
      <c r="B483" t="s">
        <v>195</v>
      </c>
      <c r="C483" t="s">
        <v>5222</v>
      </c>
      <c r="D483" t="str">
        <f>TRIM(alias[[#This Row],[Column3]])</f>
        <v>PT Bank Danamon Indonesia</v>
      </c>
      <c r="F483" t="str">
        <f t="shared" si="7"/>
        <v>INSERT INTO stock_alias (stock, alias) VALUES ((SELECT id FROM stock WHERE ticker = 'BDMN'), 'PT Bank Danamon Indonesia') ON CONFLICT DO NOTHING;</v>
      </c>
    </row>
    <row r="484" spans="1:6" x14ac:dyDescent="0.2">
      <c r="A484" t="s">
        <v>1921</v>
      </c>
      <c r="B484" t="s">
        <v>1922</v>
      </c>
      <c r="C484" t="s">
        <v>1921</v>
      </c>
      <c r="D484" t="str">
        <f>TRIM(alias[[#This Row],[Column3]])</f>
        <v>BEBS</v>
      </c>
      <c r="F484" t="str">
        <f t="shared" si="7"/>
        <v>INSERT INTO stock_alias (stock, alias) VALUES ((SELECT id FROM stock WHERE ticker = 'BEBS'), 'BEBS') ON CONFLICT DO NOTHING;</v>
      </c>
    </row>
    <row r="485" spans="1:6" x14ac:dyDescent="0.2">
      <c r="A485" t="s">
        <v>1921</v>
      </c>
      <c r="B485" t="s">
        <v>1922</v>
      </c>
      <c r="C485" t="s">
        <v>5223</v>
      </c>
      <c r="D485" t="str">
        <f>TRIM(alias[[#This Row],[Column3]])</f>
        <v>Berkah Beton Sadaya</v>
      </c>
      <c r="F485" t="str">
        <f t="shared" si="7"/>
        <v>INSERT INTO stock_alias (stock, alias) VALUES ((SELECT id FROM stock WHERE ticker = 'BEBS'), 'Berkah Beton Sadaya') ON CONFLICT DO NOTHING;</v>
      </c>
    </row>
    <row r="486" spans="1:6" x14ac:dyDescent="0.2">
      <c r="A486" t="s">
        <v>1921</v>
      </c>
      <c r="B486" t="s">
        <v>1922</v>
      </c>
      <c r="C486" t="s">
        <v>5224</v>
      </c>
      <c r="D486" t="str">
        <f>TRIM(alias[[#This Row],[Column3]])</f>
        <v>Berkah Beton Sadaya Tbk</v>
      </c>
      <c r="F486" t="str">
        <f t="shared" si="7"/>
        <v>INSERT INTO stock_alias (stock, alias) VALUES ((SELECT id FROM stock WHERE ticker = 'BEBS'), 'Berkah Beton Sadaya Tbk') ON CONFLICT DO NOTHING;</v>
      </c>
    </row>
    <row r="487" spans="1:6" x14ac:dyDescent="0.2">
      <c r="A487" t="s">
        <v>1921</v>
      </c>
      <c r="B487" t="s">
        <v>1922</v>
      </c>
      <c r="C487" t="s">
        <v>5225</v>
      </c>
      <c r="D487" t="str">
        <f>TRIM(alias[[#This Row],[Column3]])</f>
        <v>PT Berkah Beton Sadaya</v>
      </c>
      <c r="F487" t="str">
        <f t="shared" si="7"/>
        <v>INSERT INTO stock_alias (stock, alias) VALUES ((SELECT id FROM stock WHERE ticker = 'BEBS'), 'PT Berkah Beton Sadaya') ON CONFLICT DO NOTHING;</v>
      </c>
    </row>
    <row r="488" spans="1:6" x14ac:dyDescent="0.2">
      <c r="A488" t="s">
        <v>1643</v>
      </c>
      <c r="B488" t="s">
        <v>1644</v>
      </c>
      <c r="C488" t="s">
        <v>1643</v>
      </c>
      <c r="D488" t="str">
        <f>TRIM(alias[[#This Row],[Column3]])</f>
        <v>BEEF</v>
      </c>
      <c r="F488" t="str">
        <f t="shared" si="7"/>
        <v>INSERT INTO stock_alias (stock, alias) VALUES ((SELECT id FROM stock WHERE ticker = 'BEEF'), 'BEEF') ON CONFLICT DO NOTHING;</v>
      </c>
    </row>
    <row r="489" spans="1:6" x14ac:dyDescent="0.2">
      <c r="A489" t="s">
        <v>1643</v>
      </c>
      <c r="B489" t="s">
        <v>1644</v>
      </c>
      <c r="C489" t="s">
        <v>5226</v>
      </c>
      <c r="D489" t="str">
        <f>TRIM(alias[[#This Row],[Column3]])</f>
        <v>Estika Tata Tiara</v>
      </c>
      <c r="F489" t="str">
        <f t="shared" si="7"/>
        <v>INSERT INTO stock_alias (stock, alias) VALUES ((SELECT id FROM stock WHERE ticker = 'BEEF'), 'Estika Tata Tiara') ON CONFLICT DO NOTHING;</v>
      </c>
    </row>
    <row r="490" spans="1:6" x14ac:dyDescent="0.2">
      <c r="A490" t="s">
        <v>1643</v>
      </c>
      <c r="B490" t="s">
        <v>1644</v>
      </c>
      <c r="C490" t="s">
        <v>5227</v>
      </c>
      <c r="D490" t="str">
        <f>TRIM(alias[[#This Row],[Column3]])</f>
        <v>Estika Tata Tiara Tbk</v>
      </c>
      <c r="F490" t="str">
        <f t="shared" si="7"/>
        <v>INSERT INTO stock_alias (stock, alias) VALUES ((SELECT id FROM stock WHERE ticker = 'BEEF'), 'Estika Tata Tiara Tbk') ON CONFLICT DO NOTHING;</v>
      </c>
    </row>
    <row r="491" spans="1:6" x14ac:dyDescent="0.2">
      <c r="A491" t="s">
        <v>1643</v>
      </c>
      <c r="B491" t="s">
        <v>1644</v>
      </c>
      <c r="C491" t="s">
        <v>5228</v>
      </c>
      <c r="D491" t="str">
        <f>TRIM(alias[[#This Row],[Column3]])</f>
        <v>PT Estika Tata Tiara</v>
      </c>
      <c r="F491" t="str">
        <f t="shared" si="7"/>
        <v>INSERT INTO stock_alias (stock, alias) VALUES ((SELECT id FROM stock WHERE ticker = 'BEEF'), 'PT Estika Tata Tiara') ON CONFLICT DO NOTHING;</v>
      </c>
    </row>
    <row r="492" spans="1:6" x14ac:dyDescent="0.2">
      <c r="A492" t="s">
        <v>2222</v>
      </c>
      <c r="B492" t="s">
        <v>2223</v>
      </c>
      <c r="C492" t="s">
        <v>2222</v>
      </c>
      <c r="D492" t="str">
        <f>TRIM(alias[[#This Row],[Column3]])</f>
        <v>BEER</v>
      </c>
      <c r="F492" t="str">
        <f t="shared" si="7"/>
        <v>INSERT INTO stock_alias (stock, alias) VALUES ((SELECT id FROM stock WHERE ticker = 'BEER'), 'BEER') ON CONFLICT DO NOTHING;</v>
      </c>
    </row>
    <row r="493" spans="1:6" x14ac:dyDescent="0.2">
      <c r="A493" t="s">
        <v>2222</v>
      </c>
      <c r="B493" t="s">
        <v>2223</v>
      </c>
      <c r="C493" t="s">
        <v>5229</v>
      </c>
      <c r="D493" t="str">
        <f>TRIM(alias[[#This Row],[Column3]])</f>
        <v>Jobubu Jarum Minahasa</v>
      </c>
      <c r="F493" t="str">
        <f t="shared" si="7"/>
        <v>INSERT INTO stock_alias (stock, alias) VALUES ((SELECT id FROM stock WHERE ticker = 'BEER'), 'Jobubu Jarum Minahasa') ON CONFLICT DO NOTHING;</v>
      </c>
    </row>
    <row r="494" spans="1:6" x14ac:dyDescent="0.2">
      <c r="A494" t="s">
        <v>2222</v>
      </c>
      <c r="B494" t="s">
        <v>2223</v>
      </c>
      <c r="C494" t="s">
        <v>5230</v>
      </c>
      <c r="D494" t="str">
        <f>TRIM(alias[[#This Row],[Column3]])</f>
        <v>Jobubu Jarum Minahasa Tbk</v>
      </c>
      <c r="F494" t="str">
        <f t="shared" si="7"/>
        <v>INSERT INTO stock_alias (stock, alias) VALUES ((SELECT id FROM stock WHERE ticker = 'BEER'), 'Jobubu Jarum Minahasa Tbk') ON CONFLICT DO NOTHING;</v>
      </c>
    </row>
    <row r="495" spans="1:6" x14ac:dyDescent="0.2">
      <c r="A495" t="s">
        <v>2222</v>
      </c>
      <c r="B495" t="s">
        <v>2223</v>
      </c>
      <c r="C495" t="s">
        <v>5231</v>
      </c>
      <c r="D495" t="str">
        <f>TRIM(alias[[#This Row],[Column3]])</f>
        <v>PT Jobubu Jarum Minahasa</v>
      </c>
      <c r="F495" t="str">
        <f t="shared" si="7"/>
        <v>INSERT INTO stock_alias (stock, alias) VALUES ((SELECT id FROM stock WHERE ticker = 'BEER'), 'PT Jobubu Jarum Minahasa') ON CONFLICT DO NOTHING;</v>
      </c>
    </row>
    <row r="496" spans="1:6" x14ac:dyDescent="0.2">
      <c r="A496" t="s">
        <v>197</v>
      </c>
      <c r="B496" t="s">
        <v>3519</v>
      </c>
      <c r="C496" t="s">
        <v>197</v>
      </c>
      <c r="D496" t="str">
        <f>TRIM(alias[[#This Row],[Column3]])</f>
        <v>BEKS</v>
      </c>
      <c r="F496" t="str">
        <f t="shared" si="7"/>
        <v>INSERT INTO stock_alias (stock, alias) VALUES ((SELECT id FROM stock WHERE ticker = 'BEKS'), 'BEKS') ON CONFLICT DO NOTHING;</v>
      </c>
    </row>
    <row r="497" spans="1:6" x14ac:dyDescent="0.2">
      <c r="A497" t="s">
        <v>197</v>
      </c>
      <c r="B497" t="s">
        <v>3519</v>
      </c>
      <c r="C497" t="s">
        <v>5232</v>
      </c>
      <c r="D497" t="str">
        <f>TRIM(alias[[#This Row],[Column3]])</f>
        <v>Bank Banten</v>
      </c>
      <c r="F497" t="str">
        <f t="shared" si="7"/>
        <v>INSERT INTO stock_alias (stock, alias) VALUES ((SELECT id FROM stock WHERE ticker = 'BEKS'), 'Bank Banten') ON CONFLICT DO NOTHING;</v>
      </c>
    </row>
    <row r="498" spans="1:6" x14ac:dyDescent="0.2">
      <c r="A498" t="s">
        <v>197</v>
      </c>
      <c r="B498" t="s">
        <v>3519</v>
      </c>
      <c r="C498" t="s">
        <v>5233</v>
      </c>
      <c r="D498" t="str">
        <f>TRIM(alias[[#This Row],[Column3]])</f>
        <v>Bank Pembangunan Daerah Banten</v>
      </c>
      <c r="F498" t="str">
        <f t="shared" si="7"/>
        <v>INSERT INTO stock_alias (stock, alias) VALUES ((SELECT id FROM stock WHERE ticker = 'BEKS'), 'Bank Pembangunan Daerah Banten') ON CONFLICT DO NOTHING;</v>
      </c>
    </row>
    <row r="499" spans="1:6" x14ac:dyDescent="0.2">
      <c r="A499" t="s">
        <v>197</v>
      </c>
      <c r="B499" t="s">
        <v>3519</v>
      </c>
      <c r="C499" t="s">
        <v>5234</v>
      </c>
      <c r="D499" t="str">
        <f>TRIM(alias[[#This Row],[Column3]])</f>
        <v>Bank Pembangunan Daerah Banten Tbk</v>
      </c>
      <c r="F499" t="str">
        <f t="shared" si="7"/>
        <v>INSERT INTO stock_alias (stock, alias) VALUES ((SELECT id FROM stock WHERE ticker = 'BEKS'), 'Bank Pembangunan Daerah Banten Tbk') ON CONFLICT DO NOTHING;</v>
      </c>
    </row>
    <row r="500" spans="1:6" x14ac:dyDescent="0.2">
      <c r="A500" t="s">
        <v>197</v>
      </c>
      <c r="B500" t="s">
        <v>3519</v>
      </c>
      <c r="C500" t="s">
        <v>5235</v>
      </c>
      <c r="D500" t="str">
        <f>TRIM(alias[[#This Row],[Column3]])</f>
        <v>Banten</v>
      </c>
      <c r="F500" t="str">
        <f t="shared" si="7"/>
        <v>INSERT INTO stock_alias (stock, alias) VALUES ((SELECT id FROM stock WHERE ticker = 'BEKS'), 'Banten') ON CONFLICT DO NOTHING;</v>
      </c>
    </row>
    <row r="501" spans="1:6" x14ac:dyDescent="0.2">
      <c r="A501" t="s">
        <v>197</v>
      </c>
      <c r="B501" t="s">
        <v>3519</v>
      </c>
      <c r="C501" t="s">
        <v>5236</v>
      </c>
      <c r="D501" t="str">
        <f>TRIM(alias[[#This Row],[Column3]])</f>
        <v>PT Bank Pembangunan Daerah Banten</v>
      </c>
      <c r="F501" t="str">
        <f t="shared" si="7"/>
        <v>INSERT INTO stock_alias (stock, alias) VALUES ((SELECT id FROM stock WHERE ticker = 'BEKS'), 'PT Bank Pembangunan Daerah Banten') ON CONFLICT DO NOTHING;</v>
      </c>
    </row>
    <row r="502" spans="1:6" x14ac:dyDescent="0.2">
      <c r="A502" t="s">
        <v>2181</v>
      </c>
      <c r="B502" t="s">
        <v>2182</v>
      </c>
      <c r="C502" t="s">
        <v>2181</v>
      </c>
      <c r="D502" t="str">
        <f>TRIM(alias[[#This Row],[Column3]])</f>
        <v>BELI</v>
      </c>
      <c r="F502" t="str">
        <f t="shared" si="7"/>
        <v>INSERT INTO stock_alias (stock, alias) VALUES ((SELECT id FROM stock WHERE ticker = 'BELI'), 'BELI') ON CONFLICT DO NOTHING;</v>
      </c>
    </row>
    <row r="503" spans="1:6" x14ac:dyDescent="0.2">
      <c r="A503" t="s">
        <v>2181</v>
      </c>
      <c r="B503" t="s">
        <v>2182</v>
      </c>
      <c r="C503" t="s">
        <v>5237</v>
      </c>
      <c r="D503" t="str">
        <f>TRIM(alias[[#This Row],[Column3]])</f>
        <v>GDN</v>
      </c>
      <c r="F503" t="str">
        <f t="shared" si="7"/>
        <v>INSERT INTO stock_alias (stock, alias) VALUES ((SELECT id FROM stock WHERE ticker = 'BELI'), 'GDN') ON CONFLICT DO NOTHING;</v>
      </c>
    </row>
    <row r="504" spans="1:6" x14ac:dyDescent="0.2">
      <c r="A504" t="s">
        <v>2181</v>
      </c>
      <c r="B504" t="s">
        <v>2182</v>
      </c>
      <c r="C504" t="s">
        <v>5238</v>
      </c>
      <c r="D504" t="str">
        <f>TRIM(alias[[#This Row],[Column3]])</f>
        <v>Global Digital Niaga</v>
      </c>
      <c r="F504" t="str">
        <f t="shared" si="7"/>
        <v>INSERT INTO stock_alias (stock, alias) VALUES ((SELECT id FROM stock WHERE ticker = 'BELI'), 'Global Digital Niaga') ON CONFLICT DO NOTHING;</v>
      </c>
    </row>
    <row r="505" spans="1:6" x14ac:dyDescent="0.2">
      <c r="A505" t="s">
        <v>2181</v>
      </c>
      <c r="B505" t="s">
        <v>2182</v>
      </c>
      <c r="C505" t="s">
        <v>5239</v>
      </c>
      <c r="D505" t="str">
        <f>TRIM(alias[[#This Row],[Column3]])</f>
        <v>Global Digital Niaga Tbk</v>
      </c>
      <c r="F505" t="str">
        <f t="shared" si="7"/>
        <v>INSERT INTO stock_alias (stock, alias) VALUES ((SELECT id FROM stock WHERE ticker = 'BELI'), 'Global Digital Niaga Tbk') ON CONFLICT DO NOTHING;</v>
      </c>
    </row>
    <row r="506" spans="1:6" x14ac:dyDescent="0.2">
      <c r="A506" t="s">
        <v>2181</v>
      </c>
      <c r="B506" t="s">
        <v>2182</v>
      </c>
      <c r="C506" t="s">
        <v>5240</v>
      </c>
      <c r="D506" t="str">
        <f>TRIM(alias[[#This Row],[Column3]])</f>
        <v>PT Global Digital Niaga</v>
      </c>
      <c r="F506" t="str">
        <f t="shared" si="7"/>
        <v>INSERT INTO stock_alias (stock, alias) VALUES ((SELECT id FROM stock WHERE ticker = 'BELI'), 'PT Global Digital Niaga') ON CONFLICT DO NOTHING;</v>
      </c>
    </row>
    <row r="507" spans="1:6" x14ac:dyDescent="0.2">
      <c r="A507" t="s">
        <v>1449</v>
      </c>
      <c r="B507" t="s">
        <v>3520</v>
      </c>
      <c r="C507" t="s">
        <v>1449</v>
      </c>
      <c r="D507" t="str">
        <f>TRIM(alias[[#This Row],[Column3]])</f>
        <v>BELL</v>
      </c>
      <c r="F507" t="str">
        <f t="shared" si="7"/>
        <v>INSERT INTO stock_alias (stock, alias) VALUES ((SELECT id FROM stock WHERE ticker = 'BELL'), 'BELL') ON CONFLICT DO NOTHING;</v>
      </c>
    </row>
    <row r="508" spans="1:6" x14ac:dyDescent="0.2">
      <c r="A508" t="s">
        <v>1449</v>
      </c>
      <c r="B508" t="s">
        <v>3520</v>
      </c>
      <c r="C508" t="s">
        <v>5241</v>
      </c>
      <c r="D508" t="str">
        <f>TRIM(alias[[#This Row],[Column3]])</f>
        <v>PT Trisula Textile Industries</v>
      </c>
      <c r="F508" t="str">
        <f t="shared" si="7"/>
        <v>INSERT INTO stock_alias (stock, alias) VALUES ((SELECT id FROM stock WHERE ticker = 'BELL'), 'PT Trisula Textile Industries') ON CONFLICT DO NOTHING;</v>
      </c>
    </row>
    <row r="509" spans="1:6" x14ac:dyDescent="0.2">
      <c r="A509" t="s">
        <v>1449</v>
      </c>
      <c r="B509" t="s">
        <v>3520</v>
      </c>
      <c r="C509" t="s">
        <v>5242</v>
      </c>
      <c r="D509" t="str">
        <f>TRIM(alias[[#This Row],[Column3]])</f>
        <v>Trisula Textile Industries</v>
      </c>
      <c r="F509" t="str">
        <f t="shared" si="7"/>
        <v>INSERT INTO stock_alias (stock, alias) VALUES ((SELECT id FROM stock WHERE ticker = 'BELL'), 'Trisula Textile Industries') ON CONFLICT DO NOTHING;</v>
      </c>
    </row>
    <row r="510" spans="1:6" x14ac:dyDescent="0.2">
      <c r="A510" t="s">
        <v>1449</v>
      </c>
      <c r="B510" t="s">
        <v>3520</v>
      </c>
      <c r="C510" t="s">
        <v>5243</v>
      </c>
      <c r="D510" t="str">
        <f>TRIM(alias[[#This Row],[Column3]])</f>
        <v>Trisula Textile Industries Tbk</v>
      </c>
      <c r="F510" t="str">
        <f t="shared" si="7"/>
        <v>INSERT INTO stock_alias (stock, alias) VALUES ((SELECT id FROM stock WHERE ticker = 'BELL'), 'Trisula Textile Industries Tbk') ON CONFLICT DO NOTHING;</v>
      </c>
    </row>
    <row r="511" spans="1:6" x14ac:dyDescent="0.2">
      <c r="A511" t="s">
        <v>2596</v>
      </c>
      <c r="B511" t="s">
        <v>3521</v>
      </c>
      <c r="C511" t="s">
        <v>2596</v>
      </c>
      <c r="D511" t="str">
        <f>TRIM(alias[[#This Row],[Column3]])</f>
        <v>BESS</v>
      </c>
      <c r="F511" t="str">
        <f t="shared" si="7"/>
        <v>INSERT INTO stock_alias (stock, alias) VALUES ((SELECT id FROM stock WHERE ticker = 'BESS'), 'BESS') ON CONFLICT DO NOTHING;</v>
      </c>
    </row>
    <row r="512" spans="1:6" x14ac:dyDescent="0.2">
      <c r="A512" t="s">
        <v>2596</v>
      </c>
      <c r="B512" t="s">
        <v>3521</v>
      </c>
      <c r="C512" t="s">
        <v>5244</v>
      </c>
      <c r="D512" t="str">
        <f>TRIM(alias[[#This Row],[Column3]])</f>
        <v>Batulicin Nusantara Maritim</v>
      </c>
      <c r="F512" t="str">
        <f t="shared" si="7"/>
        <v>INSERT INTO stock_alias (stock, alias) VALUES ((SELECT id FROM stock WHERE ticker = 'BESS'), 'Batulicin Nusantara Maritim') ON CONFLICT DO NOTHING;</v>
      </c>
    </row>
    <row r="513" spans="1:6" x14ac:dyDescent="0.2">
      <c r="A513" t="s">
        <v>2596</v>
      </c>
      <c r="B513" t="s">
        <v>3521</v>
      </c>
      <c r="C513" t="s">
        <v>5245</v>
      </c>
      <c r="D513" t="str">
        <f>TRIM(alias[[#This Row],[Column3]])</f>
        <v>Batulicin Nusantara Maritim Tbk</v>
      </c>
      <c r="F513" t="str">
        <f t="shared" si="7"/>
        <v>INSERT INTO stock_alias (stock, alias) VALUES ((SELECT id FROM stock WHERE ticker = 'BESS'), 'Batulicin Nusantara Maritim Tbk') ON CONFLICT DO NOTHING;</v>
      </c>
    </row>
    <row r="514" spans="1:6" x14ac:dyDescent="0.2">
      <c r="A514" t="s">
        <v>2596</v>
      </c>
      <c r="B514" t="s">
        <v>3521</v>
      </c>
      <c r="C514" t="s">
        <v>5246</v>
      </c>
      <c r="D514" t="str">
        <f>TRIM(alias[[#This Row],[Column3]])</f>
        <v>PT Batulicin Nusantara Maritim</v>
      </c>
      <c r="F514" t="str">
        <f t="shared" si="7"/>
        <v>INSERT INTO stock_alias (stock, alias) VALUES ((SELECT id FROM stock WHERE ticker = 'BESS'), 'PT Batulicin Nusantara Maritim') ON CONFLICT DO NOTHING;</v>
      </c>
    </row>
    <row r="515" spans="1:6" x14ac:dyDescent="0.2">
      <c r="A515" t="s">
        <v>199</v>
      </c>
      <c r="B515" t="s">
        <v>3522</v>
      </c>
      <c r="C515" t="s">
        <v>199</v>
      </c>
      <c r="D515" t="str">
        <f>TRIM(alias[[#This Row],[Column3]])</f>
        <v>BEST</v>
      </c>
      <c r="F515" t="str">
        <f t="shared" ref="F515:F578" si="8">_xlfn.CONCAT($F$1, _xlfn.CONCAT($G$1, A515, "'), '", D515, "') ON CONFLICT DO NOTHING;"))</f>
        <v>INSERT INTO stock_alias (stock, alias) VALUES ((SELECT id FROM stock WHERE ticker = 'BEST'), 'BEST') ON CONFLICT DO NOTHING;</v>
      </c>
    </row>
    <row r="516" spans="1:6" x14ac:dyDescent="0.2">
      <c r="A516" t="s">
        <v>199</v>
      </c>
      <c r="B516" t="s">
        <v>3522</v>
      </c>
      <c r="C516" t="s">
        <v>5247</v>
      </c>
      <c r="D516" t="str">
        <f>TRIM(alias[[#This Row],[Column3]])</f>
        <v>BFIE</v>
      </c>
      <c r="F516" t="str">
        <f t="shared" si="8"/>
        <v>INSERT INTO stock_alias (stock, alias) VALUES ((SELECT id FROM stock WHERE ticker = 'BEST'), 'BFIE') ON CONFLICT DO NOTHING;</v>
      </c>
    </row>
    <row r="517" spans="1:6" x14ac:dyDescent="0.2">
      <c r="A517" t="s">
        <v>199</v>
      </c>
      <c r="B517" t="s">
        <v>3522</v>
      </c>
      <c r="C517" t="s">
        <v>5248</v>
      </c>
      <c r="D517" t="str">
        <f>TRIM(alias[[#This Row],[Column3]])</f>
        <v>Bekasi Fajar Industrial Estate</v>
      </c>
      <c r="F517" t="str">
        <f t="shared" si="8"/>
        <v>INSERT INTO stock_alias (stock, alias) VALUES ((SELECT id FROM stock WHERE ticker = 'BEST'), 'Bekasi Fajar Industrial Estate') ON CONFLICT DO NOTHING;</v>
      </c>
    </row>
    <row r="518" spans="1:6" x14ac:dyDescent="0.2">
      <c r="A518" t="s">
        <v>199</v>
      </c>
      <c r="B518" t="s">
        <v>3522</v>
      </c>
      <c r="C518" t="s">
        <v>5249</v>
      </c>
      <c r="D518" t="str">
        <f>TRIM(alias[[#This Row],[Column3]])</f>
        <v>Bekasi Fajar Industrial Estate Tbk</v>
      </c>
      <c r="F518" t="str">
        <f t="shared" si="8"/>
        <v>INSERT INTO stock_alias (stock, alias) VALUES ((SELECT id FROM stock WHERE ticker = 'BEST'), 'Bekasi Fajar Industrial Estate Tbk') ON CONFLICT DO NOTHING;</v>
      </c>
    </row>
    <row r="519" spans="1:6" x14ac:dyDescent="0.2">
      <c r="A519" t="s">
        <v>199</v>
      </c>
      <c r="B519" t="s">
        <v>3522</v>
      </c>
      <c r="C519" t="s">
        <v>5250</v>
      </c>
      <c r="D519" t="str">
        <f>TRIM(alias[[#This Row],[Column3]])</f>
        <v>PT Bekasi Fajar Industrial Estate</v>
      </c>
      <c r="F519" t="str">
        <f t="shared" si="8"/>
        <v>INSERT INTO stock_alias (stock, alias) VALUES ((SELECT id FROM stock WHERE ticker = 'BEST'), 'PT Bekasi Fajar Industrial Estate') ON CONFLICT DO NOTHING;</v>
      </c>
    </row>
    <row r="520" spans="1:6" x14ac:dyDescent="0.2">
      <c r="A520" t="s">
        <v>201</v>
      </c>
      <c r="B520" t="s">
        <v>3888</v>
      </c>
      <c r="C520" t="s">
        <v>201</v>
      </c>
      <c r="D520" t="str">
        <f>TRIM(alias[[#This Row],[Column3]])</f>
        <v>BFIN</v>
      </c>
      <c r="F520" t="str">
        <f t="shared" si="8"/>
        <v>INSERT INTO stock_alias (stock, alias) VALUES ((SELECT id FROM stock WHERE ticker = 'BFIN'), 'BFIN') ON CONFLICT DO NOTHING;</v>
      </c>
    </row>
    <row r="521" spans="1:6" x14ac:dyDescent="0.2">
      <c r="A521" t="s">
        <v>201</v>
      </c>
      <c r="B521" t="s">
        <v>3888</v>
      </c>
      <c r="C521" t="s">
        <v>5251</v>
      </c>
      <c r="D521" t="str">
        <f>TRIM(alias[[#This Row],[Column3]])</f>
        <v>BFI</v>
      </c>
      <c r="F521" t="str">
        <f t="shared" si="8"/>
        <v>INSERT INTO stock_alias (stock, alias) VALUES ((SELECT id FROM stock WHERE ticker = 'BFIN'), 'BFI') ON CONFLICT DO NOTHING;</v>
      </c>
    </row>
    <row r="522" spans="1:6" x14ac:dyDescent="0.2">
      <c r="A522" t="s">
        <v>201</v>
      </c>
      <c r="B522" t="s">
        <v>3888</v>
      </c>
      <c r="C522" t="s">
        <v>5252</v>
      </c>
      <c r="D522" t="str">
        <f>TRIM(alias[[#This Row],[Column3]])</f>
        <v>BFI Finance Indonesia</v>
      </c>
      <c r="F522" t="str">
        <f t="shared" si="8"/>
        <v>INSERT INTO stock_alias (stock, alias) VALUES ((SELECT id FROM stock WHERE ticker = 'BFIN'), 'BFI Finance Indonesia') ON CONFLICT DO NOTHING;</v>
      </c>
    </row>
    <row r="523" spans="1:6" x14ac:dyDescent="0.2">
      <c r="A523" t="s">
        <v>201</v>
      </c>
      <c r="B523" t="s">
        <v>3888</v>
      </c>
      <c r="C523" t="s">
        <v>5253</v>
      </c>
      <c r="D523" t="str">
        <f>TRIM(alias[[#This Row],[Column3]])</f>
        <v>BFI Finance Indonesia Tbk</v>
      </c>
      <c r="F523" t="str">
        <f t="shared" si="8"/>
        <v>INSERT INTO stock_alias (stock, alias) VALUES ((SELECT id FROM stock WHERE ticker = 'BFIN'), 'BFI Finance Indonesia Tbk') ON CONFLICT DO NOTHING;</v>
      </c>
    </row>
    <row r="524" spans="1:6" x14ac:dyDescent="0.2">
      <c r="A524" t="s">
        <v>201</v>
      </c>
      <c r="B524" t="s">
        <v>3888</v>
      </c>
      <c r="C524" t="s">
        <v>5254</v>
      </c>
      <c r="D524" t="str">
        <f>TRIM(alias[[#This Row],[Column3]])</f>
        <v>PT BFI Finance Indonesia</v>
      </c>
      <c r="F524" t="str">
        <f t="shared" si="8"/>
        <v>INSERT INTO stock_alias (stock, alias) VALUES ((SELECT id FROM stock WHERE ticker = 'BFIN'), 'PT BFI Finance Indonesia') ON CONFLICT DO NOTHING;</v>
      </c>
    </row>
    <row r="525" spans="1:6" x14ac:dyDescent="0.2">
      <c r="A525" t="s">
        <v>203</v>
      </c>
      <c r="B525" t="s">
        <v>204</v>
      </c>
      <c r="C525" t="s">
        <v>203</v>
      </c>
      <c r="D525" t="str">
        <f>TRIM(alias[[#This Row],[Column3]])</f>
        <v>BGTG</v>
      </c>
      <c r="F525" t="str">
        <f t="shared" si="8"/>
        <v>INSERT INTO stock_alias (stock, alias) VALUES ((SELECT id FROM stock WHERE ticker = 'BGTG'), 'BGTG') ON CONFLICT DO NOTHING;</v>
      </c>
    </row>
    <row r="526" spans="1:6" x14ac:dyDescent="0.2">
      <c r="A526" t="s">
        <v>203</v>
      </c>
      <c r="B526" t="s">
        <v>204</v>
      </c>
      <c r="C526" t="s">
        <v>5255</v>
      </c>
      <c r="D526" t="str">
        <f>TRIM(alias[[#This Row],[Column3]])</f>
        <v>Bank Ganesha</v>
      </c>
      <c r="F526" t="str">
        <f t="shared" si="8"/>
        <v>INSERT INTO stock_alias (stock, alias) VALUES ((SELECT id FROM stock WHERE ticker = 'BGTG'), 'Bank Ganesha') ON CONFLICT DO NOTHING;</v>
      </c>
    </row>
    <row r="527" spans="1:6" x14ac:dyDescent="0.2">
      <c r="A527" t="s">
        <v>203</v>
      </c>
      <c r="B527" t="s">
        <v>204</v>
      </c>
      <c r="C527" t="s">
        <v>5256</v>
      </c>
      <c r="D527" t="str">
        <f>TRIM(alias[[#This Row],[Column3]])</f>
        <v>Bank Ganesha Tbk</v>
      </c>
      <c r="F527" t="str">
        <f t="shared" si="8"/>
        <v>INSERT INTO stock_alias (stock, alias) VALUES ((SELECT id FROM stock WHERE ticker = 'BGTG'), 'Bank Ganesha Tbk') ON CONFLICT DO NOTHING;</v>
      </c>
    </row>
    <row r="528" spans="1:6" x14ac:dyDescent="0.2">
      <c r="A528" t="s">
        <v>203</v>
      </c>
      <c r="B528" t="s">
        <v>204</v>
      </c>
      <c r="C528" t="s">
        <v>5257</v>
      </c>
      <c r="D528" t="str">
        <f>TRIM(alias[[#This Row],[Column3]])</f>
        <v>Ganesha</v>
      </c>
      <c r="F528" t="str">
        <f t="shared" si="8"/>
        <v>INSERT INTO stock_alias (stock, alias) VALUES ((SELECT id FROM stock WHERE ticker = 'BGTG'), 'Ganesha') ON CONFLICT DO NOTHING;</v>
      </c>
    </row>
    <row r="529" spans="1:6" x14ac:dyDescent="0.2">
      <c r="A529" t="s">
        <v>203</v>
      </c>
      <c r="B529" t="s">
        <v>204</v>
      </c>
      <c r="C529" t="s">
        <v>5258</v>
      </c>
      <c r="D529" t="str">
        <f>TRIM(alias[[#This Row],[Column3]])</f>
        <v>PT Bank Ganesha</v>
      </c>
      <c r="F529" t="str">
        <f t="shared" si="8"/>
        <v>INSERT INTO stock_alias (stock, alias) VALUES ((SELECT id FROM stock WHERE ticker = 'BGTG'), 'PT Bank Ganesha') ON CONFLICT DO NOTHING;</v>
      </c>
    </row>
    <row r="530" spans="1:6" x14ac:dyDescent="0.2">
      <c r="A530" t="s">
        <v>1843</v>
      </c>
      <c r="B530" t="s">
        <v>1844</v>
      </c>
      <c r="C530" t="s">
        <v>1843</v>
      </c>
      <c r="D530" t="str">
        <f>TRIM(alias[[#This Row],[Column3]])</f>
        <v>BHAT</v>
      </c>
      <c r="F530" t="str">
        <f t="shared" si="8"/>
        <v>INSERT INTO stock_alias (stock, alias) VALUES ((SELECT id FROM stock WHERE ticker = 'BHAT'), 'BHAT') ON CONFLICT DO NOTHING;</v>
      </c>
    </row>
    <row r="531" spans="1:6" x14ac:dyDescent="0.2">
      <c r="A531" t="s">
        <v>1843</v>
      </c>
      <c r="B531" t="s">
        <v>1844</v>
      </c>
      <c r="C531" t="s">
        <v>5259</v>
      </c>
      <c r="D531" t="str">
        <f>TRIM(alias[[#This Row],[Column3]])</f>
        <v>Bhakti Multi Artha</v>
      </c>
      <c r="F531" t="str">
        <f t="shared" si="8"/>
        <v>INSERT INTO stock_alias (stock, alias) VALUES ((SELECT id FROM stock WHERE ticker = 'BHAT'), 'Bhakti Multi Artha') ON CONFLICT DO NOTHING;</v>
      </c>
    </row>
    <row r="532" spans="1:6" x14ac:dyDescent="0.2">
      <c r="A532" t="s">
        <v>1843</v>
      </c>
      <c r="B532" t="s">
        <v>1844</v>
      </c>
      <c r="C532" t="s">
        <v>5260</v>
      </c>
      <c r="D532" t="str">
        <f>TRIM(alias[[#This Row],[Column3]])</f>
        <v>Bhakti Multi Artha Tbk</v>
      </c>
      <c r="F532" t="str">
        <f t="shared" si="8"/>
        <v>INSERT INTO stock_alias (stock, alias) VALUES ((SELECT id FROM stock WHERE ticker = 'BHAT'), 'Bhakti Multi Artha Tbk') ON CONFLICT DO NOTHING;</v>
      </c>
    </row>
    <row r="533" spans="1:6" x14ac:dyDescent="0.2">
      <c r="A533" t="s">
        <v>1843</v>
      </c>
      <c r="B533" t="s">
        <v>1844</v>
      </c>
      <c r="C533" t="s">
        <v>5261</v>
      </c>
      <c r="D533" t="str">
        <f>TRIM(alias[[#This Row],[Column3]])</f>
        <v>PT Bhakti Multi Artha</v>
      </c>
      <c r="F533" t="str">
        <f t="shared" si="8"/>
        <v>INSERT INTO stock_alias (stock, alias) VALUES ((SELECT id FROM stock WHERE ticker = 'BHAT'), 'PT Bhakti Multi Artha') ON CONFLICT DO NOTHING;</v>
      </c>
    </row>
    <row r="534" spans="1:6" x14ac:dyDescent="0.2">
      <c r="A534" t="s">
        <v>206</v>
      </c>
      <c r="B534" t="s">
        <v>207</v>
      </c>
      <c r="C534" t="s">
        <v>206</v>
      </c>
      <c r="D534" t="str">
        <f>TRIM(alias[[#This Row],[Column3]])</f>
        <v>BHIT</v>
      </c>
      <c r="F534" t="str">
        <f t="shared" si="8"/>
        <v>INSERT INTO stock_alias (stock, alias) VALUES ((SELECT id FROM stock WHERE ticker = 'BHIT'), 'BHIT') ON CONFLICT DO NOTHING;</v>
      </c>
    </row>
    <row r="535" spans="1:6" x14ac:dyDescent="0.2">
      <c r="A535" t="s">
        <v>206</v>
      </c>
      <c r="B535" t="s">
        <v>207</v>
      </c>
      <c r="C535" t="s">
        <v>5262</v>
      </c>
      <c r="D535" t="str">
        <f>TRIM(alias[[#This Row],[Column3]])</f>
        <v>MNC Asia Holding</v>
      </c>
      <c r="F535" t="str">
        <f t="shared" si="8"/>
        <v>INSERT INTO stock_alias (stock, alias) VALUES ((SELECT id FROM stock WHERE ticker = 'BHIT'), 'MNC Asia Holding') ON CONFLICT DO NOTHING;</v>
      </c>
    </row>
    <row r="536" spans="1:6" x14ac:dyDescent="0.2">
      <c r="A536" t="s">
        <v>206</v>
      </c>
      <c r="B536" t="s">
        <v>207</v>
      </c>
      <c r="C536" t="s">
        <v>5263</v>
      </c>
      <c r="D536" t="str">
        <f>TRIM(alias[[#This Row],[Column3]])</f>
        <v>MNC Asia Holding Tbk</v>
      </c>
      <c r="F536" t="str">
        <f t="shared" si="8"/>
        <v>INSERT INTO stock_alias (stock, alias) VALUES ((SELECT id FROM stock WHERE ticker = 'BHIT'), 'MNC Asia Holding Tbk') ON CONFLICT DO NOTHING;</v>
      </c>
    </row>
    <row r="537" spans="1:6" x14ac:dyDescent="0.2">
      <c r="A537" t="s">
        <v>206</v>
      </c>
      <c r="B537" t="s">
        <v>207</v>
      </c>
      <c r="C537" t="s">
        <v>5264</v>
      </c>
      <c r="D537" t="str">
        <f>TRIM(alias[[#This Row],[Column3]])</f>
        <v>PT MNC Asia Holding</v>
      </c>
      <c r="F537" t="str">
        <f t="shared" si="8"/>
        <v>INSERT INTO stock_alias (stock, alias) VALUES ((SELECT id FROM stock WHERE ticker = 'BHIT'), 'PT MNC Asia Holding') ON CONFLICT DO NOTHING;</v>
      </c>
    </row>
    <row r="538" spans="1:6" x14ac:dyDescent="0.2">
      <c r="A538" t="s">
        <v>209</v>
      </c>
      <c r="B538" t="s">
        <v>210</v>
      </c>
      <c r="C538" t="s">
        <v>209</v>
      </c>
      <c r="D538" t="str">
        <f>TRIM(alias[[#This Row],[Column3]])</f>
        <v>BIKA</v>
      </c>
      <c r="F538" t="str">
        <f t="shared" si="8"/>
        <v>INSERT INTO stock_alias (stock, alias) VALUES ((SELECT id FROM stock WHERE ticker = 'BIKA'), 'BIKA') ON CONFLICT DO NOTHING;</v>
      </c>
    </row>
    <row r="539" spans="1:6" x14ac:dyDescent="0.2">
      <c r="A539" t="s">
        <v>209</v>
      </c>
      <c r="B539" t="s">
        <v>210</v>
      </c>
      <c r="C539" t="s">
        <v>5265</v>
      </c>
      <c r="D539" t="str">
        <f>TRIM(alias[[#This Row],[Column3]])</f>
        <v>Binakarya Jaya Abadi</v>
      </c>
      <c r="F539" t="str">
        <f t="shared" si="8"/>
        <v>INSERT INTO stock_alias (stock, alias) VALUES ((SELECT id FROM stock WHERE ticker = 'BIKA'), 'Binakarya Jaya Abadi') ON CONFLICT DO NOTHING;</v>
      </c>
    </row>
    <row r="540" spans="1:6" x14ac:dyDescent="0.2">
      <c r="A540" t="s">
        <v>209</v>
      </c>
      <c r="B540" t="s">
        <v>210</v>
      </c>
      <c r="C540" t="s">
        <v>5266</v>
      </c>
      <c r="D540" t="str">
        <f>TRIM(alias[[#This Row],[Column3]])</f>
        <v>Binakarya Jaya Abadi Tbk</v>
      </c>
      <c r="F540" t="str">
        <f t="shared" si="8"/>
        <v>INSERT INTO stock_alias (stock, alias) VALUES ((SELECT id FROM stock WHERE ticker = 'BIKA'), 'Binakarya Jaya Abadi Tbk') ON CONFLICT DO NOTHING;</v>
      </c>
    </row>
    <row r="541" spans="1:6" x14ac:dyDescent="0.2">
      <c r="A541" t="s">
        <v>209</v>
      </c>
      <c r="B541" t="s">
        <v>210</v>
      </c>
      <c r="C541" t="s">
        <v>5267</v>
      </c>
      <c r="D541" t="str">
        <f>TRIM(alias[[#This Row],[Column3]])</f>
        <v>PT Binakarya Jaya Abadi</v>
      </c>
      <c r="F541" t="str">
        <f t="shared" si="8"/>
        <v>INSERT INTO stock_alias (stock, alias) VALUES ((SELECT id FROM stock WHERE ticker = 'BIKA'), 'PT Binakarya Jaya Abadi') ON CONFLICT DO NOTHING;</v>
      </c>
    </row>
    <row r="542" spans="1:6" x14ac:dyDescent="0.2">
      <c r="A542" t="s">
        <v>2088</v>
      </c>
      <c r="B542" t="s">
        <v>2089</v>
      </c>
      <c r="C542" t="s">
        <v>2088</v>
      </c>
      <c r="D542" t="str">
        <f>TRIM(alias[[#This Row],[Column3]])</f>
        <v>BIKE</v>
      </c>
      <c r="F542" t="str">
        <f t="shared" si="8"/>
        <v>INSERT INTO stock_alias (stock, alias) VALUES ((SELECT id FROM stock WHERE ticker = 'BIKE'), 'BIKE') ON CONFLICT DO NOTHING;</v>
      </c>
    </row>
    <row r="543" spans="1:6" x14ac:dyDescent="0.2">
      <c r="A543" t="s">
        <v>2088</v>
      </c>
      <c r="B543" t="s">
        <v>2089</v>
      </c>
      <c r="C543" t="s">
        <v>5268</v>
      </c>
      <c r="D543" t="str">
        <f>TRIM(alias[[#This Row],[Column3]])</f>
        <v>PT Sepeda Bersama Indonesia</v>
      </c>
      <c r="F543" t="str">
        <f t="shared" si="8"/>
        <v>INSERT INTO stock_alias (stock, alias) VALUES ((SELECT id FROM stock WHERE ticker = 'BIKE'), 'PT Sepeda Bersama Indonesia') ON CONFLICT DO NOTHING;</v>
      </c>
    </row>
    <row r="544" spans="1:6" x14ac:dyDescent="0.2">
      <c r="A544" t="s">
        <v>2088</v>
      </c>
      <c r="B544" t="s">
        <v>2089</v>
      </c>
      <c r="C544" t="s">
        <v>5269</v>
      </c>
      <c r="D544" t="str">
        <f>TRIM(alias[[#This Row],[Column3]])</f>
        <v>SBI</v>
      </c>
      <c r="F544" t="str">
        <f t="shared" si="8"/>
        <v>INSERT INTO stock_alias (stock, alias) VALUES ((SELECT id FROM stock WHERE ticker = 'BIKE'), 'SBI') ON CONFLICT DO NOTHING;</v>
      </c>
    </row>
    <row r="545" spans="1:6" x14ac:dyDescent="0.2">
      <c r="A545" t="s">
        <v>2088</v>
      </c>
      <c r="B545" t="s">
        <v>2089</v>
      </c>
      <c r="C545" t="s">
        <v>5270</v>
      </c>
      <c r="D545" t="str">
        <f>TRIM(alias[[#This Row],[Column3]])</f>
        <v>Sepeda Bersama Indonesia</v>
      </c>
      <c r="F545" t="str">
        <f t="shared" si="8"/>
        <v>INSERT INTO stock_alias (stock, alias) VALUES ((SELECT id FROM stock WHERE ticker = 'BIKE'), 'Sepeda Bersama Indonesia') ON CONFLICT DO NOTHING;</v>
      </c>
    </row>
    <row r="546" spans="1:6" x14ac:dyDescent="0.2">
      <c r="A546" t="s">
        <v>2088</v>
      </c>
      <c r="B546" t="s">
        <v>2089</v>
      </c>
      <c r="C546" t="s">
        <v>5271</v>
      </c>
      <c r="D546" t="str">
        <f>TRIM(alias[[#This Row],[Column3]])</f>
        <v>Sepeda Bersama Indonesia Tbk</v>
      </c>
      <c r="F546" t="str">
        <f t="shared" si="8"/>
        <v>INSERT INTO stock_alias (stock, alias) VALUES ((SELECT id FROM stock WHERE ticker = 'BIKE'), 'Sepeda Bersama Indonesia Tbk') ON CONFLICT DO NOTHING;</v>
      </c>
    </row>
    <row r="547" spans="1:6" x14ac:dyDescent="0.2">
      <c r="A547" t="s">
        <v>212</v>
      </c>
      <c r="B547" t="s">
        <v>3523</v>
      </c>
      <c r="C547" t="s">
        <v>212</v>
      </c>
      <c r="D547" t="str">
        <f>TRIM(alias[[#This Row],[Column3]])</f>
        <v>BIMA</v>
      </c>
      <c r="F547" t="str">
        <f t="shared" si="8"/>
        <v>INSERT INTO stock_alias (stock, alias) VALUES ((SELECT id FROM stock WHERE ticker = 'BIMA'), 'BIMA') ON CONFLICT DO NOTHING;</v>
      </c>
    </row>
    <row r="548" spans="1:6" x14ac:dyDescent="0.2">
      <c r="A548" t="s">
        <v>212</v>
      </c>
      <c r="B548" t="s">
        <v>3523</v>
      </c>
      <c r="C548" t="s">
        <v>5272</v>
      </c>
      <c r="D548" t="str">
        <f>TRIM(alias[[#This Row],[Column3]])</f>
        <v>PT Primarindo Asia Infrastructure</v>
      </c>
      <c r="F548" t="str">
        <f t="shared" si="8"/>
        <v>INSERT INTO stock_alias (stock, alias) VALUES ((SELECT id FROM stock WHERE ticker = 'BIMA'), 'PT Primarindo Asia Infrastructure') ON CONFLICT DO NOTHING;</v>
      </c>
    </row>
    <row r="549" spans="1:6" x14ac:dyDescent="0.2">
      <c r="A549" t="s">
        <v>212</v>
      </c>
      <c r="B549" t="s">
        <v>3523</v>
      </c>
      <c r="C549" t="s">
        <v>5273</v>
      </c>
      <c r="D549" t="str">
        <f>TRIM(alias[[#This Row],[Column3]])</f>
        <v>Primarindo Asia Infrastructure</v>
      </c>
      <c r="F549" t="str">
        <f t="shared" si="8"/>
        <v>INSERT INTO stock_alias (stock, alias) VALUES ((SELECT id FROM stock WHERE ticker = 'BIMA'), 'Primarindo Asia Infrastructure') ON CONFLICT DO NOTHING;</v>
      </c>
    </row>
    <row r="550" spans="1:6" x14ac:dyDescent="0.2">
      <c r="A550" t="s">
        <v>212</v>
      </c>
      <c r="B550" t="s">
        <v>3523</v>
      </c>
      <c r="C550" t="s">
        <v>5274</v>
      </c>
      <c r="D550" t="str">
        <f>TRIM(alias[[#This Row],[Column3]])</f>
        <v>Primarindo Asia Infrastructure Tbk</v>
      </c>
      <c r="F550" t="str">
        <f t="shared" si="8"/>
        <v>INSERT INTO stock_alias (stock, alias) VALUES ((SELECT id FROM stock WHERE ticker = 'BIMA'), 'Primarindo Asia Infrastructure Tbk') ON CONFLICT DO NOTHING;</v>
      </c>
    </row>
    <row r="551" spans="1:6" x14ac:dyDescent="0.2">
      <c r="A551" t="s">
        <v>214</v>
      </c>
      <c r="B551" t="s">
        <v>215</v>
      </c>
      <c r="C551" t="s">
        <v>214</v>
      </c>
      <c r="D551" t="str">
        <f>TRIM(alias[[#This Row],[Column3]])</f>
        <v>BINA</v>
      </c>
      <c r="F551" t="str">
        <f t="shared" si="8"/>
        <v>INSERT INTO stock_alias (stock, alias) VALUES ((SELECT id FROM stock WHERE ticker = 'BINA'), 'BINA') ON CONFLICT DO NOTHING;</v>
      </c>
    </row>
    <row r="552" spans="1:6" x14ac:dyDescent="0.2">
      <c r="A552" t="s">
        <v>214</v>
      </c>
      <c r="B552" t="s">
        <v>215</v>
      </c>
      <c r="C552" t="s">
        <v>5275</v>
      </c>
      <c r="D552" t="str">
        <f>TRIM(alias[[#This Row],[Column3]])</f>
        <v>Bank Ina Perdana</v>
      </c>
      <c r="F552" t="str">
        <f t="shared" si="8"/>
        <v>INSERT INTO stock_alias (stock, alias) VALUES ((SELECT id FROM stock WHERE ticker = 'BINA'), 'Bank Ina Perdana') ON CONFLICT DO NOTHING;</v>
      </c>
    </row>
    <row r="553" spans="1:6" x14ac:dyDescent="0.2">
      <c r="A553" t="s">
        <v>214</v>
      </c>
      <c r="B553" t="s">
        <v>215</v>
      </c>
      <c r="C553" t="s">
        <v>5276</v>
      </c>
      <c r="D553" t="str">
        <f>TRIM(alias[[#This Row],[Column3]])</f>
        <v>Bank Ina Perdana Tbk</v>
      </c>
      <c r="F553" t="str">
        <f t="shared" si="8"/>
        <v>INSERT INTO stock_alias (stock, alias) VALUES ((SELECT id FROM stock WHERE ticker = 'BINA'), 'Bank Ina Perdana Tbk') ON CONFLICT DO NOTHING;</v>
      </c>
    </row>
    <row r="554" spans="1:6" x14ac:dyDescent="0.2">
      <c r="A554" t="s">
        <v>214</v>
      </c>
      <c r="B554" t="s">
        <v>215</v>
      </c>
      <c r="C554" t="s">
        <v>5277</v>
      </c>
      <c r="D554" t="str">
        <f>TRIM(alias[[#This Row],[Column3]])</f>
        <v>Bank Perdana</v>
      </c>
      <c r="F554" t="str">
        <f t="shared" si="8"/>
        <v>INSERT INTO stock_alias (stock, alias) VALUES ((SELECT id FROM stock WHERE ticker = 'BINA'), 'Bank Perdana') ON CONFLICT DO NOTHING;</v>
      </c>
    </row>
    <row r="555" spans="1:6" x14ac:dyDescent="0.2">
      <c r="A555" t="s">
        <v>214</v>
      </c>
      <c r="B555" t="s">
        <v>215</v>
      </c>
      <c r="C555" t="s">
        <v>5278</v>
      </c>
      <c r="D555" t="str">
        <f>TRIM(alias[[#This Row],[Column3]])</f>
        <v>PT Bank Ina Perdana</v>
      </c>
      <c r="F555" t="str">
        <f t="shared" si="8"/>
        <v>INSERT INTO stock_alias (stock, alias) VALUES ((SELECT id FROM stock WHERE ticker = 'BINA'), 'PT Bank Ina Perdana') ON CONFLICT DO NOTHING;</v>
      </c>
    </row>
    <row r="556" spans="1:6" x14ac:dyDescent="0.2">
      <c r="A556" t="s">
        <v>214</v>
      </c>
      <c r="B556" t="s">
        <v>215</v>
      </c>
      <c r="C556" t="s">
        <v>5279</v>
      </c>
      <c r="D556" t="str">
        <f>TRIM(alias[[#This Row],[Column3]])</f>
        <v>Perdana</v>
      </c>
      <c r="F556" t="str">
        <f t="shared" si="8"/>
        <v>INSERT INTO stock_alias (stock, alias) VALUES ((SELECT id FROM stock WHERE ticker = 'BINA'), 'Perdana') ON CONFLICT DO NOTHING;</v>
      </c>
    </row>
    <row r="557" spans="1:6" x14ac:dyDescent="0.2">
      <c r="A557" t="s">
        <v>2025</v>
      </c>
      <c r="B557" t="s">
        <v>2026</v>
      </c>
      <c r="C557" t="s">
        <v>2025</v>
      </c>
      <c r="D557" t="str">
        <f>TRIM(alias[[#This Row],[Column3]])</f>
        <v>BINO</v>
      </c>
      <c r="F557" t="str">
        <f t="shared" si="8"/>
        <v>INSERT INTO stock_alias (stock, alias) VALUES ((SELECT id FROM stock WHERE ticker = 'BINO'), 'BINO') ON CONFLICT DO NOTHING;</v>
      </c>
    </row>
    <row r="558" spans="1:6" x14ac:dyDescent="0.2">
      <c r="A558" t="s">
        <v>2025</v>
      </c>
      <c r="B558" t="s">
        <v>2026</v>
      </c>
      <c r="C558" t="s">
        <v>5280</v>
      </c>
      <c r="D558" t="str">
        <f>TRIM(alias[[#This Row],[Column3]])</f>
        <v>PP</v>
      </c>
      <c r="F558" t="str">
        <f t="shared" si="8"/>
        <v>INSERT INTO stock_alias (stock, alias) VALUES ((SELECT id FROM stock WHERE ticker = 'BINO'), 'PP') ON CONFLICT DO NOTHING;</v>
      </c>
    </row>
    <row r="559" spans="1:6" x14ac:dyDescent="0.2">
      <c r="A559" t="s">
        <v>2025</v>
      </c>
      <c r="B559" t="s">
        <v>2026</v>
      </c>
      <c r="C559" t="s">
        <v>5281</v>
      </c>
      <c r="D559" t="str">
        <f>TRIM(alias[[#This Row],[Column3]])</f>
        <v>PT Perma Plasindo</v>
      </c>
      <c r="F559" t="str">
        <f t="shared" si="8"/>
        <v>INSERT INTO stock_alias (stock, alias) VALUES ((SELECT id FROM stock WHERE ticker = 'BINO'), 'PT Perma Plasindo') ON CONFLICT DO NOTHING;</v>
      </c>
    </row>
    <row r="560" spans="1:6" x14ac:dyDescent="0.2">
      <c r="A560" t="s">
        <v>2025</v>
      </c>
      <c r="B560" t="s">
        <v>2026</v>
      </c>
      <c r="C560" t="s">
        <v>5282</v>
      </c>
      <c r="D560" t="str">
        <f>TRIM(alias[[#This Row],[Column3]])</f>
        <v>Perma Plasindo</v>
      </c>
      <c r="F560" t="str">
        <f t="shared" si="8"/>
        <v>INSERT INTO stock_alias (stock, alias) VALUES ((SELECT id FROM stock WHERE ticker = 'BINO'), 'Perma Plasindo') ON CONFLICT DO NOTHING;</v>
      </c>
    </row>
    <row r="561" spans="1:6" x14ac:dyDescent="0.2">
      <c r="A561" t="s">
        <v>2025</v>
      </c>
      <c r="B561" t="s">
        <v>2026</v>
      </c>
      <c r="C561" t="s">
        <v>5283</v>
      </c>
      <c r="D561" t="str">
        <f>TRIM(alias[[#This Row],[Column3]])</f>
        <v>Perma Plasindo Tbk</v>
      </c>
      <c r="F561" t="str">
        <f t="shared" si="8"/>
        <v>INSERT INTO stock_alias (stock, alias) VALUES ((SELECT id FROM stock WHERE ticker = 'BINO'), 'Perma Plasindo Tbk') ON CONFLICT DO NOTHING;</v>
      </c>
    </row>
    <row r="562" spans="1:6" x14ac:dyDescent="0.2">
      <c r="A562" t="s">
        <v>217</v>
      </c>
      <c r="B562" t="s">
        <v>3524</v>
      </c>
      <c r="C562" t="s">
        <v>217</v>
      </c>
      <c r="D562" t="str">
        <f>TRIM(alias[[#This Row],[Column3]])</f>
        <v>BIPI</v>
      </c>
      <c r="F562" t="str">
        <f t="shared" si="8"/>
        <v>INSERT INTO stock_alias (stock, alias) VALUES ((SELECT id FROM stock WHERE ticker = 'BIPI'), 'BIPI') ON CONFLICT DO NOTHING;</v>
      </c>
    </row>
    <row r="563" spans="1:6" x14ac:dyDescent="0.2">
      <c r="A563" t="s">
        <v>217</v>
      </c>
      <c r="B563" t="s">
        <v>3524</v>
      </c>
      <c r="C563" t="s">
        <v>5284</v>
      </c>
      <c r="D563" t="str">
        <f>TRIM(alias[[#This Row],[Column3]])</f>
        <v>Astrindo Nusantara Infrastruktur</v>
      </c>
      <c r="F563" t="str">
        <f t="shared" si="8"/>
        <v>INSERT INTO stock_alias (stock, alias) VALUES ((SELECT id FROM stock WHERE ticker = 'BIPI'), 'Astrindo Nusantara Infrastruktur') ON CONFLICT DO NOTHING;</v>
      </c>
    </row>
    <row r="564" spans="1:6" x14ac:dyDescent="0.2">
      <c r="A564" t="s">
        <v>217</v>
      </c>
      <c r="B564" t="s">
        <v>3524</v>
      </c>
      <c r="C564" t="s">
        <v>5285</v>
      </c>
      <c r="D564" t="str">
        <f>TRIM(alias[[#This Row],[Column3]])</f>
        <v>Astrindo Nusantara Infrastruktur Tbk</v>
      </c>
      <c r="F564" t="str">
        <f t="shared" si="8"/>
        <v>INSERT INTO stock_alias (stock, alias) VALUES ((SELECT id FROM stock WHERE ticker = 'BIPI'), 'Astrindo Nusantara Infrastruktur Tbk') ON CONFLICT DO NOTHING;</v>
      </c>
    </row>
    <row r="565" spans="1:6" x14ac:dyDescent="0.2">
      <c r="A565" t="s">
        <v>217</v>
      </c>
      <c r="B565" t="s">
        <v>3524</v>
      </c>
      <c r="C565" t="s">
        <v>5286</v>
      </c>
      <c r="D565" t="str">
        <f>TRIM(alias[[#This Row],[Column3]])</f>
        <v>PT Astrindo Nusantara Infrastruktur</v>
      </c>
      <c r="F565" t="str">
        <f t="shared" si="8"/>
        <v>INSERT INTO stock_alias (stock, alias) VALUES ((SELECT id FROM stock WHERE ticker = 'BIPI'), 'PT Astrindo Nusantara Infrastruktur') ON CONFLICT DO NOTHING;</v>
      </c>
    </row>
    <row r="566" spans="1:6" x14ac:dyDescent="0.2">
      <c r="A566" t="s">
        <v>219</v>
      </c>
      <c r="B566" t="s">
        <v>220</v>
      </c>
      <c r="C566" t="s">
        <v>219</v>
      </c>
      <c r="D566" t="str">
        <f>TRIM(alias[[#This Row],[Column3]])</f>
        <v>BIPP</v>
      </c>
      <c r="F566" t="str">
        <f t="shared" si="8"/>
        <v>INSERT INTO stock_alias (stock, alias) VALUES ((SELECT id FROM stock WHERE ticker = 'BIPP'), 'BIPP') ON CONFLICT DO NOTHING;</v>
      </c>
    </row>
    <row r="567" spans="1:6" x14ac:dyDescent="0.2">
      <c r="A567" t="s">
        <v>219</v>
      </c>
      <c r="B567" t="s">
        <v>220</v>
      </c>
      <c r="C567" t="s">
        <v>5287</v>
      </c>
      <c r="D567" t="str">
        <f>TRIM(alias[[#This Row],[Column3]])</f>
        <v>Bhuwanatala Indah Permai</v>
      </c>
      <c r="F567" t="str">
        <f t="shared" si="8"/>
        <v>INSERT INTO stock_alias (stock, alias) VALUES ((SELECT id FROM stock WHERE ticker = 'BIPP'), 'Bhuwanatala Indah Permai') ON CONFLICT DO NOTHING;</v>
      </c>
    </row>
    <row r="568" spans="1:6" x14ac:dyDescent="0.2">
      <c r="A568" t="s">
        <v>219</v>
      </c>
      <c r="B568" t="s">
        <v>220</v>
      </c>
      <c r="C568" t="s">
        <v>5288</v>
      </c>
      <c r="D568" t="str">
        <f>TRIM(alias[[#This Row],[Column3]])</f>
        <v>Bhuwanatala Indah Permai Tbk</v>
      </c>
      <c r="F568" t="str">
        <f t="shared" si="8"/>
        <v>INSERT INTO stock_alias (stock, alias) VALUES ((SELECT id FROM stock WHERE ticker = 'BIPP'), 'Bhuwanatala Indah Permai Tbk') ON CONFLICT DO NOTHING;</v>
      </c>
    </row>
    <row r="569" spans="1:6" x14ac:dyDescent="0.2">
      <c r="A569" t="s">
        <v>219</v>
      </c>
      <c r="B569" t="s">
        <v>220</v>
      </c>
      <c r="C569" t="s">
        <v>5289</v>
      </c>
      <c r="D569" t="str">
        <f>TRIM(alias[[#This Row],[Column3]])</f>
        <v>PT Bhuwanatala Indah Permai</v>
      </c>
      <c r="F569" t="str">
        <f t="shared" si="8"/>
        <v>INSERT INTO stock_alias (stock, alias) VALUES ((SELECT id FROM stock WHERE ticker = 'BIPP'), 'PT Bhuwanatala Indah Permai') ON CONFLICT DO NOTHING;</v>
      </c>
    </row>
    <row r="570" spans="1:6" x14ac:dyDescent="0.2">
      <c r="A570" t="s">
        <v>222</v>
      </c>
      <c r="B570" t="s">
        <v>223</v>
      </c>
      <c r="C570" t="s">
        <v>222</v>
      </c>
      <c r="D570" t="str">
        <f>TRIM(alias[[#This Row],[Column3]])</f>
        <v>BIRD</v>
      </c>
      <c r="F570" t="str">
        <f t="shared" si="8"/>
        <v>INSERT INTO stock_alias (stock, alias) VALUES ((SELECT id FROM stock WHERE ticker = 'BIRD'), 'BIRD') ON CONFLICT DO NOTHING;</v>
      </c>
    </row>
    <row r="571" spans="1:6" x14ac:dyDescent="0.2">
      <c r="A571" t="s">
        <v>222</v>
      </c>
      <c r="B571" t="s">
        <v>223</v>
      </c>
      <c r="C571" t="s">
        <v>5290</v>
      </c>
      <c r="D571" t="str">
        <f>TRIM(alias[[#This Row],[Column3]])</f>
        <v>Blue Bird</v>
      </c>
      <c r="F571" t="str">
        <f t="shared" si="8"/>
        <v>INSERT INTO stock_alias (stock, alias) VALUES ((SELECT id FROM stock WHERE ticker = 'BIRD'), 'Blue Bird') ON CONFLICT DO NOTHING;</v>
      </c>
    </row>
    <row r="572" spans="1:6" x14ac:dyDescent="0.2">
      <c r="A572" t="s">
        <v>222</v>
      </c>
      <c r="B572" t="s">
        <v>223</v>
      </c>
      <c r="C572" t="s">
        <v>5291</v>
      </c>
      <c r="D572" t="str">
        <f>TRIM(alias[[#This Row],[Column3]])</f>
        <v>Blue Bird Tbk</v>
      </c>
      <c r="F572" t="str">
        <f t="shared" si="8"/>
        <v>INSERT INTO stock_alias (stock, alias) VALUES ((SELECT id FROM stock WHERE ticker = 'BIRD'), 'Blue Bird Tbk') ON CONFLICT DO NOTHING;</v>
      </c>
    </row>
    <row r="573" spans="1:6" x14ac:dyDescent="0.2">
      <c r="A573" t="s">
        <v>222</v>
      </c>
      <c r="B573" t="s">
        <v>223</v>
      </c>
      <c r="C573" t="s">
        <v>5292</v>
      </c>
      <c r="D573" t="str">
        <f>TRIM(alias[[#This Row],[Column3]])</f>
        <v>PT Blue Bird</v>
      </c>
      <c r="F573" t="str">
        <f t="shared" si="8"/>
        <v>INSERT INTO stock_alias (stock, alias) VALUES ((SELECT id FROM stock WHERE ticker = 'BIRD'), 'PT Blue Bird') ON CONFLICT DO NOTHING;</v>
      </c>
    </row>
    <row r="574" spans="1:6" x14ac:dyDescent="0.2">
      <c r="A574" t="s">
        <v>225</v>
      </c>
      <c r="B574" t="s">
        <v>226</v>
      </c>
      <c r="C574" t="s">
        <v>225</v>
      </c>
      <c r="D574" t="str">
        <f>TRIM(alias[[#This Row],[Column3]])</f>
        <v>BISI</v>
      </c>
      <c r="F574" t="str">
        <f t="shared" si="8"/>
        <v>INSERT INTO stock_alias (stock, alias) VALUES ((SELECT id FROM stock WHERE ticker = 'BISI'), 'BISI') ON CONFLICT DO NOTHING;</v>
      </c>
    </row>
    <row r="575" spans="1:6" x14ac:dyDescent="0.2">
      <c r="A575" t="s">
        <v>225</v>
      </c>
      <c r="B575" t="s">
        <v>226</v>
      </c>
      <c r="C575" t="s">
        <v>5293</v>
      </c>
      <c r="D575" t="str">
        <f>TRIM(alias[[#This Row],[Column3]])</f>
        <v>BISI International</v>
      </c>
      <c r="F575" t="str">
        <f t="shared" si="8"/>
        <v>INSERT INTO stock_alias (stock, alias) VALUES ((SELECT id FROM stock WHERE ticker = 'BISI'), 'BISI International') ON CONFLICT DO NOTHING;</v>
      </c>
    </row>
    <row r="576" spans="1:6" x14ac:dyDescent="0.2">
      <c r="A576" t="s">
        <v>225</v>
      </c>
      <c r="B576" t="s">
        <v>226</v>
      </c>
      <c r="C576" t="s">
        <v>5294</v>
      </c>
      <c r="D576" t="str">
        <f>TRIM(alias[[#This Row],[Column3]])</f>
        <v>BISI International Tbk</v>
      </c>
      <c r="F576" t="str">
        <f t="shared" si="8"/>
        <v>INSERT INTO stock_alias (stock, alias) VALUES ((SELECT id FROM stock WHERE ticker = 'BISI'), 'BISI International Tbk') ON CONFLICT DO NOTHING;</v>
      </c>
    </row>
    <row r="577" spans="1:6" x14ac:dyDescent="0.2">
      <c r="A577" t="s">
        <v>225</v>
      </c>
      <c r="B577" t="s">
        <v>226</v>
      </c>
      <c r="C577" t="s">
        <v>5295</v>
      </c>
      <c r="D577" t="str">
        <f>TRIM(alias[[#This Row],[Column3]])</f>
        <v>PT BISI International</v>
      </c>
      <c r="F577" t="str">
        <f t="shared" si="8"/>
        <v>INSERT INTO stock_alias (stock, alias) VALUES ((SELECT id FROM stock WHERE ticker = 'BISI'), 'PT BISI International') ON CONFLICT DO NOTHING;</v>
      </c>
    </row>
    <row r="578" spans="1:6" x14ac:dyDescent="0.2">
      <c r="A578" t="s">
        <v>228</v>
      </c>
      <c r="B578" t="s">
        <v>3525</v>
      </c>
      <c r="C578" t="s">
        <v>228</v>
      </c>
      <c r="D578" t="str">
        <f>TRIM(alias[[#This Row],[Column3]])</f>
        <v>BJBR</v>
      </c>
      <c r="F578" t="str">
        <f t="shared" si="8"/>
        <v>INSERT INTO stock_alias (stock, alias) VALUES ((SELECT id FROM stock WHERE ticker = 'BJBR'), 'BJBR') ON CONFLICT DO NOTHING;</v>
      </c>
    </row>
    <row r="579" spans="1:6" x14ac:dyDescent="0.2">
      <c r="A579" t="s">
        <v>228</v>
      </c>
      <c r="B579" t="s">
        <v>3525</v>
      </c>
      <c r="C579" t="s">
        <v>5296</v>
      </c>
      <c r="D579" t="str">
        <f>TRIM(alias[[#This Row],[Column3]])</f>
        <v>BJB</v>
      </c>
      <c r="F579" t="str">
        <f t="shared" ref="F579:F642" si="9">_xlfn.CONCAT($F$1, _xlfn.CONCAT($G$1, A579, "'), '", D579, "') ON CONFLICT DO NOTHING;"))</f>
        <v>INSERT INTO stock_alias (stock, alias) VALUES ((SELECT id FROM stock WHERE ticker = 'BJBR'), 'BJB') ON CONFLICT DO NOTHING;</v>
      </c>
    </row>
    <row r="580" spans="1:6" x14ac:dyDescent="0.2">
      <c r="A580" t="s">
        <v>228</v>
      </c>
      <c r="B580" t="s">
        <v>3525</v>
      </c>
      <c r="C580" t="s">
        <v>5297</v>
      </c>
      <c r="D580" t="str">
        <f>TRIM(alias[[#This Row],[Column3]])</f>
        <v>Bank BJB</v>
      </c>
      <c r="F580" t="str">
        <f t="shared" si="9"/>
        <v>INSERT INTO stock_alias (stock, alias) VALUES ((SELECT id FROM stock WHERE ticker = 'BJBR'), 'Bank BJB') ON CONFLICT DO NOTHING;</v>
      </c>
    </row>
    <row r="581" spans="1:6" x14ac:dyDescent="0.2">
      <c r="A581" t="s">
        <v>228</v>
      </c>
      <c r="B581" t="s">
        <v>3525</v>
      </c>
      <c r="C581" t="s">
        <v>5298</v>
      </c>
      <c r="D581" t="str">
        <f>TRIM(alias[[#This Row],[Column3]])</f>
        <v>Bank Jabar</v>
      </c>
      <c r="F581" t="str">
        <f t="shared" si="9"/>
        <v>INSERT INTO stock_alias (stock, alias) VALUES ((SELECT id FROM stock WHERE ticker = 'BJBR'), 'Bank Jabar') ON CONFLICT DO NOTHING;</v>
      </c>
    </row>
    <row r="582" spans="1:6" x14ac:dyDescent="0.2">
      <c r="A582" t="s">
        <v>228</v>
      </c>
      <c r="B582" t="s">
        <v>3525</v>
      </c>
      <c r="C582" t="s">
        <v>5299</v>
      </c>
      <c r="D582" t="str">
        <f>TRIM(alias[[#This Row],[Column3]])</f>
        <v>Bank Pembangunan Daerah Jawa Barat dan Banten</v>
      </c>
      <c r="F582" t="str">
        <f t="shared" si="9"/>
        <v>INSERT INTO stock_alias (stock, alias) VALUES ((SELECT id FROM stock WHERE ticker = 'BJBR'), 'Bank Pembangunan Daerah Jawa Barat dan Banten') ON CONFLICT DO NOTHING;</v>
      </c>
    </row>
    <row r="583" spans="1:6" x14ac:dyDescent="0.2">
      <c r="A583" t="s">
        <v>228</v>
      </c>
      <c r="B583" t="s">
        <v>3525</v>
      </c>
      <c r="C583" t="s">
        <v>5300</v>
      </c>
      <c r="D583" t="str">
        <f>TRIM(alias[[#This Row],[Column3]])</f>
        <v>Bank Pembangunan Daerah Jawa Barat dan Banten Tbk</v>
      </c>
      <c r="F583" t="str">
        <f t="shared" si="9"/>
        <v>INSERT INTO stock_alias (stock, alias) VALUES ((SELECT id FROM stock WHERE ticker = 'BJBR'), 'Bank Pembangunan Daerah Jawa Barat dan Banten Tbk') ON CONFLICT DO NOTHING;</v>
      </c>
    </row>
    <row r="584" spans="1:6" x14ac:dyDescent="0.2">
      <c r="A584" t="s">
        <v>228</v>
      </c>
      <c r="B584" t="s">
        <v>3525</v>
      </c>
      <c r="C584" t="s">
        <v>5301</v>
      </c>
      <c r="D584" t="str">
        <f>TRIM(alias[[#This Row],[Column3]])</f>
        <v>PT Bank Pembangunan Daerah Jawa Barat dan Banten</v>
      </c>
      <c r="F584" t="str">
        <f t="shared" si="9"/>
        <v>INSERT INTO stock_alias (stock, alias) VALUES ((SELECT id FROM stock WHERE ticker = 'BJBR'), 'PT Bank Pembangunan Daerah Jawa Barat dan Banten') ON CONFLICT DO NOTHING;</v>
      </c>
    </row>
    <row r="585" spans="1:6" x14ac:dyDescent="0.2">
      <c r="A585" t="s">
        <v>230</v>
      </c>
      <c r="B585" t="s">
        <v>3526</v>
      </c>
      <c r="C585" t="s">
        <v>230</v>
      </c>
      <c r="D585" t="str">
        <f>TRIM(alias[[#This Row],[Column3]])</f>
        <v>BJTM</v>
      </c>
      <c r="F585" t="str">
        <f t="shared" si="9"/>
        <v>INSERT INTO stock_alias (stock, alias) VALUES ((SELECT id FROM stock WHERE ticker = 'BJTM'), 'BJTM') ON CONFLICT DO NOTHING;</v>
      </c>
    </row>
    <row r="586" spans="1:6" x14ac:dyDescent="0.2">
      <c r="A586" t="s">
        <v>230</v>
      </c>
      <c r="B586" t="s">
        <v>3526</v>
      </c>
      <c r="C586" t="s">
        <v>5302</v>
      </c>
      <c r="D586" t="str">
        <f>TRIM(alias[[#This Row],[Column3]])</f>
        <v>Bank Jatim</v>
      </c>
      <c r="F586" t="str">
        <f t="shared" si="9"/>
        <v>INSERT INTO stock_alias (stock, alias) VALUES ((SELECT id FROM stock WHERE ticker = 'BJTM'), 'Bank Jatim') ON CONFLICT DO NOTHING;</v>
      </c>
    </row>
    <row r="587" spans="1:6" x14ac:dyDescent="0.2">
      <c r="A587" t="s">
        <v>230</v>
      </c>
      <c r="B587" t="s">
        <v>3526</v>
      </c>
      <c r="C587" t="s">
        <v>5303</v>
      </c>
      <c r="D587" t="str">
        <f>TRIM(alias[[#This Row],[Column3]])</f>
        <v>Bank Pembangunan Daerah Jawa Timur</v>
      </c>
      <c r="F587" t="str">
        <f t="shared" si="9"/>
        <v>INSERT INTO stock_alias (stock, alias) VALUES ((SELECT id FROM stock WHERE ticker = 'BJTM'), 'Bank Pembangunan Daerah Jawa Timur') ON CONFLICT DO NOTHING;</v>
      </c>
    </row>
    <row r="588" spans="1:6" x14ac:dyDescent="0.2">
      <c r="A588" t="s">
        <v>230</v>
      </c>
      <c r="B588" t="s">
        <v>3526</v>
      </c>
      <c r="C588" t="s">
        <v>5304</v>
      </c>
      <c r="D588" t="str">
        <f>TRIM(alias[[#This Row],[Column3]])</f>
        <v>Bank Pembangunan Daerah Jawa Timur Tbk</v>
      </c>
      <c r="F588" t="str">
        <f t="shared" si="9"/>
        <v>INSERT INTO stock_alias (stock, alias) VALUES ((SELECT id FROM stock WHERE ticker = 'BJTM'), 'Bank Pembangunan Daerah Jawa Timur Tbk') ON CONFLICT DO NOTHING;</v>
      </c>
    </row>
    <row r="589" spans="1:6" x14ac:dyDescent="0.2">
      <c r="A589" t="s">
        <v>230</v>
      </c>
      <c r="B589" t="s">
        <v>3526</v>
      </c>
      <c r="C589" t="s">
        <v>5305</v>
      </c>
      <c r="D589" t="str">
        <f>TRIM(alias[[#This Row],[Column3]])</f>
        <v>PT Bank Pembangunan Daerah Jawa Timur</v>
      </c>
      <c r="F589" t="str">
        <f t="shared" si="9"/>
        <v>INSERT INTO stock_alias (stock, alias) VALUES ((SELECT id FROM stock WHERE ticker = 'BJTM'), 'PT Bank Pembangunan Daerah Jawa Timur') ON CONFLICT DO NOTHING;</v>
      </c>
    </row>
    <row r="590" spans="1:6" x14ac:dyDescent="0.2">
      <c r="A590" t="s">
        <v>232</v>
      </c>
      <c r="B590" t="s">
        <v>3527</v>
      </c>
      <c r="C590" t="s">
        <v>232</v>
      </c>
      <c r="D590" t="str">
        <f>TRIM(alias[[#This Row],[Column3]])</f>
        <v>BKDP</v>
      </c>
      <c r="F590" t="str">
        <f t="shared" si="9"/>
        <v>INSERT INTO stock_alias (stock, alias) VALUES ((SELECT id FROM stock WHERE ticker = 'BKDP'), 'BKDP') ON CONFLICT DO NOTHING;</v>
      </c>
    </row>
    <row r="591" spans="1:6" x14ac:dyDescent="0.2">
      <c r="A591" t="s">
        <v>232</v>
      </c>
      <c r="B591" t="s">
        <v>3527</v>
      </c>
      <c r="C591" t="s">
        <v>5306</v>
      </c>
      <c r="D591" t="str">
        <f>TRIM(alias[[#This Row],[Column3]])</f>
        <v>Bukit Darmo Property</v>
      </c>
      <c r="F591" t="str">
        <f t="shared" si="9"/>
        <v>INSERT INTO stock_alias (stock, alias) VALUES ((SELECT id FROM stock WHERE ticker = 'BKDP'), 'Bukit Darmo Property') ON CONFLICT DO NOTHING;</v>
      </c>
    </row>
    <row r="592" spans="1:6" x14ac:dyDescent="0.2">
      <c r="A592" t="s">
        <v>232</v>
      </c>
      <c r="B592" t="s">
        <v>3527</v>
      </c>
      <c r="C592" t="s">
        <v>5307</v>
      </c>
      <c r="D592" t="str">
        <f>TRIM(alias[[#This Row],[Column3]])</f>
        <v>Bukit Darmo Property Tbk</v>
      </c>
      <c r="F592" t="str">
        <f t="shared" si="9"/>
        <v>INSERT INTO stock_alias (stock, alias) VALUES ((SELECT id FROM stock WHERE ticker = 'BKDP'), 'Bukit Darmo Property Tbk') ON CONFLICT DO NOTHING;</v>
      </c>
    </row>
    <row r="593" spans="1:6" x14ac:dyDescent="0.2">
      <c r="A593" t="s">
        <v>232</v>
      </c>
      <c r="B593" t="s">
        <v>3527</v>
      </c>
      <c r="C593" t="s">
        <v>5308</v>
      </c>
      <c r="D593" t="str">
        <f>TRIM(alias[[#This Row],[Column3]])</f>
        <v>PT Bukit Darmo Property</v>
      </c>
      <c r="F593" t="str">
        <f t="shared" si="9"/>
        <v>INSERT INTO stock_alias (stock, alias) VALUES ((SELECT id FROM stock WHERE ticker = 'BKDP'), 'PT Bukit Darmo Property') ON CONFLICT DO NOTHING;</v>
      </c>
    </row>
    <row r="594" spans="1:6" x14ac:dyDescent="0.2">
      <c r="A594" t="s">
        <v>235</v>
      </c>
      <c r="B594" t="s">
        <v>236</v>
      </c>
      <c r="C594" t="s">
        <v>235</v>
      </c>
      <c r="D594" t="str">
        <f>TRIM(alias[[#This Row],[Column3]])</f>
        <v>BKSL</v>
      </c>
      <c r="F594" t="str">
        <f t="shared" si="9"/>
        <v>INSERT INTO stock_alias (stock, alias) VALUES ((SELECT id FROM stock WHERE ticker = 'BKSL'), 'BKSL') ON CONFLICT DO NOTHING;</v>
      </c>
    </row>
    <row r="595" spans="1:6" x14ac:dyDescent="0.2">
      <c r="A595" t="s">
        <v>235</v>
      </c>
      <c r="B595" t="s">
        <v>236</v>
      </c>
      <c r="C595" t="s">
        <v>5309</v>
      </c>
      <c r="D595" t="str">
        <f>TRIM(alias[[#This Row],[Column3]])</f>
        <v>PT Sentul City</v>
      </c>
      <c r="F595" t="str">
        <f t="shared" si="9"/>
        <v>INSERT INTO stock_alias (stock, alias) VALUES ((SELECT id FROM stock WHERE ticker = 'BKSL'), 'PT Sentul City') ON CONFLICT DO NOTHING;</v>
      </c>
    </row>
    <row r="596" spans="1:6" x14ac:dyDescent="0.2">
      <c r="A596" t="s">
        <v>235</v>
      </c>
      <c r="B596" t="s">
        <v>236</v>
      </c>
      <c r="C596" t="s">
        <v>5310</v>
      </c>
      <c r="D596" t="str">
        <f>TRIM(alias[[#This Row],[Column3]])</f>
        <v>Sentul City</v>
      </c>
      <c r="F596" t="str">
        <f t="shared" si="9"/>
        <v>INSERT INTO stock_alias (stock, alias) VALUES ((SELECT id FROM stock WHERE ticker = 'BKSL'), 'Sentul City') ON CONFLICT DO NOTHING;</v>
      </c>
    </row>
    <row r="597" spans="1:6" x14ac:dyDescent="0.2">
      <c r="A597" t="s">
        <v>235</v>
      </c>
      <c r="B597" t="s">
        <v>236</v>
      </c>
      <c r="C597" t="s">
        <v>5311</v>
      </c>
      <c r="D597" t="str">
        <f>TRIM(alias[[#This Row],[Column3]])</f>
        <v>Sentul City Tbk</v>
      </c>
      <c r="F597" t="str">
        <f t="shared" si="9"/>
        <v>INSERT INTO stock_alias (stock, alias) VALUES ((SELECT id FROM stock WHERE ticker = 'BKSL'), 'Sentul City Tbk') ON CONFLICT DO NOTHING;</v>
      </c>
    </row>
    <row r="598" spans="1:6" x14ac:dyDescent="0.2">
      <c r="A598" t="s">
        <v>238</v>
      </c>
      <c r="B598" t="s">
        <v>239</v>
      </c>
      <c r="C598" t="s">
        <v>238</v>
      </c>
      <c r="D598" t="str">
        <f>TRIM(alias[[#This Row],[Column3]])</f>
        <v>BKSW</v>
      </c>
      <c r="F598" t="str">
        <f t="shared" si="9"/>
        <v>INSERT INTO stock_alias (stock, alias) VALUES ((SELECT id FROM stock WHERE ticker = 'BKSW'), 'BKSW') ON CONFLICT DO NOTHING;</v>
      </c>
    </row>
    <row r="599" spans="1:6" x14ac:dyDescent="0.2">
      <c r="A599" t="s">
        <v>238</v>
      </c>
      <c r="B599" t="s">
        <v>239</v>
      </c>
      <c r="C599" t="s">
        <v>5312</v>
      </c>
      <c r="D599" t="str">
        <f>TRIM(alias[[#This Row],[Column3]])</f>
        <v>Bank QNB Indonesia</v>
      </c>
      <c r="F599" t="str">
        <f t="shared" si="9"/>
        <v>INSERT INTO stock_alias (stock, alias) VALUES ((SELECT id FROM stock WHERE ticker = 'BKSW'), 'Bank QNB Indonesia') ON CONFLICT DO NOTHING;</v>
      </c>
    </row>
    <row r="600" spans="1:6" x14ac:dyDescent="0.2">
      <c r="A600" t="s">
        <v>238</v>
      </c>
      <c r="B600" t="s">
        <v>239</v>
      </c>
      <c r="C600" t="s">
        <v>5313</v>
      </c>
      <c r="D600" t="str">
        <f>TRIM(alias[[#This Row],[Column3]])</f>
        <v>Bank QNB Indonesia Tbk</v>
      </c>
      <c r="F600" t="str">
        <f t="shared" si="9"/>
        <v>INSERT INTO stock_alias (stock, alias) VALUES ((SELECT id FROM stock WHERE ticker = 'BKSW'), 'Bank QNB Indonesia Tbk') ON CONFLICT DO NOTHING;</v>
      </c>
    </row>
    <row r="601" spans="1:6" x14ac:dyDescent="0.2">
      <c r="A601" t="s">
        <v>238</v>
      </c>
      <c r="B601" t="s">
        <v>239</v>
      </c>
      <c r="C601" t="s">
        <v>5314</v>
      </c>
      <c r="D601" t="str">
        <f>TRIM(alias[[#This Row],[Column3]])</f>
        <v>PT Bank QNB Indonesia</v>
      </c>
      <c r="F601" t="str">
        <f t="shared" si="9"/>
        <v>INSERT INTO stock_alias (stock, alias) VALUES ((SELECT id FROM stock WHERE ticker = 'BKSW'), 'PT Bank QNB Indonesia') ON CONFLICT DO NOTHING;</v>
      </c>
    </row>
    <row r="602" spans="1:6" x14ac:dyDescent="0.2">
      <c r="A602" t="s">
        <v>2477</v>
      </c>
      <c r="B602" t="s">
        <v>2478</v>
      </c>
      <c r="C602" t="s">
        <v>2477</v>
      </c>
      <c r="D602" t="str">
        <f>TRIM(alias[[#This Row],[Column3]])</f>
        <v>BLES</v>
      </c>
      <c r="F602" t="str">
        <f t="shared" si="9"/>
        <v>INSERT INTO stock_alias (stock, alias) VALUES ((SELECT id FROM stock WHERE ticker = 'BLES'), 'BLES') ON CONFLICT DO NOTHING;</v>
      </c>
    </row>
    <row r="603" spans="1:6" x14ac:dyDescent="0.2">
      <c r="A603" t="s">
        <v>2477</v>
      </c>
      <c r="B603" t="s">
        <v>2478</v>
      </c>
      <c r="C603" t="s">
        <v>5315</v>
      </c>
      <c r="D603" t="str">
        <f>TRIM(alias[[#This Row],[Column3]])</f>
        <v>PT Superior Prima Sukses</v>
      </c>
      <c r="F603" t="str">
        <f t="shared" si="9"/>
        <v>INSERT INTO stock_alias (stock, alias) VALUES ((SELECT id FROM stock WHERE ticker = 'BLES'), 'PT Superior Prima Sukses') ON CONFLICT DO NOTHING;</v>
      </c>
    </row>
    <row r="604" spans="1:6" x14ac:dyDescent="0.2">
      <c r="A604" t="s">
        <v>2477</v>
      </c>
      <c r="B604" t="s">
        <v>2478</v>
      </c>
      <c r="C604" t="s">
        <v>5316</v>
      </c>
      <c r="D604" t="str">
        <f>TRIM(alias[[#This Row],[Column3]])</f>
        <v>Superior Prima Sukses</v>
      </c>
      <c r="F604" t="str">
        <f t="shared" si="9"/>
        <v>INSERT INTO stock_alias (stock, alias) VALUES ((SELECT id FROM stock WHERE ticker = 'BLES'), 'Superior Prima Sukses') ON CONFLICT DO NOTHING;</v>
      </c>
    </row>
    <row r="605" spans="1:6" x14ac:dyDescent="0.2">
      <c r="A605" t="s">
        <v>2477</v>
      </c>
      <c r="B605" t="s">
        <v>2478</v>
      </c>
      <c r="C605" t="s">
        <v>5317</v>
      </c>
      <c r="D605" t="str">
        <f>TRIM(alias[[#This Row],[Column3]])</f>
        <v>Superior Prima Sukses Tbk</v>
      </c>
      <c r="F605" t="str">
        <f t="shared" si="9"/>
        <v>INSERT INTO stock_alias (stock, alias) VALUES ((SELECT id FROM stock WHERE ticker = 'BLES'), 'Superior Prima Sukses Tbk') ON CONFLICT DO NOTHING;</v>
      </c>
    </row>
    <row r="606" spans="1:6" x14ac:dyDescent="0.2">
      <c r="A606" t="s">
        <v>2547</v>
      </c>
      <c r="B606" t="s">
        <v>2548</v>
      </c>
      <c r="C606" t="s">
        <v>2547</v>
      </c>
      <c r="D606" t="str">
        <f>TRIM(alias[[#This Row],[Column3]])</f>
        <v>BLOG</v>
      </c>
      <c r="F606" t="str">
        <f t="shared" si="9"/>
        <v>INSERT INTO stock_alias (stock, alias) VALUES ((SELECT id FROM stock WHERE ticker = 'BLOG'), 'BLOG') ON CONFLICT DO NOTHING;</v>
      </c>
    </row>
    <row r="607" spans="1:6" x14ac:dyDescent="0.2">
      <c r="A607" t="s">
        <v>2547</v>
      </c>
      <c r="B607" t="s">
        <v>2548</v>
      </c>
      <c r="C607" t="s">
        <v>5318</v>
      </c>
      <c r="D607" t="str">
        <f>TRIM(alias[[#This Row],[Column3]])</f>
        <v>PT Trimitra Trans Persada</v>
      </c>
      <c r="F607" t="str">
        <f t="shared" si="9"/>
        <v>INSERT INTO stock_alias (stock, alias) VALUES ((SELECT id FROM stock WHERE ticker = 'BLOG'), 'PT Trimitra Trans Persada') ON CONFLICT DO NOTHING;</v>
      </c>
    </row>
    <row r="608" spans="1:6" x14ac:dyDescent="0.2">
      <c r="A608" t="s">
        <v>2547</v>
      </c>
      <c r="B608" t="s">
        <v>2548</v>
      </c>
      <c r="C608" t="s">
        <v>5319</v>
      </c>
      <c r="D608" t="str">
        <f>TRIM(alias[[#This Row],[Column3]])</f>
        <v>Trimitra Trans Persada</v>
      </c>
      <c r="F608" t="str">
        <f t="shared" si="9"/>
        <v>INSERT INTO stock_alias (stock, alias) VALUES ((SELECT id FROM stock WHERE ticker = 'BLOG'), 'Trimitra Trans Persada') ON CONFLICT DO NOTHING;</v>
      </c>
    </row>
    <row r="609" spans="1:6" x14ac:dyDescent="0.2">
      <c r="A609" t="s">
        <v>2547</v>
      </c>
      <c r="B609" t="s">
        <v>2548</v>
      </c>
      <c r="C609" t="s">
        <v>5320</v>
      </c>
      <c r="D609" t="str">
        <f>TRIM(alias[[#This Row],[Column3]])</f>
        <v>Trimitra Trans Persada Tbk</v>
      </c>
      <c r="F609" t="str">
        <f t="shared" si="9"/>
        <v>INSERT INTO stock_alias (stock, alias) VALUES ((SELECT id FROM stock WHERE ticker = 'BLOG'), 'Trimitra Trans Persada Tbk') ON CONFLICT DO NOTHING;</v>
      </c>
    </row>
    <row r="610" spans="1:6" x14ac:dyDescent="0.2">
      <c r="A610" t="s">
        <v>241</v>
      </c>
      <c r="B610" t="s">
        <v>3528</v>
      </c>
      <c r="C610" t="s">
        <v>241</v>
      </c>
      <c r="D610" t="str">
        <f>TRIM(alias[[#This Row],[Column3]])</f>
        <v>BLTA</v>
      </c>
      <c r="F610" t="str">
        <f t="shared" si="9"/>
        <v>INSERT INTO stock_alias (stock, alias) VALUES ((SELECT id FROM stock WHERE ticker = 'BLTA'), 'BLTA') ON CONFLICT DO NOTHING;</v>
      </c>
    </row>
    <row r="611" spans="1:6" x14ac:dyDescent="0.2">
      <c r="A611" t="s">
        <v>241</v>
      </c>
      <c r="B611" t="s">
        <v>3528</v>
      </c>
      <c r="C611" t="s">
        <v>5321</v>
      </c>
      <c r="D611" t="str">
        <f>TRIM(alias[[#This Row],[Column3]])</f>
        <v>Berlian Laju Tanker</v>
      </c>
      <c r="F611" t="str">
        <f t="shared" si="9"/>
        <v>INSERT INTO stock_alias (stock, alias) VALUES ((SELECT id FROM stock WHERE ticker = 'BLTA'), 'Berlian Laju Tanker') ON CONFLICT DO NOTHING;</v>
      </c>
    </row>
    <row r="612" spans="1:6" x14ac:dyDescent="0.2">
      <c r="A612" t="s">
        <v>241</v>
      </c>
      <c r="B612" t="s">
        <v>3528</v>
      </c>
      <c r="C612" t="s">
        <v>5322</v>
      </c>
      <c r="D612" t="str">
        <f>TRIM(alias[[#This Row],[Column3]])</f>
        <v>Berlian Laju Tanker Tbk</v>
      </c>
      <c r="F612" t="str">
        <f t="shared" si="9"/>
        <v>INSERT INTO stock_alias (stock, alias) VALUES ((SELECT id FROM stock WHERE ticker = 'BLTA'), 'Berlian Laju Tanker Tbk') ON CONFLICT DO NOTHING;</v>
      </c>
    </row>
    <row r="613" spans="1:6" x14ac:dyDescent="0.2">
      <c r="A613" t="s">
        <v>241</v>
      </c>
      <c r="B613" t="s">
        <v>3528</v>
      </c>
      <c r="C613" t="s">
        <v>5323</v>
      </c>
      <c r="D613" t="str">
        <f>TRIM(alias[[#This Row],[Column3]])</f>
        <v>PT Berlian Laju Tanker</v>
      </c>
      <c r="F613" t="str">
        <f t="shared" si="9"/>
        <v>INSERT INTO stock_alias (stock, alias) VALUES ((SELECT id FROM stock WHERE ticker = 'BLTA'), 'PT Berlian Laju Tanker') ON CONFLICT DO NOTHING;</v>
      </c>
    </row>
    <row r="614" spans="1:6" x14ac:dyDescent="0.2">
      <c r="A614" t="s">
        <v>244</v>
      </c>
      <c r="B614" t="s">
        <v>245</v>
      </c>
      <c r="C614" t="s">
        <v>244</v>
      </c>
      <c r="D614" t="str">
        <f>TRIM(alias[[#This Row],[Column3]])</f>
        <v>BLTZ</v>
      </c>
      <c r="F614" t="str">
        <f t="shared" si="9"/>
        <v>INSERT INTO stock_alias (stock, alias) VALUES ((SELECT id FROM stock WHERE ticker = 'BLTZ'), 'BLTZ') ON CONFLICT DO NOTHING;</v>
      </c>
    </row>
    <row r="615" spans="1:6" x14ac:dyDescent="0.2">
      <c r="A615" t="s">
        <v>244</v>
      </c>
      <c r="B615" t="s">
        <v>245</v>
      </c>
      <c r="C615" t="s">
        <v>5324</v>
      </c>
      <c r="D615" t="str">
        <f>TRIM(alias[[#This Row],[Column3]])</f>
        <v>Graha Layar Prima</v>
      </c>
      <c r="F615" t="str">
        <f t="shared" si="9"/>
        <v>INSERT INTO stock_alias (stock, alias) VALUES ((SELECT id FROM stock WHERE ticker = 'BLTZ'), 'Graha Layar Prima') ON CONFLICT DO NOTHING;</v>
      </c>
    </row>
    <row r="616" spans="1:6" x14ac:dyDescent="0.2">
      <c r="A616" t="s">
        <v>244</v>
      </c>
      <c r="B616" t="s">
        <v>245</v>
      </c>
      <c r="C616" t="s">
        <v>5325</v>
      </c>
      <c r="D616" t="str">
        <f>TRIM(alias[[#This Row],[Column3]])</f>
        <v>Graha Layar Prima Tbk</v>
      </c>
      <c r="F616" t="str">
        <f t="shared" si="9"/>
        <v>INSERT INTO stock_alias (stock, alias) VALUES ((SELECT id FROM stock WHERE ticker = 'BLTZ'), 'Graha Layar Prima Tbk') ON CONFLICT DO NOTHING;</v>
      </c>
    </row>
    <row r="617" spans="1:6" x14ac:dyDescent="0.2">
      <c r="A617" t="s">
        <v>244</v>
      </c>
      <c r="B617" t="s">
        <v>245</v>
      </c>
      <c r="C617" t="s">
        <v>5326</v>
      </c>
      <c r="D617" t="str">
        <f>TRIM(alias[[#This Row],[Column3]])</f>
        <v>PT Graha Layar Prima</v>
      </c>
      <c r="F617" t="str">
        <f t="shared" si="9"/>
        <v>INSERT INTO stock_alias (stock, alias) VALUES ((SELECT id FROM stock WHERE ticker = 'BLTZ'), 'PT Graha Layar Prima') ON CONFLICT DO NOTHING;</v>
      </c>
    </row>
    <row r="618" spans="1:6" x14ac:dyDescent="0.2">
      <c r="A618" t="s">
        <v>1703</v>
      </c>
      <c r="B618" t="s">
        <v>1704</v>
      </c>
      <c r="C618" t="s">
        <v>1703</v>
      </c>
      <c r="D618" t="str">
        <f>TRIM(alias[[#This Row],[Column3]])</f>
        <v>BLUE</v>
      </c>
      <c r="F618" t="str">
        <f t="shared" si="9"/>
        <v>INSERT INTO stock_alias (stock, alias) VALUES ((SELECT id FROM stock WHERE ticker = 'BLUE'), 'BLUE') ON CONFLICT DO NOTHING;</v>
      </c>
    </row>
    <row r="619" spans="1:6" x14ac:dyDescent="0.2">
      <c r="A619" t="s">
        <v>1703</v>
      </c>
      <c r="B619" t="s">
        <v>1704</v>
      </c>
      <c r="C619" t="s">
        <v>5327</v>
      </c>
      <c r="D619" t="str">
        <f>TRIM(alias[[#This Row],[Column3]])</f>
        <v>Berkah Prima Perkasa</v>
      </c>
      <c r="F619" t="str">
        <f t="shared" si="9"/>
        <v>INSERT INTO stock_alias (stock, alias) VALUES ((SELECT id FROM stock WHERE ticker = 'BLUE'), 'Berkah Prima Perkasa') ON CONFLICT DO NOTHING;</v>
      </c>
    </row>
    <row r="620" spans="1:6" x14ac:dyDescent="0.2">
      <c r="A620" t="s">
        <v>1703</v>
      </c>
      <c r="B620" t="s">
        <v>1704</v>
      </c>
      <c r="C620" t="s">
        <v>5328</v>
      </c>
      <c r="D620" t="str">
        <f>TRIM(alias[[#This Row],[Column3]])</f>
        <v>Berkah Prima Perkasa Tbk</v>
      </c>
      <c r="F620" t="str">
        <f t="shared" si="9"/>
        <v>INSERT INTO stock_alias (stock, alias) VALUES ((SELECT id FROM stock WHERE ticker = 'BLUE'), 'Berkah Prima Perkasa Tbk') ON CONFLICT DO NOTHING;</v>
      </c>
    </row>
    <row r="621" spans="1:6" x14ac:dyDescent="0.2">
      <c r="A621" t="s">
        <v>1703</v>
      </c>
      <c r="B621" t="s">
        <v>1704</v>
      </c>
      <c r="C621" t="s">
        <v>5329</v>
      </c>
      <c r="D621" t="str">
        <f>TRIM(alias[[#This Row],[Column3]])</f>
        <v>PT Berkah Prima Perkasa</v>
      </c>
      <c r="F621" t="str">
        <f t="shared" si="9"/>
        <v>INSERT INTO stock_alias (stock, alias) VALUES ((SELECT id FROM stock WHERE ticker = 'BLUE'), 'PT Berkah Prima Perkasa') ON CONFLICT DO NOTHING;</v>
      </c>
    </row>
    <row r="622" spans="1:6" x14ac:dyDescent="0.2">
      <c r="A622" t="s">
        <v>247</v>
      </c>
      <c r="B622" t="s">
        <v>248</v>
      </c>
      <c r="C622" t="s">
        <v>247</v>
      </c>
      <c r="D622" t="str">
        <f>TRIM(alias[[#This Row],[Column3]])</f>
        <v>BMAS</v>
      </c>
      <c r="F622" t="str">
        <f t="shared" si="9"/>
        <v>INSERT INTO stock_alias (stock, alias) VALUES ((SELECT id FROM stock WHERE ticker = 'BMAS'), 'BMAS') ON CONFLICT DO NOTHING;</v>
      </c>
    </row>
    <row r="623" spans="1:6" x14ac:dyDescent="0.2">
      <c r="A623" t="s">
        <v>247</v>
      </c>
      <c r="B623" t="s">
        <v>248</v>
      </c>
      <c r="C623" t="s">
        <v>5330</v>
      </c>
      <c r="D623" t="str">
        <f>TRIM(alias[[#This Row],[Column3]])</f>
        <v>Bank Maspion Indonesia</v>
      </c>
      <c r="F623" t="str">
        <f t="shared" si="9"/>
        <v>INSERT INTO stock_alias (stock, alias) VALUES ((SELECT id FROM stock WHERE ticker = 'BMAS'), 'Bank Maspion Indonesia') ON CONFLICT DO NOTHING;</v>
      </c>
    </row>
    <row r="624" spans="1:6" x14ac:dyDescent="0.2">
      <c r="A624" t="s">
        <v>247</v>
      </c>
      <c r="B624" t="s">
        <v>248</v>
      </c>
      <c r="C624" t="s">
        <v>5331</v>
      </c>
      <c r="D624" t="str">
        <f>TRIM(alias[[#This Row],[Column3]])</f>
        <v>Bank Maspion Indonesia Tbk</v>
      </c>
      <c r="F624" t="str">
        <f t="shared" si="9"/>
        <v>INSERT INTO stock_alias (stock, alias) VALUES ((SELECT id FROM stock WHERE ticker = 'BMAS'), 'Bank Maspion Indonesia Tbk') ON CONFLICT DO NOTHING;</v>
      </c>
    </row>
    <row r="625" spans="1:6" x14ac:dyDescent="0.2">
      <c r="A625" t="s">
        <v>247</v>
      </c>
      <c r="B625" t="s">
        <v>248</v>
      </c>
      <c r="C625" t="s">
        <v>5332</v>
      </c>
      <c r="D625" t="str">
        <f>TRIM(alias[[#This Row],[Column3]])</f>
        <v>PT Bank Maspion Indonesia</v>
      </c>
      <c r="F625" t="str">
        <f t="shared" si="9"/>
        <v>INSERT INTO stock_alias (stock, alias) VALUES ((SELECT id FROM stock WHERE ticker = 'BMAS'), 'PT Bank Maspion Indonesia') ON CONFLICT DO NOTHING;</v>
      </c>
    </row>
    <row r="626" spans="1:6" x14ac:dyDescent="0.2">
      <c r="A626" t="s">
        <v>2235</v>
      </c>
      <c r="B626" t="s">
        <v>2236</v>
      </c>
      <c r="C626" t="s">
        <v>2235</v>
      </c>
      <c r="D626" t="str">
        <f>TRIM(alias[[#This Row],[Column3]])</f>
        <v>BMBL</v>
      </c>
      <c r="F626" t="str">
        <f t="shared" si="9"/>
        <v>INSERT INTO stock_alias (stock, alias) VALUES ((SELECT id FROM stock WHERE ticker = 'BMBL'), 'BMBL') ON CONFLICT DO NOTHING;</v>
      </c>
    </row>
    <row r="627" spans="1:6" x14ac:dyDescent="0.2">
      <c r="A627" t="s">
        <v>2235</v>
      </c>
      <c r="B627" t="s">
        <v>2236</v>
      </c>
      <c r="C627" t="s">
        <v>5333</v>
      </c>
      <c r="D627" t="str">
        <f>TRIM(alias[[#This Row],[Column3]])</f>
        <v>Lavender Bina Cendikia</v>
      </c>
      <c r="F627" t="str">
        <f t="shared" si="9"/>
        <v>INSERT INTO stock_alias (stock, alias) VALUES ((SELECT id FROM stock WHERE ticker = 'BMBL'), 'Lavender Bina Cendikia') ON CONFLICT DO NOTHING;</v>
      </c>
    </row>
    <row r="628" spans="1:6" x14ac:dyDescent="0.2">
      <c r="A628" t="s">
        <v>2235</v>
      </c>
      <c r="B628" t="s">
        <v>2236</v>
      </c>
      <c r="C628" t="s">
        <v>5334</v>
      </c>
      <c r="D628" t="str">
        <f>TRIM(alias[[#This Row],[Column3]])</f>
        <v>Lavender Bina Cendikia Tbk</v>
      </c>
      <c r="F628" t="str">
        <f t="shared" si="9"/>
        <v>INSERT INTO stock_alias (stock, alias) VALUES ((SELECT id FROM stock WHERE ticker = 'BMBL'), 'Lavender Bina Cendikia Tbk') ON CONFLICT DO NOTHING;</v>
      </c>
    </row>
    <row r="629" spans="1:6" x14ac:dyDescent="0.2">
      <c r="A629" t="s">
        <v>2235</v>
      </c>
      <c r="B629" t="s">
        <v>2236</v>
      </c>
      <c r="C629" t="s">
        <v>5335</v>
      </c>
      <c r="D629" t="str">
        <f>TRIM(alias[[#This Row],[Column3]])</f>
        <v>PT Lavender Bina Cendikia</v>
      </c>
      <c r="F629" t="str">
        <f t="shared" si="9"/>
        <v>INSERT INTO stock_alias (stock, alias) VALUES ((SELECT id FROM stock WHERE ticker = 'BMBL'), 'PT Lavender Bina Cendikia') ON CONFLICT DO NOTHING;</v>
      </c>
    </row>
    <row r="630" spans="1:6" x14ac:dyDescent="0.2">
      <c r="A630" t="s">
        <v>1969</v>
      </c>
      <c r="B630" t="s">
        <v>1970</v>
      </c>
      <c r="C630" t="s">
        <v>5336</v>
      </c>
      <c r="D630" t="str">
        <f>TRIM(alias[[#This Row],[Column3]])</f>
        <v>BMHS Tbk</v>
      </c>
      <c r="F630" t="str">
        <f t="shared" si="9"/>
        <v>INSERT INTO stock_alias (stock, alias) VALUES ((SELECT id FROM stock WHERE ticker = 'BMHS'), 'BMHS Tbk') ON CONFLICT DO NOTHING;</v>
      </c>
    </row>
    <row r="631" spans="1:6" x14ac:dyDescent="0.2">
      <c r="A631" t="s">
        <v>1969</v>
      </c>
      <c r="B631" t="s">
        <v>1970</v>
      </c>
      <c r="C631" t="s">
        <v>5337</v>
      </c>
      <c r="D631" t="str">
        <f>TRIM(alias[[#This Row],[Column3]])</f>
        <v>PT Bundamedik</v>
      </c>
      <c r="F631" t="str">
        <f t="shared" si="9"/>
        <v>INSERT INTO stock_alias (stock, alias) VALUES ((SELECT id FROM stock WHERE ticker = 'BMHS'), 'PT Bundamedik') ON CONFLICT DO NOTHING;</v>
      </c>
    </row>
    <row r="632" spans="1:6" x14ac:dyDescent="0.2">
      <c r="A632" t="s">
        <v>250</v>
      </c>
      <c r="B632" t="s">
        <v>251</v>
      </c>
      <c r="C632" t="s">
        <v>250</v>
      </c>
      <c r="D632" t="str">
        <f>TRIM(alias[[#This Row],[Column3]])</f>
        <v>BMRI</v>
      </c>
      <c r="F632" t="str">
        <f t="shared" si="9"/>
        <v>INSERT INTO stock_alias (stock, alias) VALUES ((SELECT id FROM stock WHERE ticker = 'BMRI'), 'BMRI') ON CONFLICT DO NOTHING;</v>
      </c>
    </row>
    <row r="633" spans="1:6" x14ac:dyDescent="0.2">
      <c r="A633" t="s">
        <v>250</v>
      </c>
      <c r="B633" t="s">
        <v>251</v>
      </c>
      <c r="C633" t="s">
        <v>5338</v>
      </c>
      <c r="D633" t="str">
        <f>TRIM(alias[[#This Row],[Column3]])</f>
        <v>Bank Mandiri (Persero)</v>
      </c>
      <c r="F633" t="str">
        <f t="shared" si="9"/>
        <v>INSERT INTO stock_alias (stock, alias) VALUES ((SELECT id FROM stock WHERE ticker = 'BMRI'), 'Bank Mandiri (Persero)') ON CONFLICT DO NOTHING;</v>
      </c>
    </row>
    <row r="634" spans="1:6" x14ac:dyDescent="0.2">
      <c r="A634" t="s">
        <v>250</v>
      </c>
      <c r="B634" t="s">
        <v>251</v>
      </c>
      <c r="C634" t="s">
        <v>5339</v>
      </c>
      <c r="D634" t="str">
        <f>TRIM(alias[[#This Row],[Column3]])</f>
        <v>Bank Mandiri (Persero) Tbk</v>
      </c>
      <c r="F634" t="str">
        <f t="shared" si="9"/>
        <v>INSERT INTO stock_alias (stock, alias) VALUES ((SELECT id FROM stock WHERE ticker = 'BMRI'), 'Bank Mandiri (Persero) Tbk') ON CONFLICT DO NOTHING;</v>
      </c>
    </row>
    <row r="635" spans="1:6" x14ac:dyDescent="0.2">
      <c r="A635" t="s">
        <v>250</v>
      </c>
      <c r="B635" t="s">
        <v>251</v>
      </c>
      <c r="C635" t="s">
        <v>5340</v>
      </c>
      <c r="D635" t="str">
        <f>TRIM(alias[[#This Row],[Column3]])</f>
        <v>PT Bank Mandiri (Persero)</v>
      </c>
      <c r="F635" t="str">
        <f t="shared" si="9"/>
        <v>INSERT INTO stock_alias (stock, alias) VALUES ((SELECT id FROM stock WHERE ticker = 'BMRI'), 'PT Bank Mandiri (Persero)') ON CONFLICT DO NOTHING;</v>
      </c>
    </row>
    <row r="636" spans="1:6" x14ac:dyDescent="0.2">
      <c r="A636" t="s">
        <v>253</v>
      </c>
      <c r="B636" t="s">
        <v>3529</v>
      </c>
      <c r="C636" t="s">
        <v>253</v>
      </c>
      <c r="D636" t="str">
        <f>TRIM(alias[[#This Row],[Column3]])</f>
        <v>BMSR</v>
      </c>
      <c r="F636" t="str">
        <f t="shared" si="9"/>
        <v>INSERT INTO stock_alias (stock, alias) VALUES ((SELECT id FROM stock WHERE ticker = 'BMSR'), 'BMSR') ON CONFLICT DO NOTHING;</v>
      </c>
    </row>
    <row r="637" spans="1:6" x14ac:dyDescent="0.2">
      <c r="A637" t="s">
        <v>253</v>
      </c>
      <c r="B637" t="s">
        <v>3529</v>
      </c>
      <c r="C637" t="s">
        <v>5341</v>
      </c>
      <c r="D637" t="str">
        <f>TRIM(alias[[#This Row],[Column3]])</f>
        <v>Bintang Mitra Semestaraya</v>
      </c>
      <c r="F637" t="str">
        <f t="shared" si="9"/>
        <v>INSERT INTO stock_alias (stock, alias) VALUES ((SELECT id FROM stock WHERE ticker = 'BMSR'), 'Bintang Mitra Semestaraya') ON CONFLICT DO NOTHING;</v>
      </c>
    </row>
    <row r="638" spans="1:6" x14ac:dyDescent="0.2">
      <c r="A638" t="s">
        <v>253</v>
      </c>
      <c r="B638" t="s">
        <v>3529</v>
      </c>
      <c r="C638" t="s">
        <v>5342</v>
      </c>
      <c r="D638" t="str">
        <f>TRIM(alias[[#This Row],[Column3]])</f>
        <v>Bintang Mitra Semestaraya Tbk</v>
      </c>
      <c r="F638" t="str">
        <f t="shared" si="9"/>
        <v>INSERT INTO stock_alias (stock, alias) VALUES ((SELECT id FROM stock WHERE ticker = 'BMSR'), 'Bintang Mitra Semestaraya Tbk') ON CONFLICT DO NOTHING;</v>
      </c>
    </row>
    <row r="639" spans="1:6" x14ac:dyDescent="0.2">
      <c r="A639" t="s">
        <v>253</v>
      </c>
      <c r="B639" t="s">
        <v>3529</v>
      </c>
      <c r="C639" t="s">
        <v>5343</v>
      </c>
      <c r="D639" t="str">
        <f>TRIM(alias[[#This Row],[Column3]])</f>
        <v>PT Bintang Mitra Semestaraya</v>
      </c>
      <c r="F639" t="str">
        <f t="shared" si="9"/>
        <v>INSERT INTO stock_alias (stock, alias) VALUES ((SELECT id FROM stock WHERE ticker = 'BMSR'), 'PT Bintang Mitra Semestaraya') ON CONFLICT DO NOTHING;</v>
      </c>
    </row>
    <row r="640" spans="1:6" x14ac:dyDescent="0.2">
      <c r="A640" t="s">
        <v>256</v>
      </c>
      <c r="B640" t="s">
        <v>257</v>
      </c>
      <c r="C640" t="s">
        <v>256</v>
      </c>
      <c r="D640" t="str">
        <f>TRIM(alias[[#This Row],[Column3]])</f>
        <v>BMTR</v>
      </c>
      <c r="F640" t="str">
        <f t="shared" si="9"/>
        <v>INSERT INTO stock_alias (stock, alias) VALUES ((SELECT id FROM stock WHERE ticker = 'BMTR'), 'BMTR') ON CONFLICT DO NOTHING;</v>
      </c>
    </row>
    <row r="641" spans="1:6" x14ac:dyDescent="0.2">
      <c r="A641" t="s">
        <v>256</v>
      </c>
      <c r="B641" t="s">
        <v>257</v>
      </c>
      <c r="C641" t="s">
        <v>5344</v>
      </c>
      <c r="D641" t="str">
        <f>TRIM(alias[[#This Row],[Column3]])</f>
        <v>Global Mediacom</v>
      </c>
      <c r="F641" t="str">
        <f t="shared" si="9"/>
        <v>INSERT INTO stock_alias (stock, alias) VALUES ((SELECT id FROM stock WHERE ticker = 'BMTR'), 'Global Mediacom') ON CONFLICT DO NOTHING;</v>
      </c>
    </row>
    <row r="642" spans="1:6" x14ac:dyDescent="0.2">
      <c r="A642" t="s">
        <v>256</v>
      </c>
      <c r="B642" t="s">
        <v>257</v>
      </c>
      <c r="C642" t="s">
        <v>5345</v>
      </c>
      <c r="D642" t="str">
        <f>TRIM(alias[[#This Row],[Column3]])</f>
        <v>Global Mediacom Tbk</v>
      </c>
      <c r="F642" t="str">
        <f t="shared" si="9"/>
        <v>INSERT INTO stock_alias (stock, alias) VALUES ((SELECT id FROM stock WHERE ticker = 'BMTR'), 'Global Mediacom Tbk') ON CONFLICT DO NOTHING;</v>
      </c>
    </row>
    <row r="643" spans="1:6" x14ac:dyDescent="0.2">
      <c r="A643" t="s">
        <v>256</v>
      </c>
      <c r="B643" t="s">
        <v>257</v>
      </c>
      <c r="C643" t="s">
        <v>5346</v>
      </c>
      <c r="D643" t="str">
        <f>TRIM(alias[[#This Row],[Column3]])</f>
        <v>PT Global Mediacom</v>
      </c>
      <c r="F643" t="str">
        <f t="shared" ref="F643:F706" si="10">_xlfn.CONCAT($F$1, _xlfn.CONCAT($G$1, A643, "'), '", D643, "') ON CONFLICT DO NOTHING;"))</f>
        <v>INSERT INTO stock_alias (stock, alias) VALUES ((SELECT id FROM stock WHERE ticker = 'BMTR'), 'PT Global Mediacom') ON CONFLICT DO NOTHING;</v>
      </c>
    </row>
    <row r="644" spans="1:6" x14ac:dyDescent="0.2">
      <c r="A644" t="s">
        <v>259</v>
      </c>
      <c r="B644" t="s">
        <v>260</v>
      </c>
      <c r="C644" t="s">
        <v>259</v>
      </c>
      <c r="D644" t="str">
        <f>TRIM(alias[[#This Row],[Column3]])</f>
        <v>BNBA</v>
      </c>
      <c r="F644" t="str">
        <f t="shared" si="10"/>
        <v>INSERT INTO stock_alias (stock, alias) VALUES ((SELECT id FROM stock WHERE ticker = 'BNBA'), 'BNBA') ON CONFLICT DO NOTHING;</v>
      </c>
    </row>
    <row r="645" spans="1:6" x14ac:dyDescent="0.2">
      <c r="A645" t="s">
        <v>259</v>
      </c>
      <c r="B645" t="s">
        <v>260</v>
      </c>
      <c r="C645" t="s">
        <v>5347</v>
      </c>
      <c r="D645" t="str">
        <f>TRIM(alias[[#This Row],[Column3]])</f>
        <v>Bank Bumi Arta</v>
      </c>
      <c r="F645" t="str">
        <f t="shared" si="10"/>
        <v>INSERT INTO stock_alias (stock, alias) VALUES ((SELECT id FROM stock WHERE ticker = 'BNBA'), 'Bank Bumi Arta') ON CONFLICT DO NOTHING;</v>
      </c>
    </row>
    <row r="646" spans="1:6" x14ac:dyDescent="0.2">
      <c r="A646" t="s">
        <v>259</v>
      </c>
      <c r="B646" t="s">
        <v>260</v>
      </c>
      <c r="C646" t="s">
        <v>5348</v>
      </c>
      <c r="D646" t="str">
        <f>TRIM(alias[[#This Row],[Column3]])</f>
        <v>Bank Bumi Arta Tbk</v>
      </c>
      <c r="F646" t="str">
        <f t="shared" si="10"/>
        <v>INSERT INTO stock_alias (stock, alias) VALUES ((SELECT id FROM stock WHERE ticker = 'BNBA'), 'Bank Bumi Arta Tbk') ON CONFLICT DO NOTHING;</v>
      </c>
    </row>
    <row r="647" spans="1:6" x14ac:dyDescent="0.2">
      <c r="A647" t="s">
        <v>259</v>
      </c>
      <c r="B647" t="s">
        <v>260</v>
      </c>
      <c r="C647" t="s">
        <v>5349</v>
      </c>
      <c r="D647" t="str">
        <f>TRIM(alias[[#This Row],[Column3]])</f>
        <v>PT Bank Bumi Arta</v>
      </c>
      <c r="F647" t="str">
        <f t="shared" si="10"/>
        <v>INSERT INTO stock_alias (stock, alias) VALUES ((SELECT id FROM stock WHERE ticker = 'BNBA'), 'PT Bank Bumi Arta') ON CONFLICT DO NOTHING;</v>
      </c>
    </row>
    <row r="648" spans="1:6" x14ac:dyDescent="0.2">
      <c r="A648" t="s">
        <v>262</v>
      </c>
      <c r="B648" t="s">
        <v>3530</v>
      </c>
      <c r="C648" t="s">
        <v>262</v>
      </c>
      <c r="D648" t="str">
        <f>TRIM(alias[[#This Row],[Column3]])</f>
        <v>BNBR</v>
      </c>
      <c r="F648" t="str">
        <f t="shared" si="10"/>
        <v>INSERT INTO stock_alias (stock, alias) VALUES ((SELECT id FROM stock WHERE ticker = 'BNBR'), 'BNBR') ON CONFLICT DO NOTHING;</v>
      </c>
    </row>
    <row r="649" spans="1:6" x14ac:dyDescent="0.2">
      <c r="A649" t="s">
        <v>262</v>
      </c>
      <c r="B649" t="s">
        <v>3530</v>
      </c>
      <c r="C649" t="s">
        <v>5350</v>
      </c>
      <c r="D649" t="str">
        <f>TRIM(alias[[#This Row],[Column3]])</f>
        <v>Bakrie &amp; Brothers</v>
      </c>
      <c r="F649" t="str">
        <f t="shared" si="10"/>
        <v>INSERT INTO stock_alias (stock, alias) VALUES ((SELECT id FROM stock WHERE ticker = 'BNBR'), 'Bakrie &amp; Brothers') ON CONFLICT DO NOTHING;</v>
      </c>
    </row>
    <row r="650" spans="1:6" x14ac:dyDescent="0.2">
      <c r="A650" t="s">
        <v>262</v>
      </c>
      <c r="B650" t="s">
        <v>3530</v>
      </c>
      <c r="C650" t="s">
        <v>5351</v>
      </c>
      <c r="D650" t="str">
        <f>TRIM(alias[[#This Row],[Column3]])</f>
        <v>Bakrie &amp; Brothers Tbk</v>
      </c>
      <c r="F650" t="str">
        <f t="shared" si="10"/>
        <v>INSERT INTO stock_alias (stock, alias) VALUES ((SELECT id FROM stock WHERE ticker = 'BNBR'), 'Bakrie &amp; Brothers Tbk') ON CONFLICT DO NOTHING;</v>
      </c>
    </row>
    <row r="651" spans="1:6" x14ac:dyDescent="0.2">
      <c r="A651" t="s">
        <v>262</v>
      </c>
      <c r="B651" t="s">
        <v>3530</v>
      </c>
      <c r="C651" t="s">
        <v>5352</v>
      </c>
      <c r="D651" t="str">
        <f>TRIM(alias[[#This Row],[Column3]])</f>
        <v>PT Bakrie &amp; Brothers</v>
      </c>
      <c r="F651" t="str">
        <f t="shared" si="10"/>
        <v>INSERT INTO stock_alias (stock, alias) VALUES ((SELECT id FROM stock WHERE ticker = 'BNBR'), 'PT Bakrie &amp; Brothers') ON CONFLICT DO NOTHING;</v>
      </c>
    </row>
    <row r="652" spans="1:6" x14ac:dyDescent="0.2">
      <c r="A652" t="s">
        <v>265</v>
      </c>
      <c r="B652" t="s">
        <v>266</v>
      </c>
      <c r="C652" t="s">
        <v>265</v>
      </c>
      <c r="D652" t="str">
        <f>TRIM(alias[[#This Row],[Column3]])</f>
        <v>BNGA</v>
      </c>
      <c r="F652" t="str">
        <f t="shared" si="10"/>
        <v>INSERT INTO stock_alias (stock, alias) VALUES ((SELECT id FROM stock WHERE ticker = 'BNGA'), 'BNGA') ON CONFLICT DO NOTHING;</v>
      </c>
    </row>
    <row r="653" spans="1:6" x14ac:dyDescent="0.2">
      <c r="A653" t="s">
        <v>265</v>
      </c>
      <c r="B653" t="s">
        <v>266</v>
      </c>
      <c r="C653" t="s">
        <v>5353</v>
      </c>
      <c r="D653" t="str">
        <f>TRIM(alias[[#This Row],[Column3]])</f>
        <v>Bank CIMB Niaga</v>
      </c>
      <c r="F653" t="str">
        <f t="shared" si="10"/>
        <v>INSERT INTO stock_alias (stock, alias) VALUES ((SELECT id FROM stock WHERE ticker = 'BNGA'), 'Bank CIMB Niaga') ON CONFLICT DO NOTHING;</v>
      </c>
    </row>
    <row r="654" spans="1:6" x14ac:dyDescent="0.2">
      <c r="A654" t="s">
        <v>265</v>
      </c>
      <c r="B654" t="s">
        <v>266</v>
      </c>
      <c r="C654" t="s">
        <v>5354</v>
      </c>
      <c r="D654" t="str">
        <f>TRIM(alias[[#This Row],[Column3]])</f>
        <v>Bank CIMB Niaga Tbk</v>
      </c>
      <c r="F654" t="str">
        <f t="shared" si="10"/>
        <v>INSERT INTO stock_alias (stock, alias) VALUES ((SELECT id FROM stock WHERE ticker = 'BNGA'), 'Bank CIMB Niaga Tbk') ON CONFLICT DO NOTHING;</v>
      </c>
    </row>
    <row r="655" spans="1:6" x14ac:dyDescent="0.2">
      <c r="A655" t="s">
        <v>265</v>
      </c>
      <c r="B655" t="s">
        <v>266</v>
      </c>
      <c r="C655" t="s">
        <v>5355</v>
      </c>
      <c r="D655" t="str">
        <f>TRIM(alias[[#This Row],[Column3]])</f>
        <v>Bank Niaga</v>
      </c>
      <c r="F655" t="str">
        <f t="shared" si="10"/>
        <v>INSERT INTO stock_alias (stock, alias) VALUES ((SELECT id FROM stock WHERE ticker = 'BNGA'), 'Bank Niaga') ON CONFLICT DO NOTHING;</v>
      </c>
    </row>
    <row r="656" spans="1:6" x14ac:dyDescent="0.2">
      <c r="A656" t="s">
        <v>265</v>
      </c>
      <c r="B656" t="s">
        <v>266</v>
      </c>
      <c r="C656" t="s">
        <v>5355</v>
      </c>
      <c r="D656" t="str">
        <f>TRIM(alias[[#This Row],[Column3]])</f>
        <v>Bank Niaga</v>
      </c>
      <c r="F656" t="str">
        <f t="shared" si="10"/>
        <v>INSERT INTO stock_alias (stock, alias) VALUES ((SELECT id FROM stock WHERE ticker = 'BNGA'), 'Bank Niaga') ON CONFLICT DO NOTHING;</v>
      </c>
    </row>
    <row r="657" spans="1:6" x14ac:dyDescent="0.2">
      <c r="A657" t="s">
        <v>265</v>
      </c>
      <c r="B657" t="s">
        <v>266</v>
      </c>
      <c r="C657" t="s">
        <v>5356</v>
      </c>
      <c r="D657" t="str">
        <f>TRIM(alias[[#This Row],[Column3]])</f>
        <v>PT Bank CIMB Niaga</v>
      </c>
      <c r="F657" t="str">
        <f t="shared" si="10"/>
        <v>INSERT INTO stock_alias (stock, alias) VALUES ((SELECT id FROM stock WHERE ticker = 'BNGA'), 'PT Bank CIMB Niaga') ON CONFLICT DO NOTHING;</v>
      </c>
    </row>
    <row r="658" spans="1:6" x14ac:dyDescent="0.2">
      <c r="A658" t="s">
        <v>268</v>
      </c>
      <c r="B658" t="s">
        <v>269</v>
      </c>
      <c r="C658" t="s">
        <v>268</v>
      </c>
      <c r="D658" t="str">
        <f>TRIM(alias[[#This Row],[Column3]])</f>
        <v>BNII</v>
      </c>
      <c r="F658" t="str">
        <f t="shared" si="10"/>
        <v>INSERT INTO stock_alias (stock, alias) VALUES ((SELECT id FROM stock WHERE ticker = 'BNII'), 'BNII') ON CONFLICT DO NOTHING;</v>
      </c>
    </row>
    <row r="659" spans="1:6" x14ac:dyDescent="0.2">
      <c r="A659" t="s">
        <v>268</v>
      </c>
      <c r="B659" t="s">
        <v>269</v>
      </c>
      <c r="C659" t="s">
        <v>5357</v>
      </c>
      <c r="D659" t="str">
        <f>TRIM(alias[[#This Row],[Column3]])</f>
        <v>MAYBANK</v>
      </c>
      <c r="F659" t="str">
        <f t="shared" si="10"/>
        <v>INSERT INTO stock_alias (stock, alias) VALUES ((SELECT id FROM stock WHERE ticker = 'BNII'), 'MAYBANK') ON CONFLICT DO NOTHING;</v>
      </c>
    </row>
    <row r="660" spans="1:6" x14ac:dyDescent="0.2">
      <c r="A660" t="s">
        <v>268</v>
      </c>
      <c r="B660" t="s">
        <v>269</v>
      </c>
      <c r="C660" t="s">
        <v>5358</v>
      </c>
      <c r="D660" t="str">
        <f>TRIM(alias[[#This Row],[Column3]])</f>
        <v>Bank Maybank Indonesia</v>
      </c>
      <c r="F660" t="str">
        <f t="shared" si="10"/>
        <v>INSERT INTO stock_alias (stock, alias) VALUES ((SELECT id FROM stock WHERE ticker = 'BNII'), 'Bank Maybank Indonesia') ON CONFLICT DO NOTHING;</v>
      </c>
    </row>
    <row r="661" spans="1:6" x14ac:dyDescent="0.2">
      <c r="A661" t="s">
        <v>268</v>
      </c>
      <c r="B661" t="s">
        <v>269</v>
      </c>
      <c r="C661" t="s">
        <v>5359</v>
      </c>
      <c r="D661" t="str">
        <f>TRIM(alias[[#This Row],[Column3]])</f>
        <v>Bank Maybank Indonesia Tbk</v>
      </c>
      <c r="F661" t="str">
        <f t="shared" si="10"/>
        <v>INSERT INTO stock_alias (stock, alias) VALUES ((SELECT id FROM stock WHERE ticker = 'BNII'), 'Bank Maybank Indonesia Tbk') ON CONFLICT DO NOTHING;</v>
      </c>
    </row>
    <row r="662" spans="1:6" x14ac:dyDescent="0.2">
      <c r="A662" t="s">
        <v>268</v>
      </c>
      <c r="B662" t="s">
        <v>269</v>
      </c>
      <c r="C662" t="s">
        <v>5360</v>
      </c>
      <c r="D662" t="str">
        <f>TRIM(alias[[#This Row],[Column3]])</f>
        <v>PT Bank Maybank Indonesia</v>
      </c>
      <c r="F662" t="str">
        <f t="shared" si="10"/>
        <v>INSERT INTO stock_alias (stock, alias) VALUES ((SELECT id FROM stock WHERE ticker = 'BNII'), 'PT Bank Maybank Indonesia') ON CONFLICT DO NOTHING;</v>
      </c>
    </row>
    <row r="663" spans="1:6" x14ac:dyDescent="0.2">
      <c r="A663" t="s">
        <v>271</v>
      </c>
      <c r="B663" t="s">
        <v>272</v>
      </c>
      <c r="C663" t="s">
        <v>271</v>
      </c>
      <c r="D663" t="str">
        <f>TRIM(alias[[#This Row],[Column3]])</f>
        <v>BNLI</v>
      </c>
      <c r="F663" t="str">
        <f t="shared" si="10"/>
        <v>INSERT INTO stock_alias (stock, alias) VALUES ((SELECT id FROM stock WHERE ticker = 'BNLI'), 'BNLI') ON CONFLICT DO NOTHING;</v>
      </c>
    </row>
    <row r="664" spans="1:6" x14ac:dyDescent="0.2">
      <c r="A664" t="s">
        <v>271</v>
      </c>
      <c r="B664" t="s">
        <v>272</v>
      </c>
      <c r="C664" t="s">
        <v>5361</v>
      </c>
      <c r="D664" t="str">
        <f>TRIM(alias[[#This Row],[Column3]])</f>
        <v>Bank Permata</v>
      </c>
      <c r="F664" t="str">
        <f t="shared" si="10"/>
        <v>INSERT INTO stock_alias (stock, alias) VALUES ((SELECT id FROM stock WHERE ticker = 'BNLI'), 'Bank Permata') ON CONFLICT DO NOTHING;</v>
      </c>
    </row>
    <row r="665" spans="1:6" x14ac:dyDescent="0.2">
      <c r="A665" t="s">
        <v>271</v>
      </c>
      <c r="B665" t="s">
        <v>272</v>
      </c>
      <c r="C665" t="s">
        <v>5362</v>
      </c>
      <c r="D665" t="str">
        <f>TRIM(alias[[#This Row],[Column3]])</f>
        <v>Bank Permata Tbk</v>
      </c>
      <c r="F665" t="str">
        <f t="shared" si="10"/>
        <v>INSERT INTO stock_alias (stock, alias) VALUES ((SELECT id FROM stock WHERE ticker = 'BNLI'), 'Bank Permata Tbk') ON CONFLICT DO NOTHING;</v>
      </c>
    </row>
    <row r="666" spans="1:6" x14ac:dyDescent="0.2">
      <c r="A666" t="s">
        <v>271</v>
      </c>
      <c r="B666" t="s">
        <v>272</v>
      </c>
      <c r="C666" t="s">
        <v>5363</v>
      </c>
      <c r="D666" t="str">
        <f>TRIM(alias[[#This Row],[Column3]])</f>
        <v>PT Bank Permata</v>
      </c>
      <c r="F666" t="str">
        <f t="shared" si="10"/>
        <v>INSERT INTO stock_alias (stock, alias) VALUES ((SELECT id FROM stock WHERE ticker = 'BNLI'), 'PT Bank Permata') ON CONFLICT DO NOTHING;</v>
      </c>
    </row>
    <row r="667" spans="1:6" x14ac:dyDescent="0.2">
      <c r="A667" t="s">
        <v>271</v>
      </c>
      <c r="B667" t="s">
        <v>272</v>
      </c>
      <c r="C667" t="s">
        <v>5364</v>
      </c>
      <c r="D667" t="str">
        <f>TRIM(alias[[#This Row],[Column3]])</f>
        <v>Permata</v>
      </c>
      <c r="F667" t="str">
        <f t="shared" si="10"/>
        <v>INSERT INTO stock_alias (stock, alias) VALUES ((SELECT id FROM stock WHERE ticker = 'BNLI'), 'Permata') ON CONFLICT DO NOTHING;</v>
      </c>
    </row>
    <row r="668" spans="1:6" x14ac:dyDescent="0.2">
      <c r="A668" t="s">
        <v>2500</v>
      </c>
      <c r="B668" t="s">
        <v>2501</v>
      </c>
      <c r="C668" t="s">
        <v>2500</v>
      </c>
      <c r="D668" t="str">
        <f>TRIM(alias[[#This Row],[Column3]])</f>
        <v>BOAT</v>
      </c>
      <c r="F668" t="str">
        <f t="shared" si="10"/>
        <v>INSERT INTO stock_alias (stock, alias) VALUES ((SELECT id FROM stock WHERE ticker = 'BOAT'), 'BOAT') ON CONFLICT DO NOTHING;</v>
      </c>
    </row>
    <row r="669" spans="1:6" x14ac:dyDescent="0.2">
      <c r="A669" t="s">
        <v>2500</v>
      </c>
      <c r="B669" t="s">
        <v>2501</v>
      </c>
      <c r="C669" t="s">
        <v>5365</v>
      </c>
      <c r="D669" t="str">
        <f>TRIM(alias[[#This Row],[Column3]])</f>
        <v>Newport Marine Services</v>
      </c>
      <c r="F669" t="str">
        <f t="shared" si="10"/>
        <v>INSERT INTO stock_alias (stock, alias) VALUES ((SELECT id FROM stock WHERE ticker = 'BOAT'), 'Newport Marine Services') ON CONFLICT DO NOTHING;</v>
      </c>
    </row>
    <row r="670" spans="1:6" x14ac:dyDescent="0.2">
      <c r="A670" t="s">
        <v>2500</v>
      </c>
      <c r="B670" t="s">
        <v>2501</v>
      </c>
      <c r="C670" t="s">
        <v>5366</v>
      </c>
      <c r="D670" t="str">
        <f>TRIM(alias[[#This Row],[Column3]])</f>
        <v>Newport Marine Services Tbk</v>
      </c>
      <c r="F670" t="str">
        <f t="shared" si="10"/>
        <v>INSERT INTO stock_alias (stock, alias) VALUES ((SELECT id FROM stock WHERE ticker = 'BOAT'), 'Newport Marine Services Tbk') ON CONFLICT DO NOTHING;</v>
      </c>
    </row>
    <row r="671" spans="1:6" x14ac:dyDescent="0.2">
      <c r="A671" t="s">
        <v>2500</v>
      </c>
      <c r="B671" t="s">
        <v>2501</v>
      </c>
      <c r="C671" t="s">
        <v>5367</v>
      </c>
      <c r="D671" t="str">
        <f>TRIM(alias[[#This Row],[Column3]])</f>
        <v>PT Newport Marine Services</v>
      </c>
      <c r="F671" t="str">
        <f t="shared" si="10"/>
        <v>INSERT INTO stock_alias (stock, alias) VALUES ((SELECT id FROM stock WHERE ticker = 'BOAT'), 'PT Newport Marine Services') ON CONFLICT DO NOTHING;</v>
      </c>
    </row>
    <row r="672" spans="1:6" x14ac:dyDescent="0.2">
      <c r="A672" t="s">
        <v>2016</v>
      </c>
      <c r="B672" t="s">
        <v>3531</v>
      </c>
      <c r="C672" t="s">
        <v>2016</v>
      </c>
      <c r="D672" t="str">
        <f>TRIM(alias[[#This Row],[Column3]])</f>
        <v>BOBA</v>
      </c>
      <c r="F672" t="str">
        <f t="shared" si="10"/>
        <v>INSERT INTO stock_alias (stock, alias) VALUES ((SELECT id FROM stock WHERE ticker = 'BOBA'), 'BOBA') ON CONFLICT DO NOTHING;</v>
      </c>
    </row>
    <row r="673" spans="1:6" x14ac:dyDescent="0.2">
      <c r="A673" t="s">
        <v>2016</v>
      </c>
      <c r="B673" t="s">
        <v>3531</v>
      </c>
      <c r="C673" t="s">
        <v>5368</v>
      </c>
      <c r="D673" t="str">
        <f>TRIM(alias[[#This Row],[Column3]])</f>
        <v>Formosa Ingredient Factory</v>
      </c>
      <c r="F673" t="str">
        <f t="shared" si="10"/>
        <v>INSERT INTO stock_alias (stock, alias) VALUES ((SELECT id FROM stock WHERE ticker = 'BOBA'), 'Formosa Ingredient Factory') ON CONFLICT DO NOTHING;</v>
      </c>
    </row>
    <row r="674" spans="1:6" x14ac:dyDescent="0.2">
      <c r="A674" t="s">
        <v>2016</v>
      </c>
      <c r="B674" t="s">
        <v>3531</v>
      </c>
      <c r="C674" t="s">
        <v>5369</v>
      </c>
      <c r="D674" t="str">
        <f>TRIM(alias[[#This Row],[Column3]])</f>
        <v>Formosa Ingredient Factory Tbk</v>
      </c>
      <c r="F674" t="str">
        <f t="shared" si="10"/>
        <v>INSERT INTO stock_alias (stock, alias) VALUES ((SELECT id FROM stock WHERE ticker = 'BOBA'), 'Formosa Ingredient Factory Tbk') ON CONFLICT DO NOTHING;</v>
      </c>
    </row>
    <row r="675" spans="1:6" x14ac:dyDescent="0.2">
      <c r="A675" t="s">
        <v>2016</v>
      </c>
      <c r="B675" t="s">
        <v>3531</v>
      </c>
      <c r="C675" t="s">
        <v>5370</v>
      </c>
      <c r="D675" t="str">
        <f>TRIM(alias[[#This Row],[Column3]])</f>
        <v>PT Formosa Ingredient Factory</v>
      </c>
      <c r="F675" t="str">
        <f t="shared" si="10"/>
        <v>INSERT INTO stock_alias (stock, alias) VALUES ((SELECT id FROM stock WHERE ticker = 'BOBA'), 'PT Formosa Ingredient Factory') ON CONFLICT DO NOTHING;</v>
      </c>
    </row>
    <row r="676" spans="1:6" x14ac:dyDescent="0.2">
      <c r="A676" t="s">
        <v>1386</v>
      </c>
      <c r="B676" t="s">
        <v>1387</v>
      </c>
      <c r="C676" t="s">
        <v>1386</v>
      </c>
      <c r="D676" t="str">
        <f>TRIM(alias[[#This Row],[Column3]])</f>
        <v>BOGA</v>
      </c>
      <c r="F676" t="str">
        <f t="shared" si="10"/>
        <v>INSERT INTO stock_alias (stock, alias) VALUES ((SELECT id FROM stock WHERE ticker = 'BOGA'), 'BOGA') ON CONFLICT DO NOTHING;</v>
      </c>
    </row>
    <row r="677" spans="1:6" x14ac:dyDescent="0.2">
      <c r="A677" t="s">
        <v>1386</v>
      </c>
      <c r="B677" t="s">
        <v>1387</v>
      </c>
      <c r="C677" t="s">
        <v>5371</v>
      </c>
      <c r="D677" t="str">
        <f>TRIM(alias[[#This Row],[Column3]])</f>
        <v>Apollo Global Interactive</v>
      </c>
      <c r="F677" t="str">
        <f t="shared" si="10"/>
        <v>INSERT INTO stock_alias (stock, alias) VALUES ((SELECT id FROM stock WHERE ticker = 'BOGA'), 'Apollo Global Interactive') ON CONFLICT DO NOTHING;</v>
      </c>
    </row>
    <row r="678" spans="1:6" x14ac:dyDescent="0.2">
      <c r="A678" t="s">
        <v>1386</v>
      </c>
      <c r="B678" t="s">
        <v>1387</v>
      </c>
      <c r="C678" t="s">
        <v>5372</v>
      </c>
      <c r="D678" t="str">
        <f>TRIM(alias[[#This Row],[Column3]])</f>
        <v>Apollo Global Interactive Tbk</v>
      </c>
      <c r="F678" t="str">
        <f t="shared" si="10"/>
        <v>INSERT INTO stock_alias (stock, alias) VALUES ((SELECT id FROM stock WHERE ticker = 'BOGA'), 'Apollo Global Interactive Tbk') ON CONFLICT DO NOTHING;</v>
      </c>
    </row>
    <row r="679" spans="1:6" x14ac:dyDescent="0.2">
      <c r="A679" t="s">
        <v>1386</v>
      </c>
      <c r="B679" t="s">
        <v>1387</v>
      </c>
      <c r="C679" t="s">
        <v>5373</v>
      </c>
      <c r="D679" t="str">
        <f>TRIM(alias[[#This Row],[Column3]])</f>
        <v>PT Apollo Global Interactive</v>
      </c>
      <c r="F679" t="str">
        <f t="shared" si="10"/>
        <v>INSERT INTO stock_alias (stock, alias) VALUES ((SELECT id FROM stock WHERE ticker = 'BOGA'), 'PT Apollo Global Interactive') ON CONFLICT DO NOTHING;</v>
      </c>
    </row>
    <row r="680" spans="1:6" x14ac:dyDescent="0.2">
      <c r="A680" t="s">
        <v>1678</v>
      </c>
      <c r="B680" t="s">
        <v>1679</v>
      </c>
      <c r="C680" t="s">
        <v>1678</v>
      </c>
      <c r="D680" t="str">
        <f>TRIM(alias[[#This Row],[Column3]])</f>
        <v>BOLA</v>
      </c>
      <c r="F680" t="str">
        <f t="shared" si="10"/>
        <v>INSERT INTO stock_alias (stock, alias) VALUES ((SELECT id FROM stock WHERE ticker = 'BOLA'), 'BOLA') ON CONFLICT DO NOTHING;</v>
      </c>
    </row>
    <row r="681" spans="1:6" x14ac:dyDescent="0.2">
      <c r="A681" t="s">
        <v>1678</v>
      </c>
      <c r="B681" t="s">
        <v>1679</v>
      </c>
      <c r="C681" t="s">
        <v>5374</v>
      </c>
      <c r="D681" t="str">
        <f>TRIM(alias[[#This Row],[Column3]])</f>
        <v>Bali Bintang Sejahtera</v>
      </c>
      <c r="F681" t="str">
        <f t="shared" si="10"/>
        <v>INSERT INTO stock_alias (stock, alias) VALUES ((SELECT id FROM stock WHERE ticker = 'BOLA'), 'Bali Bintang Sejahtera') ON CONFLICT DO NOTHING;</v>
      </c>
    </row>
    <row r="682" spans="1:6" x14ac:dyDescent="0.2">
      <c r="A682" t="s">
        <v>1678</v>
      </c>
      <c r="B682" t="s">
        <v>1679</v>
      </c>
      <c r="C682" t="s">
        <v>5375</v>
      </c>
      <c r="D682" t="str">
        <f>TRIM(alias[[#This Row],[Column3]])</f>
        <v>Bali Bintang Sejahtera Tbk</v>
      </c>
      <c r="F682" t="str">
        <f t="shared" si="10"/>
        <v>INSERT INTO stock_alias (stock, alias) VALUES ((SELECT id FROM stock WHERE ticker = 'BOLA'), 'Bali Bintang Sejahtera Tbk') ON CONFLICT DO NOTHING;</v>
      </c>
    </row>
    <row r="683" spans="1:6" x14ac:dyDescent="0.2">
      <c r="A683" t="s">
        <v>1678</v>
      </c>
      <c r="B683" t="s">
        <v>1679</v>
      </c>
      <c r="C683" t="s">
        <v>5376</v>
      </c>
      <c r="D683" t="str">
        <f>TRIM(alias[[#This Row],[Column3]])</f>
        <v>PT Bali Bintang Sejahtera</v>
      </c>
      <c r="F683" t="str">
        <f t="shared" si="10"/>
        <v>INSERT INTO stock_alias (stock, alias) VALUES ((SELECT id FROM stock WHERE ticker = 'BOLA'), 'PT Bali Bintang Sejahtera') ON CONFLICT DO NOTHING;</v>
      </c>
    </row>
    <row r="684" spans="1:6" x14ac:dyDescent="0.2">
      <c r="A684" t="s">
        <v>274</v>
      </c>
      <c r="B684" t="s">
        <v>275</v>
      </c>
      <c r="C684" t="s">
        <v>274</v>
      </c>
      <c r="D684" t="str">
        <f>TRIM(alias[[#This Row],[Column3]])</f>
        <v>BOLT</v>
      </c>
      <c r="F684" t="str">
        <f t="shared" si="10"/>
        <v>INSERT INTO stock_alias (stock, alias) VALUES ((SELECT id FROM stock WHERE ticker = 'BOLT'), 'BOLT') ON CONFLICT DO NOTHING;</v>
      </c>
    </row>
    <row r="685" spans="1:6" x14ac:dyDescent="0.2">
      <c r="A685" t="s">
        <v>274</v>
      </c>
      <c r="B685" t="s">
        <v>275</v>
      </c>
      <c r="C685" t="s">
        <v>5377</v>
      </c>
      <c r="D685" t="str">
        <f>TRIM(alias[[#This Row],[Column3]])</f>
        <v>Garuda Metalindo</v>
      </c>
      <c r="F685" t="str">
        <f t="shared" si="10"/>
        <v>INSERT INTO stock_alias (stock, alias) VALUES ((SELECT id FROM stock WHERE ticker = 'BOLT'), 'Garuda Metalindo') ON CONFLICT DO NOTHING;</v>
      </c>
    </row>
    <row r="686" spans="1:6" x14ac:dyDescent="0.2">
      <c r="A686" t="s">
        <v>274</v>
      </c>
      <c r="B686" t="s">
        <v>275</v>
      </c>
      <c r="C686" t="s">
        <v>5378</v>
      </c>
      <c r="D686" t="str">
        <f>TRIM(alias[[#This Row],[Column3]])</f>
        <v>Garuda Metalindo Tbk</v>
      </c>
      <c r="F686" t="str">
        <f t="shared" si="10"/>
        <v>INSERT INTO stock_alias (stock, alias) VALUES ((SELECT id FROM stock WHERE ticker = 'BOLT'), 'Garuda Metalindo Tbk') ON CONFLICT DO NOTHING;</v>
      </c>
    </row>
    <row r="687" spans="1:6" x14ac:dyDescent="0.2">
      <c r="A687" t="s">
        <v>274</v>
      </c>
      <c r="B687" t="s">
        <v>275</v>
      </c>
      <c r="C687" t="s">
        <v>5379</v>
      </c>
      <c r="D687" t="str">
        <f>TRIM(alias[[#This Row],[Column3]])</f>
        <v>PT Garuda Metalindo</v>
      </c>
      <c r="F687" t="str">
        <f t="shared" si="10"/>
        <v>INSERT INTO stock_alias (stock, alias) VALUES ((SELECT id FROM stock WHERE ticker = 'BOLT'), 'PT Garuda Metalindo') ON CONFLICT DO NOTHING;</v>
      </c>
    </row>
    <row r="688" spans="1:6" x14ac:dyDescent="0.2">
      <c r="A688" t="s">
        <v>1494</v>
      </c>
      <c r="B688" t="s">
        <v>1495</v>
      </c>
      <c r="C688" t="s">
        <v>1494</v>
      </c>
      <c r="D688" t="str">
        <f>TRIM(alias[[#This Row],[Column3]])</f>
        <v>BOSS</v>
      </c>
      <c r="F688" t="str">
        <f t="shared" si="10"/>
        <v>INSERT INTO stock_alias (stock, alias) VALUES ((SELECT id FROM stock WHERE ticker = 'BOSS'), 'BOSS') ON CONFLICT DO NOTHING;</v>
      </c>
    </row>
    <row r="689" spans="1:6" x14ac:dyDescent="0.2">
      <c r="A689" t="s">
        <v>1494</v>
      </c>
      <c r="B689" t="s">
        <v>1495</v>
      </c>
      <c r="C689" t="s">
        <v>5380</v>
      </c>
      <c r="D689" t="str">
        <f>TRIM(alias[[#This Row],[Column3]])</f>
        <v>Borneo Olah Sarana Sukses</v>
      </c>
      <c r="F689" t="str">
        <f t="shared" si="10"/>
        <v>INSERT INTO stock_alias (stock, alias) VALUES ((SELECT id FROM stock WHERE ticker = 'BOSS'), 'Borneo Olah Sarana Sukses') ON CONFLICT DO NOTHING;</v>
      </c>
    </row>
    <row r="690" spans="1:6" x14ac:dyDescent="0.2">
      <c r="A690" t="s">
        <v>1494</v>
      </c>
      <c r="B690" t="s">
        <v>1495</v>
      </c>
      <c r="C690" t="s">
        <v>5381</v>
      </c>
      <c r="D690" t="str">
        <f>TRIM(alias[[#This Row],[Column3]])</f>
        <v>Borneo Olah Sarana Sukses Tbk</v>
      </c>
      <c r="F690" t="str">
        <f t="shared" si="10"/>
        <v>INSERT INTO stock_alias (stock, alias) VALUES ((SELECT id FROM stock WHERE ticker = 'BOSS'), 'Borneo Olah Sarana Sukses Tbk') ON CONFLICT DO NOTHING;</v>
      </c>
    </row>
    <row r="691" spans="1:6" x14ac:dyDescent="0.2">
      <c r="A691" t="s">
        <v>1494</v>
      </c>
      <c r="B691" t="s">
        <v>1495</v>
      </c>
      <c r="C691" t="s">
        <v>5382</v>
      </c>
      <c r="D691" t="str">
        <f>TRIM(alias[[#This Row],[Column3]])</f>
        <v>PT Borneo Olah Sarana Sukses</v>
      </c>
      <c r="F691" t="str">
        <f t="shared" si="10"/>
        <v>INSERT INTO stock_alias (stock, alias) VALUES ((SELECT id FROM stock WHERE ticker = 'BOSS'), 'PT Borneo Olah Sarana Sukses') ON CONFLICT DO NOTHING;</v>
      </c>
    </row>
    <row r="692" spans="1:6" x14ac:dyDescent="0.2">
      <c r="A692" t="s">
        <v>277</v>
      </c>
      <c r="B692" t="s">
        <v>278</v>
      </c>
      <c r="C692" t="s">
        <v>277</v>
      </c>
      <c r="D692" t="str">
        <f>TRIM(alias[[#This Row],[Column3]])</f>
        <v>BPFI</v>
      </c>
      <c r="F692" t="str">
        <f t="shared" si="10"/>
        <v>INSERT INTO stock_alias (stock, alias) VALUES ((SELECT id FROM stock WHERE ticker = 'BPFI'), 'BPFI') ON CONFLICT DO NOTHING;</v>
      </c>
    </row>
    <row r="693" spans="1:6" x14ac:dyDescent="0.2">
      <c r="A693" t="s">
        <v>277</v>
      </c>
      <c r="B693" t="s">
        <v>278</v>
      </c>
      <c r="C693" t="s">
        <v>5383</v>
      </c>
      <c r="D693" t="str">
        <f>TRIM(alias[[#This Row],[Column3]])</f>
        <v>PT Woori Finance Indonesia</v>
      </c>
      <c r="F693" t="str">
        <f t="shared" si="10"/>
        <v>INSERT INTO stock_alias (stock, alias) VALUES ((SELECT id FROM stock WHERE ticker = 'BPFI'), 'PT Woori Finance Indonesia') ON CONFLICT DO NOTHING;</v>
      </c>
    </row>
    <row r="694" spans="1:6" x14ac:dyDescent="0.2">
      <c r="A694" t="s">
        <v>277</v>
      </c>
      <c r="B694" t="s">
        <v>278</v>
      </c>
      <c r="C694" t="s">
        <v>5384</v>
      </c>
      <c r="D694" t="str">
        <f>TRIM(alias[[#This Row],[Column3]])</f>
        <v>Woori Finance Indonesia</v>
      </c>
      <c r="F694" t="str">
        <f t="shared" si="10"/>
        <v>INSERT INTO stock_alias (stock, alias) VALUES ((SELECT id FROM stock WHERE ticker = 'BPFI'), 'Woori Finance Indonesia') ON CONFLICT DO NOTHING;</v>
      </c>
    </row>
    <row r="695" spans="1:6" x14ac:dyDescent="0.2">
      <c r="A695" t="s">
        <v>277</v>
      </c>
      <c r="B695" t="s">
        <v>278</v>
      </c>
      <c r="C695" t="s">
        <v>5385</v>
      </c>
      <c r="D695" t="str">
        <f>TRIM(alias[[#This Row],[Column3]])</f>
        <v>Woori Finance Indonesia Tbk</v>
      </c>
      <c r="F695" t="str">
        <f t="shared" si="10"/>
        <v>INSERT INTO stock_alias (stock, alias) VALUES ((SELECT id FROM stock WHERE ticker = 'BPFI'), 'Woori Finance Indonesia Tbk') ON CONFLICT DO NOTHING;</v>
      </c>
    </row>
    <row r="696" spans="1:6" x14ac:dyDescent="0.2">
      <c r="A696" t="s">
        <v>280</v>
      </c>
      <c r="B696" t="s">
        <v>3532</v>
      </c>
      <c r="C696" t="s">
        <v>280</v>
      </c>
      <c r="D696" t="str">
        <f>TRIM(alias[[#This Row],[Column3]])</f>
        <v>BPII</v>
      </c>
      <c r="F696" t="str">
        <f t="shared" si="10"/>
        <v>INSERT INTO stock_alias (stock, alias) VALUES ((SELECT id FROM stock WHERE ticker = 'BPII'), 'BPII') ON CONFLICT DO NOTHING;</v>
      </c>
    </row>
    <row r="697" spans="1:6" x14ac:dyDescent="0.2">
      <c r="A697" t="s">
        <v>280</v>
      </c>
      <c r="B697" t="s">
        <v>3532</v>
      </c>
      <c r="C697" t="s">
        <v>5386</v>
      </c>
      <c r="D697" t="str">
        <f>TRIM(alias[[#This Row],[Column3]])</f>
        <v>Batavia Prosperindo Internasional</v>
      </c>
      <c r="F697" t="str">
        <f t="shared" si="10"/>
        <v>INSERT INTO stock_alias (stock, alias) VALUES ((SELECT id FROM stock WHERE ticker = 'BPII'), 'Batavia Prosperindo Internasional') ON CONFLICT DO NOTHING;</v>
      </c>
    </row>
    <row r="698" spans="1:6" x14ac:dyDescent="0.2">
      <c r="A698" t="s">
        <v>280</v>
      </c>
      <c r="B698" t="s">
        <v>3532</v>
      </c>
      <c r="C698" t="s">
        <v>5387</v>
      </c>
      <c r="D698" t="str">
        <f>TRIM(alias[[#This Row],[Column3]])</f>
        <v>Batavia Prosperindo Internasional Tbk</v>
      </c>
      <c r="F698" t="str">
        <f t="shared" si="10"/>
        <v>INSERT INTO stock_alias (stock, alias) VALUES ((SELECT id FROM stock WHERE ticker = 'BPII'), 'Batavia Prosperindo Internasional Tbk') ON CONFLICT DO NOTHING;</v>
      </c>
    </row>
    <row r="699" spans="1:6" x14ac:dyDescent="0.2">
      <c r="A699" t="s">
        <v>280</v>
      </c>
      <c r="B699" t="s">
        <v>3532</v>
      </c>
      <c r="C699" t="s">
        <v>5388</v>
      </c>
      <c r="D699" t="str">
        <f>TRIM(alias[[#This Row],[Column3]])</f>
        <v>PT Batavia Prosperindo Internasional</v>
      </c>
      <c r="F699" t="str">
        <f t="shared" si="10"/>
        <v>INSERT INTO stock_alias (stock, alias) VALUES ((SELECT id FROM stock WHERE ticker = 'BPII'), 'PT Batavia Prosperindo Internasional') ON CONFLICT DO NOTHING;</v>
      </c>
    </row>
    <row r="700" spans="1:6" x14ac:dyDescent="0.2">
      <c r="A700" t="s">
        <v>1554</v>
      </c>
      <c r="B700" t="s">
        <v>1555</v>
      </c>
      <c r="C700" t="s">
        <v>1554</v>
      </c>
      <c r="D700" t="str">
        <f>TRIM(alias[[#This Row],[Column3]])</f>
        <v>BPTR</v>
      </c>
      <c r="F700" t="str">
        <f t="shared" si="10"/>
        <v>INSERT INTO stock_alias (stock, alias) VALUES ((SELECT id FROM stock WHERE ticker = 'BPTR'), 'BPTR') ON CONFLICT DO NOTHING;</v>
      </c>
    </row>
    <row r="701" spans="1:6" x14ac:dyDescent="0.2">
      <c r="A701" t="s">
        <v>1554</v>
      </c>
      <c r="B701" t="s">
        <v>1555</v>
      </c>
      <c r="C701" t="s">
        <v>5389</v>
      </c>
      <c r="D701" t="str">
        <f>TRIM(alias[[#This Row],[Column3]])</f>
        <v>Batavia Prosperindo Trans</v>
      </c>
      <c r="F701" t="str">
        <f t="shared" si="10"/>
        <v>INSERT INTO stock_alias (stock, alias) VALUES ((SELECT id FROM stock WHERE ticker = 'BPTR'), 'Batavia Prosperindo Trans') ON CONFLICT DO NOTHING;</v>
      </c>
    </row>
    <row r="702" spans="1:6" x14ac:dyDescent="0.2">
      <c r="A702" t="s">
        <v>1554</v>
      </c>
      <c r="B702" t="s">
        <v>1555</v>
      </c>
      <c r="C702" t="s">
        <v>5390</v>
      </c>
      <c r="D702" t="str">
        <f>TRIM(alias[[#This Row],[Column3]])</f>
        <v>Batavia Prosperindo Trans Tbk</v>
      </c>
      <c r="F702" t="str">
        <f t="shared" si="10"/>
        <v>INSERT INTO stock_alias (stock, alias) VALUES ((SELECT id FROM stock WHERE ticker = 'BPTR'), 'Batavia Prosperindo Trans Tbk') ON CONFLICT DO NOTHING;</v>
      </c>
    </row>
    <row r="703" spans="1:6" x14ac:dyDescent="0.2">
      <c r="A703" t="s">
        <v>1554</v>
      </c>
      <c r="B703" t="s">
        <v>1555</v>
      </c>
      <c r="C703" t="s">
        <v>5391</v>
      </c>
      <c r="D703" t="str">
        <f>TRIM(alias[[#This Row],[Column3]])</f>
        <v>PT Batavia Prosperindo Trans</v>
      </c>
      <c r="F703" t="str">
        <f t="shared" si="10"/>
        <v>INSERT INTO stock_alias (stock, alias) VALUES ((SELECT id FROM stock WHERE ticker = 'BPTR'), 'PT Batavia Prosperindo Trans') ON CONFLICT DO NOTHING;</v>
      </c>
    </row>
    <row r="704" spans="1:6" x14ac:dyDescent="0.2">
      <c r="A704" t="s">
        <v>282</v>
      </c>
      <c r="B704" t="s">
        <v>283</v>
      </c>
      <c r="C704" t="s">
        <v>282</v>
      </c>
      <c r="D704" t="str">
        <f>TRIM(alias[[#This Row],[Column3]])</f>
        <v>BRAM</v>
      </c>
      <c r="F704" t="str">
        <f t="shared" si="10"/>
        <v>INSERT INTO stock_alias (stock, alias) VALUES ((SELECT id FROM stock WHERE ticker = 'BRAM'), 'BRAM') ON CONFLICT DO NOTHING;</v>
      </c>
    </row>
    <row r="705" spans="1:6" x14ac:dyDescent="0.2">
      <c r="A705" t="s">
        <v>282</v>
      </c>
      <c r="B705" t="s">
        <v>283</v>
      </c>
      <c r="C705" t="s">
        <v>5392</v>
      </c>
      <c r="D705" t="str">
        <f>TRIM(alias[[#This Row],[Column3]])</f>
        <v>Indo Kordsa</v>
      </c>
      <c r="F705" t="str">
        <f t="shared" si="10"/>
        <v>INSERT INTO stock_alias (stock, alias) VALUES ((SELECT id FROM stock WHERE ticker = 'BRAM'), 'Indo Kordsa') ON CONFLICT DO NOTHING;</v>
      </c>
    </row>
    <row r="706" spans="1:6" x14ac:dyDescent="0.2">
      <c r="A706" t="s">
        <v>282</v>
      </c>
      <c r="B706" t="s">
        <v>283</v>
      </c>
      <c r="C706" t="s">
        <v>5393</v>
      </c>
      <c r="D706" t="str">
        <f>TRIM(alias[[#This Row],[Column3]])</f>
        <v>Indo Kordsa Tbk</v>
      </c>
      <c r="F706" t="str">
        <f t="shared" si="10"/>
        <v>INSERT INTO stock_alias (stock, alias) VALUES ((SELECT id FROM stock WHERE ticker = 'BRAM'), 'Indo Kordsa Tbk') ON CONFLICT DO NOTHING;</v>
      </c>
    </row>
    <row r="707" spans="1:6" x14ac:dyDescent="0.2">
      <c r="A707" t="s">
        <v>282</v>
      </c>
      <c r="B707" t="s">
        <v>283</v>
      </c>
      <c r="C707" t="s">
        <v>5394</v>
      </c>
      <c r="D707" t="str">
        <f>TRIM(alias[[#This Row],[Column3]])</f>
        <v>PT Indo Kordsa</v>
      </c>
      <c r="F707" t="str">
        <f t="shared" ref="F707:F770" si="11">_xlfn.CONCAT($F$1, _xlfn.CONCAT($G$1, A707, "'), '", D707, "') ON CONFLICT DO NOTHING;"))</f>
        <v>INSERT INTO stock_alias (stock, alias) VALUES ((SELECT id FROM stock WHERE ticker = 'BRAM'), 'PT Indo Kordsa') ON CONFLICT DO NOTHING;</v>
      </c>
    </row>
    <row r="708" spans="1:6" x14ac:dyDescent="0.2">
      <c r="A708" t="s">
        <v>2387</v>
      </c>
      <c r="B708" t="s">
        <v>2388</v>
      </c>
      <c r="C708" t="s">
        <v>2387</v>
      </c>
      <c r="D708" t="str">
        <f>TRIM(alias[[#This Row],[Column3]])</f>
        <v>BREN</v>
      </c>
      <c r="F708" t="str">
        <f t="shared" si="11"/>
        <v>INSERT INTO stock_alias (stock, alias) VALUES ((SELECT id FROM stock WHERE ticker = 'BREN'), 'BREN') ON CONFLICT DO NOTHING;</v>
      </c>
    </row>
    <row r="709" spans="1:6" x14ac:dyDescent="0.2">
      <c r="A709" t="s">
        <v>2387</v>
      </c>
      <c r="B709" t="s">
        <v>2388</v>
      </c>
      <c r="C709" t="s">
        <v>5395</v>
      </c>
      <c r="D709" t="str">
        <f>TRIM(alias[[#This Row],[Column3]])</f>
        <v>Barito Renewables Energy</v>
      </c>
      <c r="F709" t="str">
        <f t="shared" si="11"/>
        <v>INSERT INTO stock_alias (stock, alias) VALUES ((SELECT id FROM stock WHERE ticker = 'BREN'), 'Barito Renewables Energy') ON CONFLICT DO NOTHING;</v>
      </c>
    </row>
    <row r="710" spans="1:6" x14ac:dyDescent="0.2">
      <c r="A710" t="s">
        <v>2387</v>
      </c>
      <c r="B710" t="s">
        <v>2388</v>
      </c>
      <c r="C710" t="s">
        <v>5396</v>
      </c>
      <c r="D710" t="str">
        <f>TRIM(alias[[#This Row],[Column3]])</f>
        <v>Barito Renewables Energy Tbk</v>
      </c>
      <c r="F710" t="str">
        <f t="shared" si="11"/>
        <v>INSERT INTO stock_alias (stock, alias) VALUES ((SELECT id FROM stock WHERE ticker = 'BREN'), 'Barito Renewables Energy Tbk') ON CONFLICT DO NOTHING;</v>
      </c>
    </row>
    <row r="711" spans="1:6" x14ac:dyDescent="0.2">
      <c r="A711" t="s">
        <v>2387</v>
      </c>
      <c r="B711" t="s">
        <v>2388</v>
      </c>
      <c r="C711" t="s">
        <v>5397</v>
      </c>
      <c r="D711" t="str">
        <f>TRIM(alias[[#This Row],[Column3]])</f>
        <v>PT Barito Renewables Energy</v>
      </c>
      <c r="F711" t="str">
        <f t="shared" si="11"/>
        <v>INSERT INTO stock_alias (stock, alias) VALUES ((SELECT id FROM stock WHERE ticker = 'BREN'), 'PT Barito Renewables Energy') ON CONFLICT DO NOTHING;</v>
      </c>
    </row>
    <row r="712" spans="1:6" x14ac:dyDescent="0.2">
      <c r="A712" t="s">
        <v>1389</v>
      </c>
      <c r="B712" t="s">
        <v>1390</v>
      </c>
      <c r="C712" t="s">
        <v>1389</v>
      </c>
      <c r="D712" t="str">
        <f>TRIM(alias[[#This Row],[Column3]])</f>
        <v>BRIS</v>
      </c>
      <c r="F712" t="str">
        <f t="shared" si="11"/>
        <v>INSERT INTO stock_alias (stock, alias) VALUES ((SELECT id FROM stock WHERE ticker = 'BRIS'), 'BRIS') ON CONFLICT DO NOTHING;</v>
      </c>
    </row>
    <row r="713" spans="1:6" x14ac:dyDescent="0.2">
      <c r="A713" t="s">
        <v>1389</v>
      </c>
      <c r="B713" t="s">
        <v>1390</v>
      </c>
      <c r="C713" t="s">
        <v>5398</v>
      </c>
      <c r="D713" t="str">
        <f>TRIM(alias[[#This Row],[Column3]])</f>
        <v>BSI</v>
      </c>
      <c r="F713" t="str">
        <f t="shared" si="11"/>
        <v>INSERT INTO stock_alias (stock, alias) VALUES ((SELECT id FROM stock WHERE ticker = 'BRIS'), 'BSI') ON CONFLICT DO NOTHING;</v>
      </c>
    </row>
    <row r="714" spans="1:6" x14ac:dyDescent="0.2">
      <c r="A714" t="s">
        <v>1389</v>
      </c>
      <c r="B714" t="s">
        <v>1390</v>
      </c>
      <c r="C714" t="s">
        <v>5399</v>
      </c>
      <c r="D714" t="str">
        <f>TRIM(alias[[#This Row],[Column3]])</f>
        <v>Bank Syariah Indonesia</v>
      </c>
      <c r="F714" t="str">
        <f t="shared" si="11"/>
        <v>INSERT INTO stock_alias (stock, alias) VALUES ((SELECT id FROM stock WHERE ticker = 'BRIS'), 'Bank Syariah Indonesia') ON CONFLICT DO NOTHING;</v>
      </c>
    </row>
    <row r="715" spans="1:6" x14ac:dyDescent="0.2">
      <c r="A715" t="s">
        <v>1389</v>
      </c>
      <c r="B715" t="s">
        <v>1390</v>
      </c>
      <c r="C715" t="s">
        <v>5400</v>
      </c>
      <c r="D715" t="str">
        <f>TRIM(alias[[#This Row],[Column3]])</f>
        <v>Bank Syariah Indonesia Tbk</v>
      </c>
      <c r="F715" t="str">
        <f t="shared" si="11"/>
        <v>INSERT INTO stock_alias (stock, alias) VALUES ((SELECT id FROM stock WHERE ticker = 'BRIS'), 'Bank Syariah Indonesia Tbk') ON CONFLICT DO NOTHING;</v>
      </c>
    </row>
    <row r="716" spans="1:6" x14ac:dyDescent="0.2">
      <c r="A716" t="s">
        <v>1389</v>
      </c>
      <c r="B716" t="s">
        <v>1390</v>
      </c>
      <c r="C716" t="s">
        <v>5401</v>
      </c>
      <c r="D716" t="str">
        <f>TRIM(alias[[#This Row],[Column3]])</f>
        <v>PT Bank Syariah Indonesia</v>
      </c>
      <c r="F716" t="str">
        <f t="shared" si="11"/>
        <v>INSERT INTO stock_alias (stock, alias) VALUES ((SELECT id FROM stock WHERE ticker = 'BRIS'), 'PT Bank Syariah Indonesia') ON CONFLICT DO NOTHING;</v>
      </c>
    </row>
    <row r="717" spans="1:6" x14ac:dyDescent="0.2">
      <c r="A717" t="s">
        <v>285</v>
      </c>
      <c r="B717" t="s">
        <v>286</v>
      </c>
      <c r="C717" t="s">
        <v>285</v>
      </c>
      <c r="D717" t="str">
        <f>TRIM(alias[[#This Row],[Column3]])</f>
        <v>BRMS</v>
      </c>
      <c r="F717" t="str">
        <f t="shared" si="11"/>
        <v>INSERT INTO stock_alias (stock, alias) VALUES ((SELECT id FROM stock WHERE ticker = 'BRMS'), 'BRMS') ON CONFLICT DO NOTHING;</v>
      </c>
    </row>
    <row r="718" spans="1:6" x14ac:dyDescent="0.2">
      <c r="A718" t="s">
        <v>285</v>
      </c>
      <c r="B718" t="s">
        <v>286</v>
      </c>
      <c r="C718" t="s">
        <v>5402</v>
      </c>
      <c r="D718" t="str">
        <f>TRIM(alias[[#This Row],[Column3]])</f>
        <v>Bumi Resources Minerals</v>
      </c>
      <c r="F718" t="str">
        <f t="shared" si="11"/>
        <v>INSERT INTO stock_alias (stock, alias) VALUES ((SELECT id FROM stock WHERE ticker = 'BRMS'), 'Bumi Resources Minerals') ON CONFLICT DO NOTHING;</v>
      </c>
    </row>
    <row r="719" spans="1:6" x14ac:dyDescent="0.2">
      <c r="A719" t="s">
        <v>285</v>
      </c>
      <c r="B719" t="s">
        <v>286</v>
      </c>
      <c r="C719" t="s">
        <v>5403</v>
      </c>
      <c r="D719" t="str">
        <f>TRIM(alias[[#This Row],[Column3]])</f>
        <v>Bumi Resources Minerals Tbk</v>
      </c>
      <c r="F719" t="str">
        <f t="shared" si="11"/>
        <v>INSERT INTO stock_alias (stock, alias) VALUES ((SELECT id FROM stock WHERE ticker = 'BRMS'), 'Bumi Resources Minerals Tbk') ON CONFLICT DO NOTHING;</v>
      </c>
    </row>
    <row r="720" spans="1:6" x14ac:dyDescent="0.2">
      <c r="A720" t="s">
        <v>285</v>
      </c>
      <c r="B720" t="s">
        <v>286</v>
      </c>
      <c r="C720" t="s">
        <v>5404</v>
      </c>
      <c r="D720" t="str">
        <f>TRIM(alias[[#This Row],[Column3]])</f>
        <v>PT Bumi Resources Minerals</v>
      </c>
      <c r="F720" t="str">
        <f t="shared" si="11"/>
        <v>INSERT INTO stock_alias (stock, alias) VALUES ((SELECT id FROM stock WHERE ticker = 'BRMS'), 'PT Bumi Resources Minerals') ON CONFLICT DO NOTHING;</v>
      </c>
    </row>
    <row r="721" spans="1:6" x14ac:dyDescent="0.2">
      <c r="A721" t="s">
        <v>288</v>
      </c>
      <c r="B721" t="s">
        <v>289</v>
      </c>
      <c r="C721" t="s">
        <v>5405</v>
      </c>
      <c r="D721" t="str">
        <f>TRIM(alias[[#This Row],[Column3]])</f>
        <v>BRNA Tbk</v>
      </c>
      <c r="F721" t="str">
        <f t="shared" si="11"/>
        <v>INSERT INTO stock_alias (stock, alias) VALUES ((SELECT id FROM stock WHERE ticker = 'BRNA'), 'BRNA Tbk') ON CONFLICT DO NOTHING;</v>
      </c>
    </row>
    <row r="722" spans="1:6" x14ac:dyDescent="0.2">
      <c r="A722" t="s">
        <v>288</v>
      </c>
      <c r="B722" t="s">
        <v>289</v>
      </c>
      <c r="C722" t="s">
        <v>5406</v>
      </c>
      <c r="D722" t="str">
        <f>TRIM(alias[[#This Row],[Column3]])</f>
        <v>PT Berlina</v>
      </c>
      <c r="F722" t="str">
        <f t="shared" si="11"/>
        <v>INSERT INTO stock_alias (stock, alias) VALUES ((SELECT id FROM stock WHERE ticker = 'BRNA'), 'PT Berlina') ON CONFLICT DO NOTHING;</v>
      </c>
    </row>
    <row r="723" spans="1:6" x14ac:dyDescent="0.2">
      <c r="A723" t="s">
        <v>291</v>
      </c>
      <c r="B723" t="s">
        <v>292</v>
      </c>
      <c r="C723" t="s">
        <v>291</v>
      </c>
      <c r="D723" t="str">
        <f>TRIM(alias[[#This Row],[Column3]])</f>
        <v>BRPT</v>
      </c>
      <c r="F723" t="str">
        <f t="shared" si="11"/>
        <v>INSERT INTO stock_alias (stock, alias) VALUES ((SELECT id FROM stock WHERE ticker = 'BRPT'), 'BRPT') ON CONFLICT DO NOTHING;</v>
      </c>
    </row>
    <row r="724" spans="1:6" x14ac:dyDescent="0.2">
      <c r="A724" t="s">
        <v>291</v>
      </c>
      <c r="B724" t="s">
        <v>292</v>
      </c>
      <c r="C724" t="s">
        <v>5407</v>
      </c>
      <c r="D724" t="str">
        <f>TRIM(alias[[#This Row],[Column3]])</f>
        <v>Barito Pacific</v>
      </c>
      <c r="F724" t="str">
        <f t="shared" si="11"/>
        <v>INSERT INTO stock_alias (stock, alias) VALUES ((SELECT id FROM stock WHERE ticker = 'BRPT'), 'Barito Pacific') ON CONFLICT DO NOTHING;</v>
      </c>
    </row>
    <row r="725" spans="1:6" x14ac:dyDescent="0.2">
      <c r="A725" t="s">
        <v>291</v>
      </c>
      <c r="B725" t="s">
        <v>292</v>
      </c>
      <c r="C725" t="s">
        <v>5408</v>
      </c>
      <c r="D725" t="str">
        <f>TRIM(alias[[#This Row],[Column3]])</f>
        <v>Barito Pacific Tbk</v>
      </c>
      <c r="F725" t="str">
        <f t="shared" si="11"/>
        <v>INSERT INTO stock_alias (stock, alias) VALUES ((SELECT id FROM stock WHERE ticker = 'BRPT'), 'Barito Pacific Tbk') ON CONFLICT DO NOTHING;</v>
      </c>
    </row>
    <row r="726" spans="1:6" x14ac:dyDescent="0.2">
      <c r="A726" t="s">
        <v>291</v>
      </c>
      <c r="B726" t="s">
        <v>292</v>
      </c>
      <c r="C726" t="s">
        <v>5409</v>
      </c>
      <c r="D726" t="str">
        <f>TRIM(alias[[#This Row],[Column3]])</f>
        <v>PT Barito Pacific</v>
      </c>
      <c r="F726" t="str">
        <f t="shared" si="11"/>
        <v>INSERT INTO stock_alias (stock, alias) VALUES ((SELECT id FROM stock WHERE ticker = 'BRPT'), 'PT Barito Pacific') ON CONFLICT DO NOTHING;</v>
      </c>
    </row>
    <row r="727" spans="1:6" x14ac:dyDescent="0.2">
      <c r="A727" t="s">
        <v>2523</v>
      </c>
      <c r="B727" t="s">
        <v>2524</v>
      </c>
      <c r="C727" t="s">
        <v>2523</v>
      </c>
      <c r="D727" t="str">
        <f>TRIM(alias[[#This Row],[Column3]])</f>
        <v>BRRC</v>
      </c>
      <c r="F727" t="str">
        <f t="shared" si="11"/>
        <v>INSERT INTO stock_alias (stock, alias) VALUES ((SELECT id FROM stock WHERE ticker = 'BRRC'), 'BRRC') ON CONFLICT DO NOTHING;</v>
      </c>
    </row>
    <row r="728" spans="1:6" x14ac:dyDescent="0.2">
      <c r="A728" t="s">
        <v>2523</v>
      </c>
      <c r="B728" t="s">
        <v>2524</v>
      </c>
      <c r="C728" t="s">
        <v>5410</v>
      </c>
      <c r="D728" t="str">
        <f>TRIM(alias[[#This Row],[Column3]])</f>
        <v>PT Raja Roti Cemerlang</v>
      </c>
      <c r="F728" t="str">
        <f t="shared" si="11"/>
        <v>INSERT INTO stock_alias (stock, alias) VALUES ((SELECT id FROM stock WHERE ticker = 'BRRC'), 'PT Raja Roti Cemerlang') ON CONFLICT DO NOTHING;</v>
      </c>
    </row>
    <row r="729" spans="1:6" x14ac:dyDescent="0.2">
      <c r="A729" t="s">
        <v>2523</v>
      </c>
      <c r="B729" t="s">
        <v>2524</v>
      </c>
      <c r="C729" t="s">
        <v>5411</v>
      </c>
      <c r="D729" t="str">
        <f>TRIM(alias[[#This Row],[Column3]])</f>
        <v>Raja Roti Cemerlang</v>
      </c>
      <c r="F729" t="str">
        <f t="shared" si="11"/>
        <v>INSERT INTO stock_alias (stock, alias) VALUES ((SELECT id FROM stock WHERE ticker = 'BRRC'), 'Raja Roti Cemerlang') ON CONFLICT DO NOTHING;</v>
      </c>
    </row>
    <row r="730" spans="1:6" x14ac:dyDescent="0.2">
      <c r="A730" t="s">
        <v>2523</v>
      </c>
      <c r="B730" t="s">
        <v>2524</v>
      </c>
      <c r="C730" t="s">
        <v>5412</v>
      </c>
      <c r="D730" t="str">
        <f>TRIM(alias[[#This Row],[Column3]])</f>
        <v>Raja Roti Cemerlang Tbk</v>
      </c>
      <c r="F730" t="str">
        <f t="shared" si="11"/>
        <v>INSERT INTO stock_alias (stock, alias) VALUES ((SELECT id FROM stock WHERE ticker = 'BRRC'), 'Raja Roti Cemerlang Tbk') ON CONFLICT DO NOTHING;</v>
      </c>
    </row>
    <row r="731" spans="1:6" x14ac:dyDescent="0.2">
      <c r="A731" t="s">
        <v>2190</v>
      </c>
      <c r="B731" t="s">
        <v>2191</v>
      </c>
      <c r="C731" t="s">
        <v>2190</v>
      </c>
      <c r="D731" t="str">
        <f>TRIM(alias[[#This Row],[Column3]])</f>
        <v>BSBK</v>
      </c>
      <c r="F731" t="str">
        <f t="shared" si="11"/>
        <v>INSERT INTO stock_alias (stock, alias) VALUES ((SELECT id FROM stock WHERE ticker = 'BSBK'), 'BSBK') ON CONFLICT DO NOTHING;</v>
      </c>
    </row>
    <row r="732" spans="1:6" x14ac:dyDescent="0.2">
      <c r="A732" t="s">
        <v>2190</v>
      </c>
      <c r="B732" t="s">
        <v>2191</v>
      </c>
      <c r="C732" t="s">
        <v>5413</v>
      </c>
      <c r="D732" t="str">
        <f>TRIM(alias[[#This Row],[Column3]])</f>
        <v>PT Wulandari Bangun Laksana</v>
      </c>
      <c r="F732" t="str">
        <f t="shared" si="11"/>
        <v>INSERT INTO stock_alias (stock, alias) VALUES ((SELECT id FROM stock WHERE ticker = 'BSBK'), 'PT Wulandari Bangun Laksana') ON CONFLICT DO NOTHING;</v>
      </c>
    </row>
    <row r="733" spans="1:6" x14ac:dyDescent="0.2">
      <c r="A733" t="s">
        <v>2190</v>
      </c>
      <c r="B733" t="s">
        <v>2191</v>
      </c>
      <c r="C733" t="s">
        <v>5414</v>
      </c>
      <c r="D733" t="str">
        <f>TRIM(alias[[#This Row],[Column3]])</f>
        <v>Wulandari Bangun Laksana</v>
      </c>
      <c r="F733" t="str">
        <f t="shared" si="11"/>
        <v>INSERT INTO stock_alias (stock, alias) VALUES ((SELECT id FROM stock WHERE ticker = 'BSBK'), 'Wulandari Bangun Laksana') ON CONFLICT DO NOTHING;</v>
      </c>
    </row>
    <row r="734" spans="1:6" x14ac:dyDescent="0.2">
      <c r="A734" t="s">
        <v>2190</v>
      </c>
      <c r="B734" t="s">
        <v>2191</v>
      </c>
      <c r="C734" t="s">
        <v>5415</v>
      </c>
      <c r="D734" t="str">
        <f>TRIM(alias[[#This Row],[Column3]])</f>
        <v>Wulandari Bangun Laksana Tbk</v>
      </c>
      <c r="F734" t="str">
        <f t="shared" si="11"/>
        <v>INSERT INTO stock_alias (stock, alias) VALUES ((SELECT id FROM stock WHERE ticker = 'BSBK'), 'Wulandari Bangun Laksana Tbk') ON CONFLICT DO NOTHING;</v>
      </c>
    </row>
    <row r="735" spans="1:6" x14ac:dyDescent="0.2">
      <c r="A735" t="s">
        <v>294</v>
      </c>
      <c r="B735" t="s">
        <v>295</v>
      </c>
      <c r="C735" t="s">
        <v>294</v>
      </c>
      <c r="D735" t="str">
        <f>TRIM(alias[[#This Row],[Column3]])</f>
        <v>BSDE</v>
      </c>
      <c r="F735" t="str">
        <f t="shared" si="11"/>
        <v>INSERT INTO stock_alias (stock, alias) VALUES ((SELECT id FROM stock WHERE ticker = 'BSDE'), 'BSDE') ON CONFLICT DO NOTHING;</v>
      </c>
    </row>
    <row r="736" spans="1:6" x14ac:dyDescent="0.2">
      <c r="A736" t="s">
        <v>294</v>
      </c>
      <c r="B736" t="s">
        <v>295</v>
      </c>
      <c r="C736" t="s">
        <v>5416</v>
      </c>
      <c r="D736" t="str">
        <f>TRIM(alias[[#This Row],[Column3]])</f>
        <v>BSD</v>
      </c>
      <c r="F736" t="str">
        <f t="shared" si="11"/>
        <v>INSERT INTO stock_alias (stock, alias) VALUES ((SELECT id FROM stock WHERE ticker = 'BSDE'), 'BSD') ON CONFLICT DO NOTHING;</v>
      </c>
    </row>
    <row r="737" spans="1:6" x14ac:dyDescent="0.2">
      <c r="A737" t="s">
        <v>294</v>
      </c>
      <c r="B737" t="s">
        <v>295</v>
      </c>
      <c r="C737" t="s">
        <v>5417</v>
      </c>
      <c r="D737" t="str">
        <f>TRIM(alias[[#This Row],[Column3]])</f>
        <v>Bumi Serpong Damai</v>
      </c>
      <c r="F737" t="str">
        <f t="shared" si="11"/>
        <v>INSERT INTO stock_alias (stock, alias) VALUES ((SELECT id FROM stock WHERE ticker = 'BSDE'), 'Bumi Serpong Damai') ON CONFLICT DO NOTHING;</v>
      </c>
    </row>
    <row r="738" spans="1:6" x14ac:dyDescent="0.2">
      <c r="A738" t="s">
        <v>294</v>
      </c>
      <c r="B738" t="s">
        <v>295</v>
      </c>
      <c r="C738" t="s">
        <v>5418</v>
      </c>
      <c r="D738" t="str">
        <f>TRIM(alias[[#This Row],[Column3]])</f>
        <v>Bumi Serpong Damai Tbk</v>
      </c>
      <c r="F738" t="str">
        <f t="shared" si="11"/>
        <v>INSERT INTO stock_alias (stock, alias) VALUES ((SELECT id FROM stock WHERE ticker = 'BSDE'), 'Bumi Serpong Damai Tbk') ON CONFLICT DO NOTHING;</v>
      </c>
    </row>
    <row r="739" spans="1:6" x14ac:dyDescent="0.2">
      <c r="A739" t="s">
        <v>294</v>
      </c>
      <c r="B739" t="s">
        <v>295</v>
      </c>
      <c r="C739" t="s">
        <v>5419</v>
      </c>
      <c r="D739" t="str">
        <f>TRIM(alias[[#This Row],[Column3]])</f>
        <v>PT Bumi Serpong Damai</v>
      </c>
      <c r="F739" t="str">
        <f t="shared" si="11"/>
        <v>INSERT INTO stock_alias (stock, alias) VALUES ((SELECT id FROM stock WHERE ticker = 'BSDE'), 'PT Bumi Serpong Damai') ON CONFLICT DO NOTHING;</v>
      </c>
    </row>
    <row r="740" spans="1:6" x14ac:dyDescent="0.2">
      <c r="A740" t="s">
        <v>297</v>
      </c>
      <c r="B740" t="s">
        <v>298</v>
      </c>
      <c r="C740" t="s">
        <v>297</v>
      </c>
      <c r="D740" t="str">
        <f>TRIM(alias[[#This Row],[Column3]])</f>
        <v>BSIM</v>
      </c>
      <c r="F740" t="str">
        <f t="shared" si="11"/>
        <v>INSERT INTO stock_alias (stock, alias) VALUES ((SELECT id FROM stock WHERE ticker = 'BSIM'), 'BSIM') ON CONFLICT DO NOTHING;</v>
      </c>
    </row>
    <row r="741" spans="1:6" x14ac:dyDescent="0.2">
      <c r="A741" t="s">
        <v>297</v>
      </c>
      <c r="B741" t="s">
        <v>298</v>
      </c>
      <c r="C741" t="s">
        <v>5420</v>
      </c>
      <c r="D741" t="str">
        <f>TRIM(alias[[#This Row],[Column3]])</f>
        <v>Bank Sinarmas</v>
      </c>
      <c r="F741" t="str">
        <f t="shared" si="11"/>
        <v>INSERT INTO stock_alias (stock, alias) VALUES ((SELECT id FROM stock WHERE ticker = 'BSIM'), 'Bank Sinarmas') ON CONFLICT DO NOTHING;</v>
      </c>
    </row>
    <row r="742" spans="1:6" x14ac:dyDescent="0.2">
      <c r="A742" t="s">
        <v>297</v>
      </c>
      <c r="B742" t="s">
        <v>298</v>
      </c>
      <c r="C742" t="s">
        <v>5421</v>
      </c>
      <c r="D742" t="str">
        <f>TRIM(alias[[#This Row],[Column3]])</f>
        <v>Bank Sinarmas Tbk</v>
      </c>
      <c r="F742" t="str">
        <f t="shared" si="11"/>
        <v>INSERT INTO stock_alias (stock, alias) VALUES ((SELECT id FROM stock WHERE ticker = 'BSIM'), 'Bank Sinarmas Tbk') ON CONFLICT DO NOTHING;</v>
      </c>
    </row>
    <row r="743" spans="1:6" x14ac:dyDescent="0.2">
      <c r="A743" t="s">
        <v>297</v>
      </c>
      <c r="B743" t="s">
        <v>298</v>
      </c>
      <c r="C743" t="s">
        <v>5422</v>
      </c>
      <c r="D743" t="str">
        <f>TRIM(alias[[#This Row],[Column3]])</f>
        <v>PT Bank Sinarmas</v>
      </c>
      <c r="F743" t="str">
        <f t="shared" si="11"/>
        <v>INSERT INTO stock_alias (stock, alias) VALUES ((SELECT id FROM stock WHERE ticker = 'BSIM'), 'PT Bank Sinarmas') ON CONFLICT DO NOTHING;</v>
      </c>
    </row>
    <row r="744" spans="1:6" x14ac:dyDescent="0.2">
      <c r="A744" t="s">
        <v>297</v>
      </c>
      <c r="B744" t="s">
        <v>298</v>
      </c>
      <c r="C744" t="s">
        <v>5423</v>
      </c>
      <c r="D744" t="str">
        <f>TRIM(alias[[#This Row],[Column3]])</f>
        <v>Sinarmas</v>
      </c>
      <c r="F744" t="str">
        <f t="shared" si="11"/>
        <v>INSERT INTO stock_alias (stock, alias) VALUES ((SELECT id FROM stock WHERE ticker = 'BSIM'), 'Sinarmas') ON CONFLICT DO NOTHING;</v>
      </c>
    </row>
    <row r="745" spans="1:6" x14ac:dyDescent="0.2">
      <c r="A745" t="s">
        <v>2055</v>
      </c>
      <c r="B745" t="s">
        <v>3533</v>
      </c>
      <c r="C745" t="s">
        <v>2055</v>
      </c>
      <c r="D745" t="str">
        <f>TRIM(alias[[#This Row],[Column3]])</f>
        <v>BSML</v>
      </c>
      <c r="F745" t="str">
        <f t="shared" si="11"/>
        <v>INSERT INTO stock_alias (stock, alias) VALUES ((SELECT id FROM stock WHERE ticker = 'BSML'), 'BSML') ON CONFLICT DO NOTHING;</v>
      </c>
    </row>
    <row r="746" spans="1:6" x14ac:dyDescent="0.2">
      <c r="A746" t="s">
        <v>2055</v>
      </c>
      <c r="B746" t="s">
        <v>3533</v>
      </c>
      <c r="C746" t="s">
        <v>5424</v>
      </c>
      <c r="D746" t="str">
        <f>TRIM(alias[[#This Row],[Column3]])</f>
        <v>Bintang Samudera Mandiri Lines</v>
      </c>
      <c r="F746" t="str">
        <f t="shared" si="11"/>
        <v>INSERT INTO stock_alias (stock, alias) VALUES ((SELECT id FROM stock WHERE ticker = 'BSML'), 'Bintang Samudera Mandiri Lines') ON CONFLICT DO NOTHING;</v>
      </c>
    </row>
    <row r="747" spans="1:6" x14ac:dyDescent="0.2">
      <c r="A747" t="s">
        <v>2055</v>
      </c>
      <c r="B747" t="s">
        <v>3533</v>
      </c>
      <c r="C747" t="s">
        <v>5425</v>
      </c>
      <c r="D747" t="str">
        <f>TRIM(alias[[#This Row],[Column3]])</f>
        <v>Bintang Samudera Mandiri Lines Tbk</v>
      </c>
      <c r="F747" t="str">
        <f t="shared" si="11"/>
        <v>INSERT INTO stock_alias (stock, alias) VALUES ((SELECT id FROM stock WHERE ticker = 'BSML'), 'Bintang Samudera Mandiri Lines Tbk') ON CONFLICT DO NOTHING;</v>
      </c>
    </row>
    <row r="748" spans="1:6" x14ac:dyDescent="0.2">
      <c r="A748" t="s">
        <v>2055</v>
      </c>
      <c r="B748" t="s">
        <v>3533</v>
      </c>
      <c r="C748" t="s">
        <v>5426</v>
      </c>
      <c r="D748" t="str">
        <f>TRIM(alias[[#This Row],[Column3]])</f>
        <v>PT Bintang Samudera Mandiri Lines</v>
      </c>
      <c r="F748" t="str">
        <f t="shared" si="11"/>
        <v>INSERT INTO stock_alias (stock, alias) VALUES ((SELECT id FROM stock WHERE ticker = 'BSML'), 'PT Bintang Samudera Mandiri Lines') ON CONFLICT DO NOTHING;</v>
      </c>
    </row>
    <row r="749" spans="1:6" x14ac:dyDescent="0.2">
      <c r="A749" t="s">
        <v>300</v>
      </c>
      <c r="B749" t="s">
        <v>301</v>
      </c>
      <c r="C749" t="s">
        <v>300</v>
      </c>
      <c r="D749" t="str">
        <f>TRIM(alias[[#This Row],[Column3]])</f>
        <v>BSSR</v>
      </c>
      <c r="F749" t="str">
        <f t="shared" si="11"/>
        <v>INSERT INTO stock_alias (stock, alias) VALUES ((SELECT id FROM stock WHERE ticker = 'BSSR'), 'BSSR') ON CONFLICT DO NOTHING;</v>
      </c>
    </row>
    <row r="750" spans="1:6" x14ac:dyDescent="0.2">
      <c r="A750" t="s">
        <v>300</v>
      </c>
      <c r="B750" t="s">
        <v>301</v>
      </c>
      <c r="C750" t="s">
        <v>5427</v>
      </c>
      <c r="D750" t="str">
        <f>TRIM(alias[[#This Row],[Column3]])</f>
        <v>Baramulti Suksessarana</v>
      </c>
      <c r="F750" t="str">
        <f t="shared" si="11"/>
        <v>INSERT INTO stock_alias (stock, alias) VALUES ((SELECT id FROM stock WHERE ticker = 'BSSR'), 'Baramulti Suksessarana') ON CONFLICT DO NOTHING;</v>
      </c>
    </row>
    <row r="751" spans="1:6" x14ac:dyDescent="0.2">
      <c r="A751" t="s">
        <v>300</v>
      </c>
      <c r="B751" t="s">
        <v>301</v>
      </c>
      <c r="C751" t="s">
        <v>5428</v>
      </c>
      <c r="D751" t="str">
        <f>TRIM(alias[[#This Row],[Column3]])</f>
        <v>Baramulti Suksessarana Tbk</v>
      </c>
      <c r="F751" t="str">
        <f t="shared" si="11"/>
        <v>INSERT INTO stock_alias (stock, alias) VALUES ((SELECT id FROM stock WHERE ticker = 'BSSR'), 'Baramulti Suksessarana Tbk') ON CONFLICT DO NOTHING;</v>
      </c>
    </row>
    <row r="752" spans="1:6" x14ac:dyDescent="0.2">
      <c r="A752" t="s">
        <v>300</v>
      </c>
      <c r="B752" t="s">
        <v>301</v>
      </c>
      <c r="C752" t="s">
        <v>5429</v>
      </c>
      <c r="D752" t="str">
        <f>TRIM(alias[[#This Row],[Column3]])</f>
        <v>PT Baramulti Suksessarana</v>
      </c>
      <c r="F752" t="str">
        <f t="shared" si="11"/>
        <v>INSERT INTO stock_alias (stock, alias) VALUES ((SELECT id FROM stock WHERE ticker = 'BSSR'), 'PT Baramulti Suksessarana') ON CONFLICT DO NOTHING;</v>
      </c>
    </row>
    <row r="753" spans="1:6" x14ac:dyDescent="0.2">
      <c r="A753" t="s">
        <v>303</v>
      </c>
      <c r="B753" t="s">
        <v>304</v>
      </c>
      <c r="C753" t="s">
        <v>303</v>
      </c>
      <c r="D753" t="str">
        <f>TRIM(alias[[#This Row],[Column3]])</f>
        <v>BSWD</v>
      </c>
      <c r="F753" t="str">
        <f t="shared" si="11"/>
        <v>INSERT INTO stock_alias (stock, alias) VALUES ((SELECT id FROM stock WHERE ticker = 'BSWD'), 'BSWD') ON CONFLICT DO NOTHING;</v>
      </c>
    </row>
    <row r="754" spans="1:6" x14ac:dyDescent="0.2">
      <c r="A754" t="s">
        <v>303</v>
      </c>
      <c r="B754" t="s">
        <v>304</v>
      </c>
      <c r="C754" t="s">
        <v>5430</v>
      </c>
      <c r="D754" t="str">
        <f>TRIM(alias[[#This Row],[Column3]])</f>
        <v>Bank Of India Indonesia</v>
      </c>
      <c r="F754" t="str">
        <f t="shared" si="11"/>
        <v>INSERT INTO stock_alias (stock, alias) VALUES ((SELECT id FROM stock WHERE ticker = 'BSWD'), 'Bank Of India Indonesia') ON CONFLICT DO NOTHING;</v>
      </c>
    </row>
    <row r="755" spans="1:6" x14ac:dyDescent="0.2">
      <c r="A755" t="s">
        <v>303</v>
      </c>
      <c r="B755" t="s">
        <v>304</v>
      </c>
      <c r="C755" t="s">
        <v>5431</v>
      </c>
      <c r="D755" t="str">
        <f>TRIM(alias[[#This Row],[Column3]])</f>
        <v>Bank Of India Indonesia Tbk</v>
      </c>
      <c r="F755" t="str">
        <f t="shared" si="11"/>
        <v>INSERT INTO stock_alias (stock, alias) VALUES ((SELECT id FROM stock WHERE ticker = 'BSWD'), 'Bank Of India Indonesia Tbk') ON CONFLICT DO NOTHING;</v>
      </c>
    </row>
    <row r="756" spans="1:6" x14ac:dyDescent="0.2">
      <c r="A756" t="s">
        <v>303</v>
      </c>
      <c r="B756" t="s">
        <v>304</v>
      </c>
      <c r="C756" t="s">
        <v>5432</v>
      </c>
      <c r="D756" t="str">
        <f>TRIM(alias[[#This Row],[Column3]])</f>
        <v>PT Bank Of India Indonesia</v>
      </c>
      <c r="F756" t="str">
        <f t="shared" si="11"/>
        <v>INSERT INTO stock_alias (stock, alias) VALUES ((SELECT id FROM stock WHERE ticker = 'BSWD'), 'PT Bank Of India Indonesia') ON CONFLICT DO NOTHING;</v>
      </c>
    </row>
    <row r="757" spans="1:6" x14ac:dyDescent="0.2">
      <c r="A757" t="s">
        <v>306</v>
      </c>
      <c r="B757" t="s">
        <v>3534</v>
      </c>
      <c r="C757" t="s">
        <v>306</v>
      </c>
      <c r="D757" t="str">
        <f>TRIM(alias[[#This Row],[Column3]])</f>
        <v>BTEK</v>
      </c>
      <c r="F757" t="str">
        <f t="shared" si="11"/>
        <v>INSERT INTO stock_alias (stock, alias) VALUES ((SELECT id FROM stock WHERE ticker = 'BTEK'), 'BTEK') ON CONFLICT DO NOTHING;</v>
      </c>
    </row>
    <row r="758" spans="1:6" x14ac:dyDescent="0.2">
      <c r="A758" t="s">
        <v>306</v>
      </c>
      <c r="B758" t="s">
        <v>3534</v>
      </c>
      <c r="C758" t="s">
        <v>5433</v>
      </c>
      <c r="D758" t="str">
        <f>TRIM(alias[[#This Row],[Column3]])</f>
        <v>Bumi Teknokultura Unggul</v>
      </c>
      <c r="F758" t="str">
        <f t="shared" si="11"/>
        <v>INSERT INTO stock_alias (stock, alias) VALUES ((SELECT id FROM stock WHERE ticker = 'BTEK'), 'Bumi Teknokultura Unggul') ON CONFLICT DO NOTHING;</v>
      </c>
    </row>
    <row r="759" spans="1:6" x14ac:dyDescent="0.2">
      <c r="A759" t="s">
        <v>306</v>
      </c>
      <c r="B759" t="s">
        <v>3534</v>
      </c>
      <c r="C759" t="s">
        <v>5434</v>
      </c>
      <c r="D759" t="str">
        <f>TRIM(alias[[#This Row],[Column3]])</f>
        <v>Bumi Teknokultura Unggul Tbk</v>
      </c>
      <c r="F759" t="str">
        <f t="shared" si="11"/>
        <v>INSERT INTO stock_alias (stock, alias) VALUES ((SELECT id FROM stock WHERE ticker = 'BTEK'), 'Bumi Teknokultura Unggul Tbk') ON CONFLICT DO NOTHING;</v>
      </c>
    </row>
    <row r="760" spans="1:6" x14ac:dyDescent="0.2">
      <c r="A760" t="s">
        <v>306</v>
      </c>
      <c r="B760" t="s">
        <v>3534</v>
      </c>
      <c r="C760" t="s">
        <v>5435</v>
      </c>
      <c r="D760" t="str">
        <f>TRIM(alias[[#This Row],[Column3]])</f>
        <v>PT Bumi Teknokultura Unggul</v>
      </c>
      <c r="F760" t="str">
        <f t="shared" si="11"/>
        <v>INSERT INTO stock_alias (stock, alias) VALUES ((SELECT id FROM stock WHERE ticker = 'BTEK'), 'PT Bumi Teknokultura Unggul') ON CONFLICT DO NOTHING;</v>
      </c>
    </row>
    <row r="761" spans="1:6" x14ac:dyDescent="0.2">
      <c r="A761" t="s">
        <v>309</v>
      </c>
      <c r="B761" t="s">
        <v>310</v>
      </c>
      <c r="C761" t="s">
        <v>309</v>
      </c>
      <c r="D761" t="str">
        <f>TRIM(alias[[#This Row],[Column3]])</f>
        <v>BTEL</v>
      </c>
      <c r="F761" t="str">
        <f t="shared" si="11"/>
        <v>INSERT INTO stock_alias (stock, alias) VALUES ((SELECT id FROM stock WHERE ticker = 'BTEL'), 'BTEL') ON CONFLICT DO NOTHING;</v>
      </c>
    </row>
    <row r="762" spans="1:6" x14ac:dyDescent="0.2">
      <c r="A762" t="s">
        <v>309</v>
      </c>
      <c r="B762" t="s">
        <v>310</v>
      </c>
      <c r="C762" t="s">
        <v>5436</v>
      </c>
      <c r="D762" t="str">
        <f>TRIM(alias[[#This Row],[Column3]])</f>
        <v>Bakrie Telecom</v>
      </c>
      <c r="F762" t="str">
        <f t="shared" si="11"/>
        <v>INSERT INTO stock_alias (stock, alias) VALUES ((SELECT id FROM stock WHERE ticker = 'BTEL'), 'Bakrie Telecom') ON CONFLICT DO NOTHING;</v>
      </c>
    </row>
    <row r="763" spans="1:6" x14ac:dyDescent="0.2">
      <c r="A763" t="s">
        <v>309</v>
      </c>
      <c r="B763" t="s">
        <v>310</v>
      </c>
      <c r="C763" t="s">
        <v>5437</v>
      </c>
      <c r="D763" t="str">
        <f>TRIM(alias[[#This Row],[Column3]])</f>
        <v>Bakrie Telecom Tbk</v>
      </c>
      <c r="F763" t="str">
        <f t="shared" si="11"/>
        <v>INSERT INTO stock_alias (stock, alias) VALUES ((SELECT id FROM stock WHERE ticker = 'BTEL'), 'Bakrie Telecom Tbk') ON CONFLICT DO NOTHING;</v>
      </c>
    </row>
    <row r="764" spans="1:6" x14ac:dyDescent="0.2">
      <c r="A764" t="s">
        <v>309</v>
      </c>
      <c r="B764" t="s">
        <v>310</v>
      </c>
      <c r="C764" t="s">
        <v>5438</v>
      </c>
      <c r="D764" t="str">
        <f>TRIM(alias[[#This Row],[Column3]])</f>
        <v>PT Bakrie Telecom</v>
      </c>
      <c r="F764" t="str">
        <f t="shared" si="11"/>
        <v>INSERT INTO stock_alias (stock, alias) VALUES ((SELECT id FROM stock WHERE ticker = 'BTEL'), 'PT Bakrie Telecom') ON CONFLICT DO NOTHING;</v>
      </c>
    </row>
    <row r="765" spans="1:6" x14ac:dyDescent="0.2">
      <c r="A765" t="s">
        <v>312</v>
      </c>
      <c r="B765" t="s">
        <v>313</v>
      </c>
      <c r="C765" t="s">
        <v>312</v>
      </c>
      <c r="D765" t="str">
        <f>TRIM(alias[[#This Row],[Column3]])</f>
        <v>BTON</v>
      </c>
      <c r="F765" t="str">
        <f t="shared" si="11"/>
        <v>INSERT INTO stock_alias (stock, alias) VALUES ((SELECT id FROM stock WHERE ticker = 'BTON'), 'BTON') ON CONFLICT DO NOTHING;</v>
      </c>
    </row>
    <row r="766" spans="1:6" x14ac:dyDescent="0.2">
      <c r="A766" t="s">
        <v>312</v>
      </c>
      <c r="B766" t="s">
        <v>313</v>
      </c>
      <c r="C766" t="s">
        <v>5439</v>
      </c>
      <c r="D766" t="str">
        <f>TRIM(alias[[#This Row],[Column3]])</f>
        <v>Betonjaya Manunggal</v>
      </c>
      <c r="F766" t="str">
        <f t="shared" si="11"/>
        <v>INSERT INTO stock_alias (stock, alias) VALUES ((SELECT id FROM stock WHERE ticker = 'BTON'), 'Betonjaya Manunggal') ON CONFLICT DO NOTHING;</v>
      </c>
    </row>
    <row r="767" spans="1:6" x14ac:dyDescent="0.2">
      <c r="A767" t="s">
        <v>312</v>
      </c>
      <c r="B767" t="s">
        <v>313</v>
      </c>
      <c r="C767" t="s">
        <v>5440</v>
      </c>
      <c r="D767" t="str">
        <f>TRIM(alias[[#This Row],[Column3]])</f>
        <v>Betonjaya Manunggal Tbk</v>
      </c>
      <c r="F767" t="str">
        <f t="shared" si="11"/>
        <v>INSERT INTO stock_alias (stock, alias) VALUES ((SELECT id FROM stock WHERE ticker = 'BTON'), 'Betonjaya Manunggal Tbk') ON CONFLICT DO NOTHING;</v>
      </c>
    </row>
    <row r="768" spans="1:6" x14ac:dyDescent="0.2">
      <c r="A768" t="s">
        <v>312</v>
      </c>
      <c r="B768" t="s">
        <v>313</v>
      </c>
      <c r="C768" t="s">
        <v>5441</v>
      </c>
      <c r="D768" t="str">
        <f>TRIM(alias[[#This Row],[Column3]])</f>
        <v>PT Betonjaya Manunggal</v>
      </c>
      <c r="F768" t="str">
        <f t="shared" si="11"/>
        <v>INSERT INTO stock_alias (stock, alias) VALUES ((SELECT id FROM stock WHERE ticker = 'BTON'), 'PT Betonjaya Manunggal') ON CONFLICT DO NOTHING;</v>
      </c>
    </row>
    <row r="769" spans="1:6" x14ac:dyDescent="0.2">
      <c r="A769" t="s">
        <v>314</v>
      </c>
      <c r="B769" t="s">
        <v>315</v>
      </c>
      <c r="C769" t="s">
        <v>314</v>
      </c>
      <c r="D769" t="str">
        <f>TRIM(alias[[#This Row],[Column3]])</f>
        <v>BTPN</v>
      </c>
      <c r="F769" t="str">
        <f t="shared" si="11"/>
        <v>INSERT INTO stock_alias (stock, alias) VALUES ((SELECT id FROM stock WHERE ticker = 'BTPN'), 'BTPN') ON CONFLICT DO NOTHING;</v>
      </c>
    </row>
    <row r="770" spans="1:6" x14ac:dyDescent="0.2">
      <c r="A770" t="s">
        <v>314</v>
      </c>
      <c r="B770" t="s">
        <v>315</v>
      </c>
      <c r="C770" t="s">
        <v>5442</v>
      </c>
      <c r="D770" t="str">
        <f>TRIM(alias[[#This Row],[Column3]])</f>
        <v>Bank SMBC Indonesia</v>
      </c>
      <c r="F770" t="str">
        <f t="shared" si="11"/>
        <v>INSERT INTO stock_alias (stock, alias) VALUES ((SELECT id FROM stock WHERE ticker = 'BTPN'), 'Bank SMBC Indonesia') ON CONFLICT DO NOTHING;</v>
      </c>
    </row>
    <row r="771" spans="1:6" x14ac:dyDescent="0.2">
      <c r="A771" t="s">
        <v>314</v>
      </c>
      <c r="B771" t="s">
        <v>315</v>
      </c>
      <c r="C771" t="s">
        <v>5443</v>
      </c>
      <c r="D771" t="str">
        <f>TRIM(alias[[#This Row],[Column3]])</f>
        <v>Bank SMBC Indonesia Tbk</v>
      </c>
      <c r="F771" t="str">
        <f t="shared" ref="F771:F834" si="12">_xlfn.CONCAT($F$1, _xlfn.CONCAT($G$1, A771, "'), '", D771, "') ON CONFLICT DO NOTHING;"))</f>
        <v>INSERT INTO stock_alias (stock, alias) VALUES ((SELECT id FROM stock WHERE ticker = 'BTPN'), 'Bank SMBC Indonesia Tbk') ON CONFLICT DO NOTHING;</v>
      </c>
    </row>
    <row r="772" spans="1:6" x14ac:dyDescent="0.2">
      <c r="A772" t="s">
        <v>314</v>
      </c>
      <c r="B772" t="s">
        <v>315</v>
      </c>
      <c r="C772" t="s">
        <v>5444</v>
      </c>
      <c r="D772" t="str">
        <f>TRIM(alias[[#This Row],[Column3]])</f>
        <v>PT Bank SMBC Indonesia</v>
      </c>
      <c r="F772" t="str">
        <f t="shared" si="12"/>
        <v>INSERT INTO stock_alias (stock, alias) VALUES ((SELECT id FROM stock WHERE ticker = 'BTPN'), 'PT Bank SMBC Indonesia') ON CONFLICT DO NOTHING;</v>
      </c>
    </row>
    <row r="773" spans="1:6" x14ac:dyDescent="0.2">
      <c r="A773" t="s">
        <v>1515</v>
      </c>
      <c r="B773" t="s">
        <v>1516</v>
      </c>
      <c r="C773" t="s">
        <v>1515</v>
      </c>
      <c r="D773" t="str">
        <f>TRIM(alias[[#This Row],[Column3]])</f>
        <v>BTPS</v>
      </c>
      <c r="F773" t="str">
        <f t="shared" si="12"/>
        <v>INSERT INTO stock_alias (stock, alias) VALUES ((SELECT id FROM stock WHERE ticker = 'BTPS'), 'BTPS') ON CONFLICT DO NOTHING;</v>
      </c>
    </row>
    <row r="774" spans="1:6" x14ac:dyDescent="0.2">
      <c r="A774" t="s">
        <v>1515</v>
      </c>
      <c r="B774" t="s">
        <v>1516</v>
      </c>
      <c r="C774" t="s">
        <v>5445</v>
      </c>
      <c r="D774" t="str">
        <f>TRIM(alias[[#This Row],[Column3]])</f>
        <v>Bank BTPN Syariah</v>
      </c>
      <c r="F774" t="str">
        <f t="shared" si="12"/>
        <v>INSERT INTO stock_alias (stock, alias) VALUES ((SELECT id FROM stock WHERE ticker = 'BTPS'), 'Bank BTPN Syariah') ON CONFLICT DO NOTHING;</v>
      </c>
    </row>
    <row r="775" spans="1:6" x14ac:dyDescent="0.2">
      <c r="A775" t="s">
        <v>1515</v>
      </c>
      <c r="B775" t="s">
        <v>1516</v>
      </c>
      <c r="C775" t="s">
        <v>5446</v>
      </c>
      <c r="D775" t="str">
        <f>TRIM(alias[[#This Row],[Column3]])</f>
        <v>Bank BTPN Syariah Tbk</v>
      </c>
      <c r="F775" t="str">
        <f t="shared" si="12"/>
        <v>INSERT INTO stock_alias (stock, alias) VALUES ((SELECT id FROM stock WHERE ticker = 'BTPS'), 'Bank BTPN Syariah Tbk') ON CONFLICT DO NOTHING;</v>
      </c>
    </row>
    <row r="776" spans="1:6" x14ac:dyDescent="0.2">
      <c r="A776" t="s">
        <v>1515</v>
      </c>
      <c r="B776" t="s">
        <v>1516</v>
      </c>
      <c r="C776" t="s">
        <v>5141</v>
      </c>
      <c r="D776" t="str">
        <f>TRIM(alias[[#This Row],[Column3]])</f>
        <v>Bank Syariah</v>
      </c>
      <c r="F776" t="str">
        <f t="shared" si="12"/>
        <v>INSERT INTO stock_alias (stock, alias) VALUES ((SELECT id FROM stock WHERE ticker = 'BTPS'), 'Bank Syariah') ON CONFLICT DO NOTHING;</v>
      </c>
    </row>
    <row r="777" spans="1:6" x14ac:dyDescent="0.2">
      <c r="A777" t="s">
        <v>1515</v>
      </c>
      <c r="B777" t="s">
        <v>1516</v>
      </c>
      <c r="C777" t="s">
        <v>5447</v>
      </c>
      <c r="D777" t="str">
        <f>TRIM(alias[[#This Row],[Column3]])</f>
        <v>PT Bank BTPN Syariah</v>
      </c>
      <c r="F777" t="str">
        <f t="shared" si="12"/>
        <v>INSERT INTO stock_alias (stock, alias) VALUES ((SELECT id FROM stock WHERE ticker = 'BTPS'), 'PT Bank BTPN Syariah') ON CONFLICT DO NOTHING;</v>
      </c>
    </row>
    <row r="778" spans="1:6" x14ac:dyDescent="0.2">
      <c r="A778" t="s">
        <v>1515</v>
      </c>
      <c r="B778" t="s">
        <v>1516</v>
      </c>
      <c r="C778" t="s">
        <v>5143</v>
      </c>
      <c r="D778" t="str">
        <f>TRIM(alias[[#This Row],[Column3]])</f>
        <v>Syariah</v>
      </c>
      <c r="F778" t="str">
        <f t="shared" si="12"/>
        <v>INSERT INTO stock_alias (stock, alias) VALUES ((SELECT id FROM stock WHERE ticker = 'BTPS'), 'Syariah') ON CONFLICT DO NOTHING;</v>
      </c>
    </row>
    <row r="779" spans="1:6" x14ac:dyDescent="0.2">
      <c r="A779" t="s">
        <v>2165</v>
      </c>
      <c r="B779" t="s">
        <v>2166</v>
      </c>
      <c r="C779" t="s">
        <v>2165</v>
      </c>
      <c r="D779" t="str">
        <f>TRIM(alias[[#This Row],[Column3]])</f>
        <v>BUAH</v>
      </c>
      <c r="F779" t="str">
        <f t="shared" si="12"/>
        <v>INSERT INTO stock_alias (stock, alias) VALUES ((SELECT id FROM stock WHERE ticker = 'BUAH'), 'BUAH') ON CONFLICT DO NOTHING;</v>
      </c>
    </row>
    <row r="780" spans="1:6" x14ac:dyDescent="0.2">
      <c r="A780" t="s">
        <v>2165</v>
      </c>
      <c r="B780" t="s">
        <v>2166</v>
      </c>
      <c r="C780" t="s">
        <v>5448</v>
      </c>
      <c r="D780" t="str">
        <f>TRIM(alias[[#This Row],[Column3]])</f>
        <v>PT Segar Kumala Indonesia</v>
      </c>
      <c r="F780" t="str">
        <f t="shared" si="12"/>
        <v>INSERT INTO stock_alias (stock, alias) VALUES ((SELECT id FROM stock WHERE ticker = 'BUAH'), 'PT Segar Kumala Indonesia') ON CONFLICT DO NOTHING;</v>
      </c>
    </row>
    <row r="781" spans="1:6" x14ac:dyDescent="0.2">
      <c r="A781" t="s">
        <v>2165</v>
      </c>
      <c r="B781" t="s">
        <v>2166</v>
      </c>
      <c r="C781" t="s">
        <v>5449</v>
      </c>
      <c r="D781" t="str">
        <f>TRIM(alias[[#This Row],[Column3]])</f>
        <v>Segar Kumala Indonesia</v>
      </c>
      <c r="F781" t="str">
        <f t="shared" si="12"/>
        <v>INSERT INTO stock_alias (stock, alias) VALUES ((SELECT id FROM stock WHERE ticker = 'BUAH'), 'Segar Kumala Indonesia') ON CONFLICT DO NOTHING;</v>
      </c>
    </row>
    <row r="782" spans="1:6" x14ac:dyDescent="0.2">
      <c r="A782" t="s">
        <v>2165</v>
      </c>
      <c r="B782" t="s">
        <v>2166</v>
      </c>
      <c r="C782" t="s">
        <v>5450</v>
      </c>
      <c r="D782" t="str">
        <f>TRIM(alias[[#This Row],[Column3]])</f>
        <v>Segar Kumala Indonesia Tbk</v>
      </c>
      <c r="F782" t="str">
        <f t="shared" si="12"/>
        <v>INSERT INTO stock_alias (stock, alias) VALUES ((SELECT id FROM stock WHERE ticker = 'BUAH'), 'Segar Kumala Indonesia Tbk') ON CONFLICT DO NOTHING;</v>
      </c>
    </row>
    <row r="783" spans="1:6" x14ac:dyDescent="0.2">
      <c r="A783" t="s">
        <v>317</v>
      </c>
      <c r="B783" t="s">
        <v>318</v>
      </c>
      <c r="C783" t="s">
        <v>317</v>
      </c>
      <c r="D783" t="str">
        <f>TRIM(alias[[#This Row],[Column3]])</f>
        <v>BUDI</v>
      </c>
      <c r="F783" t="str">
        <f t="shared" si="12"/>
        <v>INSERT INTO stock_alias (stock, alias) VALUES ((SELECT id FROM stock WHERE ticker = 'BUDI'), 'BUDI') ON CONFLICT DO NOTHING;</v>
      </c>
    </row>
    <row r="784" spans="1:6" x14ac:dyDescent="0.2">
      <c r="A784" t="s">
        <v>317</v>
      </c>
      <c r="B784" t="s">
        <v>318</v>
      </c>
      <c r="C784" t="s">
        <v>5451</v>
      </c>
      <c r="D784" t="str">
        <f>TRIM(alias[[#This Row],[Column3]])</f>
        <v>Budi Starch &amp; Sweetener</v>
      </c>
      <c r="F784" t="str">
        <f t="shared" si="12"/>
        <v>INSERT INTO stock_alias (stock, alias) VALUES ((SELECT id FROM stock WHERE ticker = 'BUDI'), 'Budi Starch &amp; Sweetener') ON CONFLICT DO NOTHING;</v>
      </c>
    </row>
    <row r="785" spans="1:6" x14ac:dyDescent="0.2">
      <c r="A785" t="s">
        <v>317</v>
      </c>
      <c r="B785" t="s">
        <v>318</v>
      </c>
      <c r="C785" t="s">
        <v>5452</v>
      </c>
      <c r="D785" t="str">
        <f>TRIM(alias[[#This Row],[Column3]])</f>
        <v>Budi Starch &amp; Sweetener Tbk</v>
      </c>
      <c r="F785" t="str">
        <f t="shared" si="12"/>
        <v>INSERT INTO stock_alias (stock, alias) VALUES ((SELECT id FROM stock WHERE ticker = 'BUDI'), 'Budi Starch &amp; Sweetener Tbk') ON CONFLICT DO NOTHING;</v>
      </c>
    </row>
    <row r="786" spans="1:6" x14ac:dyDescent="0.2">
      <c r="A786" t="s">
        <v>317</v>
      </c>
      <c r="B786" t="s">
        <v>318</v>
      </c>
      <c r="C786" t="s">
        <v>5453</v>
      </c>
      <c r="D786" t="str">
        <f>TRIM(alias[[#This Row],[Column3]])</f>
        <v>PT Budi Starch &amp; Sweetener</v>
      </c>
      <c r="F786" t="str">
        <f t="shared" si="12"/>
        <v>INSERT INTO stock_alias (stock, alias) VALUES ((SELECT id FROM stock WHERE ticker = 'BUDI'), 'PT Budi Starch &amp; Sweetener') ON CONFLICT DO NOTHING;</v>
      </c>
    </row>
    <row r="787" spans="1:6" x14ac:dyDescent="0.2">
      <c r="A787" t="s">
        <v>1980</v>
      </c>
      <c r="B787" t="s">
        <v>1981</v>
      </c>
      <c r="C787" t="s">
        <v>1980</v>
      </c>
      <c r="D787" t="str">
        <f>TRIM(alias[[#This Row],[Column3]])</f>
        <v>BUKA</v>
      </c>
      <c r="F787" t="str">
        <f t="shared" si="12"/>
        <v>INSERT INTO stock_alias (stock, alias) VALUES ((SELECT id FROM stock WHERE ticker = 'BUKA'), 'BUKA') ON CONFLICT DO NOTHING;</v>
      </c>
    </row>
    <row r="788" spans="1:6" x14ac:dyDescent="0.2">
      <c r="A788" t="s">
        <v>1980</v>
      </c>
      <c r="B788" t="s">
        <v>1981</v>
      </c>
      <c r="C788" t="s">
        <v>5454</v>
      </c>
      <c r="D788" t="str">
        <f>TRIM(alias[[#This Row],[Column3]])</f>
        <v>Bukalapak Tbk</v>
      </c>
      <c r="F788" t="str">
        <f t="shared" si="12"/>
        <v>INSERT INTO stock_alias (stock, alias) VALUES ((SELECT id FROM stock WHERE ticker = 'BUKA'), 'Bukalapak Tbk') ON CONFLICT DO NOTHING;</v>
      </c>
    </row>
    <row r="789" spans="1:6" x14ac:dyDescent="0.2">
      <c r="A789" t="s">
        <v>1980</v>
      </c>
      <c r="B789" t="s">
        <v>1981</v>
      </c>
      <c r="C789" t="s">
        <v>5455</v>
      </c>
      <c r="D789" t="str">
        <f>TRIM(alias[[#This Row],[Column3]])</f>
        <v>PT Bukalapak.com</v>
      </c>
      <c r="F789" t="str">
        <f t="shared" si="12"/>
        <v>INSERT INTO stock_alias (stock, alias) VALUES ((SELECT id FROM stock WHERE ticker = 'BUKA'), 'PT Bukalapak.com') ON CONFLICT DO NOTHING;</v>
      </c>
    </row>
    <row r="790" spans="1:6" x14ac:dyDescent="0.2">
      <c r="A790" t="s">
        <v>320</v>
      </c>
      <c r="B790" t="s">
        <v>321</v>
      </c>
      <c r="C790" t="s">
        <v>320</v>
      </c>
      <c r="D790" t="str">
        <f>TRIM(alias[[#This Row],[Column3]])</f>
        <v>BUKK</v>
      </c>
      <c r="F790" t="str">
        <f t="shared" si="12"/>
        <v>INSERT INTO stock_alias (stock, alias) VALUES ((SELECT id FROM stock WHERE ticker = 'BUKK'), 'BUKK') ON CONFLICT DO NOTHING;</v>
      </c>
    </row>
    <row r="791" spans="1:6" x14ac:dyDescent="0.2">
      <c r="A791" t="s">
        <v>320</v>
      </c>
      <c r="B791" t="s">
        <v>321</v>
      </c>
      <c r="C791" t="s">
        <v>5456</v>
      </c>
      <c r="D791" t="str">
        <f>TRIM(alias[[#This Row],[Column3]])</f>
        <v>Bukaka Teknik Utama</v>
      </c>
      <c r="F791" t="str">
        <f t="shared" si="12"/>
        <v>INSERT INTO stock_alias (stock, alias) VALUES ((SELECT id FROM stock WHERE ticker = 'BUKK'), 'Bukaka Teknik Utama') ON CONFLICT DO NOTHING;</v>
      </c>
    </row>
    <row r="792" spans="1:6" x14ac:dyDescent="0.2">
      <c r="A792" t="s">
        <v>320</v>
      </c>
      <c r="B792" t="s">
        <v>321</v>
      </c>
      <c r="C792" t="s">
        <v>5457</v>
      </c>
      <c r="D792" t="str">
        <f>TRIM(alias[[#This Row],[Column3]])</f>
        <v>Bukaka Teknik Utama Tbk</v>
      </c>
      <c r="F792" t="str">
        <f t="shared" si="12"/>
        <v>INSERT INTO stock_alias (stock, alias) VALUES ((SELECT id FROM stock WHERE ticker = 'BUKK'), 'Bukaka Teknik Utama Tbk') ON CONFLICT DO NOTHING;</v>
      </c>
    </row>
    <row r="793" spans="1:6" x14ac:dyDescent="0.2">
      <c r="A793" t="s">
        <v>320</v>
      </c>
      <c r="B793" t="s">
        <v>321</v>
      </c>
      <c r="C793" t="s">
        <v>5458</v>
      </c>
      <c r="D793" t="str">
        <f>TRIM(alias[[#This Row],[Column3]])</f>
        <v>PT Bukaka Teknik Utama</v>
      </c>
      <c r="F793" t="str">
        <f t="shared" si="12"/>
        <v>INSERT INTO stock_alias (stock, alias) VALUES ((SELECT id FROM stock WHERE ticker = 'BUKK'), 'PT Bukaka Teknik Utama') ON CONFLICT DO NOTHING;</v>
      </c>
    </row>
    <row r="794" spans="1:6" x14ac:dyDescent="0.2">
      <c r="A794" t="s">
        <v>323</v>
      </c>
      <c r="B794" t="s">
        <v>324</v>
      </c>
      <c r="C794" t="s">
        <v>323</v>
      </c>
      <c r="D794" t="str">
        <f>TRIM(alias[[#This Row],[Column3]])</f>
        <v>BULL</v>
      </c>
      <c r="F794" t="str">
        <f t="shared" si="12"/>
        <v>INSERT INTO stock_alias (stock, alias) VALUES ((SELECT id FROM stock WHERE ticker = 'BULL'), 'BULL') ON CONFLICT DO NOTHING;</v>
      </c>
    </row>
    <row r="795" spans="1:6" x14ac:dyDescent="0.2">
      <c r="A795" t="s">
        <v>323</v>
      </c>
      <c r="B795" t="s">
        <v>324</v>
      </c>
      <c r="C795" t="s">
        <v>5459</v>
      </c>
      <c r="D795" t="str">
        <f>TRIM(alias[[#This Row],[Column3]])</f>
        <v>Buana Lintas Lautan</v>
      </c>
      <c r="F795" t="str">
        <f t="shared" si="12"/>
        <v>INSERT INTO stock_alias (stock, alias) VALUES ((SELECT id FROM stock WHERE ticker = 'BULL'), 'Buana Lintas Lautan') ON CONFLICT DO NOTHING;</v>
      </c>
    </row>
    <row r="796" spans="1:6" x14ac:dyDescent="0.2">
      <c r="A796" t="s">
        <v>323</v>
      </c>
      <c r="B796" t="s">
        <v>324</v>
      </c>
      <c r="C796" t="s">
        <v>5460</v>
      </c>
      <c r="D796" t="str">
        <f>TRIM(alias[[#This Row],[Column3]])</f>
        <v>Buana Lintas Lautan Tbk</v>
      </c>
      <c r="F796" t="str">
        <f t="shared" si="12"/>
        <v>INSERT INTO stock_alias (stock, alias) VALUES ((SELECT id FROM stock WHERE ticker = 'BULL'), 'Buana Lintas Lautan Tbk') ON CONFLICT DO NOTHING;</v>
      </c>
    </row>
    <row r="797" spans="1:6" x14ac:dyDescent="0.2">
      <c r="A797" t="s">
        <v>323</v>
      </c>
      <c r="B797" t="s">
        <v>324</v>
      </c>
      <c r="C797" t="s">
        <v>5461</v>
      </c>
      <c r="D797" t="str">
        <f>TRIM(alias[[#This Row],[Column3]])</f>
        <v>PT Buana Lintas Lautan</v>
      </c>
      <c r="F797" t="str">
        <f t="shared" si="12"/>
        <v>INSERT INTO stock_alias (stock, alias) VALUES ((SELECT id FROM stock WHERE ticker = 'BULL'), 'PT Buana Lintas Lautan') ON CONFLICT DO NOTHING;</v>
      </c>
    </row>
    <row r="798" spans="1:6" x14ac:dyDescent="0.2">
      <c r="A798" t="s">
        <v>326</v>
      </c>
      <c r="B798" t="s">
        <v>327</v>
      </c>
      <c r="C798" t="s">
        <v>326</v>
      </c>
      <c r="D798" t="str">
        <f>TRIM(alias[[#This Row],[Column3]])</f>
        <v>BUMI</v>
      </c>
      <c r="F798" t="str">
        <f t="shared" si="12"/>
        <v>INSERT INTO stock_alias (stock, alias) VALUES ((SELECT id FROM stock WHERE ticker = 'BUMI'), 'BUMI') ON CONFLICT DO NOTHING;</v>
      </c>
    </row>
    <row r="799" spans="1:6" x14ac:dyDescent="0.2">
      <c r="A799" t="s">
        <v>326</v>
      </c>
      <c r="B799" t="s">
        <v>327</v>
      </c>
      <c r="C799" t="s">
        <v>5462</v>
      </c>
      <c r="D799" t="str">
        <f>TRIM(alias[[#This Row],[Column3]])</f>
        <v>Bumi Resources</v>
      </c>
      <c r="F799" t="str">
        <f t="shared" si="12"/>
        <v>INSERT INTO stock_alias (stock, alias) VALUES ((SELECT id FROM stock WHERE ticker = 'BUMI'), 'Bumi Resources') ON CONFLICT DO NOTHING;</v>
      </c>
    </row>
    <row r="800" spans="1:6" x14ac:dyDescent="0.2">
      <c r="A800" t="s">
        <v>326</v>
      </c>
      <c r="B800" t="s">
        <v>327</v>
      </c>
      <c r="C800" t="s">
        <v>5463</v>
      </c>
      <c r="D800" t="str">
        <f>TRIM(alias[[#This Row],[Column3]])</f>
        <v>Bumi Resources Tbk</v>
      </c>
      <c r="F800" t="str">
        <f t="shared" si="12"/>
        <v>INSERT INTO stock_alias (stock, alias) VALUES ((SELECT id FROM stock WHERE ticker = 'BUMI'), 'Bumi Resources Tbk') ON CONFLICT DO NOTHING;</v>
      </c>
    </row>
    <row r="801" spans="1:6" x14ac:dyDescent="0.2">
      <c r="A801" t="s">
        <v>326</v>
      </c>
      <c r="B801" t="s">
        <v>327</v>
      </c>
      <c r="C801" t="s">
        <v>5464</v>
      </c>
      <c r="D801" t="str">
        <f>TRIM(alias[[#This Row],[Column3]])</f>
        <v>PT Bumi Resources</v>
      </c>
      <c r="F801" t="str">
        <f t="shared" si="12"/>
        <v>INSERT INTO stock_alias (stock, alias) VALUES ((SELECT id FROM stock WHERE ticker = 'BUMI'), 'PT Bumi Resources') ON CONFLICT DO NOTHING;</v>
      </c>
    </row>
    <row r="802" spans="1:6" x14ac:dyDescent="0.2">
      <c r="A802" t="s">
        <v>329</v>
      </c>
      <c r="B802" t="s">
        <v>330</v>
      </c>
      <c r="C802" t="s">
        <v>329</v>
      </c>
      <c r="D802" t="str">
        <f>TRIM(alias[[#This Row],[Column3]])</f>
        <v>BUVA</v>
      </c>
      <c r="F802" t="str">
        <f t="shared" si="12"/>
        <v>INSERT INTO stock_alias (stock, alias) VALUES ((SELECT id FROM stock WHERE ticker = 'BUVA'), 'BUVA') ON CONFLICT DO NOTHING;</v>
      </c>
    </row>
    <row r="803" spans="1:6" x14ac:dyDescent="0.2">
      <c r="A803" t="s">
        <v>329</v>
      </c>
      <c r="B803" t="s">
        <v>330</v>
      </c>
      <c r="C803" t="s">
        <v>5465</v>
      </c>
      <c r="D803" t="str">
        <f>TRIM(alias[[#This Row],[Column3]])</f>
        <v>Bukit Uluwatu Villa</v>
      </c>
      <c r="F803" t="str">
        <f t="shared" si="12"/>
        <v>INSERT INTO stock_alias (stock, alias) VALUES ((SELECT id FROM stock WHERE ticker = 'BUVA'), 'Bukit Uluwatu Villa') ON CONFLICT DO NOTHING;</v>
      </c>
    </row>
    <row r="804" spans="1:6" x14ac:dyDescent="0.2">
      <c r="A804" t="s">
        <v>329</v>
      </c>
      <c r="B804" t="s">
        <v>330</v>
      </c>
      <c r="C804" t="s">
        <v>5466</v>
      </c>
      <c r="D804" t="str">
        <f>TRIM(alias[[#This Row],[Column3]])</f>
        <v>Bukit Uluwatu Villa Tbk</v>
      </c>
      <c r="F804" t="str">
        <f t="shared" si="12"/>
        <v>INSERT INTO stock_alias (stock, alias) VALUES ((SELECT id FROM stock WHERE ticker = 'BUVA'), 'Bukit Uluwatu Villa Tbk') ON CONFLICT DO NOTHING;</v>
      </c>
    </row>
    <row r="805" spans="1:6" x14ac:dyDescent="0.2">
      <c r="A805" t="s">
        <v>329</v>
      </c>
      <c r="B805" t="s">
        <v>330</v>
      </c>
      <c r="C805" t="s">
        <v>5467</v>
      </c>
      <c r="D805" t="str">
        <f>TRIM(alias[[#This Row],[Column3]])</f>
        <v>PT Bukit Uluwatu Villa</v>
      </c>
      <c r="F805" t="str">
        <f t="shared" si="12"/>
        <v>INSERT INTO stock_alias (stock, alias) VALUES ((SELECT id FROM stock WHERE ticker = 'BUVA'), 'PT Bukit Uluwatu Villa') ON CONFLICT DO NOTHING;</v>
      </c>
    </row>
    <row r="806" spans="1:6" x14ac:dyDescent="0.2">
      <c r="A806" t="s">
        <v>332</v>
      </c>
      <c r="B806" t="s">
        <v>3233</v>
      </c>
      <c r="C806" t="s">
        <v>332</v>
      </c>
      <c r="D806" t="str">
        <f>TRIM(alias[[#This Row],[Column3]])</f>
        <v>BVIC</v>
      </c>
      <c r="F806" t="str">
        <f t="shared" si="12"/>
        <v>INSERT INTO stock_alias (stock, alias) VALUES ((SELECT id FROM stock WHERE ticker = 'BVIC'), 'BVIC') ON CONFLICT DO NOTHING;</v>
      </c>
    </row>
    <row r="807" spans="1:6" x14ac:dyDescent="0.2">
      <c r="A807" t="s">
        <v>332</v>
      </c>
      <c r="B807" t="s">
        <v>3233</v>
      </c>
      <c r="C807" t="s">
        <v>5468</v>
      </c>
      <c r="D807" t="str">
        <f>TRIM(alias[[#This Row],[Column3]])</f>
        <v>Bank International</v>
      </c>
      <c r="F807" t="str">
        <f t="shared" si="12"/>
        <v>INSERT INTO stock_alias (stock, alias) VALUES ((SELECT id FROM stock WHERE ticker = 'BVIC'), 'Bank International') ON CONFLICT DO NOTHING;</v>
      </c>
    </row>
    <row r="808" spans="1:6" x14ac:dyDescent="0.2">
      <c r="A808" t="s">
        <v>332</v>
      </c>
      <c r="B808" t="s">
        <v>3233</v>
      </c>
      <c r="C808" t="s">
        <v>5469</v>
      </c>
      <c r="D808" t="str">
        <f>TRIM(alias[[#This Row],[Column3]])</f>
        <v>Bank Victoria International</v>
      </c>
      <c r="F808" t="str">
        <f t="shared" si="12"/>
        <v>INSERT INTO stock_alias (stock, alias) VALUES ((SELECT id FROM stock WHERE ticker = 'BVIC'), 'Bank Victoria International') ON CONFLICT DO NOTHING;</v>
      </c>
    </row>
    <row r="809" spans="1:6" x14ac:dyDescent="0.2">
      <c r="A809" t="s">
        <v>332</v>
      </c>
      <c r="B809" t="s">
        <v>3233</v>
      </c>
      <c r="C809" t="s">
        <v>5470</v>
      </c>
      <c r="D809" t="str">
        <f>TRIM(alias[[#This Row],[Column3]])</f>
        <v>Bank Victoria International Tbk</v>
      </c>
      <c r="F809" t="str">
        <f t="shared" si="12"/>
        <v>INSERT INTO stock_alias (stock, alias) VALUES ((SELECT id FROM stock WHERE ticker = 'BVIC'), 'Bank Victoria International Tbk') ON CONFLICT DO NOTHING;</v>
      </c>
    </row>
    <row r="810" spans="1:6" x14ac:dyDescent="0.2">
      <c r="A810" t="s">
        <v>332</v>
      </c>
      <c r="B810" t="s">
        <v>3233</v>
      </c>
      <c r="C810" t="s">
        <v>5471</v>
      </c>
      <c r="D810" t="str">
        <f>TRIM(alias[[#This Row],[Column3]])</f>
        <v>International</v>
      </c>
      <c r="F810" t="str">
        <f t="shared" si="12"/>
        <v>INSERT INTO stock_alias (stock, alias) VALUES ((SELECT id FROM stock WHERE ticker = 'BVIC'), 'International') ON CONFLICT DO NOTHING;</v>
      </c>
    </row>
    <row r="811" spans="1:6" x14ac:dyDescent="0.2">
      <c r="A811" t="s">
        <v>332</v>
      </c>
      <c r="B811" t="s">
        <v>3233</v>
      </c>
      <c r="C811" t="s">
        <v>5472</v>
      </c>
      <c r="D811" t="str">
        <f>TRIM(alias[[#This Row],[Column3]])</f>
        <v>PT Bank Victoria International</v>
      </c>
      <c r="F811" t="str">
        <f t="shared" si="12"/>
        <v>INSERT INTO stock_alias (stock, alias) VALUES ((SELECT id FROM stock WHERE ticker = 'BVIC'), 'PT Bank Victoria International') ON CONFLICT DO NOTHING;</v>
      </c>
    </row>
    <row r="812" spans="1:6" x14ac:dyDescent="0.2">
      <c r="A812" t="s">
        <v>334</v>
      </c>
      <c r="B812" t="s">
        <v>335</v>
      </c>
      <c r="C812" t="s">
        <v>334</v>
      </c>
      <c r="D812" t="str">
        <f>TRIM(alias[[#This Row],[Column3]])</f>
        <v>BWPT</v>
      </c>
      <c r="F812" t="str">
        <f t="shared" si="12"/>
        <v>INSERT INTO stock_alias (stock, alias) VALUES ((SELECT id FROM stock WHERE ticker = 'BWPT'), 'BWPT') ON CONFLICT DO NOTHING;</v>
      </c>
    </row>
    <row r="813" spans="1:6" x14ac:dyDescent="0.2">
      <c r="A813" t="s">
        <v>334</v>
      </c>
      <c r="B813" t="s">
        <v>335</v>
      </c>
      <c r="C813" t="s">
        <v>5473</v>
      </c>
      <c r="D813" t="str">
        <f>TRIM(alias[[#This Row],[Column3]])</f>
        <v>Eagle High Plantations</v>
      </c>
      <c r="F813" t="str">
        <f t="shared" si="12"/>
        <v>INSERT INTO stock_alias (stock, alias) VALUES ((SELECT id FROM stock WHERE ticker = 'BWPT'), 'Eagle High Plantations') ON CONFLICT DO NOTHING;</v>
      </c>
    </row>
    <row r="814" spans="1:6" x14ac:dyDescent="0.2">
      <c r="A814" t="s">
        <v>334</v>
      </c>
      <c r="B814" t="s">
        <v>335</v>
      </c>
      <c r="C814" t="s">
        <v>5474</v>
      </c>
      <c r="D814" t="str">
        <f>TRIM(alias[[#This Row],[Column3]])</f>
        <v>Eagle High Plantations Tbk</v>
      </c>
      <c r="F814" t="str">
        <f t="shared" si="12"/>
        <v>INSERT INTO stock_alias (stock, alias) VALUES ((SELECT id FROM stock WHERE ticker = 'BWPT'), 'Eagle High Plantations Tbk') ON CONFLICT DO NOTHING;</v>
      </c>
    </row>
    <row r="815" spans="1:6" x14ac:dyDescent="0.2">
      <c r="A815" t="s">
        <v>334</v>
      </c>
      <c r="B815" t="s">
        <v>335</v>
      </c>
      <c r="C815" t="s">
        <v>5475</v>
      </c>
      <c r="D815" t="str">
        <f>TRIM(alias[[#This Row],[Column3]])</f>
        <v>PT Eagle High Plantations</v>
      </c>
      <c r="F815" t="str">
        <f t="shared" si="12"/>
        <v>INSERT INTO stock_alias (stock, alias) VALUES ((SELECT id FROM stock WHERE ticker = 'BWPT'), 'PT Eagle High Plantations') ON CONFLICT DO NOTHING;</v>
      </c>
    </row>
    <row r="816" spans="1:6" x14ac:dyDescent="0.2">
      <c r="A816" t="s">
        <v>337</v>
      </c>
      <c r="B816" t="s">
        <v>338</v>
      </c>
      <c r="C816" t="s">
        <v>337</v>
      </c>
      <c r="D816" t="str">
        <f>TRIM(alias[[#This Row],[Column3]])</f>
        <v>BYAN</v>
      </c>
      <c r="F816" t="str">
        <f t="shared" si="12"/>
        <v>INSERT INTO stock_alias (stock, alias) VALUES ((SELECT id FROM stock WHERE ticker = 'BYAN'), 'BYAN') ON CONFLICT DO NOTHING;</v>
      </c>
    </row>
    <row r="817" spans="1:6" x14ac:dyDescent="0.2">
      <c r="A817" t="s">
        <v>337</v>
      </c>
      <c r="B817" t="s">
        <v>338</v>
      </c>
      <c r="C817" t="s">
        <v>5476</v>
      </c>
      <c r="D817" t="str">
        <f>TRIM(alias[[#This Row],[Column3]])</f>
        <v>Bayan Resources</v>
      </c>
      <c r="F817" t="str">
        <f t="shared" si="12"/>
        <v>INSERT INTO stock_alias (stock, alias) VALUES ((SELECT id FROM stock WHERE ticker = 'BYAN'), 'Bayan Resources') ON CONFLICT DO NOTHING;</v>
      </c>
    </row>
    <row r="818" spans="1:6" x14ac:dyDescent="0.2">
      <c r="A818" t="s">
        <v>337</v>
      </c>
      <c r="B818" t="s">
        <v>338</v>
      </c>
      <c r="C818" t="s">
        <v>5477</v>
      </c>
      <c r="D818" t="str">
        <f>TRIM(alias[[#This Row],[Column3]])</f>
        <v>Bayan Resources Tbk</v>
      </c>
      <c r="F818" t="str">
        <f t="shared" si="12"/>
        <v>INSERT INTO stock_alias (stock, alias) VALUES ((SELECT id FROM stock WHERE ticker = 'BYAN'), 'Bayan Resources Tbk') ON CONFLICT DO NOTHING;</v>
      </c>
    </row>
    <row r="819" spans="1:6" x14ac:dyDescent="0.2">
      <c r="A819" t="s">
        <v>337</v>
      </c>
      <c r="B819" t="s">
        <v>338</v>
      </c>
      <c r="C819" t="s">
        <v>5478</v>
      </c>
      <c r="D819" t="str">
        <f>TRIM(alias[[#This Row],[Column3]])</f>
        <v>PT Bayan Resources</v>
      </c>
      <c r="F819" t="str">
        <f t="shared" si="12"/>
        <v>INSERT INTO stock_alias (stock, alias) VALUES ((SELECT id FROM stock WHERE ticker = 'BYAN'), 'PT Bayan Resources') ON CONFLICT DO NOTHING;</v>
      </c>
    </row>
    <row r="820" spans="1:6" x14ac:dyDescent="0.2">
      <c r="A820" t="s">
        <v>1611</v>
      </c>
      <c r="B820" t="s">
        <v>1612</v>
      </c>
      <c r="C820" t="s">
        <v>1611</v>
      </c>
      <c r="D820" t="str">
        <f>TRIM(alias[[#This Row],[Column3]])</f>
        <v>CAKK</v>
      </c>
      <c r="F820" t="str">
        <f t="shared" si="12"/>
        <v>INSERT INTO stock_alias (stock, alias) VALUES ((SELECT id FROM stock WHERE ticker = 'CAKK'), 'CAKK') ON CONFLICT DO NOTHING;</v>
      </c>
    </row>
    <row r="821" spans="1:6" x14ac:dyDescent="0.2">
      <c r="A821" t="s">
        <v>1611</v>
      </c>
      <c r="B821" t="s">
        <v>1612</v>
      </c>
      <c r="C821" t="s">
        <v>5479</v>
      </c>
      <c r="D821" t="str">
        <f>TRIM(alias[[#This Row],[Column3]])</f>
        <v>Cahayaputra Asa Keramik</v>
      </c>
      <c r="F821" t="str">
        <f t="shared" si="12"/>
        <v>INSERT INTO stock_alias (stock, alias) VALUES ((SELECT id FROM stock WHERE ticker = 'CAKK'), 'Cahayaputra Asa Keramik') ON CONFLICT DO NOTHING;</v>
      </c>
    </row>
    <row r="822" spans="1:6" x14ac:dyDescent="0.2">
      <c r="A822" t="s">
        <v>1611</v>
      </c>
      <c r="B822" t="s">
        <v>1612</v>
      </c>
      <c r="C822" t="s">
        <v>5480</v>
      </c>
      <c r="D822" t="str">
        <f>TRIM(alias[[#This Row],[Column3]])</f>
        <v>Cahayaputra Asa Keramik Tbk</v>
      </c>
      <c r="F822" t="str">
        <f t="shared" si="12"/>
        <v>INSERT INTO stock_alias (stock, alias) VALUES ((SELECT id FROM stock WHERE ticker = 'CAKK'), 'Cahayaputra Asa Keramik Tbk') ON CONFLICT DO NOTHING;</v>
      </c>
    </row>
    <row r="823" spans="1:6" x14ac:dyDescent="0.2">
      <c r="A823" t="s">
        <v>1611</v>
      </c>
      <c r="B823" t="s">
        <v>1612</v>
      </c>
      <c r="C823" t="s">
        <v>5481</v>
      </c>
      <c r="D823" t="str">
        <f>TRIM(alias[[#This Row],[Column3]])</f>
        <v>PT Cahayaputra Asa Keramik</v>
      </c>
      <c r="F823" t="str">
        <f t="shared" si="12"/>
        <v>INSERT INTO stock_alias (stock, alias) VALUES ((SELECT id FROM stock WHERE ticker = 'CAKK'), 'PT Cahayaputra Asa Keramik') ON CONFLICT DO NOTHING;</v>
      </c>
    </row>
    <row r="824" spans="1:6" x14ac:dyDescent="0.2">
      <c r="A824" t="s">
        <v>1483</v>
      </c>
      <c r="B824" t="s">
        <v>3535</v>
      </c>
      <c r="C824" t="s">
        <v>1483</v>
      </c>
      <c r="D824" t="str">
        <f>TRIM(alias[[#This Row],[Column3]])</f>
        <v>CAMP</v>
      </c>
      <c r="F824" t="str">
        <f t="shared" si="12"/>
        <v>INSERT INTO stock_alias (stock, alias) VALUES ((SELECT id FROM stock WHERE ticker = 'CAMP'), 'CAMP') ON CONFLICT DO NOTHING;</v>
      </c>
    </row>
    <row r="825" spans="1:6" x14ac:dyDescent="0.2">
      <c r="A825" t="s">
        <v>1483</v>
      </c>
      <c r="B825" t="s">
        <v>3535</v>
      </c>
      <c r="C825" t="s">
        <v>5482</v>
      </c>
      <c r="D825" t="str">
        <f>TRIM(alias[[#This Row],[Column3]])</f>
        <v>Campina Ice Cream Industry</v>
      </c>
      <c r="F825" t="str">
        <f t="shared" si="12"/>
        <v>INSERT INTO stock_alias (stock, alias) VALUES ((SELECT id FROM stock WHERE ticker = 'CAMP'), 'Campina Ice Cream Industry') ON CONFLICT DO NOTHING;</v>
      </c>
    </row>
    <row r="826" spans="1:6" x14ac:dyDescent="0.2">
      <c r="A826" t="s">
        <v>1483</v>
      </c>
      <c r="B826" t="s">
        <v>3535</v>
      </c>
      <c r="C826" t="s">
        <v>5483</v>
      </c>
      <c r="D826" t="str">
        <f>TRIM(alias[[#This Row],[Column3]])</f>
        <v>Campina Ice Cream Industry Tbk</v>
      </c>
      <c r="F826" t="str">
        <f t="shared" si="12"/>
        <v>INSERT INTO stock_alias (stock, alias) VALUES ((SELECT id FROM stock WHERE ticker = 'CAMP'), 'Campina Ice Cream Industry Tbk') ON CONFLICT DO NOTHING;</v>
      </c>
    </row>
    <row r="827" spans="1:6" x14ac:dyDescent="0.2">
      <c r="A827" t="s">
        <v>1483</v>
      </c>
      <c r="B827" t="s">
        <v>3535</v>
      </c>
      <c r="C827" t="s">
        <v>5484</v>
      </c>
      <c r="D827" t="str">
        <f>TRIM(alias[[#This Row],[Column3]])</f>
        <v>PT Campina Ice Cream Industry</v>
      </c>
      <c r="F827" t="str">
        <f t="shared" si="12"/>
        <v>INSERT INTO stock_alias (stock, alias) VALUES ((SELECT id FROM stock WHERE ticker = 'CAMP'), 'PT Campina Ice Cream Industry') ON CONFLICT DO NOTHING;</v>
      </c>
    </row>
    <row r="828" spans="1:6" x14ac:dyDescent="0.2">
      <c r="A828" t="s">
        <v>340</v>
      </c>
      <c r="B828" t="s">
        <v>3536</v>
      </c>
      <c r="C828" t="s">
        <v>340</v>
      </c>
      <c r="D828" t="str">
        <f>TRIM(alias[[#This Row],[Column3]])</f>
        <v>CANI</v>
      </c>
      <c r="F828" t="str">
        <f t="shared" si="12"/>
        <v>INSERT INTO stock_alias (stock, alias) VALUES ((SELECT id FROM stock WHERE ticker = 'CANI'), 'CANI') ON CONFLICT DO NOTHING;</v>
      </c>
    </row>
    <row r="829" spans="1:6" x14ac:dyDescent="0.2">
      <c r="A829" t="s">
        <v>340</v>
      </c>
      <c r="B829" t="s">
        <v>3536</v>
      </c>
      <c r="C829" t="s">
        <v>5485</v>
      </c>
      <c r="D829" t="str">
        <f>TRIM(alias[[#This Row],[Column3]])</f>
        <v>Capitol Nusantara Indonesia</v>
      </c>
      <c r="F829" t="str">
        <f t="shared" si="12"/>
        <v>INSERT INTO stock_alias (stock, alias) VALUES ((SELECT id FROM stock WHERE ticker = 'CANI'), 'Capitol Nusantara Indonesia') ON CONFLICT DO NOTHING;</v>
      </c>
    </row>
    <row r="830" spans="1:6" x14ac:dyDescent="0.2">
      <c r="A830" t="s">
        <v>340</v>
      </c>
      <c r="B830" t="s">
        <v>3536</v>
      </c>
      <c r="C830" t="s">
        <v>5486</v>
      </c>
      <c r="D830" t="str">
        <f>TRIM(alias[[#This Row],[Column3]])</f>
        <v>Capitol Nusantara Indonesia Tbk</v>
      </c>
      <c r="F830" t="str">
        <f t="shared" si="12"/>
        <v>INSERT INTO stock_alias (stock, alias) VALUES ((SELECT id FROM stock WHERE ticker = 'CANI'), 'Capitol Nusantara Indonesia Tbk') ON CONFLICT DO NOTHING;</v>
      </c>
    </row>
    <row r="831" spans="1:6" x14ac:dyDescent="0.2">
      <c r="A831" t="s">
        <v>340</v>
      </c>
      <c r="B831" t="s">
        <v>3536</v>
      </c>
      <c r="C831" t="s">
        <v>5487</v>
      </c>
      <c r="D831" t="str">
        <f>TRIM(alias[[#This Row],[Column3]])</f>
        <v>PT Capitol Nusantara Indonesia</v>
      </c>
      <c r="F831" t="str">
        <f t="shared" si="12"/>
        <v>INSERT INTO stock_alias (stock, alias) VALUES ((SELECT id FROM stock WHERE ticker = 'CANI'), 'PT Capitol Nusantara Indonesia') ON CONFLICT DO NOTHING;</v>
      </c>
    </row>
    <row r="832" spans="1:6" x14ac:dyDescent="0.2">
      <c r="A832" t="s">
        <v>2601</v>
      </c>
      <c r="B832" t="s">
        <v>3537</v>
      </c>
      <c r="C832" t="s">
        <v>2601</v>
      </c>
      <c r="D832" t="str">
        <f>TRIM(alias[[#This Row],[Column3]])</f>
        <v>CARE</v>
      </c>
      <c r="F832" t="str">
        <f t="shared" si="12"/>
        <v>INSERT INTO stock_alias (stock, alias) VALUES ((SELECT id FROM stock WHERE ticker = 'CARE'), 'CARE') ON CONFLICT DO NOTHING;</v>
      </c>
    </row>
    <row r="833" spans="1:6" x14ac:dyDescent="0.2">
      <c r="A833" t="s">
        <v>2601</v>
      </c>
      <c r="B833" t="s">
        <v>3537</v>
      </c>
      <c r="C833" t="s">
        <v>5488</v>
      </c>
      <c r="D833" t="str">
        <f>TRIM(alias[[#This Row],[Column3]])</f>
        <v>Metro Healthcare Indonesia</v>
      </c>
      <c r="F833" t="str">
        <f t="shared" si="12"/>
        <v>INSERT INTO stock_alias (stock, alias) VALUES ((SELECT id FROM stock WHERE ticker = 'CARE'), 'Metro Healthcare Indonesia') ON CONFLICT DO NOTHING;</v>
      </c>
    </row>
    <row r="834" spans="1:6" x14ac:dyDescent="0.2">
      <c r="A834" t="s">
        <v>2601</v>
      </c>
      <c r="B834" t="s">
        <v>3537</v>
      </c>
      <c r="C834" t="s">
        <v>5489</v>
      </c>
      <c r="D834" t="str">
        <f>TRIM(alias[[#This Row],[Column3]])</f>
        <v>Metro Healthcare Indonesia Tbk</v>
      </c>
      <c r="F834" t="str">
        <f t="shared" si="12"/>
        <v>INSERT INTO stock_alias (stock, alias) VALUES ((SELECT id FROM stock WHERE ticker = 'CARE'), 'Metro Healthcare Indonesia Tbk') ON CONFLICT DO NOTHING;</v>
      </c>
    </row>
    <row r="835" spans="1:6" x14ac:dyDescent="0.2">
      <c r="A835" t="s">
        <v>2601</v>
      </c>
      <c r="B835" t="s">
        <v>3537</v>
      </c>
      <c r="C835" t="s">
        <v>5490</v>
      </c>
      <c r="D835" t="str">
        <f>TRIM(alias[[#This Row],[Column3]])</f>
        <v>PT Metro Healthcare Indonesia</v>
      </c>
      <c r="F835" t="str">
        <f t="shared" ref="F835:F898" si="13">_xlfn.CONCAT($F$1, _xlfn.CONCAT($G$1, A835, "'), '", D835, "') ON CONFLICT DO NOTHING;"))</f>
        <v>INSERT INTO stock_alias (stock, alias) VALUES ((SELECT id FROM stock WHERE ticker = 'CARE'), 'PT Metro Healthcare Indonesia') ON CONFLICT DO NOTHING;</v>
      </c>
    </row>
    <row r="836" spans="1:6" x14ac:dyDescent="0.2">
      <c r="A836" t="s">
        <v>1394</v>
      </c>
      <c r="B836" t="s">
        <v>3538</v>
      </c>
      <c r="C836" t="s">
        <v>1394</v>
      </c>
      <c r="D836" t="str">
        <f>TRIM(alias[[#This Row],[Column3]])</f>
        <v>CARS</v>
      </c>
      <c r="F836" t="str">
        <f t="shared" si="13"/>
        <v>INSERT INTO stock_alias (stock, alias) VALUES ((SELECT id FROM stock WHERE ticker = 'CARS'), 'CARS') ON CONFLICT DO NOTHING;</v>
      </c>
    </row>
    <row r="837" spans="1:6" x14ac:dyDescent="0.2">
      <c r="A837" t="s">
        <v>1394</v>
      </c>
      <c r="B837" t="s">
        <v>3538</v>
      </c>
      <c r="C837" t="s">
        <v>5491</v>
      </c>
      <c r="D837" t="str">
        <f>TRIM(alias[[#This Row],[Column3]])</f>
        <v>Industri dan Perdagangan Bintraco Dharma</v>
      </c>
      <c r="F837" t="str">
        <f t="shared" si="13"/>
        <v>INSERT INTO stock_alias (stock, alias) VALUES ((SELECT id FROM stock WHERE ticker = 'CARS'), 'Industri dan Perdagangan Bintraco Dharma') ON CONFLICT DO NOTHING;</v>
      </c>
    </row>
    <row r="838" spans="1:6" x14ac:dyDescent="0.2">
      <c r="A838" t="s">
        <v>1394</v>
      </c>
      <c r="B838" t="s">
        <v>3538</v>
      </c>
      <c r="C838" t="s">
        <v>5492</v>
      </c>
      <c r="D838" t="str">
        <f>TRIM(alias[[#This Row],[Column3]])</f>
        <v>Industri dan Perdagangan Bintraco Dharma Tbk</v>
      </c>
      <c r="F838" t="str">
        <f t="shared" si="13"/>
        <v>INSERT INTO stock_alias (stock, alias) VALUES ((SELECT id FROM stock WHERE ticker = 'CARS'), 'Industri dan Perdagangan Bintraco Dharma Tbk') ON CONFLICT DO NOTHING;</v>
      </c>
    </row>
    <row r="839" spans="1:6" x14ac:dyDescent="0.2">
      <c r="A839" t="s">
        <v>1394</v>
      </c>
      <c r="B839" t="s">
        <v>3538</v>
      </c>
      <c r="C839" t="s">
        <v>5493</v>
      </c>
      <c r="D839" t="str">
        <f>TRIM(alias[[#This Row],[Column3]])</f>
        <v>PT Industri dan Perdagangan Bintraco Dharma</v>
      </c>
      <c r="F839" t="str">
        <f t="shared" si="13"/>
        <v>INSERT INTO stock_alias (stock, alias) VALUES ((SELECT id FROM stock WHERE ticker = 'CARS'), 'PT Industri dan Perdagangan Bintraco Dharma') ON CONFLICT DO NOTHING;</v>
      </c>
    </row>
    <row r="840" spans="1:6" x14ac:dyDescent="0.2">
      <c r="A840" t="s">
        <v>1345</v>
      </c>
      <c r="B840" t="s">
        <v>3539</v>
      </c>
      <c r="C840" t="s">
        <v>1345</v>
      </c>
      <c r="D840" t="str">
        <f>TRIM(alias[[#This Row],[Column3]])</f>
        <v>CASA</v>
      </c>
      <c r="F840" t="str">
        <f t="shared" si="13"/>
        <v>INSERT INTO stock_alias (stock, alias) VALUES ((SELECT id FROM stock WHERE ticker = 'CASA'), 'CASA') ON CONFLICT DO NOTHING;</v>
      </c>
    </row>
    <row r="841" spans="1:6" x14ac:dyDescent="0.2">
      <c r="A841" t="s">
        <v>1345</v>
      </c>
      <c r="B841" t="s">
        <v>3539</v>
      </c>
      <c r="C841" t="s">
        <v>5494</v>
      </c>
      <c r="D841" t="str">
        <f>TRIM(alias[[#This Row],[Column3]])</f>
        <v>Capital Financial Indonesia</v>
      </c>
      <c r="F841" t="str">
        <f t="shared" si="13"/>
        <v>INSERT INTO stock_alias (stock, alias) VALUES ((SELECT id FROM stock WHERE ticker = 'CASA'), 'Capital Financial Indonesia') ON CONFLICT DO NOTHING;</v>
      </c>
    </row>
    <row r="842" spans="1:6" x14ac:dyDescent="0.2">
      <c r="A842" t="s">
        <v>1345</v>
      </c>
      <c r="B842" t="s">
        <v>3539</v>
      </c>
      <c r="C842" t="s">
        <v>5495</v>
      </c>
      <c r="D842" t="str">
        <f>TRIM(alias[[#This Row],[Column3]])</f>
        <v>Capital Financial Indonesia Tbk</v>
      </c>
      <c r="F842" t="str">
        <f t="shared" si="13"/>
        <v>INSERT INTO stock_alias (stock, alias) VALUES ((SELECT id FROM stock WHERE ticker = 'CASA'), 'Capital Financial Indonesia Tbk') ON CONFLICT DO NOTHING;</v>
      </c>
    </row>
    <row r="843" spans="1:6" x14ac:dyDescent="0.2">
      <c r="A843" t="s">
        <v>1345</v>
      </c>
      <c r="B843" t="s">
        <v>3539</v>
      </c>
      <c r="C843" t="s">
        <v>5496</v>
      </c>
      <c r="D843" t="str">
        <f>TRIM(alias[[#This Row],[Column3]])</f>
        <v>PT Capital Financial Indonesia</v>
      </c>
      <c r="F843" t="str">
        <f t="shared" si="13"/>
        <v>INSERT INTO stock_alias (stock, alias) VALUES ((SELECT id FROM stock WHERE ticker = 'CASA'), 'PT Capital Financial Indonesia') ON CONFLICT DO NOTHING;</v>
      </c>
    </row>
    <row r="844" spans="1:6" x14ac:dyDescent="0.2">
      <c r="A844" t="s">
        <v>1845</v>
      </c>
      <c r="B844" t="s">
        <v>3540</v>
      </c>
      <c r="C844" t="s">
        <v>1845</v>
      </c>
      <c r="D844" t="str">
        <f>TRIM(alias[[#This Row],[Column3]])</f>
        <v>CASH</v>
      </c>
      <c r="F844" t="str">
        <f t="shared" si="13"/>
        <v>INSERT INTO stock_alias (stock, alias) VALUES ((SELECT id FROM stock WHERE ticker = 'CASH'), 'CASH') ON CONFLICT DO NOTHING;</v>
      </c>
    </row>
    <row r="845" spans="1:6" x14ac:dyDescent="0.2">
      <c r="A845" t="s">
        <v>1845</v>
      </c>
      <c r="B845" t="s">
        <v>3540</v>
      </c>
      <c r="C845" t="s">
        <v>5497</v>
      </c>
      <c r="D845" t="str">
        <f>TRIM(alias[[#This Row],[Column3]])</f>
        <v>Cashlez Worldwide Indonesia</v>
      </c>
      <c r="F845" t="str">
        <f t="shared" si="13"/>
        <v>INSERT INTO stock_alias (stock, alias) VALUES ((SELECT id FROM stock WHERE ticker = 'CASH'), 'Cashlez Worldwide Indonesia') ON CONFLICT DO NOTHING;</v>
      </c>
    </row>
    <row r="846" spans="1:6" x14ac:dyDescent="0.2">
      <c r="A846" t="s">
        <v>1845</v>
      </c>
      <c r="B846" t="s">
        <v>3540</v>
      </c>
      <c r="C846" t="s">
        <v>5498</v>
      </c>
      <c r="D846" t="str">
        <f>TRIM(alias[[#This Row],[Column3]])</f>
        <v>Cashlez Worldwide Indonesia Tbk</v>
      </c>
      <c r="F846" t="str">
        <f t="shared" si="13"/>
        <v>INSERT INTO stock_alias (stock, alias) VALUES ((SELECT id FROM stock WHERE ticker = 'CASH'), 'Cashlez Worldwide Indonesia Tbk') ON CONFLICT DO NOTHING;</v>
      </c>
    </row>
    <row r="847" spans="1:6" x14ac:dyDescent="0.2">
      <c r="A847" t="s">
        <v>1845</v>
      </c>
      <c r="B847" t="s">
        <v>3540</v>
      </c>
      <c r="C847" t="s">
        <v>5499</v>
      </c>
      <c r="D847" t="str">
        <f>TRIM(alias[[#This Row],[Column3]])</f>
        <v>PT Cashlez Worldwide Indonesia</v>
      </c>
      <c r="F847" t="str">
        <f t="shared" si="13"/>
        <v>INSERT INTO stock_alias (stock, alias) VALUES ((SELECT id FROM stock WHERE ticker = 'CASH'), 'PT Cashlez Worldwide Indonesia') ON CONFLICT DO NOTHING;</v>
      </c>
    </row>
    <row r="848" spans="1:6" x14ac:dyDescent="0.2">
      <c r="A848" t="s">
        <v>342</v>
      </c>
      <c r="B848" t="s">
        <v>343</v>
      </c>
      <c r="C848" t="s">
        <v>342</v>
      </c>
      <c r="D848" t="str">
        <f>TRIM(alias[[#This Row],[Column3]])</f>
        <v>CASS</v>
      </c>
      <c r="F848" t="str">
        <f t="shared" si="13"/>
        <v>INSERT INTO stock_alias (stock, alias) VALUES ((SELECT id FROM stock WHERE ticker = 'CASS'), 'CASS') ON CONFLICT DO NOTHING;</v>
      </c>
    </row>
    <row r="849" spans="1:6" x14ac:dyDescent="0.2">
      <c r="A849" t="s">
        <v>342</v>
      </c>
      <c r="B849" t="s">
        <v>343</v>
      </c>
      <c r="C849" t="s">
        <v>5500</v>
      </c>
      <c r="D849" t="str">
        <f>TRIM(alias[[#This Row],[Column3]])</f>
        <v>Cahaya Aero Services</v>
      </c>
      <c r="F849" t="str">
        <f t="shared" si="13"/>
        <v>INSERT INTO stock_alias (stock, alias) VALUES ((SELECT id FROM stock WHERE ticker = 'CASS'), 'Cahaya Aero Services') ON CONFLICT DO NOTHING;</v>
      </c>
    </row>
    <row r="850" spans="1:6" x14ac:dyDescent="0.2">
      <c r="A850" t="s">
        <v>342</v>
      </c>
      <c r="B850" t="s">
        <v>343</v>
      </c>
      <c r="C850" t="s">
        <v>5501</v>
      </c>
      <c r="D850" t="str">
        <f>TRIM(alias[[#This Row],[Column3]])</f>
        <v>Cahaya Aero Services Tbk</v>
      </c>
      <c r="F850" t="str">
        <f t="shared" si="13"/>
        <v>INSERT INTO stock_alias (stock, alias) VALUES ((SELECT id FROM stock WHERE ticker = 'CASS'), 'Cahaya Aero Services Tbk') ON CONFLICT DO NOTHING;</v>
      </c>
    </row>
    <row r="851" spans="1:6" x14ac:dyDescent="0.2">
      <c r="A851" t="s">
        <v>342</v>
      </c>
      <c r="B851" t="s">
        <v>343</v>
      </c>
      <c r="C851" t="s">
        <v>5502</v>
      </c>
      <c r="D851" t="str">
        <f>TRIM(alias[[#This Row],[Column3]])</f>
        <v>PT Cahaya Aero Services</v>
      </c>
      <c r="F851" t="str">
        <f t="shared" si="13"/>
        <v>INSERT INTO stock_alias (stock, alias) VALUES ((SELECT id FROM stock WHERE ticker = 'CASS'), 'PT Cahaya Aero Services') ON CONFLICT DO NOTHING;</v>
      </c>
    </row>
    <row r="852" spans="1:6" x14ac:dyDescent="0.2">
      <c r="A852" t="s">
        <v>2528</v>
      </c>
      <c r="B852" t="s">
        <v>2529</v>
      </c>
      <c r="C852" t="s">
        <v>2528</v>
      </c>
      <c r="D852" t="str">
        <f>TRIM(alias[[#This Row],[Column3]])</f>
        <v>CBDK</v>
      </c>
      <c r="F852" t="str">
        <f t="shared" si="13"/>
        <v>INSERT INTO stock_alias (stock, alias) VALUES ((SELECT id FROM stock WHERE ticker = 'CBDK'), 'CBDK') ON CONFLICT DO NOTHING;</v>
      </c>
    </row>
    <row r="853" spans="1:6" x14ac:dyDescent="0.2">
      <c r="A853" t="s">
        <v>2528</v>
      </c>
      <c r="B853" t="s">
        <v>2529</v>
      </c>
      <c r="C853" t="s">
        <v>5503</v>
      </c>
      <c r="D853" t="str">
        <f>TRIM(alias[[#This Row],[Column3]])</f>
        <v>Bangun Kosambi Sukses</v>
      </c>
      <c r="F853" t="str">
        <f t="shared" si="13"/>
        <v>INSERT INTO stock_alias (stock, alias) VALUES ((SELECT id FROM stock WHERE ticker = 'CBDK'), 'Bangun Kosambi Sukses') ON CONFLICT DO NOTHING;</v>
      </c>
    </row>
    <row r="854" spans="1:6" x14ac:dyDescent="0.2">
      <c r="A854" t="s">
        <v>2528</v>
      </c>
      <c r="B854" t="s">
        <v>2529</v>
      </c>
      <c r="C854" t="s">
        <v>5504</v>
      </c>
      <c r="D854" t="str">
        <f>TRIM(alias[[#This Row],[Column3]])</f>
        <v>Bangun Kosambi Sukses Tbk</v>
      </c>
      <c r="F854" t="str">
        <f t="shared" si="13"/>
        <v>INSERT INTO stock_alias (stock, alias) VALUES ((SELECT id FROM stock WHERE ticker = 'CBDK'), 'Bangun Kosambi Sukses Tbk') ON CONFLICT DO NOTHING;</v>
      </c>
    </row>
    <row r="855" spans="1:6" x14ac:dyDescent="0.2">
      <c r="A855" t="s">
        <v>2528</v>
      </c>
      <c r="B855" t="s">
        <v>2529</v>
      </c>
      <c r="C855" t="s">
        <v>5505</v>
      </c>
      <c r="D855" t="str">
        <f>TRIM(alias[[#This Row],[Column3]])</f>
        <v>PT Bangun Kosambi Sukses</v>
      </c>
      <c r="F855" t="str">
        <f t="shared" si="13"/>
        <v>INSERT INTO stock_alias (stock, alias) VALUES ((SELECT id FROM stock WHERE ticker = 'CBDK'), 'PT Bangun Kosambi Sukses') ON CONFLICT DO NOTHING;</v>
      </c>
    </row>
    <row r="856" spans="1:6" x14ac:dyDescent="0.2">
      <c r="A856" t="s">
        <v>1833</v>
      </c>
      <c r="B856" t="s">
        <v>1834</v>
      </c>
      <c r="C856" t="s">
        <v>1833</v>
      </c>
      <c r="D856" t="str">
        <f>TRIM(alias[[#This Row],[Column3]])</f>
        <v>CBMF</v>
      </c>
      <c r="F856" t="str">
        <f t="shared" si="13"/>
        <v>INSERT INTO stock_alias (stock, alias) VALUES ((SELECT id FROM stock WHERE ticker = 'CBMF'), 'CBMF') ON CONFLICT DO NOTHING;</v>
      </c>
    </row>
    <row r="857" spans="1:6" x14ac:dyDescent="0.2">
      <c r="A857" t="s">
        <v>1833</v>
      </c>
      <c r="B857" t="s">
        <v>1834</v>
      </c>
      <c r="C857" t="s">
        <v>5506</v>
      </c>
      <c r="D857" t="str">
        <f>TRIM(alias[[#This Row],[Column3]])</f>
        <v>Cahaya Bintang Medan</v>
      </c>
      <c r="F857" t="str">
        <f t="shared" si="13"/>
        <v>INSERT INTO stock_alias (stock, alias) VALUES ((SELECT id FROM stock WHERE ticker = 'CBMF'), 'Cahaya Bintang Medan') ON CONFLICT DO NOTHING;</v>
      </c>
    </row>
    <row r="858" spans="1:6" x14ac:dyDescent="0.2">
      <c r="A858" t="s">
        <v>1833</v>
      </c>
      <c r="B858" t="s">
        <v>1834</v>
      </c>
      <c r="C858" t="s">
        <v>5507</v>
      </c>
      <c r="D858" t="str">
        <f>TRIM(alias[[#This Row],[Column3]])</f>
        <v>Cahaya Bintang Medan Tbk</v>
      </c>
      <c r="F858" t="str">
        <f t="shared" si="13"/>
        <v>INSERT INTO stock_alias (stock, alias) VALUES ((SELECT id FROM stock WHERE ticker = 'CBMF'), 'Cahaya Bintang Medan Tbk') ON CONFLICT DO NOTHING;</v>
      </c>
    </row>
    <row r="859" spans="1:6" x14ac:dyDescent="0.2">
      <c r="A859" t="s">
        <v>1833</v>
      </c>
      <c r="B859" t="s">
        <v>1834</v>
      </c>
      <c r="C859" t="s">
        <v>5508</v>
      </c>
      <c r="D859" t="str">
        <f>TRIM(alias[[#This Row],[Column3]])</f>
        <v>PT Cahaya Bintang Medan</v>
      </c>
      <c r="F859" t="str">
        <f t="shared" si="13"/>
        <v>INSERT INTO stock_alias (stock, alias) VALUES ((SELECT id FROM stock WHERE ticker = 'CBMF'), 'PT Cahaya Bintang Medan') ON CONFLICT DO NOTHING;</v>
      </c>
    </row>
    <row r="860" spans="1:6" x14ac:dyDescent="0.2">
      <c r="A860" t="s">
        <v>2225</v>
      </c>
      <c r="B860" t="s">
        <v>2226</v>
      </c>
      <c r="C860" t="s">
        <v>2225</v>
      </c>
      <c r="D860" t="str">
        <f>TRIM(alias[[#This Row],[Column3]])</f>
        <v>CBPE</v>
      </c>
      <c r="F860" t="str">
        <f t="shared" si="13"/>
        <v>INSERT INTO stock_alias (stock, alias) VALUES ((SELECT id FROM stock WHERE ticker = 'CBPE'), 'CBPE') ON CONFLICT DO NOTHING;</v>
      </c>
    </row>
    <row r="861" spans="1:6" x14ac:dyDescent="0.2">
      <c r="A861" t="s">
        <v>2225</v>
      </c>
      <c r="B861" t="s">
        <v>2226</v>
      </c>
      <c r="C861" t="s">
        <v>5509</v>
      </c>
      <c r="D861" t="str">
        <f>TRIM(alias[[#This Row],[Column3]])</f>
        <v>Citra Buana Prasida</v>
      </c>
      <c r="F861" t="str">
        <f t="shared" si="13"/>
        <v>INSERT INTO stock_alias (stock, alias) VALUES ((SELECT id FROM stock WHERE ticker = 'CBPE'), 'Citra Buana Prasida') ON CONFLICT DO NOTHING;</v>
      </c>
    </row>
    <row r="862" spans="1:6" x14ac:dyDescent="0.2">
      <c r="A862" t="s">
        <v>2225</v>
      </c>
      <c r="B862" t="s">
        <v>2226</v>
      </c>
      <c r="C862" t="s">
        <v>5510</v>
      </c>
      <c r="D862" t="str">
        <f>TRIM(alias[[#This Row],[Column3]])</f>
        <v>Citra Buana Prasida Tbk</v>
      </c>
      <c r="F862" t="str">
        <f t="shared" si="13"/>
        <v>INSERT INTO stock_alias (stock, alias) VALUES ((SELECT id FROM stock WHERE ticker = 'CBPE'), 'Citra Buana Prasida Tbk') ON CONFLICT DO NOTHING;</v>
      </c>
    </row>
    <row r="863" spans="1:6" x14ac:dyDescent="0.2">
      <c r="A863" t="s">
        <v>2225</v>
      </c>
      <c r="B863" t="s">
        <v>2226</v>
      </c>
      <c r="C863" t="s">
        <v>5511</v>
      </c>
      <c r="D863" t="str">
        <f>TRIM(alias[[#This Row],[Column3]])</f>
        <v>PT Citra Buana Prasida</v>
      </c>
      <c r="F863" t="str">
        <f t="shared" si="13"/>
        <v>INSERT INTO stock_alias (stock, alias) VALUES ((SELECT id FROM stock WHERE ticker = 'CBPE'), 'PT Citra Buana Prasida') ON CONFLICT DO NOTHING;</v>
      </c>
    </row>
    <row r="864" spans="1:6" x14ac:dyDescent="0.2">
      <c r="A864" t="s">
        <v>2230</v>
      </c>
      <c r="B864" t="s">
        <v>3541</v>
      </c>
      <c r="C864" t="s">
        <v>2230</v>
      </c>
      <c r="D864" t="str">
        <f>TRIM(alias[[#This Row],[Column3]])</f>
        <v>CBRE</v>
      </c>
      <c r="F864" t="str">
        <f t="shared" si="13"/>
        <v>INSERT INTO stock_alias (stock, alias) VALUES ((SELECT id FROM stock WHERE ticker = 'CBRE'), 'CBRE') ON CONFLICT DO NOTHING;</v>
      </c>
    </row>
    <row r="865" spans="1:6" x14ac:dyDescent="0.2">
      <c r="A865" t="s">
        <v>2230</v>
      </c>
      <c r="B865" t="s">
        <v>3541</v>
      </c>
      <c r="C865" t="s">
        <v>5512</v>
      </c>
      <c r="D865" t="str">
        <f>TRIM(alias[[#This Row],[Column3]])</f>
        <v>Cakra Buana Resources Energi</v>
      </c>
      <c r="F865" t="str">
        <f t="shared" si="13"/>
        <v>INSERT INTO stock_alias (stock, alias) VALUES ((SELECT id FROM stock WHERE ticker = 'CBRE'), 'Cakra Buana Resources Energi') ON CONFLICT DO NOTHING;</v>
      </c>
    </row>
    <row r="866" spans="1:6" x14ac:dyDescent="0.2">
      <c r="A866" t="s">
        <v>2230</v>
      </c>
      <c r="B866" t="s">
        <v>3541</v>
      </c>
      <c r="C866" t="s">
        <v>5513</v>
      </c>
      <c r="D866" t="str">
        <f>TRIM(alias[[#This Row],[Column3]])</f>
        <v>Cakra Buana Resources Energi Tbk</v>
      </c>
      <c r="F866" t="str">
        <f t="shared" si="13"/>
        <v>INSERT INTO stock_alias (stock, alias) VALUES ((SELECT id FROM stock WHERE ticker = 'CBRE'), 'Cakra Buana Resources Energi Tbk') ON CONFLICT DO NOTHING;</v>
      </c>
    </row>
    <row r="867" spans="1:6" x14ac:dyDescent="0.2">
      <c r="A867" t="s">
        <v>2230</v>
      </c>
      <c r="B867" t="s">
        <v>3541</v>
      </c>
      <c r="C867" t="s">
        <v>5514</v>
      </c>
      <c r="D867" t="str">
        <f>TRIM(alias[[#This Row],[Column3]])</f>
        <v>PT Cakra Buana Resources Energi</v>
      </c>
      <c r="F867" t="str">
        <f t="shared" si="13"/>
        <v>INSERT INTO stock_alias (stock, alias) VALUES ((SELECT id FROM stock WHERE ticker = 'CBRE'), 'PT Cakra Buana Resources Energi') ON CONFLICT DO NOTHING;</v>
      </c>
    </row>
    <row r="868" spans="1:6" x14ac:dyDescent="0.2">
      <c r="A868" t="s">
        <v>2179</v>
      </c>
      <c r="B868" t="s">
        <v>2180</v>
      </c>
      <c r="C868" t="s">
        <v>2179</v>
      </c>
      <c r="D868" t="str">
        <f>TRIM(alias[[#This Row],[Column3]])</f>
        <v>CBUT</v>
      </c>
      <c r="F868" t="str">
        <f t="shared" si="13"/>
        <v>INSERT INTO stock_alias (stock, alias) VALUES ((SELECT id FROM stock WHERE ticker = 'CBUT'), 'CBUT') ON CONFLICT DO NOTHING;</v>
      </c>
    </row>
    <row r="869" spans="1:6" x14ac:dyDescent="0.2">
      <c r="A869" t="s">
        <v>2179</v>
      </c>
      <c r="B869" t="s">
        <v>2180</v>
      </c>
      <c r="C869" t="s">
        <v>5515</v>
      </c>
      <c r="D869" t="str">
        <f>TRIM(alias[[#This Row],[Column3]])</f>
        <v>Citra Borneo Utama</v>
      </c>
      <c r="F869" t="str">
        <f t="shared" si="13"/>
        <v>INSERT INTO stock_alias (stock, alias) VALUES ((SELECT id FROM stock WHERE ticker = 'CBUT'), 'Citra Borneo Utama') ON CONFLICT DO NOTHING;</v>
      </c>
    </row>
    <row r="870" spans="1:6" x14ac:dyDescent="0.2">
      <c r="A870" t="s">
        <v>2179</v>
      </c>
      <c r="B870" t="s">
        <v>2180</v>
      </c>
      <c r="C870" t="s">
        <v>5516</v>
      </c>
      <c r="D870" t="str">
        <f>TRIM(alias[[#This Row],[Column3]])</f>
        <v>Citra Borneo Utama Tbk</v>
      </c>
      <c r="F870" t="str">
        <f t="shared" si="13"/>
        <v>INSERT INTO stock_alias (stock, alias) VALUES ((SELECT id FROM stock WHERE ticker = 'CBUT'), 'Citra Borneo Utama Tbk') ON CONFLICT DO NOTHING;</v>
      </c>
    </row>
    <row r="871" spans="1:6" x14ac:dyDescent="0.2">
      <c r="A871" t="s">
        <v>2179</v>
      </c>
      <c r="B871" t="s">
        <v>2180</v>
      </c>
      <c r="C871" t="s">
        <v>5517</v>
      </c>
      <c r="D871" t="str">
        <f>TRIM(alias[[#This Row],[Column3]])</f>
        <v>PT Citra Borneo Utama</v>
      </c>
      <c r="F871" t="str">
        <f t="shared" si="13"/>
        <v>INSERT INTO stock_alias (stock, alias) VALUES ((SELECT id FROM stock WHERE ticker = 'CBUT'), 'PT Citra Borneo Utama') ON CONFLICT DO NOTHING;</v>
      </c>
    </row>
    <row r="872" spans="1:6" x14ac:dyDescent="0.2">
      <c r="A872" t="s">
        <v>1680</v>
      </c>
      <c r="B872" t="s">
        <v>3542</v>
      </c>
      <c r="C872" t="s">
        <v>1680</v>
      </c>
      <c r="D872" t="str">
        <f>TRIM(alias[[#This Row],[Column3]])</f>
        <v>CCSI</v>
      </c>
      <c r="F872" t="str">
        <f t="shared" si="13"/>
        <v>INSERT INTO stock_alias (stock, alias) VALUES ((SELECT id FROM stock WHERE ticker = 'CCSI'), 'CCSI') ON CONFLICT DO NOTHING;</v>
      </c>
    </row>
    <row r="873" spans="1:6" x14ac:dyDescent="0.2">
      <c r="A873" t="s">
        <v>1680</v>
      </c>
      <c r="B873" t="s">
        <v>3542</v>
      </c>
      <c r="C873" t="s">
        <v>5518</v>
      </c>
      <c r="D873" t="str">
        <f>TRIM(alias[[#This Row],[Column3]])</f>
        <v>Communication Cable Systems Indonesia</v>
      </c>
      <c r="F873" t="str">
        <f t="shared" si="13"/>
        <v>INSERT INTO stock_alias (stock, alias) VALUES ((SELECT id FROM stock WHERE ticker = 'CCSI'), 'Communication Cable Systems Indonesia') ON CONFLICT DO NOTHING;</v>
      </c>
    </row>
    <row r="874" spans="1:6" x14ac:dyDescent="0.2">
      <c r="A874" t="s">
        <v>1680</v>
      </c>
      <c r="B874" t="s">
        <v>3542</v>
      </c>
      <c r="C874" t="s">
        <v>5519</v>
      </c>
      <c r="D874" t="str">
        <f>TRIM(alias[[#This Row],[Column3]])</f>
        <v>Communication Cable Systems Indonesia Tbk</v>
      </c>
      <c r="F874" t="str">
        <f t="shared" si="13"/>
        <v>INSERT INTO stock_alias (stock, alias) VALUES ((SELECT id FROM stock WHERE ticker = 'CCSI'), 'Communication Cable Systems Indonesia Tbk') ON CONFLICT DO NOTHING;</v>
      </c>
    </row>
    <row r="875" spans="1:6" x14ac:dyDescent="0.2">
      <c r="A875" t="s">
        <v>1680</v>
      </c>
      <c r="B875" t="s">
        <v>3542</v>
      </c>
      <c r="C875" t="s">
        <v>5520</v>
      </c>
      <c r="D875" t="str">
        <f>TRIM(alias[[#This Row],[Column3]])</f>
        <v>PT Communication Cable Systems Indonesia</v>
      </c>
      <c r="F875" t="str">
        <f t="shared" si="13"/>
        <v>INSERT INTO stock_alias (stock, alias) VALUES ((SELECT id FROM stock WHERE ticker = 'CCSI'), 'PT Communication Cable Systems Indonesia') ON CONFLICT DO NOTHING;</v>
      </c>
    </row>
    <row r="876" spans="1:6" x14ac:dyDescent="0.2">
      <c r="A876" t="s">
        <v>2544</v>
      </c>
      <c r="B876" t="s">
        <v>2545</v>
      </c>
      <c r="C876" t="s">
        <v>2544</v>
      </c>
      <c r="D876" t="str">
        <f>TRIM(alias[[#This Row],[Column3]])</f>
        <v>CDIA</v>
      </c>
      <c r="F876" t="str">
        <f t="shared" si="13"/>
        <v>INSERT INTO stock_alias (stock, alias) VALUES ((SELECT id FROM stock WHERE ticker = 'CDIA'), 'CDIA') ON CONFLICT DO NOTHING;</v>
      </c>
    </row>
    <row r="877" spans="1:6" x14ac:dyDescent="0.2">
      <c r="A877" t="s">
        <v>2544</v>
      </c>
      <c r="B877" t="s">
        <v>2545</v>
      </c>
      <c r="C877" t="s">
        <v>5521</v>
      </c>
      <c r="D877" t="str">
        <f>TRIM(alias[[#This Row],[Column3]])</f>
        <v>Chandra Daya Investasi</v>
      </c>
      <c r="F877" t="str">
        <f t="shared" si="13"/>
        <v>INSERT INTO stock_alias (stock, alias) VALUES ((SELECT id FROM stock WHERE ticker = 'CDIA'), 'Chandra Daya Investasi') ON CONFLICT DO NOTHING;</v>
      </c>
    </row>
    <row r="878" spans="1:6" x14ac:dyDescent="0.2">
      <c r="A878" t="s">
        <v>2544</v>
      </c>
      <c r="B878" t="s">
        <v>2545</v>
      </c>
      <c r="C878" t="s">
        <v>5522</v>
      </c>
      <c r="D878" t="str">
        <f>TRIM(alias[[#This Row],[Column3]])</f>
        <v>Chandra Daya Investasi Tbk</v>
      </c>
      <c r="F878" t="str">
        <f t="shared" si="13"/>
        <v>INSERT INTO stock_alias (stock, alias) VALUES ((SELECT id FROM stock WHERE ticker = 'CDIA'), 'Chandra Daya Investasi Tbk') ON CONFLICT DO NOTHING;</v>
      </c>
    </row>
    <row r="879" spans="1:6" x14ac:dyDescent="0.2">
      <c r="A879" t="s">
        <v>2544</v>
      </c>
      <c r="B879" t="s">
        <v>2545</v>
      </c>
      <c r="C879" t="s">
        <v>5523</v>
      </c>
      <c r="D879" t="str">
        <f>TRIM(alias[[#This Row],[Column3]])</f>
        <v>PT Chandra Daya Investasi</v>
      </c>
      <c r="F879" t="str">
        <f t="shared" si="13"/>
        <v>INSERT INTO stock_alias (stock, alias) VALUES ((SELECT id FROM stock WHERE ticker = 'CDIA'), 'PT Chandra Daya Investasi') ON CONFLICT DO NOTHING;</v>
      </c>
    </row>
    <row r="880" spans="1:6" x14ac:dyDescent="0.2">
      <c r="A880" t="s">
        <v>345</v>
      </c>
      <c r="B880" t="s">
        <v>346</v>
      </c>
      <c r="C880" t="s">
        <v>345</v>
      </c>
      <c r="D880" t="str">
        <f>TRIM(alias[[#This Row],[Column3]])</f>
        <v>CEKA</v>
      </c>
      <c r="F880" t="str">
        <f t="shared" si="13"/>
        <v>INSERT INTO stock_alias (stock, alias) VALUES ((SELECT id FROM stock WHERE ticker = 'CEKA'), 'CEKA') ON CONFLICT DO NOTHING;</v>
      </c>
    </row>
    <row r="881" spans="1:6" x14ac:dyDescent="0.2">
      <c r="A881" t="s">
        <v>345</v>
      </c>
      <c r="B881" t="s">
        <v>346</v>
      </c>
      <c r="C881" t="s">
        <v>5524</v>
      </c>
      <c r="D881" t="str">
        <f>TRIM(alias[[#This Row],[Column3]])</f>
        <v>PT Wilmar Cahaya Indonesia</v>
      </c>
      <c r="F881" t="str">
        <f t="shared" si="13"/>
        <v>INSERT INTO stock_alias (stock, alias) VALUES ((SELECT id FROM stock WHERE ticker = 'CEKA'), 'PT Wilmar Cahaya Indonesia') ON CONFLICT DO NOTHING;</v>
      </c>
    </row>
    <row r="882" spans="1:6" x14ac:dyDescent="0.2">
      <c r="A882" t="s">
        <v>345</v>
      </c>
      <c r="B882" t="s">
        <v>346</v>
      </c>
      <c r="C882" t="s">
        <v>5525</v>
      </c>
      <c r="D882" t="str">
        <f>TRIM(alias[[#This Row],[Column3]])</f>
        <v>Wilmar Cahaya Indonesia</v>
      </c>
      <c r="F882" t="str">
        <f t="shared" si="13"/>
        <v>INSERT INTO stock_alias (stock, alias) VALUES ((SELECT id FROM stock WHERE ticker = 'CEKA'), 'Wilmar Cahaya Indonesia') ON CONFLICT DO NOTHING;</v>
      </c>
    </row>
    <row r="883" spans="1:6" x14ac:dyDescent="0.2">
      <c r="A883" t="s">
        <v>345</v>
      </c>
      <c r="B883" t="s">
        <v>346</v>
      </c>
      <c r="C883" t="s">
        <v>5526</v>
      </c>
      <c r="D883" t="str">
        <f>TRIM(alias[[#This Row],[Column3]])</f>
        <v>Wilmar Cahaya Indonesia Tbk</v>
      </c>
      <c r="F883" t="str">
        <f t="shared" si="13"/>
        <v>INSERT INTO stock_alias (stock, alias) VALUES ((SELECT id FROM stock WHERE ticker = 'CEKA'), 'Wilmar Cahaya Indonesia Tbk') ON CONFLICT DO NOTHING;</v>
      </c>
    </row>
    <row r="884" spans="1:6" x14ac:dyDescent="0.2">
      <c r="A884" t="s">
        <v>348</v>
      </c>
      <c r="B884" t="s">
        <v>3543</v>
      </c>
      <c r="C884" t="s">
        <v>348</v>
      </c>
      <c r="D884" t="str">
        <f>TRIM(alias[[#This Row],[Column3]])</f>
        <v>CENT</v>
      </c>
      <c r="F884" t="str">
        <f t="shared" si="13"/>
        <v>INSERT INTO stock_alias (stock, alias) VALUES ((SELECT id FROM stock WHERE ticker = 'CENT'), 'CENT') ON CONFLICT DO NOTHING;</v>
      </c>
    </row>
    <row r="885" spans="1:6" x14ac:dyDescent="0.2">
      <c r="A885" t="s">
        <v>348</v>
      </c>
      <c r="B885" t="s">
        <v>3543</v>
      </c>
      <c r="C885" t="s">
        <v>5527</v>
      </c>
      <c r="D885" t="str">
        <f>TRIM(alias[[#This Row],[Column3]])</f>
        <v>Centratama Telekomunikasi Indonesia</v>
      </c>
      <c r="F885" t="str">
        <f t="shared" si="13"/>
        <v>INSERT INTO stock_alias (stock, alias) VALUES ((SELECT id FROM stock WHERE ticker = 'CENT'), 'Centratama Telekomunikasi Indonesia') ON CONFLICT DO NOTHING;</v>
      </c>
    </row>
    <row r="886" spans="1:6" x14ac:dyDescent="0.2">
      <c r="A886" t="s">
        <v>348</v>
      </c>
      <c r="B886" t="s">
        <v>3543</v>
      </c>
      <c r="C886" t="s">
        <v>5528</v>
      </c>
      <c r="D886" t="str">
        <f>TRIM(alias[[#This Row],[Column3]])</f>
        <v>Centratama Telekomunikasi Indonesia Tbk</v>
      </c>
      <c r="F886" t="str">
        <f t="shared" si="13"/>
        <v>INSERT INTO stock_alias (stock, alias) VALUES ((SELECT id FROM stock WHERE ticker = 'CENT'), 'Centratama Telekomunikasi Indonesia Tbk') ON CONFLICT DO NOTHING;</v>
      </c>
    </row>
    <row r="887" spans="1:6" x14ac:dyDescent="0.2">
      <c r="A887" t="s">
        <v>348</v>
      </c>
      <c r="B887" t="s">
        <v>3543</v>
      </c>
      <c r="C887" t="s">
        <v>5529</v>
      </c>
      <c r="D887" t="str">
        <f>TRIM(alias[[#This Row],[Column3]])</f>
        <v>PT Centratama Telekomunikasi Indonesia</v>
      </c>
      <c r="F887" t="str">
        <f t="shared" si="13"/>
        <v>INSERT INTO stock_alias (stock, alias) VALUES ((SELECT id FROM stock WHERE ticker = 'CENT'), 'PT Centratama Telekomunikasi Indonesia') ON CONFLICT DO NOTHING;</v>
      </c>
    </row>
    <row r="888" spans="1:6" x14ac:dyDescent="0.2">
      <c r="A888" t="s">
        <v>350</v>
      </c>
      <c r="B888" t="s">
        <v>351</v>
      </c>
      <c r="C888" t="s">
        <v>350</v>
      </c>
      <c r="D888" t="str">
        <f>TRIM(alias[[#This Row],[Column3]])</f>
        <v>CFIN</v>
      </c>
      <c r="F888" t="str">
        <f t="shared" si="13"/>
        <v>INSERT INTO stock_alias (stock, alias) VALUES ((SELECT id FROM stock WHERE ticker = 'CFIN'), 'CFIN') ON CONFLICT DO NOTHING;</v>
      </c>
    </row>
    <row r="889" spans="1:6" x14ac:dyDescent="0.2">
      <c r="A889" t="s">
        <v>350</v>
      </c>
      <c r="B889" t="s">
        <v>351</v>
      </c>
      <c r="C889" t="s">
        <v>5530</v>
      </c>
      <c r="D889" t="str">
        <f>TRIM(alias[[#This Row],[Column3]])</f>
        <v>Clipan Finance Indonesia</v>
      </c>
      <c r="F889" t="str">
        <f t="shared" si="13"/>
        <v>INSERT INTO stock_alias (stock, alias) VALUES ((SELECT id FROM stock WHERE ticker = 'CFIN'), 'Clipan Finance Indonesia') ON CONFLICT DO NOTHING;</v>
      </c>
    </row>
    <row r="890" spans="1:6" x14ac:dyDescent="0.2">
      <c r="A890" t="s">
        <v>350</v>
      </c>
      <c r="B890" t="s">
        <v>351</v>
      </c>
      <c r="C890" t="s">
        <v>5531</v>
      </c>
      <c r="D890" t="str">
        <f>TRIM(alias[[#This Row],[Column3]])</f>
        <v>Clipan Finance Indonesia Tbk</v>
      </c>
      <c r="F890" t="str">
        <f t="shared" si="13"/>
        <v>INSERT INTO stock_alias (stock, alias) VALUES ((SELECT id FROM stock WHERE ticker = 'CFIN'), 'Clipan Finance Indonesia Tbk') ON CONFLICT DO NOTHING;</v>
      </c>
    </row>
    <row r="891" spans="1:6" x14ac:dyDescent="0.2">
      <c r="A891" t="s">
        <v>350</v>
      </c>
      <c r="B891" t="s">
        <v>351</v>
      </c>
      <c r="C891" t="s">
        <v>5532</v>
      </c>
      <c r="D891" t="str">
        <f>TRIM(alias[[#This Row],[Column3]])</f>
        <v>PT Clipan Finance Indonesia</v>
      </c>
      <c r="F891" t="str">
        <f t="shared" si="13"/>
        <v>INSERT INTO stock_alias (stock, alias) VALUES ((SELECT id FROM stock WHERE ticker = 'CFIN'), 'PT Clipan Finance Indonesia') ON CONFLICT DO NOTHING;</v>
      </c>
    </row>
    <row r="892" spans="1:6" x14ac:dyDescent="0.2">
      <c r="A892" t="s">
        <v>2625</v>
      </c>
      <c r="B892" t="s">
        <v>2626</v>
      </c>
      <c r="C892" t="s">
        <v>2625</v>
      </c>
      <c r="D892" t="str">
        <f>TRIM(alias[[#This Row],[Column3]])</f>
        <v>CGAS</v>
      </c>
      <c r="F892" t="str">
        <f t="shared" si="13"/>
        <v>INSERT INTO stock_alias (stock, alias) VALUES ((SELECT id FROM stock WHERE ticker = 'CGAS'), 'CGAS') ON CONFLICT DO NOTHING;</v>
      </c>
    </row>
    <row r="893" spans="1:6" x14ac:dyDescent="0.2">
      <c r="A893" t="s">
        <v>2625</v>
      </c>
      <c r="B893" t="s">
        <v>2626</v>
      </c>
      <c r="C893" t="s">
        <v>5533</v>
      </c>
      <c r="D893" t="str">
        <f>TRIM(alias[[#This Row],[Column3]])</f>
        <v>Citra Nusantara Gemilang</v>
      </c>
      <c r="F893" t="str">
        <f t="shared" si="13"/>
        <v>INSERT INTO stock_alias (stock, alias) VALUES ((SELECT id FROM stock WHERE ticker = 'CGAS'), 'Citra Nusantara Gemilang') ON CONFLICT DO NOTHING;</v>
      </c>
    </row>
    <row r="894" spans="1:6" x14ac:dyDescent="0.2">
      <c r="A894" t="s">
        <v>2625</v>
      </c>
      <c r="B894" t="s">
        <v>2626</v>
      </c>
      <c r="C894" t="s">
        <v>5534</v>
      </c>
      <c r="D894" t="str">
        <f>TRIM(alias[[#This Row],[Column3]])</f>
        <v>Citra Nusantara Gemilang Tbk</v>
      </c>
      <c r="F894" t="str">
        <f t="shared" si="13"/>
        <v>INSERT INTO stock_alias (stock, alias) VALUES ((SELECT id FROM stock WHERE ticker = 'CGAS'), 'Citra Nusantara Gemilang Tbk') ON CONFLICT DO NOTHING;</v>
      </c>
    </row>
    <row r="895" spans="1:6" x14ac:dyDescent="0.2">
      <c r="A895" t="s">
        <v>2625</v>
      </c>
      <c r="B895" t="s">
        <v>2626</v>
      </c>
      <c r="C895" t="s">
        <v>5535</v>
      </c>
      <c r="D895" t="str">
        <f>TRIM(alias[[#This Row],[Column3]])</f>
        <v>PT Citra Nusantara Gemilang</v>
      </c>
      <c r="F895" t="str">
        <f t="shared" si="13"/>
        <v>INSERT INTO stock_alias (stock, alias) VALUES ((SELECT id FROM stock WHERE ticker = 'CGAS'), 'PT Citra Nusantara Gemilang') ON CONFLICT DO NOTHING;</v>
      </c>
    </row>
    <row r="896" spans="1:6" x14ac:dyDescent="0.2">
      <c r="A896" t="s">
        <v>2553</v>
      </c>
      <c r="B896" t="s">
        <v>2554</v>
      </c>
      <c r="C896" t="s">
        <v>2553</v>
      </c>
      <c r="D896" t="str">
        <f>TRIM(alias[[#This Row],[Column3]])</f>
        <v>CHEK</v>
      </c>
      <c r="F896" t="str">
        <f t="shared" si="13"/>
        <v>INSERT INTO stock_alias (stock, alias) VALUES ((SELECT id FROM stock WHERE ticker = 'CHEK'), 'CHEK') ON CONFLICT DO NOTHING;</v>
      </c>
    </row>
    <row r="897" spans="1:6" x14ac:dyDescent="0.2">
      <c r="A897" t="s">
        <v>2553</v>
      </c>
      <c r="B897" t="s">
        <v>2554</v>
      </c>
      <c r="C897" t="s">
        <v>5536</v>
      </c>
      <c r="D897" t="str">
        <f>TRIM(alias[[#This Row],[Column3]])</f>
        <v>Diastika Biotekindo</v>
      </c>
      <c r="F897" t="str">
        <f t="shared" si="13"/>
        <v>INSERT INTO stock_alias (stock, alias) VALUES ((SELECT id FROM stock WHERE ticker = 'CHEK'), 'Diastika Biotekindo') ON CONFLICT DO NOTHING;</v>
      </c>
    </row>
    <row r="898" spans="1:6" x14ac:dyDescent="0.2">
      <c r="A898" t="s">
        <v>2553</v>
      </c>
      <c r="B898" t="s">
        <v>2554</v>
      </c>
      <c r="C898" t="s">
        <v>5537</v>
      </c>
      <c r="D898" t="str">
        <f>TRIM(alias[[#This Row],[Column3]])</f>
        <v>Diastika Biotekindo Tbk</v>
      </c>
      <c r="F898" t="str">
        <f t="shared" si="13"/>
        <v>INSERT INTO stock_alias (stock, alias) VALUES ((SELECT id FROM stock WHERE ticker = 'CHEK'), 'Diastika Biotekindo Tbk') ON CONFLICT DO NOTHING;</v>
      </c>
    </row>
    <row r="899" spans="1:6" x14ac:dyDescent="0.2">
      <c r="A899" t="s">
        <v>2553</v>
      </c>
      <c r="B899" t="s">
        <v>2554</v>
      </c>
      <c r="C899" t="s">
        <v>5538</v>
      </c>
      <c r="D899" t="str">
        <f>TRIM(alias[[#This Row],[Column3]])</f>
        <v>PT Diastika Biotekindo</v>
      </c>
      <c r="F899" t="str">
        <f t="shared" ref="F899:F962" si="14">_xlfn.CONCAT($F$1, _xlfn.CONCAT($G$1, A899, "'), '", D899, "') ON CONFLICT DO NOTHING;"))</f>
        <v>INSERT INTO stock_alias (stock, alias) VALUES ((SELECT id FROM stock WHERE ticker = 'CHEK'), 'PT Diastika Biotekindo') ON CONFLICT DO NOTHING;</v>
      </c>
    </row>
    <row r="900" spans="1:6" x14ac:dyDescent="0.2">
      <c r="A900" t="s">
        <v>2123</v>
      </c>
      <c r="B900" t="s">
        <v>2124</v>
      </c>
      <c r="C900" t="s">
        <v>2123</v>
      </c>
      <c r="D900" t="str">
        <f>TRIM(alias[[#This Row],[Column3]])</f>
        <v>CHEM</v>
      </c>
      <c r="F900" t="str">
        <f t="shared" si="14"/>
        <v>INSERT INTO stock_alias (stock, alias) VALUES ((SELECT id FROM stock WHERE ticker = 'CHEM'), 'CHEM') ON CONFLICT DO NOTHING;</v>
      </c>
    </row>
    <row r="901" spans="1:6" x14ac:dyDescent="0.2">
      <c r="A901" t="s">
        <v>2123</v>
      </c>
      <c r="B901" t="s">
        <v>2124</v>
      </c>
      <c r="C901" t="s">
        <v>5539</v>
      </c>
      <c r="D901" t="str">
        <f>TRIM(alias[[#This Row],[Column3]])</f>
        <v>Chemstar Indonesia</v>
      </c>
      <c r="F901" t="str">
        <f t="shared" si="14"/>
        <v>INSERT INTO stock_alias (stock, alias) VALUES ((SELECT id FROM stock WHERE ticker = 'CHEM'), 'Chemstar Indonesia') ON CONFLICT DO NOTHING;</v>
      </c>
    </row>
    <row r="902" spans="1:6" x14ac:dyDescent="0.2">
      <c r="A902" t="s">
        <v>2123</v>
      </c>
      <c r="B902" t="s">
        <v>2124</v>
      </c>
      <c r="C902" t="s">
        <v>5540</v>
      </c>
      <c r="D902" t="str">
        <f>TRIM(alias[[#This Row],[Column3]])</f>
        <v>Chemstar Indonesia Tbk</v>
      </c>
      <c r="F902" t="str">
        <f t="shared" si="14"/>
        <v>INSERT INTO stock_alias (stock, alias) VALUES ((SELECT id FROM stock WHERE ticker = 'CHEM'), 'Chemstar Indonesia Tbk') ON CONFLICT DO NOTHING;</v>
      </c>
    </row>
    <row r="903" spans="1:6" x14ac:dyDescent="0.2">
      <c r="A903" t="s">
        <v>2123</v>
      </c>
      <c r="B903" t="s">
        <v>2124</v>
      </c>
      <c r="C903" t="s">
        <v>5541</v>
      </c>
      <c r="D903" t="str">
        <f>TRIM(alias[[#This Row],[Column3]])</f>
        <v>PT Chemstar Indonesia</v>
      </c>
      <c r="F903" t="str">
        <f t="shared" si="14"/>
        <v>INSERT INTO stock_alias (stock, alias) VALUES ((SELECT id FROM stock WHERE ticker = 'CHEM'), 'PT Chemstar Indonesia') ON CONFLICT DO NOTHING;</v>
      </c>
    </row>
    <row r="904" spans="1:6" x14ac:dyDescent="0.2">
      <c r="A904" t="s">
        <v>2258</v>
      </c>
      <c r="B904" t="s">
        <v>2259</v>
      </c>
      <c r="C904" t="s">
        <v>2258</v>
      </c>
      <c r="D904" t="str">
        <f>TRIM(alias[[#This Row],[Column3]])</f>
        <v>CHIP</v>
      </c>
      <c r="F904" t="str">
        <f t="shared" si="14"/>
        <v>INSERT INTO stock_alias (stock, alias) VALUES ((SELECT id FROM stock WHERE ticker = 'CHIP'), 'CHIP') ON CONFLICT DO NOTHING;</v>
      </c>
    </row>
    <row r="905" spans="1:6" x14ac:dyDescent="0.2">
      <c r="A905" t="s">
        <v>2258</v>
      </c>
      <c r="B905" t="s">
        <v>2259</v>
      </c>
      <c r="C905" t="s">
        <v>5542</v>
      </c>
      <c r="D905" t="str">
        <f>TRIM(alias[[#This Row],[Column3]])</f>
        <v>PT Pelita Teknologi Global</v>
      </c>
      <c r="F905" t="str">
        <f t="shared" si="14"/>
        <v>INSERT INTO stock_alias (stock, alias) VALUES ((SELECT id FROM stock WHERE ticker = 'CHIP'), 'PT Pelita Teknologi Global') ON CONFLICT DO NOTHING;</v>
      </c>
    </row>
    <row r="906" spans="1:6" x14ac:dyDescent="0.2">
      <c r="A906" t="s">
        <v>2258</v>
      </c>
      <c r="B906" t="s">
        <v>2259</v>
      </c>
      <c r="C906" t="s">
        <v>5543</v>
      </c>
      <c r="D906" t="str">
        <f>TRIM(alias[[#This Row],[Column3]])</f>
        <v>Pelita Teknologi Global</v>
      </c>
      <c r="F906" t="str">
        <f t="shared" si="14"/>
        <v>INSERT INTO stock_alias (stock, alias) VALUES ((SELECT id FROM stock WHERE ticker = 'CHIP'), 'Pelita Teknologi Global') ON CONFLICT DO NOTHING;</v>
      </c>
    </row>
    <row r="907" spans="1:6" x14ac:dyDescent="0.2">
      <c r="A907" t="s">
        <v>2258</v>
      </c>
      <c r="B907" t="s">
        <v>2259</v>
      </c>
      <c r="C907" t="s">
        <v>5544</v>
      </c>
      <c r="D907" t="str">
        <f>TRIM(alias[[#This Row],[Column3]])</f>
        <v>Pelita Teknologi Global Tbk</v>
      </c>
      <c r="F907" t="str">
        <f t="shared" si="14"/>
        <v>INSERT INTO stock_alias (stock, alias) VALUES ((SELECT id FROM stock WHERE ticker = 'CHIP'), 'Pelita Teknologi Global Tbk') ON CONFLICT DO NOTHING;</v>
      </c>
    </row>
    <row r="908" spans="1:6" x14ac:dyDescent="0.2">
      <c r="A908" t="s">
        <v>353</v>
      </c>
      <c r="B908" t="s">
        <v>354</v>
      </c>
      <c r="C908" t="s">
        <v>353</v>
      </c>
      <c r="D908" t="str">
        <f>TRIM(alias[[#This Row],[Column3]])</f>
        <v>CINT</v>
      </c>
      <c r="F908" t="str">
        <f t="shared" si="14"/>
        <v>INSERT INTO stock_alias (stock, alias) VALUES ((SELECT id FROM stock WHERE ticker = 'CINT'), 'CINT') ON CONFLICT DO NOTHING;</v>
      </c>
    </row>
    <row r="909" spans="1:6" x14ac:dyDescent="0.2">
      <c r="A909" t="s">
        <v>353</v>
      </c>
      <c r="B909" t="s">
        <v>354</v>
      </c>
      <c r="C909" t="s">
        <v>5545</v>
      </c>
      <c r="D909" t="str">
        <f>TRIM(alias[[#This Row],[Column3]])</f>
        <v>Chitose Internasional</v>
      </c>
      <c r="F909" t="str">
        <f t="shared" si="14"/>
        <v>INSERT INTO stock_alias (stock, alias) VALUES ((SELECT id FROM stock WHERE ticker = 'CINT'), 'Chitose Internasional') ON CONFLICT DO NOTHING;</v>
      </c>
    </row>
    <row r="910" spans="1:6" x14ac:dyDescent="0.2">
      <c r="A910" t="s">
        <v>353</v>
      </c>
      <c r="B910" t="s">
        <v>354</v>
      </c>
      <c r="C910" t="s">
        <v>5546</v>
      </c>
      <c r="D910" t="str">
        <f>TRIM(alias[[#This Row],[Column3]])</f>
        <v>Chitose Internasional Tbk</v>
      </c>
      <c r="F910" t="str">
        <f t="shared" si="14"/>
        <v>INSERT INTO stock_alias (stock, alias) VALUES ((SELECT id FROM stock WHERE ticker = 'CINT'), 'Chitose Internasional Tbk') ON CONFLICT DO NOTHING;</v>
      </c>
    </row>
    <row r="911" spans="1:6" x14ac:dyDescent="0.2">
      <c r="A911" t="s">
        <v>353</v>
      </c>
      <c r="B911" t="s">
        <v>354</v>
      </c>
      <c r="C911" t="s">
        <v>5547</v>
      </c>
      <c r="D911" t="str">
        <f>TRIM(alias[[#This Row],[Column3]])</f>
        <v>PT Chitose Internasional</v>
      </c>
      <c r="F911" t="str">
        <f t="shared" si="14"/>
        <v>INSERT INTO stock_alias (stock, alias) VALUES ((SELECT id FROM stock WHERE ticker = 'CINT'), 'PT Chitose Internasional') ON CONFLICT DO NOTHING;</v>
      </c>
    </row>
    <row r="912" spans="1:6" x14ac:dyDescent="0.2">
      <c r="A912" t="s">
        <v>356</v>
      </c>
      <c r="B912" t="s">
        <v>357</v>
      </c>
      <c r="C912" t="s">
        <v>356</v>
      </c>
      <c r="D912" t="str">
        <f>TRIM(alias[[#This Row],[Column3]])</f>
        <v>CITA</v>
      </c>
      <c r="F912" t="str">
        <f t="shared" si="14"/>
        <v>INSERT INTO stock_alias (stock, alias) VALUES ((SELECT id FROM stock WHERE ticker = 'CITA'), 'CITA') ON CONFLICT DO NOTHING;</v>
      </c>
    </row>
    <row r="913" spans="1:6" x14ac:dyDescent="0.2">
      <c r="A913" t="s">
        <v>356</v>
      </c>
      <c r="B913" t="s">
        <v>357</v>
      </c>
      <c r="C913" t="s">
        <v>5548</v>
      </c>
      <c r="D913" t="str">
        <f>TRIM(alias[[#This Row],[Column3]])</f>
        <v>Cita Mineral Investindo</v>
      </c>
      <c r="F913" t="str">
        <f t="shared" si="14"/>
        <v>INSERT INTO stock_alias (stock, alias) VALUES ((SELECT id FROM stock WHERE ticker = 'CITA'), 'Cita Mineral Investindo') ON CONFLICT DO NOTHING;</v>
      </c>
    </row>
    <row r="914" spans="1:6" x14ac:dyDescent="0.2">
      <c r="A914" t="s">
        <v>356</v>
      </c>
      <c r="B914" t="s">
        <v>357</v>
      </c>
      <c r="C914" t="s">
        <v>5549</v>
      </c>
      <c r="D914" t="str">
        <f>TRIM(alias[[#This Row],[Column3]])</f>
        <v>Cita Mineral Investindo Tbk</v>
      </c>
      <c r="F914" t="str">
        <f t="shared" si="14"/>
        <v>INSERT INTO stock_alias (stock, alias) VALUES ((SELECT id FROM stock WHERE ticker = 'CITA'), 'Cita Mineral Investindo Tbk') ON CONFLICT DO NOTHING;</v>
      </c>
    </row>
    <row r="915" spans="1:6" x14ac:dyDescent="0.2">
      <c r="A915" t="s">
        <v>356</v>
      </c>
      <c r="B915" t="s">
        <v>357</v>
      </c>
      <c r="C915" t="s">
        <v>5550</v>
      </c>
      <c r="D915" t="str">
        <f>TRIM(alias[[#This Row],[Column3]])</f>
        <v>PT Cita Mineral Investindo</v>
      </c>
      <c r="F915" t="str">
        <f t="shared" si="14"/>
        <v>INSERT INTO stock_alias (stock, alias) VALUES ((SELECT id FROM stock WHERE ticker = 'CITA'), 'PT Cita Mineral Investindo') ON CONFLICT DO NOTHING;</v>
      </c>
    </row>
    <row r="916" spans="1:6" x14ac:dyDescent="0.2">
      <c r="A916" t="s">
        <v>1586</v>
      </c>
      <c r="B916" t="s">
        <v>1587</v>
      </c>
      <c r="C916" t="s">
        <v>1586</v>
      </c>
      <c r="D916" t="str">
        <f>TRIM(alias[[#This Row],[Column3]])</f>
        <v>CITY</v>
      </c>
      <c r="F916" t="str">
        <f t="shared" si="14"/>
        <v>INSERT INTO stock_alias (stock, alias) VALUES ((SELECT id FROM stock WHERE ticker = 'CITY'), 'CITY') ON CONFLICT DO NOTHING;</v>
      </c>
    </row>
    <row r="917" spans="1:6" x14ac:dyDescent="0.2">
      <c r="A917" t="s">
        <v>1586</v>
      </c>
      <c r="B917" t="s">
        <v>1587</v>
      </c>
      <c r="C917" t="s">
        <v>5551</v>
      </c>
      <c r="D917" t="str">
        <f>TRIM(alias[[#This Row],[Column3]])</f>
        <v>Natura City Developments</v>
      </c>
      <c r="F917" t="str">
        <f t="shared" si="14"/>
        <v>INSERT INTO stock_alias (stock, alias) VALUES ((SELECT id FROM stock WHERE ticker = 'CITY'), 'Natura City Developments') ON CONFLICT DO NOTHING;</v>
      </c>
    </row>
    <row r="918" spans="1:6" x14ac:dyDescent="0.2">
      <c r="A918" t="s">
        <v>1586</v>
      </c>
      <c r="B918" t="s">
        <v>1587</v>
      </c>
      <c r="C918" t="s">
        <v>5552</v>
      </c>
      <c r="D918" t="str">
        <f>TRIM(alias[[#This Row],[Column3]])</f>
        <v>Natura City Developments Tbk</v>
      </c>
      <c r="F918" t="str">
        <f t="shared" si="14"/>
        <v>INSERT INTO stock_alias (stock, alias) VALUES ((SELECT id FROM stock WHERE ticker = 'CITY'), 'Natura City Developments Tbk') ON CONFLICT DO NOTHING;</v>
      </c>
    </row>
    <row r="919" spans="1:6" x14ac:dyDescent="0.2">
      <c r="A919" t="s">
        <v>1586</v>
      </c>
      <c r="B919" t="s">
        <v>1587</v>
      </c>
      <c r="C919" t="s">
        <v>5553</v>
      </c>
      <c r="D919" t="str">
        <f>TRIM(alias[[#This Row],[Column3]])</f>
        <v>PT Natura City Developments</v>
      </c>
      <c r="F919" t="str">
        <f t="shared" si="14"/>
        <v>INSERT INTO stock_alias (stock, alias) VALUES ((SELECT id FROM stock WHERE ticker = 'CITY'), 'PT Natura City Developments') ON CONFLICT DO NOTHING;</v>
      </c>
    </row>
    <row r="920" spans="1:6" x14ac:dyDescent="0.2">
      <c r="A920" t="s">
        <v>1649</v>
      </c>
      <c r="B920" t="s">
        <v>1650</v>
      </c>
      <c r="C920" t="s">
        <v>1649</v>
      </c>
      <c r="D920" t="str">
        <f>TRIM(alias[[#This Row],[Column3]])</f>
        <v>CLAY</v>
      </c>
      <c r="F920" t="str">
        <f t="shared" si="14"/>
        <v>INSERT INTO stock_alias (stock, alias) VALUES ((SELECT id FROM stock WHERE ticker = 'CLAY'), 'CLAY') ON CONFLICT DO NOTHING;</v>
      </c>
    </row>
    <row r="921" spans="1:6" x14ac:dyDescent="0.2">
      <c r="A921" t="s">
        <v>1649</v>
      </c>
      <c r="B921" t="s">
        <v>1650</v>
      </c>
      <c r="C921" t="s">
        <v>5554</v>
      </c>
      <c r="D921" t="str">
        <f>TRIM(alias[[#This Row],[Column3]])</f>
        <v>Citra Putra Realty</v>
      </c>
      <c r="F921" t="str">
        <f t="shared" si="14"/>
        <v>INSERT INTO stock_alias (stock, alias) VALUES ((SELECT id FROM stock WHERE ticker = 'CLAY'), 'Citra Putra Realty') ON CONFLICT DO NOTHING;</v>
      </c>
    </row>
    <row r="922" spans="1:6" x14ac:dyDescent="0.2">
      <c r="A922" t="s">
        <v>1649</v>
      </c>
      <c r="B922" t="s">
        <v>1650</v>
      </c>
      <c r="C922" t="s">
        <v>5555</v>
      </c>
      <c r="D922" t="str">
        <f>TRIM(alias[[#This Row],[Column3]])</f>
        <v>Citra Putra Realty Tbk</v>
      </c>
      <c r="F922" t="str">
        <f t="shared" si="14"/>
        <v>INSERT INTO stock_alias (stock, alias) VALUES ((SELECT id FROM stock WHERE ticker = 'CLAY'), 'Citra Putra Realty Tbk') ON CONFLICT DO NOTHING;</v>
      </c>
    </row>
    <row r="923" spans="1:6" x14ac:dyDescent="0.2">
      <c r="A923" t="s">
        <v>1649</v>
      </c>
      <c r="B923" t="s">
        <v>1650</v>
      </c>
      <c r="C923" t="s">
        <v>5556</v>
      </c>
      <c r="D923" t="str">
        <f>TRIM(alias[[#This Row],[Column3]])</f>
        <v>PT Citra Putra Realty</v>
      </c>
      <c r="F923" t="str">
        <f t="shared" si="14"/>
        <v>INSERT INTO stock_alias (stock, alias) VALUES ((SELECT id FROM stock WHERE ticker = 'CLAY'), 'PT Citra Putra Realty') ON CONFLICT DO NOTHING;</v>
      </c>
    </row>
    <row r="924" spans="1:6" x14ac:dyDescent="0.2">
      <c r="A924" t="s">
        <v>1399</v>
      </c>
      <c r="B924" t="s">
        <v>1400</v>
      </c>
      <c r="C924" t="s">
        <v>1399</v>
      </c>
      <c r="D924" t="str">
        <f>TRIM(alias[[#This Row],[Column3]])</f>
        <v>CLEO</v>
      </c>
      <c r="F924" t="str">
        <f t="shared" si="14"/>
        <v>INSERT INTO stock_alias (stock, alias) VALUES ((SELECT id FROM stock WHERE ticker = 'CLEO'), 'CLEO') ON CONFLICT DO NOTHING;</v>
      </c>
    </row>
    <row r="925" spans="1:6" x14ac:dyDescent="0.2">
      <c r="A925" t="s">
        <v>1399</v>
      </c>
      <c r="B925" t="s">
        <v>1400</v>
      </c>
      <c r="C925" t="s">
        <v>5557</v>
      </c>
      <c r="D925" t="str">
        <f>TRIM(alias[[#This Row],[Column3]])</f>
        <v>PT Sariguna Primatirta</v>
      </c>
      <c r="F925" t="str">
        <f t="shared" si="14"/>
        <v>INSERT INTO stock_alias (stock, alias) VALUES ((SELECT id FROM stock WHERE ticker = 'CLEO'), 'PT Sariguna Primatirta') ON CONFLICT DO NOTHING;</v>
      </c>
    </row>
    <row r="926" spans="1:6" x14ac:dyDescent="0.2">
      <c r="A926" t="s">
        <v>1399</v>
      </c>
      <c r="B926" t="s">
        <v>1400</v>
      </c>
      <c r="C926" t="s">
        <v>5558</v>
      </c>
      <c r="D926" t="str">
        <f>TRIM(alias[[#This Row],[Column3]])</f>
        <v>Sariguna Primatirta</v>
      </c>
      <c r="F926" t="str">
        <f t="shared" si="14"/>
        <v>INSERT INTO stock_alias (stock, alias) VALUES ((SELECT id FROM stock WHERE ticker = 'CLEO'), 'Sariguna Primatirta') ON CONFLICT DO NOTHING;</v>
      </c>
    </row>
    <row r="927" spans="1:6" x14ac:dyDescent="0.2">
      <c r="A927" t="s">
        <v>1399</v>
      </c>
      <c r="B927" t="s">
        <v>1400</v>
      </c>
      <c r="C927" t="s">
        <v>5559</v>
      </c>
      <c r="D927" t="str">
        <f>TRIM(alias[[#This Row],[Column3]])</f>
        <v>Sariguna Primatirta Tbk</v>
      </c>
      <c r="F927" t="str">
        <f t="shared" si="14"/>
        <v>INSERT INTO stock_alias (stock, alias) VALUES ((SELECT id FROM stock WHERE ticker = 'CLEO'), 'Sariguna Primatirta Tbk') ON CONFLICT DO NOTHING;</v>
      </c>
    </row>
    <row r="928" spans="1:6" x14ac:dyDescent="0.2">
      <c r="A928" t="s">
        <v>359</v>
      </c>
      <c r="B928" t="s">
        <v>360</v>
      </c>
      <c r="C928" t="s">
        <v>359</v>
      </c>
      <c r="D928" t="str">
        <f>TRIM(alias[[#This Row],[Column3]])</f>
        <v>CLPI</v>
      </c>
      <c r="F928" t="str">
        <f t="shared" si="14"/>
        <v>INSERT INTO stock_alias (stock, alias) VALUES ((SELECT id FROM stock WHERE ticker = 'CLPI'), 'CLPI') ON CONFLICT DO NOTHING;</v>
      </c>
    </row>
    <row r="929" spans="1:6" x14ac:dyDescent="0.2">
      <c r="A929" t="s">
        <v>359</v>
      </c>
      <c r="B929" t="s">
        <v>360</v>
      </c>
      <c r="C929" t="s">
        <v>5560</v>
      </c>
      <c r="D929" t="str">
        <f>TRIM(alias[[#This Row],[Column3]])</f>
        <v>Colorpak Indonesia</v>
      </c>
      <c r="F929" t="str">
        <f t="shared" si="14"/>
        <v>INSERT INTO stock_alias (stock, alias) VALUES ((SELECT id FROM stock WHERE ticker = 'CLPI'), 'Colorpak Indonesia') ON CONFLICT DO NOTHING;</v>
      </c>
    </row>
    <row r="930" spans="1:6" x14ac:dyDescent="0.2">
      <c r="A930" t="s">
        <v>359</v>
      </c>
      <c r="B930" t="s">
        <v>360</v>
      </c>
      <c r="C930" t="s">
        <v>5561</v>
      </c>
      <c r="D930" t="str">
        <f>TRIM(alias[[#This Row],[Column3]])</f>
        <v>Colorpak Indonesia Tbk</v>
      </c>
      <c r="F930" t="str">
        <f t="shared" si="14"/>
        <v>INSERT INTO stock_alias (stock, alias) VALUES ((SELECT id FROM stock WHERE ticker = 'CLPI'), 'Colorpak Indonesia Tbk') ON CONFLICT DO NOTHING;</v>
      </c>
    </row>
    <row r="931" spans="1:6" x14ac:dyDescent="0.2">
      <c r="A931" t="s">
        <v>359</v>
      </c>
      <c r="B931" t="s">
        <v>360</v>
      </c>
      <c r="C931" t="s">
        <v>5562</v>
      </c>
      <c r="D931" t="str">
        <f>TRIM(alias[[#This Row],[Column3]])</f>
        <v>PT Colorpak Indonesia</v>
      </c>
      <c r="F931" t="str">
        <f t="shared" si="14"/>
        <v>INSERT INTO stock_alias (stock, alias) VALUES ((SELECT id FROM stock WHERE ticker = 'CLPI'), 'PT Colorpak Indonesia') ON CONFLICT DO NOTHING;</v>
      </c>
    </row>
    <row r="932" spans="1:6" x14ac:dyDescent="0.2">
      <c r="A932" t="s">
        <v>362</v>
      </c>
      <c r="B932" t="s">
        <v>3544</v>
      </c>
      <c r="C932" t="s">
        <v>362</v>
      </c>
      <c r="D932" t="str">
        <f>TRIM(alias[[#This Row],[Column3]])</f>
        <v>CMNP</v>
      </c>
      <c r="F932" t="str">
        <f t="shared" si="14"/>
        <v>INSERT INTO stock_alias (stock, alias) VALUES ((SELECT id FROM stock WHERE ticker = 'CMNP'), 'CMNP') ON CONFLICT DO NOTHING;</v>
      </c>
    </row>
    <row r="933" spans="1:6" x14ac:dyDescent="0.2">
      <c r="A933" t="s">
        <v>362</v>
      </c>
      <c r="B933" t="s">
        <v>3544</v>
      </c>
      <c r="C933" t="s">
        <v>5563</v>
      </c>
      <c r="D933" t="str">
        <f>TRIM(alias[[#This Row],[Column3]])</f>
        <v>Citra Marga Nusaphala Persada</v>
      </c>
      <c r="F933" t="str">
        <f t="shared" si="14"/>
        <v>INSERT INTO stock_alias (stock, alias) VALUES ((SELECT id FROM stock WHERE ticker = 'CMNP'), 'Citra Marga Nusaphala Persada') ON CONFLICT DO NOTHING;</v>
      </c>
    </row>
    <row r="934" spans="1:6" x14ac:dyDescent="0.2">
      <c r="A934" t="s">
        <v>362</v>
      </c>
      <c r="B934" t="s">
        <v>3544</v>
      </c>
      <c r="C934" t="s">
        <v>5564</v>
      </c>
      <c r="D934" t="str">
        <f>TRIM(alias[[#This Row],[Column3]])</f>
        <v>Citra Marga Nusaphala Persada Tbk</v>
      </c>
      <c r="F934" t="str">
        <f t="shared" si="14"/>
        <v>INSERT INTO stock_alias (stock, alias) VALUES ((SELECT id FROM stock WHERE ticker = 'CMNP'), 'Citra Marga Nusaphala Persada Tbk') ON CONFLICT DO NOTHING;</v>
      </c>
    </row>
    <row r="935" spans="1:6" x14ac:dyDescent="0.2">
      <c r="A935" t="s">
        <v>362</v>
      </c>
      <c r="B935" t="s">
        <v>3544</v>
      </c>
      <c r="C935" t="s">
        <v>5565</v>
      </c>
      <c r="D935" t="str">
        <f>TRIM(alias[[#This Row],[Column3]])</f>
        <v>PT Citra Marga Nusaphala Persada</v>
      </c>
      <c r="F935" t="str">
        <f t="shared" si="14"/>
        <v>INSERT INTO stock_alias (stock, alias) VALUES ((SELECT id FROM stock WHERE ticker = 'CMNP'), 'PT Citra Marga Nusaphala Persada') ON CONFLICT DO NOTHING;</v>
      </c>
    </row>
    <row r="936" spans="1:6" x14ac:dyDescent="0.2">
      <c r="A936" t="s">
        <v>2004</v>
      </c>
      <c r="B936" t="s">
        <v>2005</v>
      </c>
      <c r="C936" t="s">
        <v>2004</v>
      </c>
      <c r="D936" t="str">
        <f>TRIM(alias[[#This Row],[Column3]])</f>
        <v>CMNT</v>
      </c>
      <c r="F936" t="str">
        <f t="shared" si="14"/>
        <v>INSERT INTO stock_alias (stock, alias) VALUES ((SELECT id FROM stock WHERE ticker = 'CMNT'), 'CMNT') ON CONFLICT DO NOTHING;</v>
      </c>
    </row>
    <row r="937" spans="1:6" x14ac:dyDescent="0.2">
      <c r="A937" t="s">
        <v>2004</v>
      </c>
      <c r="B937" t="s">
        <v>2005</v>
      </c>
      <c r="C937" t="s">
        <v>5566</v>
      </c>
      <c r="D937" t="str">
        <f>TRIM(alias[[#This Row],[Column3]])</f>
        <v>Cemindo Gemilang</v>
      </c>
      <c r="F937" t="str">
        <f t="shared" si="14"/>
        <v>INSERT INTO stock_alias (stock, alias) VALUES ((SELECT id FROM stock WHERE ticker = 'CMNT'), 'Cemindo Gemilang') ON CONFLICT DO NOTHING;</v>
      </c>
    </row>
    <row r="938" spans="1:6" x14ac:dyDescent="0.2">
      <c r="A938" t="s">
        <v>2004</v>
      </c>
      <c r="B938" t="s">
        <v>2005</v>
      </c>
      <c r="C938" t="s">
        <v>5567</v>
      </c>
      <c r="D938" t="str">
        <f>TRIM(alias[[#This Row],[Column3]])</f>
        <v>Cemindo Gemilang Tbk</v>
      </c>
      <c r="F938" t="str">
        <f t="shared" si="14"/>
        <v>INSERT INTO stock_alias (stock, alias) VALUES ((SELECT id FROM stock WHERE ticker = 'CMNT'), 'Cemindo Gemilang Tbk') ON CONFLICT DO NOTHING;</v>
      </c>
    </row>
    <row r="939" spans="1:6" x14ac:dyDescent="0.2">
      <c r="A939" t="s">
        <v>2004</v>
      </c>
      <c r="B939" t="s">
        <v>2005</v>
      </c>
      <c r="C939" t="s">
        <v>5568</v>
      </c>
      <c r="D939" t="str">
        <f>TRIM(alias[[#This Row],[Column3]])</f>
        <v>PT Cemindo Gemilang</v>
      </c>
      <c r="F939" t="str">
        <f t="shared" si="14"/>
        <v>INSERT INTO stock_alias (stock, alias) VALUES ((SELECT id FROM stock WHERE ticker = 'CMNT'), 'PT Cemindo Gemilang') ON CONFLICT DO NOTHING;</v>
      </c>
    </row>
    <row r="940" spans="1:6" x14ac:dyDescent="0.2">
      <c r="A940" t="s">
        <v>364</v>
      </c>
      <c r="B940" t="s">
        <v>365</v>
      </c>
      <c r="C940" t="s">
        <v>364</v>
      </c>
      <c r="D940" t="str">
        <f>TRIM(alias[[#This Row],[Column3]])</f>
        <v>CMPP</v>
      </c>
      <c r="F940" t="str">
        <f t="shared" si="14"/>
        <v>INSERT INTO stock_alias (stock, alias) VALUES ((SELECT id FROM stock WHERE ticker = 'CMPP'), 'CMPP') ON CONFLICT DO NOTHING;</v>
      </c>
    </row>
    <row r="941" spans="1:6" x14ac:dyDescent="0.2">
      <c r="A941" t="s">
        <v>364</v>
      </c>
      <c r="B941" t="s">
        <v>365</v>
      </c>
      <c r="C941" t="s">
        <v>5569</v>
      </c>
      <c r="D941" t="str">
        <f>TRIM(alias[[#This Row],[Column3]])</f>
        <v>AirAsia Indonesia</v>
      </c>
      <c r="F941" t="str">
        <f t="shared" si="14"/>
        <v>INSERT INTO stock_alias (stock, alias) VALUES ((SELECT id FROM stock WHERE ticker = 'CMPP'), 'AirAsia Indonesia') ON CONFLICT DO NOTHING;</v>
      </c>
    </row>
    <row r="942" spans="1:6" x14ac:dyDescent="0.2">
      <c r="A942" t="s">
        <v>364</v>
      </c>
      <c r="B942" t="s">
        <v>365</v>
      </c>
      <c r="C942" t="s">
        <v>5570</v>
      </c>
      <c r="D942" t="str">
        <f>TRIM(alias[[#This Row],[Column3]])</f>
        <v>AirAsia Indonesia Tbk</v>
      </c>
      <c r="F942" t="str">
        <f t="shared" si="14"/>
        <v>INSERT INTO stock_alias (stock, alias) VALUES ((SELECT id FROM stock WHERE ticker = 'CMPP'), 'AirAsia Indonesia Tbk') ON CONFLICT DO NOTHING;</v>
      </c>
    </row>
    <row r="943" spans="1:6" x14ac:dyDescent="0.2">
      <c r="A943" t="s">
        <v>364</v>
      </c>
      <c r="B943" t="s">
        <v>365</v>
      </c>
      <c r="C943" t="s">
        <v>5571</v>
      </c>
      <c r="D943" t="str">
        <f>TRIM(alias[[#This Row],[Column3]])</f>
        <v>PT AirAsia Indonesia</v>
      </c>
      <c r="F943" t="str">
        <f t="shared" si="14"/>
        <v>INSERT INTO stock_alias (stock, alias) VALUES ((SELECT id FROM stock WHERE ticker = 'CMPP'), 'PT AirAsia Indonesia') ON CONFLICT DO NOTHING;</v>
      </c>
    </row>
    <row r="944" spans="1:6" x14ac:dyDescent="0.2">
      <c r="A944" t="s">
        <v>2028</v>
      </c>
      <c r="B944" t="s">
        <v>2029</v>
      </c>
      <c r="C944" t="s">
        <v>2028</v>
      </c>
      <c r="D944" t="str">
        <f>TRIM(alias[[#This Row],[Column3]])</f>
        <v>CMRY</v>
      </c>
      <c r="F944" t="str">
        <f t="shared" si="14"/>
        <v>INSERT INTO stock_alias (stock, alias) VALUES ((SELECT id FROM stock WHERE ticker = 'CMRY'), 'CMRY') ON CONFLICT DO NOTHING;</v>
      </c>
    </row>
    <row r="945" spans="1:6" x14ac:dyDescent="0.2">
      <c r="A945" t="s">
        <v>2028</v>
      </c>
      <c r="B945" t="s">
        <v>2029</v>
      </c>
      <c r="C945" t="s">
        <v>5572</v>
      </c>
      <c r="D945" t="str">
        <f>TRIM(alias[[#This Row],[Column3]])</f>
        <v>Cisarua Mountain Dairy</v>
      </c>
      <c r="F945" t="str">
        <f t="shared" si="14"/>
        <v>INSERT INTO stock_alias (stock, alias) VALUES ((SELECT id FROM stock WHERE ticker = 'CMRY'), 'Cisarua Mountain Dairy') ON CONFLICT DO NOTHING;</v>
      </c>
    </row>
    <row r="946" spans="1:6" x14ac:dyDescent="0.2">
      <c r="A946" t="s">
        <v>2028</v>
      </c>
      <c r="B946" t="s">
        <v>2029</v>
      </c>
      <c r="C946" t="s">
        <v>5573</v>
      </c>
      <c r="D946" t="str">
        <f>TRIM(alias[[#This Row],[Column3]])</f>
        <v>Cisarua Mountain Dairy Tbk</v>
      </c>
      <c r="F946" t="str">
        <f t="shared" si="14"/>
        <v>INSERT INTO stock_alias (stock, alias) VALUES ((SELECT id FROM stock WHERE ticker = 'CMRY'), 'Cisarua Mountain Dairy Tbk') ON CONFLICT DO NOTHING;</v>
      </c>
    </row>
    <row r="947" spans="1:6" x14ac:dyDescent="0.2">
      <c r="A947" t="s">
        <v>2028</v>
      </c>
      <c r="B947" t="s">
        <v>2029</v>
      </c>
      <c r="C947" t="s">
        <v>5574</v>
      </c>
      <c r="D947" t="str">
        <f>TRIM(alias[[#This Row],[Column3]])</f>
        <v>PT Cisarua Mountain Dairy</v>
      </c>
      <c r="F947" t="str">
        <f t="shared" si="14"/>
        <v>INSERT INTO stock_alias (stock, alias) VALUES ((SELECT id FROM stock WHERE ticker = 'CMRY'), 'PT Cisarua Mountain Dairy') ON CONFLICT DO NOTHING;</v>
      </c>
    </row>
    <row r="948" spans="1:6" x14ac:dyDescent="0.2">
      <c r="A948" t="s">
        <v>367</v>
      </c>
      <c r="B948" t="s">
        <v>3545</v>
      </c>
      <c r="C948" t="s">
        <v>367</v>
      </c>
      <c r="D948" t="str">
        <f>TRIM(alias[[#This Row],[Column3]])</f>
        <v>CNKO</v>
      </c>
      <c r="F948" t="str">
        <f t="shared" si="14"/>
        <v>INSERT INTO stock_alias (stock, alias) VALUES ((SELECT id FROM stock WHERE ticker = 'CNKO'), 'CNKO') ON CONFLICT DO NOTHING;</v>
      </c>
    </row>
    <row r="949" spans="1:6" x14ac:dyDescent="0.2">
      <c r="A949" t="s">
        <v>367</v>
      </c>
      <c r="B949" t="s">
        <v>3545</v>
      </c>
      <c r="C949" t="s">
        <v>5575</v>
      </c>
      <c r="D949" t="str">
        <f>TRIM(alias[[#This Row],[Column3]])</f>
        <v>Exploitasi Energi Indonesia</v>
      </c>
      <c r="F949" t="str">
        <f t="shared" si="14"/>
        <v>INSERT INTO stock_alias (stock, alias) VALUES ((SELECT id FROM stock WHERE ticker = 'CNKO'), 'Exploitasi Energi Indonesia') ON CONFLICT DO NOTHING;</v>
      </c>
    </row>
    <row r="950" spans="1:6" x14ac:dyDescent="0.2">
      <c r="A950" t="s">
        <v>367</v>
      </c>
      <c r="B950" t="s">
        <v>3545</v>
      </c>
      <c r="C950" t="s">
        <v>5576</v>
      </c>
      <c r="D950" t="str">
        <f>TRIM(alias[[#This Row],[Column3]])</f>
        <v>Exploitasi Energi Indonesia Tbk</v>
      </c>
      <c r="F950" t="str">
        <f t="shared" si="14"/>
        <v>INSERT INTO stock_alias (stock, alias) VALUES ((SELECT id FROM stock WHERE ticker = 'CNKO'), 'Exploitasi Energi Indonesia Tbk') ON CONFLICT DO NOTHING;</v>
      </c>
    </row>
    <row r="951" spans="1:6" x14ac:dyDescent="0.2">
      <c r="A951" t="s">
        <v>367</v>
      </c>
      <c r="B951" t="s">
        <v>3545</v>
      </c>
      <c r="C951" t="s">
        <v>5577</v>
      </c>
      <c r="D951" t="str">
        <f>TRIM(alias[[#This Row],[Column3]])</f>
        <v>PT Exploitasi Energi Indonesia</v>
      </c>
      <c r="F951" t="str">
        <f t="shared" si="14"/>
        <v>INSERT INTO stock_alias (stock, alias) VALUES ((SELECT id FROM stock WHERE ticker = 'CNKO'), 'PT Exploitasi Energi Indonesia') ON CONFLICT DO NOTHING;</v>
      </c>
    </row>
    <row r="952" spans="1:6" x14ac:dyDescent="0.2">
      <c r="A952" t="s">
        <v>2339</v>
      </c>
      <c r="B952" t="s">
        <v>2340</v>
      </c>
      <c r="C952" t="s">
        <v>2339</v>
      </c>
      <c r="D952" t="str">
        <f>TRIM(alias[[#This Row],[Column3]])</f>
        <v>CNMA</v>
      </c>
      <c r="F952" t="str">
        <f t="shared" si="14"/>
        <v>INSERT INTO stock_alias (stock, alias) VALUES ((SELECT id FROM stock WHERE ticker = 'CNMA'), 'CNMA') ON CONFLICT DO NOTHING;</v>
      </c>
    </row>
    <row r="953" spans="1:6" x14ac:dyDescent="0.2">
      <c r="A953" t="s">
        <v>2339</v>
      </c>
      <c r="B953" t="s">
        <v>2340</v>
      </c>
      <c r="C953" t="s">
        <v>5578</v>
      </c>
      <c r="D953" t="str">
        <f>TRIM(alias[[#This Row],[Column3]])</f>
        <v>Nusantara Sejahtera Raya</v>
      </c>
      <c r="F953" t="str">
        <f t="shared" si="14"/>
        <v>INSERT INTO stock_alias (stock, alias) VALUES ((SELECT id FROM stock WHERE ticker = 'CNMA'), 'Nusantara Sejahtera Raya') ON CONFLICT DO NOTHING;</v>
      </c>
    </row>
    <row r="954" spans="1:6" x14ac:dyDescent="0.2">
      <c r="A954" t="s">
        <v>2339</v>
      </c>
      <c r="B954" t="s">
        <v>2340</v>
      </c>
      <c r="C954" t="s">
        <v>5579</v>
      </c>
      <c r="D954" t="str">
        <f>TRIM(alias[[#This Row],[Column3]])</f>
        <v>Nusantara Sejahtera Raya Tbk</v>
      </c>
      <c r="F954" t="str">
        <f t="shared" si="14"/>
        <v>INSERT INTO stock_alias (stock, alias) VALUES ((SELECT id FROM stock WHERE ticker = 'CNMA'), 'Nusantara Sejahtera Raya Tbk') ON CONFLICT DO NOTHING;</v>
      </c>
    </row>
    <row r="955" spans="1:6" x14ac:dyDescent="0.2">
      <c r="A955" t="s">
        <v>2339</v>
      </c>
      <c r="B955" t="s">
        <v>2340</v>
      </c>
      <c r="C955" t="s">
        <v>5580</v>
      </c>
      <c r="D955" t="str">
        <f>TRIM(alias[[#This Row],[Column3]])</f>
        <v>PT Nusantara Sejahtera Raya</v>
      </c>
      <c r="F955" t="str">
        <f t="shared" si="14"/>
        <v>INSERT INTO stock_alias (stock, alias) VALUES ((SELECT id FROM stock WHERE ticker = 'CNMA'), 'PT Nusantara Sejahtera Raya') ON CONFLICT DO NOTHING;</v>
      </c>
    </row>
    <row r="956" spans="1:6" x14ac:dyDescent="0.2">
      <c r="A956" t="s">
        <v>369</v>
      </c>
      <c r="B956" t="s">
        <v>370</v>
      </c>
      <c r="C956" t="s">
        <v>369</v>
      </c>
      <c r="D956" t="str">
        <f>TRIM(alias[[#This Row],[Column3]])</f>
        <v>CNTX</v>
      </c>
      <c r="F956" t="str">
        <f t="shared" si="14"/>
        <v>INSERT INTO stock_alias (stock, alias) VALUES ((SELECT id FROM stock WHERE ticker = 'CNTX'), 'CNTX') ON CONFLICT DO NOTHING;</v>
      </c>
    </row>
    <row r="957" spans="1:6" x14ac:dyDescent="0.2">
      <c r="A957" t="s">
        <v>369</v>
      </c>
      <c r="B957" t="s">
        <v>370</v>
      </c>
      <c r="C957" t="s">
        <v>5581</v>
      </c>
      <c r="D957" t="str">
        <f>TRIM(alias[[#This Row],[Column3]])</f>
        <v>Century Textile Industry</v>
      </c>
      <c r="F957" t="str">
        <f t="shared" si="14"/>
        <v>INSERT INTO stock_alias (stock, alias) VALUES ((SELECT id FROM stock WHERE ticker = 'CNTX'), 'Century Textile Industry') ON CONFLICT DO NOTHING;</v>
      </c>
    </row>
    <row r="958" spans="1:6" x14ac:dyDescent="0.2">
      <c r="A958" t="s">
        <v>369</v>
      </c>
      <c r="B958" t="s">
        <v>370</v>
      </c>
      <c r="C958" t="s">
        <v>5582</v>
      </c>
      <c r="D958" t="str">
        <f>TRIM(alias[[#This Row],[Column3]])</f>
        <v>Century Textile Industry Tbk</v>
      </c>
      <c r="F958" t="str">
        <f t="shared" si="14"/>
        <v>INSERT INTO stock_alias (stock, alias) VALUES ((SELECT id FROM stock WHERE ticker = 'CNTX'), 'Century Textile Industry Tbk') ON CONFLICT DO NOTHING;</v>
      </c>
    </row>
    <row r="959" spans="1:6" x14ac:dyDescent="0.2">
      <c r="A959" t="s">
        <v>369</v>
      </c>
      <c r="B959" t="s">
        <v>370</v>
      </c>
      <c r="C959" t="s">
        <v>5583</v>
      </c>
      <c r="D959" t="str">
        <f>TRIM(alias[[#This Row],[Column3]])</f>
        <v>PT Century Textile Industry</v>
      </c>
      <c r="F959" t="str">
        <f t="shared" si="14"/>
        <v>INSERT INTO stock_alias (stock, alias) VALUES ((SELECT id FROM stock WHERE ticker = 'CNTX'), 'PT Century Textile Industry') ON CONFLICT DO NOTHING;</v>
      </c>
    </row>
    <row r="960" spans="1:6" x14ac:dyDescent="0.2">
      <c r="A960" t="s">
        <v>2173</v>
      </c>
      <c r="B960" t="s">
        <v>2174</v>
      </c>
      <c r="C960" t="s">
        <v>2173</v>
      </c>
      <c r="D960" t="str">
        <f>TRIM(alias[[#This Row],[Column3]])</f>
        <v>COAL</v>
      </c>
      <c r="F960" t="str">
        <f t="shared" si="14"/>
        <v>INSERT INTO stock_alias (stock, alias) VALUES ((SELECT id FROM stock WHERE ticker = 'COAL'), 'COAL') ON CONFLICT DO NOTHING;</v>
      </c>
    </row>
    <row r="961" spans="1:6" x14ac:dyDescent="0.2">
      <c r="A961" t="s">
        <v>2173</v>
      </c>
      <c r="B961" t="s">
        <v>2174</v>
      </c>
      <c r="C961" t="s">
        <v>5584</v>
      </c>
      <c r="D961" t="str">
        <f>TRIM(alias[[#This Row],[Column3]])</f>
        <v>Black Diamond Resources</v>
      </c>
      <c r="F961" t="str">
        <f t="shared" si="14"/>
        <v>INSERT INTO stock_alias (stock, alias) VALUES ((SELECT id FROM stock WHERE ticker = 'COAL'), 'Black Diamond Resources') ON CONFLICT DO NOTHING;</v>
      </c>
    </row>
    <row r="962" spans="1:6" x14ac:dyDescent="0.2">
      <c r="A962" t="s">
        <v>2173</v>
      </c>
      <c r="B962" t="s">
        <v>2174</v>
      </c>
      <c r="C962" t="s">
        <v>5585</v>
      </c>
      <c r="D962" t="str">
        <f>TRIM(alias[[#This Row],[Column3]])</f>
        <v>Black Diamond Resources Tbk</v>
      </c>
      <c r="F962" t="str">
        <f t="shared" si="14"/>
        <v>INSERT INTO stock_alias (stock, alias) VALUES ((SELECT id FROM stock WHERE ticker = 'COAL'), 'Black Diamond Resources Tbk') ON CONFLICT DO NOTHING;</v>
      </c>
    </row>
    <row r="963" spans="1:6" x14ac:dyDescent="0.2">
      <c r="A963" t="s">
        <v>2173</v>
      </c>
      <c r="B963" t="s">
        <v>2174</v>
      </c>
      <c r="C963" t="s">
        <v>5586</v>
      </c>
      <c r="D963" t="str">
        <f>TRIM(alias[[#This Row],[Column3]])</f>
        <v>PT Black Diamond Resources</v>
      </c>
      <c r="F963" t="str">
        <f t="shared" ref="F963:F1026" si="15">_xlfn.CONCAT($F$1, _xlfn.CONCAT($G$1, A963, "'), '", D963, "') ON CONFLICT DO NOTHING;"))</f>
        <v>INSERT INTO stock_alias (stock, alias) VALUES ((SELECT id FROM stock WHERE ticker = 'COAL'), 'PT Black Diamond Resources') ON CONFLICT DO NOTHING;</v>
      </c>
    </row>
    <row r="964" spans="1:6" x14ac:dyDescent="0.2">
      <c r="A964" t="s">
        <v>1657</v>
      </c>
      <c r="B964" t="s">
        <v>3546</v>
      </c>
      <c r="C964" t="s">
        <v>1657</v>
      </c>
      <c r="D964" t="str">
        <f>TRIM(alias[[#This Row],[Column3]])</f>
        <v>COCO</v>
      </c>
      <c r="F964" t="str">
        <f t="shared" si="15"/>
        <v>INSERT INTO stock_alias (stock, alias) VALUES ((SELECT id FROM stock WHERE ticker = 'COCO'), 'COCO') ON CONFLICT DO NOTHING;</v>
      </c>
    </row>
    <row r="965" spans="1:6" x14ac:dyDescent="0.2">
      <c r="A965" t="s">
        <v>1657</v>
      </c>
      <c r="B965" t="s">
        <v>3546</v>
      </c>
      <c r="C965" t="s">
        <v>5587</v>
      </c>
      <c r="D965" t="str">
        <f>TRIM(alias[[#This Row],[Column3]])</f>
        <v>PT Wahana Interfood Nusantara</v>
      </c>
      <c r="F965" t="str">
        <f t="shared" si="15"/>
        <v>INSERT INTO stock_alias (stock, alias) VALUES ((SELECT id FROM stock WHERE ticker = 'COCO'), 'PT Wahana Interfood Nusantara') ON CONFLICT DO NOTHING;</v>
      </c>
    </row>
    <row r="966" spans="1:6" x14ac:dyDescent="0.2">
      <c r="A966" t="s">
        <v>1657</v>
      </c>
      <c r="B966" t="s">
        <v>3546</v>
      </c>
      <c r="C966" t="s">
        <v>5588</v>
      </c>
      <c r="D966" t="str">
        <f>TRIM(alias[[#This Row],[Column3]])</f>
        <v>Wahana Interfood Nusantara</v>
      </c>
      <c r="F966" t="str">
        <f t="shared" si="15"/>
        <v>INSERT INTO stock_alias (stock, alias) VALUES ((SELECT id FROM stock WHERE ticker = 'COCO'), 'Wahana Interfood Nusantara') ON CONFLICT DO NOTHING;</v>
      </c>
    </row>
    <row r="967" spans="1:6" x14ac:dyDescent="0.2">
      <c r="A967" t="s">
        <v>1657</v>
      </c>
      <c r="B967" t="s">
        <v>3546</v>
      </c>
      <c r="C967" t="s">
        <v>5589</v>
      </c>
      <c r="D967" t="str">
        <f>TRIM(alias[[#This Row],[Column3]])</f>
        <v>Wahana Interfood Nusantara Tbk</v>
      </c>
      <c r="F967" t="str">
        <f t="shared" si="15"/>
        <v>INSERT INTO stock_alias (stock, alias) VALUES ((SELECT id FROM stock WHERE ticker = 'COCO'), 'Wahana Interfood Nusantara Tbk') ON CONFLICT DO NOTHING;</v>
      </c>
    </row>
    <row r="968" spans="1:6" x14ac:dyDescent="0.2">
      <c r="A968" t="s">
        <v>2541</v>
      </c>
      <c r="B968" t="s">
        <v>2542</v>
      </c>
      <c r="C968" t="s">
        <v>2541</v>
      </c>
      <c r="D968" t="str">
        <f>TRIM(alias[[#This Row],[Column3]])</f>
        <v>COIN</v>
      </c>
      <c r="F968" t="str">
        <f t="shared" si="15"/>
        <v>INSERT INTO stock_alias (stock, alias) VALUES ((SELECT id FROM stock WHERE ticker = 'COIN'), 'COIN') ON CONFLICT DO NOTHING;</v>
      </c>
    </row>
    <row r="969" spans="1:6" x14ac:dyDescent="0.2">
      <c r="A969" t="s">
        <v>2541</v>
      </c>
      <c r="B969" t="s">
        <v>2542</v>
      </c>
      <c r="C969" t="s">
        <v>5590</v>
      </c>
      <c r="D969" t="str">
        <f>TRIM(alias[[#This Row],[Column3]])</f>
        <v>INDOKRIO KOIN SEMESTA</v>
      </c>
      <c r="F969" t="str">
        <f t="shared" si="15"/>
        <v>INSERT INTO stock_alias (stock, alias) VALUES ((SELECT id FROM stock WHERE ticker = 'COIN'), 'INDOKRIO KOIN SEMESTA') ON CONFLICT DO NOTHING;</v>
      </c>
    </row>
    <row r="970" spans="1:6" x14ac:dyDescent="0.2">
      <c r="A970" t="s">
        <v>2541</v>
      </c>
      <c r="B970" t="s">
        <v>2542</v>
      </c>
      <c r="C970" t="s">
        <v>5591</v>
      </c>
      <c r="D970" t="str">
        <f>TRIM(alias[[#This Row],[Column3]])</f>
        <v>Indokrio Koin Semesta</v>
      </c>
      <c r="F970" t="str">
        <f t="shared" si="15"/>
        <v>INSERT INTO stock_alias (stock, alias) VALUES ((SELECT id FROM stock WHERE ticker = 'COIN'), 'Indokrio Koin Semesta') ON CONFLICT DO NOTHING;</v>
      </c>
    </row>
    <row r="971" spans="1:6" x14ac:dyDescent="0.2">
      <c r="A971" t="s">
        <v>2541</v>
      </c>
      <c r="B971" t="s">
        <v>2542</v>
      </c>
      <c r="C971" t="s">
        <v>5592</v>
      </c>
      <c r="D971" t="str">
        <f>TRIM(alias[[#This Row],[Column3]])</f>
        <v>Indokrio Koin Semesta Tbk</v>
      </c>
      <c r="F971" t="str">
        <f t="shared" si="15"/>
        <v>INSERT INTO stock_alias (stock, alias) VALUES ((SELECT id FROM stock WHERE ticker = 'COIN'), 'Indokrio Koin Semesta Tbk') ON CONFLICT DO NOTHING;</v>
      </c>
    </row>
    <row r="972" spans="1:6" x14ac:dyDescent="0.2">
      <c r="A972" t="s">
        <v>2541</v>
      </c>
      <c r="B972" t="s">
        <v>2542</v>
      </c>
      <c r="C972" t="s">
        <v>5593</v>
      </c>
      <c r="D972" t="str">
        <f>TRIM(alias[[#This Row],[Column3]])</f>
        <v>IndokrioKoinSemesta</v>
      </c>
      <c r="F972" t="str">
        <f t="shared" si="15"/>
        <v>INSERT INTO stock_alias (stock, alias) VALUES ((SELECT id FROM stock WHERE ticker = 'COIN'), 'IndokrioKoinSemesta') ON CONFLICT DO NOTHING;</v>
      </c>
    </row>
    <row r="973" spans="1:6" x14ac:dyDescent="0.2">
      <c r="A973" t="s">
        <v>2541</v>
      </c>
      <c r="B973" t="s">
        <v>2542</v>
      </c>
      <c r="C973" t="s">
        <v>5594</v>
      </c>
      <c r="D973" t="str">
        <f>TRIM(alias[[#This Row],[Column3]])</f>
        <v>PT Indokrio Koin Semesta</v>
      </c>
      <c r="F973" t="str">
        <f t="shared" si="15"/>
        <v>INSERT INTO stock_alias (stock, alias) VALUES ((SELECT id FROM stock WHERE ticker = 'COIN'), 'PT Indokrio Koin Semesta') ON CONFLICT DO NOTHING;</v>
      </c>
    </row>
    <row r="974" spans="1:6" x14ac:dyDescent="0.2">
      <c r="A974" t="s">
        <v>2541</v>
      </c>
      <c r="B974" t="s">
        <v>2542</v>
      </c>
      <c r="C974" t="s">
        <v>5595</v>
      </c>
      <c r="D974" t="str">
        <f>TRIM(alias[[#This Row],[Column3]])</f>
        <v>indokrio koin semesta</v>
      </c>
      <c r="F974" t="str">
        <f t="shared" si="15"/>
        <v>INSERT INTO stock_alias (stock, alias) VALUES ((SELECT id FROM stock WHERE ticker = 'COIN'), 'indokrio koin semesta') ON CONFLICT DO NOTHING;</v>
      </c>
    </row>
    <row r="975" spans="1:6" x14ac:dyDescent="0.2">
      <c r="A975" t="s">
        <v>372</v>
      </c>
      <c r="B975" t="s">
        <v>373</v>
      </c>
      <c r="C975" t="s">
        <v>372</v>
      </c>
      <c r="D975" t="str">
        <f>TRIM(alias[[#This Row],[Column3]])</f>
        <v>COWL</v>
      </c>
      <c r="F975" t="str">
        <f t="shared" si="15"/>
        <v>INSERT INTO stock_alias (stock, alias) VALUES ((SELECT id FROM stock WHERE ticker = 'COWL'), 'COWL') ON CONFLICT DO NOTHING;</v>
      </c>
    </row>
    <row r="976" spans="1:6" x14ac:dyDescent="0.2">
      <c r="A976" t="s">
        <v>372</v>
      </c>
      <c r="B976" t="s">
        <v>373</v>
      </c>
      <c r="C976" t="s">
        <v>5596</v>
      </c>
      <c r="D976" t="str">
        <f>TRIM(alias[[#This Row],[Column3]])</f>
        <v>Cowell Development</v>
      </c>
      <c r="F976" t="str">
        <f t="shared" si="15"/>
        <v>INSERT INTO stock_alias (stock, alias) VALUES ((SELECT id FROM stock WHERE ticker = 'COWL'), 'Cowell Development') ON CONFLICT DO NOTHING;</v>
      </c>
    </row>
    <row r="977" spans="1:6" x14ac:dyDescent="0.2">
      <c r="A977" t="s">
        <v>372</v>
      </c>
      <c r="B977" t="s">
        <v>373</v>
      </c>
      <c r="C977" t="s">
        <v>5597</v>
      </c>
      <c r="D977" t="str">
        <f>TRIM(alias[[#This Row],[Column3]])</f>
        <v>Cowell Development Tbk</v>
      </c>
      <c r="F977" t="str">
        <f t="shared" si="15"/>
        <v>INSERT INTO stock_alias (stock, alias) VALUES ((SELECT id FROM stock WHERE ticker = 'COWL'), 'Cowell Development Tbk') ON CONFLICT DO NOTHING;</v>
      </c>
    </row>
    <row r="978" spans="1:6" x14ac:dyDescent="0.2">
      <c r="A978" t="s">
        <v>372</v>
      </c>
      <c r="B978" t="s">
        <v>373</v>
      </c>
      <c r="C978" t="s">
        <v>5598</v>
      </c>
      <c r="D978" t="str">
        <f>TRIM(alias[[#This Row],[Column3]])</f>
        <v>PT Cowell Development</v>
      </c>
      <c r="F978" t="str">
        <f t="shared" si="15"/>
        <v>INSERT INTO stock_alias (stock, alias) VALUES ((SELECT id FROM stock WHERE ticker = 'COWL'), 'PT Cowell Development') ON CONFLICT DO NOTHING;</v>
      </c>
    </row>
    <row r="979" spans="1:6" x14ac:dyDescent="0.2">
      <c r="A979" t="s">
        <v>375</v>
      </c>
      <c r="B979" t="s">
        <v>3547</v>
      </c>
      <c r="C979" t="s">
        <v>375</v>
      </c>
      <c r="D979" t="str">
        <f>TRIM(alias[[#This Row],[Column3]])</f>
        <v>CPIN</v>
      </c>
      <c r="F979" t="str">
        <f t="shared" si="15"/>
        <v>INSERT INTO stock_alias (stock, alias) VALUES ((SELECT id FROM stock WHERE ticker = 'CPIN'), 'CPIN') ON CONFLICT DO NOTHING;</v>
      </c>
    </row>
    <row r="980" spans="1:6" x14ac:dyDescent="0.2">
      <c r="A980" t="s">
        <v>375</v>
      </c>
      <c r="B980" t="s">
        <v>3547</v>
      </c>
      <c r="C980" t="s">
        <v>5599</v>
      </c>
      <c r="D980" t="str">
        <f>TRIM(alias[[#This Row],[Column3]])</f>
        <v>Charoen Pokphand Indonesia</v>
      </c>
      <c r="F980" t="str">
        <f t="shared" si="15"/>
        <v>INSERT INTO stock_alias (stock, alias) VALUES ((SELECT id FROM stock WHERE ticker = 'CPIN'), 'Charoen Pokphand Indonesia') ON CONFLICT DO NOTHING;</v>
      </c>
    </row>
    <row r="981" spans="1:6" x14ac:dyDescent="0.2">
      <c r="A981" t="s">
        <v>375</v>
      </c>
      <c r="B981" t="s">
        <v>3547</v>
      </c>
      <c r="C981" t="s">
        <v>5600</v>
      </c>
      <c r="D981" t="str">
        <f>TRIM(alias[[#This Row],[Column3]])</f>
        <v>Charoen Pokphand Indonesia Tbk</v>
      </c>
      <c r="F981" t="str">
        <f t="shared" si="15"/>
        <v>INSERT INTO stock_alias (stock, alias) VALUES ((SELECT id FROM stock WHERE ticker = 'CPIN'), 'Charoen Pokphand Indonesia Tbk') ON CONFLICT DO NOTHING;</v>
      </c>
    </row>
    <row r="982" spans="1:6" x14ac:dyDescent="0.2">
      <c r="A982" t="s">
        <v>375</v>
      </c>
      <c r="B982" t="s">
        <v>3547</v>
      </c>
      <c r="C982" t="s">
        <v>5601</v>
      </c>
      <c r="D982" t="str">
        <f>TRIM(alias[[#This Row],[Column3]])</f>
        <v>PT Charoen Pokphand Indonesia</v>
      </c>
      <c r="F982" t="str">
        <f t="shared" si="15"/>
        <v>INSERT INTO stock_alias (stock, alias) VALUES ((SELECT id FROM stock WHERE ticker = 'CPIN'), 'PT Charoen Pokphand Indonesia') ON CONFLICT DO NOTHING;</v>
      </c>
    </row>
    <row r="983" spans="1:6" x14ac:dyDescent="0.2">
      <c r="A983" t="s">
        <v>1663</v>
      </c>
      <c r="B983" t="s">
        <v>1664</v>
      </c>
      <c r="C983" t="s">
        <v>1663</v>
      </c>
      <c r="D983" t="str">
        <f>TRIM(alias[[#This Row],[Column3]])</f>
        <v>CPRI</v>
      </c>
      <c r="F983" t="str">
        <f t="shared" si="15"/>
        <v>INSERT INTO stock_alias (stock, alias) VALUES ((SELECT id FROM stock WHERE ticker = 'CPRI'), 'CPRI') ON CONFLICT DO NOTHING;</v>
      </c>
    </row>
    <row r="984" spans="1:6" x14ac:dyDescent="0.2">
      <c r="A984" t="s">
        <v>1663</v>
      </c>
      <c r="B984" t="s">
        <v>1664</v>
      </c>
      <c r="C984" t="s">
        <v>5602</v>
      </c>
      <c r="D984" t="str">
        <f>TRIM(alias[[#This Row],[Column3]])</f>
        <v>Capri Nusa Satu Properti</v>
      </c>
      <c r="F984" t="str">
        <f t="shared" si="15"/>
        <v>INSERT INTO stock_alias (stock, alias) VALUES ((SELECT id FROM stock WHERE ticker = 'CPRI'), 'Capri Nusa Satu Properti') ON CONFLICT DO NOTHING;</v>
      </c>
    </row>
    <row r="985" spans="1:6" x14ac:dyDescent="0.2">
      <c r="A985" t="s">
        <v>1663</v>
      </c>
      <c r="B985" t="s">
        <v>1664</v>
      </c>
      <c r="C985" t="s">
        <v>5603</v>
      </c>
      <c r="D985" t="str">
        <f>TRIM(alias[[#This Row],[Column3]])</f>
        <v>Capri Nusa Satu Properti Tbk</v>
      </c>
      <c r="F985" t="str">
        <f t="shared" si="15"/>
        <v>INSERT INTO stock_alias (stock, alias) VALUES ((SELECT id FROM stock WHERE ticker = 'CPRI'), 'Capri Nusa Satu Properti Tbk') ON CONFLICT DO NOTHING;</v>
      </c>
    </row>
    <row r="986" spans="1:6" x14ac:dyDescent="0.2">
      <c r="A986" t="s">
        <v>1663</v>
      </c>
      <c r="B986" t="s">
        <v>1664</v>
      </c>
      <c r="C986" t="s">
        <v>5604</v>
      </c>
      <c r="D986" t="str">
        <f>TRIM(alias[[#This Row],[Column3]])</f>
        <v>PT Capri Nusa Satu Properti</v>
      </c>
      <c r="F986" t="str">
        <f t="shared" si="15"/>
        <v>INSERT INTO stock_alias (stock, alias) VALUES ((SELECT id FROM stock WHERE ticker = 'CPRI'), 'PT Capri Nusa Satu Properti') ON CONFLICT DO NOTHING;</v>
      </c>
    </row>
    <row r="987" spans="1:6" x14ac:dyDescent="0.2">
      <c r="A987" t="s">
        <v>378</v>
      </c>
      <c r="B987" t="s">
        <v>379</v>
      </c>
      <c r="C987" t="s">
        <v>378</v>
      </c>
      <c r="D987" t="str">
        <f>TRIM(alias[[#This Row],[Column3]])</f>
        <v>CPRO</v>
      </c>
      <c r="F987" t="str">
        <f t="shared" si="15"/>
        <v>INSERT INTO stock_alias (stock, alias) VALUES ((SELECT id FROM stock WHERE ticker = 'CPRO'), 'CPRO') ON CONFLICT DO NOTHING;</v>
      </c>
    </row>
    <row r="988" spans="1:6" x14ac:dyDescent="0.2">
      <c r="A988" t="s">
        <v>378</v>
      </c>
      <c r="B988" t="s">
        <v>379</v>
      </c>
      <c r="C988" t="s">
        <v>5605</v>
      </c>
      <c r="D988" t="str">
        <f>TRIM(alias[[#This Row],[Column3]])</f>
        <v>Central Proteina Prima</v>
      </c>
      <c r="F988" t="str">
        <f t="shared" si="15"/>
        <v>INSERT INTO stock_alias (stock, alias) VALUES ((SELECT id FROM stock WHERE ticker = 'CPRO'), 'Central Proteina Prima') ON CONFLICT DO NOTHING;</v>
      </c>
    </row>
    <row r="989" spans="1:6" x14ac:dyDescent="0.2">
      <c r="A989" t="s">
        <v>378</v>
      </c>
      <c r="B989" t="s">
        <v>379</v>
      </c>
      <c r="C989" t="s">
        <v>5606</v>
      </c>
      <c r="D989" t="str">
        <f>TRIM(alias[[#This Row],[Column3]])</f>
        <v>Central Proteina Prima Tbk</v>
      </c>
      <c r="F989" t="str">
        <f t="shared" si="15"/>
        <v>INSERT INTO stock_alias (stock, alias) VALUES ((SELECT id FROM stock WHERE ticker = 'CPRO'), 'Central Proteina Prima Tbk') ON CONFLICT DO NOTHING;</v>
      </c>
    </row>
    <row r="990" spans="1:6" x14ac:dyDescent="0.2">
      <c r="A990" t="s">
        <v>378</v>
      </c>
      <c r="B990" t="s">
        <v>379</v>
      </c>
      <c r="C990" t="s">
        <v>5607</v>
      </c>
      <c r="D990" t="str">
        <f>TRIM(alias[[#This Row],[Column3]])</f>
        <v>PT Central Proteina Prima</v>
      </c>
      <c r="F990" t="str">
        <f t="shared" si="15"/>
        <v>INSERT INTO stock_alias (stock, alias) VALUES ((SELECT id FROM stock WHERE ticker = 'CPRO'), 'PT Central Proteina Prima') ON CONFLICT DO NOTHING;</v>
      </c>
    </row>
    <row r="991" spans="1:6" x14ac:dyDescent="0.2">
      <c r="A991" t="s">
        <v>2167</v>
      </c>
      <c r="B991" t="s">
        <v>2168</v>
      </c>
      <c r="C991" t="s">
        <v>2167</v>
      </c>
      <c r="D991" t="str">
        <f>TRIM(alias[[#This Row],[Column3]])</f>
        <v>CRAB</v>
      </c>
      <c r="F991" t="str">
        <f t="shared" si="15"/>
        <v>INSERT INTO stock_alias (stock, alias) VALUES ((SELECT id FROM stock WHERE ticker = 'CRAB'), 'CRAB') ON CONFLICT DO NOTHING;</v>
      </c>
    </row>
    <row r="992" spans="1:6" x14ac:dyDescent="0.2">
      <c r="A992" t="s">
        <v>2167</v>
      </c>
      <c r="B992" t="s">
        <v>2168</v>
      </c>
      <c r="C992" t="s">
        <v>5608</v>
      </c>
      <c r="D992" t="str">
        <f>TRIM(alias[[#This Row],[Column3]])</f>
        <v>PT Toba Surimi Industries</v>
      </c>
      <c r="F992" t="str">
        <f t="shared" si="15"/>
        <v>INSERT INTO stock_alias (stock, alias) VALUES ((SELECT id FROM stock WHERE ticker = 'CRAB'), 'PT Toba Surimi Industries') ON CONFLICT DO NOTHING;</v>
      </c>
    </row>
    <row r="993" spans="1:6" x14ac:dyDescent="0.2">
      <c r="A993" t="s">
        <v>2167</v>
      </c>
      <c r="B993" t="s">
        <v>2168</v>
      </c>
      <c r="C993" t="s">
        <v>5609</v>
      </c>
      <c r="D993" t="str">
        <f>TRIM(alias[[#This Row],[Column3]])</f>
        <v>Toba Surimi Industries</v>
      </c>
      <c r="F993" t="str">
        <f t="shared" si="15"/>
        <v>INSERT INTO stock_alias (stock, alias) VALUES ((SELECT id FROM stock WHERE ticker = 'CRAB'), 'Toba Surimi Industries') ON CONFLICT DO NOTHING;</v>
      </c>
    </row>
    <row r="994" spans="1:6" x14ac:dyDescent="0.2">
      <c r="A994" t="s">
        <v>2167</v>
      </c>
      <c r="B994" t="s">
        <v>2168</v>
      </c>
      <c r="C994" t="s">
        <v>5610</v>
      </c>
      <c r="D994" t="str">
        <f>TRIM(alias[[#This Row],[Column3]])</f>
        <v>Toba Surimi Industries Tbk</v>
      </c>
      <c r="F994" t="str">
        <f t="shared" si="15"/>
        <v>INSERT INTO stock_alias (stock, alias) VALUES ((SELECT id FROM stock WHERE ticker = 'CRAB'), 'Toba Surimi Industries Tbk') ON CONFLICT DO NOTHING;</v>
      </c>
    </row>
    <row r="995" spans="1:6" x14ac:dyDescent="0.2">
      <c r="A995" t="s">
        <v>2321</v>
      </c>
      <c r="B995" t="s">
        <v>2322</v>
      </c>
      <c r="C995" t="s">
        <v>5611</v>
      </c>
      <c r="D995" t="str">
        <f>TRIM(alias[[#This Row],[Column3]])</f>
        <v>CRSN Tbk</v>
      </c>
      <c r="F995" t="str">
        <f t="shared" si="15"/>
        <v>INSERT INTO stock_alias (stock, alias) VALUES ((SELECT id FROM stock WHERE ticker = 'CRSN'), 'CRSN Tbk') ON CONFLICT DO NOTHING;</v>
      </c>
    </row>
    <row r="996" spans="1:6" x14ac:dyDescent="0.2">
      <c r="A996" t="s">
        <v>2321</v>
      </c>
      <c r="B996" t="s">
        <v>2322</v>
      </c>
      <c r="C996" t="s">
        <v>5612</v>
      </c>
      <c r="D996" t="str">
        <f>TRIM(alias[[#This Row],[Column3]])</f>
        <v>PT Carsurin</v>
      </c>
      <c r="F996" t="str">
        <f t="shared" si="15"/>
        <v>INSERT INTO stock_alias (stock, alias) VALUES ((SELECT id FROM stock WHERE ticker = 'CRSN'), 'PT Carsurin') ON CONFLICT DO NOTHING;</v>
      </c>
    </row>
    <row r="997" spans="1:6" x14ac:dyDescent="0.2">
      <c r="A997" t="s">
        <v>381</v>
      </c>
      <c r="B997" t="s">
        <v>382</v>
      </c>
      <c r="C997" t="s">
        <v>381</v>
      </c>
      <c r="D997" t="str">
        <f>TRIM(alias[[#This Row],[Column3]])</f>
        <v>CSAP</v>
      </c>
      <c r="F997" t="str">
        <f t="shared" si="15"/>
        <v>INSERT INTO stock_alias (stock, alias) VALUES ((SELECT id FROM stock WHERE ticker = 'CSAP'), 'CSAP') ON CONFLICT DO NOTHING;</v>
      </c>
    </row>
    <row r="998" spans="1:6" x14ac:dyDescent="0.2">
      <c r="A998" t="s">
        <v>381</v>
      </c>
      <c r="B998" t="s">
        <v>382</v>
      </c>
      <c r="C998" t="s">
        <v>5613</v>
      </c>
      <c r="D998" t="str">
        <f>TRIM(alias[[#This Row],[Column3]])</f>
        <v>Catur Sentosa Adiprana</v>
      </c>
      <c r="F998" t="str">
        <f t="shared" si="15"/>
        <v>INSERT INTO stock_alias (stock, alias) VALUES ((SELECT id FROM stock WHERE ticker = 'CSAP'), 'Catur Sentosa Adiprana') ON CONFLICT DO NOTHING;</v>
      </c>
    </row>
    <row r="999" spans="1:6" x14ac:dyDescent="0.2">
      <c r="A999" t="s">
        <v>381</v>
      </c>
      <c r="B999" t="s">
        <v>382</v>
      </c>
      <c r="C999" t="s">
        <v>5614</v>
      </c>
      <c r="D999" t="str">
        <f>TRIM(alias[[#This Row],[Column3]])</f>
        <v>Catur Sentosa Adiprana Tbk</v>
      </c>
      <c r="F999" t="str">
        <f t="shared" si="15"/>
        <v>INSERT INTO stock_alias (stock, alias) VALUES ((SELECT id FROM stock WHERE ticker = 'CSAP'), 'Catur Sentosa Adiprana Tbk') ON CONFLICT DO NOTHING;</v>
      </c>
    </row>
    <row r="1000" spans="1:6" x14ac:dyDescent="0.2">
      <c r="A1000" t="s">
        <v>381</v>
      </c>
      <c r="B1000" t="s">
        <v>382</v>
      </c>
      <c r="C1000" t="s">
        <v>5615</v>
      </c>
      <c r="D1000" t="str">
        <f>TRIM(alias[[#This Row],[Column3]])</f>
        <v>PT Catur Sentosa Adiprana</v>
      </c>
      <c r="F1000" t="str">
        <f t="shared" si="15"/>
        <v>INSERT INTO stock_alias (stock, alias) VALUES ((SELECT id FROM stock WHERE ticker = 'CSAP'), 'PT Catur Sentosa Adiprana') ON CONFLICT DO NOTHING;</v>
      </c>
    </row>
    <row r="1001" spans="1:6" x14ac:dyDescent="0.2">
      <c r="A1001" t="s">
        <v>1405</v>
      </c>
      <c r="B1001" t="s">
        <v>3548</v>
      </c>
      <c r="C1001" t="s">
        <v>1405</v>
      </c>
      <c r="D1001" t="str">
        <f>TRIM(alias[[#This Row],[Column3]])</f>
        <v>CSIS</v>
      </c>
      <c r="F1001" t="str">
        <f t="shared" si="15"/>
        <v>INSERT INTO stock_alias (stock, alias) VALUES ((SELECT id FROM stock WHERE ticker = 'CSIS'), 'CSIS') ON CONFLICT DO NOTHING;</v>
      </c>
    </row>
    <row r="1002" spans="1:6" x14ac:dyDescent="0.2">
      <c r="A1002" t="s">
        <v>1405</v>
      </c>
      <c r="B1002" t="s">
        <v>3548</v>
      </c>
      <c r="C1002" t="s">
        <v>5616</v>
      </c>
      <c r="D1002" t="str">
        <f>TRIM(alias[[#This Row],[Column3]])</f>
        <v>Cahayasakti Investindo Sukses</v>
      </c>
      <c r="F1002" t="str">
        <f t="shared" si="15"/>
        <v>INSERT INTO stock_alias (stock, alias) VALUES ((SELECT id FROM stock WHERE ticker = 'CSIS'), 'Cahayasakti Investindo Sukses') ON CONFLICT DO NOTHING;</v>
      </c>
    </row>
    <row r="1003" spans="1:6" x14ac:dyDescent="0.2">
      <c r="A1003" t="s">
        <v>1405</v>
      </c>
      <c r="B1003" t="s">
        <v>3548</v>
      </c>
      <c r="C1003" t="s">
        <v>5617</v>
      </c>
      <c r="D1003" t="str">
        <f>TRIM(alias[[#This Row],[Column3]])</f>
        <v>Cahayasakti Investindo Sukses Tbk</v>
      </c>
      <c r="F1003" t="str">
        <f t="shared" si="15"/>
        <v>INSERT INTO stock_alias (stock, alias) VALUES ((SELECT id FROM stock WHERE ticker = 'CSIS'), 'Cahayasakti Investindo Sukses Tbk') ON CONFLICT DO NOTHING;</v>
      </c>
    </row>
    <row r="1004" spans="1:6" x14ac:dyDescent="0.2">
      <c r="A1004" t="s">
        <v>1405</v>
      </c>
      <c r="B1004" t="s">
        <v>3548</v>
      </c>
      <c r="C1004" t="s">
        <v>5618</v>
      </c>
      <c r="D1004" t="str">
        <f>TRIM(alias[[#This Row],[Column3]])</f>
        <v>PT Cahayasakti Investindo Sukses</v>
      </c>
      <c r="F1004" t="str">
        <f t="shared" si="15"/>
        <v>INSERT INTO stock_alias (stock, alias) VALUES ((SELECT id FROM stock WHERE ticker = 'CSIS'), 'PT Cahayasakti Investindo Sukses') ON CONFLICT DO NOTHING;</v>
      </c>
    </row>
    <row r="1005" spans="1:6" x14ac:dyDescent="0.2">
      <c r="A1005" t="s">
        <v>1838</v>
      </c>
      <c r="B1005" t="s">
        <v>1839</v>
      </c>
      <c r="C1005" t="s">
        <v>1838</v>
      </c>
      <c r="D1005" t="str">
        <f>TRIM(alias[[#This Row],[Column3]])</f>
        <v>CSMI</v>
      </c>
      <c r="F1005" t="str">
        <f t="shared" si="15"/>
        <v>INSERT INTO stock_alias (stock, alias) VALUES ((SELECT id FROM stock WHERE ticker = 'CSMI'), 'CSMI') ON CONFLICT DO NOTHING;</v>
      </c>
    </row>
    <row r="1006" spans="1:6" x14ac:dyDescent="0.2">
      <c r="A1006" t="s">
        <v>1838</v>
      </c>
      <c r="B1006" t="s">
        <v>1839</v>
      </c>
      <c r="C1006" t="s">
        <v>5619</v>
      </c>
      <c r="D1006" t="str">
        <f>TRIM(alias[[#This Row],[Column3]])</f>
        <v>CIA SELERA MURNI</v>
      </c>
      <c r="F1006" t="str">
        <f t="shared" si="15"/>
        <v>INSERT INTO stock_alias (stock, alias) VALUES ((SELECT id FROM stock WHERE ticker = 'CSMI'), 'CIA SELERA MURNI') ON CONFLICT DO NOTHING;</v>
      </c>
    </row>
    <row r="1007" spans="1:6" x14ac:dyDescent="0.2">
      <c r="A1007" t="s">
        <v>1838</v>
      </c>
      <c r="B1007" t="s">
        <v>1839</v>
      </c>
      <c r="C1007" t="s">
        <v>5620</v>
      </c>
      <c r="D1007" t="str">
        <f>TRIM(alias[[#This Row],[Column3]])</f>
        <v>Cia Selera Murni</v>
      </c>
      <c r="F1007" t="str">
        <f t="shared" si="15"/>
        <v>INSERT INTO stock_alias (stock, alias) VALUES ((SELECT id FROM stock WHERE ticker = 'CSMI'), 'Cia Selera Murni') ON CONFLICT DO NOTHING;</v>
      </c>
    </row>
    <row r="1008" spans="1:6" x14ac:dyDescent="0.2">
      <c r="A1008" t="s">
        <v>1838</v>
      </c>
      <c r="B1008" t="s">
        <v>1839</v>
      </c>
      <c r="C1008" t="s">
        <v>5621</v>
      </c>
      <c r="D1008" t="str">
        <f>TRIM(alias[[#This Row],[Column3]])</f>
        <v>Cia Selera Murni Tbk</v>
      </c>
      <c r="F1008" t="str">
        <f t="shared" si="15"/>
        <v>INSERT INTO stock_alias (stock, alias) VALUES ((SELECT id FROM stock WHERE ticker = 'CSMI'), 'Cia Selera Murni Tbk') ON CONFLICT DO NOTHING;</v>
      </c>
    </row>
    <row r="1009" spans="1:6" x14ac:dyDescent="0.2">
      <c r="A1009" t="s">
        <v>1838</v>
      </c>
      <c r="B1009" t="s">
        <v>1839</v>
      </c>
      <c r="C1009" t="s">
        <v>5622</v>
      </c>
      <c r="D1009" t="str">
        <f>TRIM(alias[[#This Row],[Column3]])</f>
        <v>CiaSeleraMurni</v>
      </c>
      <c r="F1009" t="str">
        <f t="shared" si="15"/>
        <v>INSERT INTO stock_alias (stock, alias) VALUES ((SELECT id FROM stock WHERE ticker = 'CSMI'), 'CiaSeleraMurni') ON CONFLICT DO NOTHING;</v>
      </c>
    </row>
    <row r="1010" spans="1:6" x14ac:dyDescent="0.2">
      <c r="A1010" t="s">
        <v>1838</v>
      </c>
      <c r="B1010" t="s">
        <v>1839</v>
      </c>
      <c r="C1010" t="s">
        <v>5623</v>
      </c>
      <c r="D1010" t="str">
        <f>TRIM(alias[[#This Row],[Column3]])</f>
        <v>PT Cia Selera Murni</v>
      </c>
      <c r="F1010" t="str">
        <f t="shared" si="15"/>
        <v>INSERT INTO stock_alias (stock, alias) VALUES ((SELECT id FROM stock WHERE ticker = 'CSMI'), 'PT Cia Selera Murni') ON CONFLICT DO NOTHING;</v>
      </c>
    </row>
    <row r="1011" spans="1:6" x14ac:dyDescent="0.2">
      <c r="A1011" t="s">
        <v>1838</v>
      </c>
      <c r="B1011" t="s">
        <v>1839</v>
      </c>
      <c r="C1011" t="s">
        <v>5624</v>
      </c>
      <c r="D1011" t="str">
        <f>TRIM(alias[[#This Row],[Column3]])</f>
        <v>cia selera murni</v>
      </c>
      <c r="F1011" t="str">
        <f t="shared" si="15"/>
        <v>INSERT INTO stock_alias (stock, alias) VALUES ((SELECT id FROM stock WHERE ticker = 'CSMI'), 'cia selera murni') ON CONFLICT DO NOTHING;</v>
      </c>
    </row>
    <row r="1012" spans="1:6" x14ac:dyDescent="0.2">
      <c r="A1012" t="s">
        <v>1799</v>
      </c>
      <c r="B1012" t="s">
        <v>1800</v>
      </c>
      <c r="C1012" t="s">
        <v>1799</v>
      </c>
      <c r="D1012" t="str">
        <f>TRIM(alias[[#This Row],[Column3]])</f>
        <v>CSRA</v>
      </c>
      <c r="F1012" t="str">
        <f t="shared" si="15"/>
        <v>INSERT INTO stock_alias (stock, alias) VALUES ((SELECT id FROM stock WHERE ticker = 'CSRA'), 'CSRA') ON CONFLICT DO NOTHING;</v>
      </c>
    </row>
    <row r="1013" spans="1:6" x14ac:dyDescent="0.2">
      <c r="A1013" t="s">
        <v>1799</v>
      </c>
      <c r="B1013" t="s">
        <v>1800</v>
      </c>
      <c r="C1013" t="s">
        <v>5625</v>
      </c>
      <c r="D1013" t="str">
        <f>TRIM(alias[[#This Row],[Column3]])</f>
        <v>Cisadane Sawit Raya</v>
      </c>
      <c r="F1013" t="str">
        <f t="shared" si="15"/>
        <v>INSERT INTO stock_alias (stock, alias) VALUES ((SELECT id FROM stock WHERE ticker = 'CSRA'), 'Cisadane Sawit Raya') ON CONFLICT DO NOTHING;</v>
      </c>
    </row>
    <row r="1014" spans="1:6" x14ac:dyDescent="0.2">
      <c r="A1014" t="s">
        <v>1799</v>
      </c>
      <c r="B1014" t="s">
        <v>1800</v>
      </c>
      <c r="C1014" t="s">
        <v>5626</v>
      </c>
      <c r="D1014" t="str">
        <f>TRIM(alias[[#This Row],[Column3]])</f>
        <v>Cisadane Sawit Raya Tbk</v>
      </c>
      <c r="F1014" t="str">
        <f t="shared" si="15"/>
        <v>INSERT INTO stock_alias (stock, alias) VALUES ((SELECT id FROM stock WHERE ticker = 'CSRA'), 'Cisadane Sawit Raya Tbk') ON CONFLICT DO NOTHING;</v>
      </c>
    </row>
    <row r="1015" spans="1:6" x14ac:dyDescent="0.2">
      <c r="A1015" t="s">
        <v>1799</v>
      </c>
      <c r="B1015" t="s">
        <v>1800</v>
      </c>
      <c r="C1015" t="s">
        <v>5627</v>
      </c>
      <c r="D1015" t="str">
        <f>TRIM(alias[[#This Row],[Column3]])</f>
        <v>PT Cisadane Sawit Raya</v>
      </c>
      <c r="F1015" t="str">
        <f t="shared" si="15"/>
        <v>INSERT INTO stock_alias (stock, alias) VALUES ((SELECT id FROM stock WHERE ticker = 'CSRA'), 'PT Cisadane Sawit Raya') ON CONFLICT DO NOTHING;</v>
      </c>
    </row>
    <row r="1016" spans="1:6" x14ac:dyDescent="0.2">
      <c r="A1016" t="s">
        <v>384</v>
      </c>
      <c r="B1016" t="s">
        <v>385</v>
      </c>
      <c r="C1016" t="s">
        <v>384</v>
      </c>
      <c r="D1016" t="str">
        <f>TRIM(alias[[#This Row],[Column3]])</f>
        <v>CTBN</v>
      </c>
      <c r="F1016" t="str">
        <f t="shared" si="15"/>
        <v>INSERT INTO stock_alias (stock, alias) VALUES ((SELECT id FROM stock WHERE ticker = 'CTBN'), 'CTBN') ON CONFLICT DO NOTHING;</v>
      </c>
    </row>
    <row r="1017" spans="1:6" x14ac:dyDescent="0.2">
      <c r="A1017" t="s">
        <v>384</v>
      </c>
      <c r="B1017" t="s">
        <v>385</v>
      </c>
      <c r="C1017" t="s">
        <v>5628</v>
      </c>
      <c r="D1017" t="str">
        <f>TRIM(alias[[#This Row],[Column3]])</f>
        <v>Citra Tubindo</v>
      </c>
      <c r="F1017" t="str">
        <f t="shared" si="15"/>
        <v>INSERT INTO stock_alias (stock, alias) VALUES ((SELECT id FROM stock WHERE ticker = 'CTBN'), 'Citra Tubindo') ON CONFLICT DO NOTHING;</v>
      </c>
    </row>
    <row r="1018" spans="1:6" x14ac:dyDescent="0.2">
      <c r="A1018" t="s">
        <v>384</v>
      </c>
      <c r="B1018" t="s">
        <v>385</v>
      </c>
      <c r="C1018" t="s">
        <v>5629</v>
      </c>
      <c r="D1018" t="str">
        <f>TRIM(alias[[#This Row],[Column3]])</f>
        <v>Citra Tubindo Tbk</v>
      </c>
      <c r="F1018" t="str">
        <f t="shared" si="15"/>
        <v>INSERT INTO stock_alias (stock, alias) VALUES ((SELECT id FROM stock WHERE ticker = 'CTBN'), 'Citra Tubindo Tbk') ON CONFLICT DO NOTHING;</v>
      </c>
    </row>
    <row r="1019" spans="1:6" x14ac:dyDescent="0.2">
      <c r="A1019" t="s">
        <v>384</v>
      </c>
      <c r="B1019" t="s">
        <v>385</v>
      </c>
      <c r="C1019" t="s">
        <v>5630</v>
      </c>
      <c r="D1019" t="str">
        <f>TRIM(alias[[#This Row],[Column3]])</f>
        <v>PT Citra Tubindo</v>
      </c>
      <c r="F1019" t="str">
        <f t="shared" si="15"/>
        <v>INSERT INTO stock_alias (stock, alias) VALUES ((SELECT id FROM stock WHERE ticker = 'CTBN'), 'PT Citra Tubindo') ON CONFLICT DO NOTHING;</v>
      </c>
    </row>
    <row r="1020" spans="1:6" x14ac:dyDescent="0.2">
      <c r="A1020" t="s">
        <v>387</v>
      </c>
      <c r="B1020" t="s">
        <v>388</v>
      </c>
      <c r="C1020" t="s">
        <v>387</v>
      </c>
      <c r="D1020" t="str">
        <f>TRIM(alias[[#This Row],[Column3]])</f>
        <v>CTRA</v>
      </c>
      <c r="F1020" t="str">
        <f t="shared" si="15"/>
        <v>INSERT INTO stock_alias (stock, alias) VALUES ((SELECT id FROM stock WHERE ticker = 'CTRA'), 'CTRA') ON CONFLICT DO NOTHING;</v>
      </c>
    </row>
    <row r="1021" spans="1:6" x14ac:dyDescent="0.2">
      <c r="A1021" t="s">
        <v>387</v>
      </c>
      <c r="B1021" t="s">
        <v>388</v>
      </c>
      <c r="C1021" t="s">
        <v>5631</v>
      </c>
      <c r="D1021" t="str">
        <f>TRIM(alias[[#This Row],[Column3]])</f>
        <v>Ciputra Development</v>
      </c>
      <c r="F1021" t="str">
        <f t="shared" si="15"/>
        <v>INSERT INTO stock_alias (stock, alias) VALUES ((SELECT id FROM stock WHERE ticker = 'CTRA'), 'Ciputra Development') ON CONFLICT DO NOTHING;</v>
      </c>
    </row>
    <row r="1022" spans="1:6" x14ac:dyDescent="0.2">
      <c r="A1022" t="s">
        <v>387</v>
      </c>
      <c r="B1022" t="s">
        <v>388</v>
      </c>
      <c r="C1022" t="s">
        <v>5632</v>
      </c>
      <c r="D1022" t="str">
        <f>TRIM(alias[[#This Row],[Column3]])</f>
        <v>Ciputra Development Tbk</v>
      </c>
      <c r="F1022" t="str">
        <f t="shared" si="15"/>
        <v>INSERT INTO stock_alias (stock, alias) VALUES ((SELECT id FROM stock WHERE ticker = 'CTRA'), 'Ciputra Development Tbk') ON CONFLICT DO NOTHING;</v>
      </c>
    </row>
    <row r="1023" spans="1:6" x14ac:dyDescent="0.2">
      <c r="A1023" t="s">
        <v>387</v>
      </c>
      <c r="B1023" t="s">
        <v>388</v>
      </c>
      <c r="C1023" t="s">
        <v>5633</v>
      </c>
      <c r="D1023" t="str">
        <f>TRIM(alias[[#This Row],[Column3]])</f>
        <v>PT Ciputra Development</v>
      </c>
      <c r="F1023" t="str">
        <f t="shared" si="15"/>
        <v>INSERT INTO stock_alias (stock, alias) VALUES ((SELECT id FROM stock WHERE ticker = 'CTRA'), 'PT Ciputra Development') ON CONFLICT DO NOTHING;</v>
      </c>
    </row>
    <row r="1024" spans="1:6" x14ac:dyDescent="0.2">
      <c r="A1024" t="s">
        <v>390</v>
      </c>
      <c r="B1024" t="s">
        <v>391</v>
      </c>
      <c r="C1024" t="s">
        <v>5634</v>
      </c>
      <c r="D1024" t="str">
        <f>TRIM(alias[[#This Row],[Column3]])</f>
        <v>CTTH Tbk</v>
      </c>
      <c r="F1024" t="str">
        <f t="shared" si="15"/>
        <v>INSERT INTO stock_alias (stock, alias) VALUES ((SELECT id FROM stock WHERE ticker = 'CTTH'), 'CTTH Tbk') ON CONFLICT DO NOTHING;</v>
      </c>
    </row>
    <row r="1025" spans="1:6" x14ac:dyDescent="0.2">
      <c r="A1025" t="s">
        <v>390</v>
      </c>
      <c r="B1025" t="s">
        <v>391</v>
      </c>
      <c r="C1025" t="s">
        <v>5635</v>
      </c>
      <c r="D1025" t="str">
        <f>TRIM(alias[[#This Row],[Column3]])</f>
        <v>PT Citatah</v>
      </c>
      <c r="F1025" t="str">
        <f t="shared" si="15"/>
        <v>INSERT INTO stock_alias (stock, alias) VALUES ((SELECT id FROM stock WHERE ticker = 'CTTH'), 'PT Citatah') ON CONFLICT DO NOTHING;</v>
      </c>
    </row>
    <row r="1026" spans="1:6" x14ac:dyDescent="0.2">
      <c r="A1026" t="s">
        <v>2286</v>
      </c>
      <c r="B1026" t="s">
        <v>2287</v>
      </c>
      <c r="C1026" t="s">
        <v>2286</v>
      </c>
      <c r="D1026" t="str">
        <f>TRIM(alias[[#This Row],[Column3]])</f>
        <v>CUAN</v>
      </c>
      <c r="F1026" t="str">
        <f t="shared" si="15"/>
        <v>INSERT INTO stock_alias (stock, alias) VALUES ((SELECT id FROM stock WHERE ticker = 'CUAN'), 'CUAN') ON CONFLICT DO NOTHING;</v>
      </c>
    </row>
    <row r="1027" spans="1:6" x14ac:dyDescent="0.2">
      <c r="A1027" t="s">
        <v>2286</v>
      </c>
      <c r="B1027" t="s">
        <v>2287</v>
      </c>
      <c r="C1027" t="s">
        <v>5636</v>
      </c>
      <c r="D1027" t="str">
        <f>TRIM(alias[[#This Row],[Column3]])</f>
        <v>PT Petrindo Jaya Kreasi</v>
      </c>
      <c r="F1027" t="str">
        <f t="shared" ref="F1027:F1090" si="16">_xlfn.CONCAT($F$1, _xlfn.CONCAT($G$1, A1027, "'), '", D1027, "') ON CONFLICT DO NOTHING;"))</f>
        <v>INSERT INTO stock_alias (stock, alias) VALUES ((SELECT id FROM stock WHERE ticker = 'CUAN'), 'PT Petrindo Jaya Kreasi') ON CONFLICT DO NOTHING;</v>
      </c>
    </row>
    <row r="1028" spans="1:6" x14ac:dyDescent="0.2">
      <c r="A1028" t="s">
        <v>2286</v>
      </c>
      <c r="B1028" t="s">
        <v>2287</v>
      </c>
      <c r="C1028" t="s">
        <v>5637</v>
      </c>
      <c r="D1028" t="str">
        <f>TRIM(alias[[#This Row],[Column3]])</f>
        <v>Petrindo Jaya Kreasi</v>
      </c>
      <c r="F1028" t="str">
        <f t="shared" si="16"/>
        <v>INSERT INTO stock_alias (stock, alias) VALUES ((SELECT id FROM stock WHERE ticker = 'CUAN'), 'Petrindo Jaya Kreasi') ON CONFLICT DO NOTHING;</v>
      </c>
    </row>
    <row r="1029" spans="1:6" x14ac:dyDescent="0.2">
      <c r="A1029" t="s">
        <v>2286</v>
      </c>
      <c r="B1029" t="s">
        <v>2287</v>
      </c>
      <c r="C1029" t="s">
        <v>5638</v>
      </c>
      <c r="D1029" t="str">
        <f>TRIM(alias[[#This Row],[Column3]])</f>
        <v>Petrindo Jaya Kreasi Tbk</v>
      </c>
      <c r="F1029" t="str">
        <f t="shared" si="16"/>
        <v>INSERT INTO stock_alias (stock, alias) VALUES ((SELECT id FROM stock WHERE ticker = 'CUAN'), 'Petrindo Jaya Kreasi Tbk') ON CONFLICT DO NOTHING;</v>
      </c>
    </row>
    <row r="1030" spans="1:6" x14ac:dyDescent="0.2">
      <c r="A1030" t="s">
        <v>2357</v>
      </c>
      <c r="B1030" t="s">
        <v>2358</v>
      </c>
      <c r="C1030" t="s">
        <v>2357</v>
      </c>
      <c r="D1030" t="str">
        <f>TRIM(alias[[#This Row],[Column3]])</f>
        <v>CYBR</v>
      </c>
      <c r="F1030" t="str">
        <f t="shared" si="16"/>
        <v>INSERT INTO stock_alias (stock, alias) VALUES ((SELECT id FROM stock WHERE ticker = 'CYBR'), 'CYBR') ON CONFLICT DO NOTHING;</v>
      </c>
    </row>
    <row r="1031" spans="1:6" x14ac:dyDescent="0.2">
      <c r="A1031" t="s">
        <v>2357</v>
      </c>
      <c r="B1031" t="s">
        <v>2358</v>
      </c>
      <c r="C1031" t="s">
        <v>5639</v>
      </c>
      <c r="D1031" t="str">
        <f>TRIM(alias[[#This Row],[Column3]])</f>
        <v>ITSEC Asia</v>
      </c>
      <c r="F1031" t="str">
        <f t="shared" si="16"/>
        <v>INSERT INTO stock_alias (stock, alias) VALUES ((SELECT id FROM stock WHERE ticker = 'CYBR'), 'ITSEC Asia') ON CONFLICT DO NOTHING;</v>
      </c>
    </row>
    <row r="1032" spans="1:6" x14ac:dyDescent="0.2">
      <c r="A1032" t="s">
        <v>2357</v>
      </c>
      <c r="B1032" t="s">
        <v>2358</v>
      </c>
      <c r="C1032" t="s">
        <v>5640</v>
      </c>
      <c r="D1032" t="str">
        <f>TRIM(alias[[#This Row],[Column3]])</f>
        <v>ITSEC Asia Tbk</v>
      </c>
      <c r="F1032" t="str">
        <f t="shared" si="16"/>
        <v>INSERT INTO stock_alias (stock, alias) VALUES ((SELECT id FROM stock WHERE ticker = 'CYBR'), 'ITSEC Asia Tbk') ON CONFLICT DO NOTHING;</v>
      </c>
    </row>
    <row r="1033" spans="1:6" x14ac:dyDescent="0.2">
      <c r="A1033" t="s">
        <v>2357</v>
      </c>
      <c r="B1033" t="s">
        <v>2358</v>
      </c>
      <c r="C1033" t="s">
        <v>5641</v>
      </c>
      <c r="D1033" t="str">
        <f>TRIM(alias[[#This Row],[Column3]])</f>
        <v>PT ITSEC Asia</v>
      </c>
      <c r="F1033" t="str">
        <f t="shared" si="16"/>
        <v>INSERT INTO stock_alias (stock, alias) VALUES ((SELECT id FROM stock WHERE ticker = 'CYBR'), 'PT ITSEC Asia') ON CONFLICT DO NOTHING;</v>
      </c>
    </row>
    <row r="1034" spans="1:6" x14ac:dyDescent="0.2">
      <c r="A1034" t="s">
        <v>2497</v>
      </c>
      <c r="B1034" t="s">
        <v>2498</v>
      </c>
      <c r="C1034" t="s">
        <v>2497</v>
      </c>
      <c r="D1034" t="str">
        <f>TRIM(alias[[#This Row],[Column3]])</f>
        <v>DAAZ</v>
      </c>
      <c r="F1034" t="str">
        <f t="shared" si="16"/>
        <v>INSERT INTO stock_alias (stock, alias) VALUES ((SELECT id FROM stock WHERE ticker = 'DAAZ'), 'DAAZ') ON CONFLICT DO NOTHING;</v>
      </c>
    </row>
    <row r="1035" spans="1:6" x14ac:dyDescent="0.2">
      <c r="A1035" t="s">
        <v>2497</v>
      </c>
      <c r="B1035" t="s">
        <v>2498</v>
      </c>
      <c r="C1035" t="s">
        <v>5642</v>
      </c>
      <c r="D1035" t="str">
        <f>TRIM(alias[[#This Row],[Column3]])</f>
        <v>Daaz Bara Lestari</v>
      </c>
      <c r="F1035" t="str">
        <f t="shared" si="16"/>
        <v>INSERT INTO stock_alias (stock, alias) VALUES ((SELECT id FROM stock WHERE ticker = 'DAAZ'), 'Daaz Bara Lestari') ON CONFLICT DO NOTHING;</v>
      </c>
    </row>
    <row r="1036" spans="1:6" x14ac:dyDescent="0.2">
      <c r="A1036" t="s">
        <v>2497</v>
      </c>
      <c r="B1036" t="s">
        <v>2498</v>
      </c>
      <c r="C1036" t="s">
        <v>5643</v>
      </c>
      <c r="D1036" t="str">
        <f>TRIM(alias[[#This Row],[Column3]])</f>
        <v>Daaz Bara Lestari Tbk</v>
      </c>
      <c r="F1036" t="str">
        <f t="shared" si="16"/>
        <v>INSERT INTO stock_alias (stock, alias) VALUES ((SELECT id FROM stock WHERE ticker = 'DAAZ'), 'Daaz Bara Lestari Tbk') ON CONFLICT DO NOTHING;</v>
      </c>
    </row>
    <row r="1037" spans="1:6" x14ac:dyDescent="0.2">
      <c r="A1037" t="s">
        <v>2497</v>
      </c>
      <c r="B1037" t="s">
        <v>2498</v>
      </c>
      <c r="C1037" t="s">
        <v>5644</v>
      </c>
      <c r="D1037" t="str">
        <f>TRIM(alias[[#This Row],[Column3]])</f>
        <v>PT Daaz Bara Lestari</v>
      </c>
      <c r="F1037" t="str">
        <f t="shared" si="16"/>
        <v>INSERT INTO stock_alias (stock, alias) VALUES ((SELECT id FROM stock WHERE ticker = 'DAAZ'), 'PT Daaz Bara Lestari') ON CONFLICT DO NOTHING;</v>
      </c>
    </row>
    <row r="1038" spans="1:6" x14ac:dyDescent="0.2">
      <c r="A1038" t="s">
        <v>2587</v>
      </c>
      <c r="B1038" t="s">
        <v>2588</v>
      </c>
      <c r="C1038" t="s">
        <v>2587</v>
      </c>
      <c r="D1038" t="str">
        <f>TRIM(alias[[#This Row],[Column3]])</f>
        <v>DADA</v>
      </c>
      <c r="F1038" t="str">
        <f t="shared" si="16"/>
        <v>INSERT INTO stock_alias (stock, alias) VALUES ((SELECT id FROM stock WHERE ticker = 'DADA'), 'DADA') ON CONFLICT DO NOTHING;</v>
      </c>
    </row>
    <row r="1039" spans="1:6" x14ac:dyDescent="0.2">
      <c r="A1039" t="s">
        <v>2587</v>
      </c>
      <c r="B1039" t="s">
        <v>2588</v>
      </c>
      <c r="C1039" t="s">
        <v>5645</v>
      </c>
      <c r="D1039" t="str">
        <f>TRIM(alias[[#This Row],[Column3]])</f>
        <v>Diamond Citra Propertindo</v>
      </c>
      <c r="F1039" t="str">
        <f t="shared" si="16"/>
        <v>INSERT INTO stock_alias (stock, alias) VALUES ((SELECT id FROM stock WHERE ticker = 'DADA'), 'Diamond Citra Propertindo') ON CONFLICT DO NOTHING;</v>
      </c>
    </row>
    <row r="1040" spans="1:6" x14ac:dyDescent="0.2">
      <c r="A1040" t="s">
        <v>2587</v>
      </c>
      <c r="B1040" t="s">
        <v>2588</v>
      </c>
      <c r="C1040" t="s">
        <v>5646</v>
      </c>
      <c r="D1040" t="str">
        <f>TRIM(alias[[#This Row],[Column3]])</f>
        <v>Diamond Citra Propertindo Tbk</v>
      </c>
      <c r="F1040" t="str">
        <f t="shared" si="16"/>
        <v>INSERT INTO stock_alias (stock, alias) VALUES ((SELECT id FROM stock WHERE ticker = 'DADA'), 'Diamond Citra Propertindo Tbk') ON CONFLICT DO NOTHING;</v>
      </c>
    </row>
    <row r="1041" spans="1:6" x14ac:dyDescent="0.2">
      <c r="A1041" t="s">
        <v>2587</v>
      </c>
      <c r="B1041" t="s">
        <v>2588</v>
      </c>
      <c r="C1041" t="s">
        <v>5647</v>
      </c>
      <c r="D1041" t="str">
        <f>TRIM(alias[[#This Row],[Column3]])</f>
        <v>PT Diamond Citra Propertindo</v>
      </c>
      <c r="F1041" t="str">
        <f t="shared" si="16"/>
        <v>INSERT INTO stock_alias (stock, alias) VALUES ((SELECT id FROM stock WHERE ticker = 'DADA'), 'PT Diamond Citra Propertindo') ON CONFLICT DO NOTHING;</v>
      </c>
    </row>
    <row r="1042" spans="1:6" x14ac:dyDescent="0.2">
      <c r="A1042" t="s">
        <v>393</v>
      </c>
      <c r="B1042" t="s">
        <v>394</v>
      </c>
      <c r="C1042" t="s">
        <v>393</v>
      </c>
      <c r="D1042" t="str">
        <f>TRIM(alias[[#This Row],[Column3]])</f>
        <v>DART</v>
      </c>
      <c r="F1042" t="str">
        <f t="shared" si="16"/>
        <v>INSERT INTO stock_alias (stock, alias) VALUES ((SELECT id FROM stock WHERE ticker = 'DART'), 'DART') ON CONFLICT DO NOTHING;</v>
      </c>
    </row>
    <row r="1043" spans="1:6" x14ac:dyDescent="0.2">
      <c r="A1043" t="s">
        <v>393</v>
      </c>
      <c r="B1043" t="s">
        <v>394</v>
      </c>
      <c r="C1043" t="s">
        <v>5648</v>
      </c>
      <c r="D1043" t="str">
        <f>TRIM(alias[[#This Row],[Column3]])</f>
        <v>Duta Anggada Realty</v>
      </c>
      <c r="F1043" t="str">
        <f t="shared" si="16"/>
        <v>INSERT INTO stock_alias (stock, alias) VALUES ((SELECT id FROM stock WHERE ticker = 'DART'), 'Duta Anggada Realty') ON CONFLICT DO NOTHING;</v>
      </c>
    </row>
    <row r="1044" spans="1:6" x14ac:dyDescent="0.2">
      <c r="A1044" t="s">
        <v>393</v>
      </c>
      <c r="B1044" t="s">
        <v>394</v>
      </c>
      <c r="C1044" t="s">
        <v>5649</v>
      </c>
      <c r="D1044" t="str">
        <f>TRIM(alias[[#This Row],[Column3]])</f>
        <v>Duta Anggada Realty Tbk</v>
      </c>
      <c r="F1044" t="str">
        <f t="shared" si="16"/>
        <v>INSERT INTO stock_alias (stock, alias) VALUES ((SELECT id FROM stock WHERE ticker = 'DART'), 'Duta Anggada Realty Tbk') ON CONFLICT DO NOTHING;</v>
      </c>
    </row>
    <row r="1045" spans="1:6" x14ac:dyDescent="0.2">
      <c r="A1045" t="s">
        <v>393</v>
      </c>
      <c r="B1045" t="s">
        <v>394</v>
      </c>
      <c r="C1045" t="s">
        <v>5650</v>
      </c>
      <c r="D1045" t="str">
        <f>TRIM(alias[[#This Row],[Column3]])</f>
        <v>PT Duta Anggada Realty</v>
      </c>
      <c r="F1045" t="str">
        <f t="shared" si="16"/>
        <v>INSERT INTO stock_alias (stock, alias) VALUES ((SELECT id FROM stock WHERE ticker = 'DART'), 'PT Duta Anggada Realty') ON CONFLICT DO NOTHING;</v>
      </c>
    </row>
    <row r="1046" spans="1:6" x14ac:dyDescent="0.2">
      <c r="A1046" t="s">
        <v>2458</v>
      </c>
      <c r="B1046" t="s">
        <v>2459</v>
      </c>
      <c r="C1046" t="s">
        <v>2458</v>
      </c>
      <c r="D1046" t="str">
        <f>TRIM(alias[[#This Row],[Column3]])</f>
        <v>DATA</v>
      </c>
      <c r="F1046" t="str">
        <f t="shared" si="16"/>
        <v>INSERT INTO stock_alias (stock, alias) VALUES ((SELECT id FROM stock WHERE ticker = 'DATA'), 'DATA') ON CONFLICT DO NOTHING;</v>
      </c>
    </row>
    <row r="1047" spans="1:6" x14ac:dyDescent="0.2">
      <c r="A1047" t="s">
        <v>2458</v>
      </c>
      <c r="B1047" t="s">
        <v>2459</v>
      </c>
      <c r="C1047" t="s">
        <v>5651</v>
      </c>
      <c r="D1047" t="str">
        <f>TRIM(alias[[#This Row],[Column3]])</f>
        <v>PT Remala Abadi</v>
      </c>
      <c r="F1047" t="str">
        <f t="shared" si="16"/>
        <v>INSERT INTO stock_alias (stock, alias) VALUES ((SELECT id FROM stock WHERE ticker = 'DATA'), 'PT Remala Abadi') ON CONFLICT DO NOTHING;</v>
      </c>
    </row>
    <row r="1048" spans="1:6" x14ac:dyDescent="0.2">
      <c r="A1048" t="s">
        <v>2458</v>
      </c>
      <c r="B1048" t="s">
        <v>2459</v>
      </c>
      <c r="C1048" t="s">
        <v>5652</v>
      </c>
      <c r="D1048" t="str">
        <f>TRIM(alias[[#This Row],[Column3]])</f>
        <v>Remala Abadi</v>
      </c>
      <c r="F1048" t="str">
        <f t="shared" si="16"/>
        <v>INSERT INTO stock_alias (stock, alias) VALUES ((SELECT id FROM stock WHERE ticker = 'DATA'), 'Remala Abadi') ON CONFLICT DO NOTHING;</v>
      </c>
    </row>
    <row r="1049" spans="1:6" x14ac:dyDescent="0.2">
      <c r="A1049" t="s">
        <v>2458</v>
      </c>
      <c r="B1049" t="s">
        <v>2459</v>
      </c>
      <c r="C1049" t="s">
        <v>5653</v>
      </c>
      <c r="D1049" t="str">
        <f>TRIM(alias[[#This Row],[Column3]])</f>
        <v>Remala Abadi Tbk</v>
      </c>
      <c r="F1049" t="str">
        <f t="shared" si="16"/>
        <v>INSERT INTO stock_alias (stock, alias) VALUES ((SELECT id FROM stock WHERE ticker = 'DATA'), 'Remala Abadi Tbk') ON CONFLICT DO NOTHING;</v>
      </c>
    </row>
    <row r="1050" spans="1:6" x14ac:dyDescent="0.2">
      <c r="A1050" t="s">
        <v>1347</v>
      </c>
      <c r="B1050" t="s">
        <v>1348</v>
      </c>
      <c r="C1050" t="s">
        <v>1347</v>
      </c>
      <c r="D1050" t="str">
        <f>TRIM(alias[[#This Row],[Column3]])</f>
        <v>DAYA</v>
      </c>
      <c r="F1050" t="str">
        <f t="shared" si="16"/>
        <v>INSERT INTO stock_alias (stock, alias) VALUES ((SELECT id FROM stock WHERE ticker = 'DAYA'), 'DAYA') ON CONFLICT DO NOTHING;</v>
      </c>
    </row>
    <row r="1051" spans="1:6" x14ac:dyDescent="0.2">
      <c r="A1051" t="s">
        <v>1347</v>
      </c>
      <c r="B1051" t="s">
        <v>1348</v>
      </c>
      <c r="C1051" t="s">
        <v>5654</v>
      </c>
      <c r="D1051" t="str">
        <f>TRIM(alias[[#This Row],[Column3]])</f>
        <v>Duta Intidaya</v>
      </c>
      <c r="F1051" t="str">
        <f t="shared" si="16"/>
        <v>INSERT INTO stock_alias (stock, alias) VALUES ((SELECT id FROM stock WHERE ticker = 'DAYA'), 'Duta Intidaya') ON CONFLICT DO NOTHING;</v>
      </c>
    </row>
    <row r="1052" spans="1:6" x14ac:dyDescent="0.2">
      <c r="A1052" t="s">
        <v>1347</v>
      </c>
      <c r="B1052" t="s">
        <v>1348</v>
      </c>
      <c r="C1052" t="s">
        <v>5655</v>
      </c>
      <c r="D1052" t="str">
        <f>TRIM(alias[[#This Row],[Column3]])</f>
        <v>Duta Intidaya Tbk</v>
      </c>
      <c r="F1052" t="str">
        <f t="shared" si="16"/>
        <v>INSERT INTO stock_alias (stock, alias) VALUES ((SELECT id FROM stock WHERE ticker = 'DAYA'), 'Duta Intidaya Tbk') ON CONFLICT DO NOTHING;</v>
      </c>
    </row>
    <row r="1053" spans="1:6" x14ac:dyDescent="0.2">
      <c r="A1053" t="s">
        <v>1347</v>
      </c>
      <c r="B1053" t="s">
        <v>1348</v>
      </c>
      <c r="C1053" t="s">
        <v>5656</v>
      </c>
      <c r="D1053" t="str">
        <f>TRIM(alias[[#This Row],[Column3]])</f>
        <v>PT Duta Intidaya</v>
      </c>
      <c r="F1053" t="str">
        <f t="shared" si="16"/>
        <v>INSERT INTO stock_alias (stock, alias) VALUES ((SELECT id FROM stock WHERE ticker = 'DAYA'), 'PT Duta Intidaya') ON CONFLICT DO NOTHING;</v>
      </c>
    </row>
    <row r="1054" spans="1:6" x14ac:dyDescent="0.2">
      <c r="A1054" t="s">
        <v>2649</v>
      </c>
      <c r="B1054" t="s">
        <v>2650</v>
      </c>
      <c r="C1054" t="s">
        <v>2649</v>
      </c>
      <c r="D1054" t="str">
        <f>TRIM(alias[[#This Row],[Column3]])</f>
        <v>DCII</v>
      </c>
      <c r="F1054" t="str">
        <f t="shared" si="16"/>
        <v>INSERT INTO stock_alias (stock, alias) VALUES ((SELECT id FROM stock WHERE ticker = 'DCII'), 'DCII') ON CONFLICT DO NOTHING;</v>
      </c>
    </row>
    <row r="1055" spans="1:6" x14ac:dyDescent="0.2">
      <c r="A1055" t="s">
        <v>2649</v>
      </c>
      <c r="B1055" t="s">
        <v>2650</v>
      </c>
      <c r="C1055" t="s">
        <v>5657</v>
      </c>
      <c r="D1055" t="str">
        <f>TRIM(alias[[#This Row],[Column3]])</f>
        <v>DCI</v>
      </c>
      <c r="F1055" t="str">
        <f t="shared" si="16"/>
        <v>INSERT INTO stock_alias (stock, alias) VALUES ((SELECT id FROM stock WHERE ticker = 'DCII'), 'DCI') ON CONFLICT DO NOTHING;</v>
      </c>
    </row>
    <row r="1056" spans="1:6" x14ac:dyDescent="0.2">
      <c r="A1056" t="s">
        <v>2649</v>
      </c>
      <c r="B1056" t="s">
        <v>2650</v>
      </c>
      <c r="C1056" t="s">
        <v>5658</v>
      </c>
      <c r="D1056" t="str">
        <f>TRIM(alias[[#This Row],[Column3]])</f>
        <v>DCI Indonesia</v>
      </c>
      <c r="F1056" t="str">
        <f t="shared" si="16"/>
        <v>INSERT INTO stock_alias (stock, alias) VALUES ((SELECT id FROM stock WHERE ticker = 'DCII'), 'DCI Indonesia') ON CONFLICT DO NOTHING;</v>
      </c>
    </row>
    <row r="1057" spans="1:6" x14ac:dyDescent="0.2">
      <c r="A1057" t="s">
        <v>2649</v>
      </c>
      <c r="B1057" t="s">
        <v>2650</v>
      </c>
      <c r="C1057" t="s">
        <v>5659</v>
      </c>
      <c r="D1057" t="str">
        <f>TRIM(alias[[#This Row],[Column3]])</f>
        <v>DCI Indonesia Tbk</v>
      </c>
      <c r="F1057" t="str">
        <f t="shared" si="16"/>
        <v>INSERT INTO stock_alias (stock, alias) VALUES ((SELECT id FROM stock WHERE ticker = 'DCII'), 'DCI Indonesia Tbk') ON CONFLICT DO NOTHING;</v>
      </c>
    </row>
    <row r="1058" spans="1:6" x14ac:dyDescent="0.2">
      <c r="A1058" t="s">
        <v>2649</v>
      </c>
      <c r="B1058" t="s">
        <v>2650</v>
      </c>
      <c r="C1058" t="s">
        <v>5660</v>
      </c>
      <c r="D1058" t="str">
        <f>TRIM(alias[[#This Row],[Column3]])</f>
        <v>PT DCI Indonesia</v>
      </c>
      <c r="F1058" t="str">
        <f t="shared" si="16"/>
        <v>INSERT INTO stock_alias (stock, alias) VALUES ((SELECT id FROM stock WHERE ticker = 'DCII'), 'PT DCI Indonesia') ON CONFLICT DO NOTHING;</v>
      </c>
    </row>
    <row r="1059" spans="1:6" x14ac:dyDescent="0.2">
      <c r="A1059" t="s">
        <v>1620</v>
      </c>
      <c r="B1059" t="s">
        <v>3549</v>
      </c>
      <c r="C1059" t="s">
        <v>1620</v>
      </c>
      <c r="D1059" t="str">
        <f>TRIM(alias[[#This Row],[Column3]])</f>
        <v>DEAL</v>
      </c>
      <c r="F1059" t="str">
        <f t="shared" si="16"/>
        <v>INSERT INTO stock_alias (stock, alias) VALUES ((SELECT id FROM stock WHERE ticker = 'DEAL'), 'DEAL') ON CONFLICT DO NOTHING;</v>
      </c>
    </row>
    <row r="1060" spans="1:6" x14ac:dyDescent="0.2">
      <c r="A1060" t="s">
        <v>1620</v>
      </c>
      <c r="B1060" t="s">
        <v>3549</v>
      </c>
      <c r="C1060" t="s">
        <v>5661</v>
      </c>
      <c r="D1060" t="str">
        <f>TRIM(alias[[#This Row],[Column3]])</f>
        <v>Dewata Freightinternational</v>
      </c>
      <c r="F1060" t="str">
        <f t="shared" si="16"/>
        <v>INSERT INTO stock_alias (stock, alias) VALUES ((SELECT id FROM stock WHERE ticker = 'DEAL'), 'Dewata Freightinternational') ON CONFLICT DO NOTHING;</v>
      </c>
    </row>
    <row r="1061" spans="1:6" x14ac:dyDescent="0.2">
      <c r="A1061" t="s">
        <v>1620</v>
      </c>
      <c r="B1061" t="s">
        <v>3549</v>
      </c>
      <c r="C1061" t="s">
        <v>5662</v>
      </c>
      <c r="D1061" t="str">
        <f>TRIM(alias[[#This Row],[Column3]])</f>
        <v>Dewata Freightinternational Tbk</v>
      </c>
      <c r="F1061" t="str">
        <f t="shared" si="16"/>
        <v>INSERT INTO stock_alias (stock, alias) VALUES ((SELECT id FROM stock WHERE ticker = 'DEAL'), 'Dewata Freightinternational Tbk') ON CONFLICT DO NOTHING;</v>
      </c>
    </row>
    <row r="1062" spans="1:6" x14ac:dyDescent="0.2">
      <c r="A1062" t="s">
        <v>1620</v>
      </c>
      <c r="B1062" t="s">
        <v>3549</v>
      </c>
      <c r="C1062" t="s">
        <v>5663</v>
      </c>
      <c r="D1062" t="str">
        <f>TRIM(alias[[#This Row],[Column3]])</f>
        <v>PT Dewata Freightinternational</v>
      </c>
      <c r="F1062" t="str">
        <f t="shared" si="16"/>
        <v>INSERT INTO stock_alias (stock, alias) VALUES ((SELECT id FROM stock WHERE ticker = 'DEAL'), 'PT Dewata Freightinternational') ON CONFLICT DO NOTHING;</v>
      </c>
    </row>
    <row r="1063" spans="1:6" x14ac:dyDescent="0.2">
      <c r="A1063" t="s">
        <v>396</v>
      </c>
      <c r="B1063" t="s">
        <v>397</v>
      </c>
      <c r="C1063" t="s">
        <v>396</v>
      </c>
      <c r="D1063" t="str">
        <f>TRIM(alias[[#This Row],[Column3]])</f>
        <v>DEFI</v>
      </c>
      <c r="F1063" t="str">
        <f t="shared" si="16"/>
        <v>INSERT INTO stock_alias (stock, alias) VALUES ((SELECT id FROM stock WHERE ticker = 'DEFI'), 'DEFI') ON CONFLICT DO NOTHING;</v>
      </c>
    </row>
    <row r="1064" spans="1:6" x14ac:dyDescent="0.2">
      <c r="A1064" t="s">
        <v>396</v>
      </c>
      <c r="B1064" t="s">
        <v>397</v>
      </c>
      <c r="C1064" t="s">
        <v>5664</v>
      </c>
      <c r="D1064" t="str">
        <f>TRIM(alias[[#This Row],[Column3]])</f>
        <v>Danasupra Erapacific</v>
      </c>
      <c r="F1064" t="str">
        <f t="shared" si="16"/>
        <v>INSERT INTO stock_alias (stock, alias) VALUES ((SELECT id FROM stock WHERE ticker = 'DEFI'), 'Danasupra Erapacific') ON CONFLICT DO NOTHING;</v>
      </c>
    </row>
    <row r="1065" spans="1:6" x14ac:dyDescent="0.2">
      <c r="A1065" t="s">
        <v>396</v>
      </c>
      <c r="B1065" t="s">
        <v>397</v>
      </c>
      <c r="C1065" t="s">
        <v>5665</v>
      </c>
      <c r="D1065" t="str">
        <f>TRIM(alias[[#This Row],[Column3]])</f>
        <v>Danasupra Erapacific Tbk</v>
      </c>
      <c r="F1065" t="str">
        <f t="shared" si="16"/>
        <v>INSERT INTO stock_alias (stock, alias) VALUES ((SELECT id FROM stock WHERE ticker = 'DEFI'), 'Danasupra Erapacific Tbk') ON CONFLICT DO NOTHING;</v>
      </c>
    </row>
    <row r="1066" spans="1:6" x14ac:dyDescent="0.2">
      <c r="A1066" t="s">
        <v>396</v>
      </c>
      <c r="B1066" t="s">
        <v>397</v>
      </c>
      <c r="C1066" t="s">
        <v>5666</v>
      </c>
      <c r="D1066" t="str">
        <f>TRIM(alias[[#This Row],[Column3]])</f>
        <v>PT Danasupra Erapacific</v>
      </c>
      <c r="F1066" t="str">
        <f t="shared" si="16"/>
        <v>INSERT INTO stock_alias (stock, alias) VALUES ((SELECT id FROM stock WHERE ticker = 'DEFI'), 'PT Danasupra Erapacific') ON CONFLICT DO NOTHING;</v>
      </c>
    </row>
    <row r="1067" spans="1:6" x14ac:dyDescent="0.2">
      <c r="A1067" t="s">
        <v>2022</v>
      </c>
      <c r="B1067" t="s">
        <v>2023</v>
      </c>
      <c r="C1067" t="s">
        <v>2022</v>
      </c>
      <c r="D1067" t="str">
        <f>TRIM(alias[[#This Row],[Column3]])</f>
        <v>DEPO</v>
      </c>
      <c r="F1067" t="str">
        <f t="shared" si="16"/>
        <v>INSERT INTO stock_alias (stock, alias) VALUES ((SELECT id FROM stock WHERE ticker = 'DEPO'), 'DEPO') ON CONFLICT DO NOTHING;</v>
      </c>
    </row>
    <row r="1068" spans="1:6" x14ac:dyDescent="0.2">
      <c r="A1068" t="s">
        <v>2022</v>
      </c>
      <c r="B1068" t="s">
        <v>2023</v>
      </c>
      <c r="C1068" t="s">
        <v>5667</v>
      </c>
      <c r="D1068" t="str">
        <f>TRIM(alias[[#This Row],[Column3]])</f>
        <v>Caturkarda Depo Bangunan</v>
      </c>
      <c r="F1068" t="str">
        <f t="shared" si="16"/>
        <v>INSERT INTO stock_alias (stock, alias) VALUES ((SELECT id FROM stock WHERE ticker = 'DEPO'), 'Caturkarda Depo Bangunan') ON CONFLICT DO NOTHING;</v>
      </c>
    </row>
    <row r="1069" spans="1:6" x14ac:dyDescent="0.2">
      <c r="A1069" t="s">
        <v>2022</v>
      </c>
      <c r="B1069" t="s">
        <v>2023</v>
      </c>
      <c r="C1069" t="s">
        <v>5668</v>
      </c>
      <c r="D1069" t="str">
        <f>TRIM(alias[[#This Row],[Column3]])</f>
        <v>Caturkarda Depo Bangunan Tbk</v>
      </c>
      <c r="F1069" t="str">
        <f t="shared" si="16"/>
        <v>INSERT INTO stock_alias (stock, alias) VALUES ((SELECT id FROM stock WHERE ticker = 'DEPO'), 'Caturkarda Depo Bangunan Tbk') ON CONFLICT DO NOTHING;</v>
      </c>
    </row>
    <row r="1070" spans="1:6" x14ac:dyDescent="0.2">
      <c r="A1070" t="s">
        <v>2022</v>
      </c>
      <c r="B1070" t="s">
        <v>2023</v>
      </c>
      <c r="C1070" t="s">
        <v>5669</v>
      </c>
      <c r="D1070" t="str">
        <f>TRIM(alias[[#This Row],[Column3]])</f>
        <v>PT Caturkarda Depo Bangunan</v>
      </c>
      <c r="F1070" t="str">
        <f t="shared" si="16"/>
        <v>INSERT INTO stock_alias (stock, alias) VALUES ((SELECT id FROM stock WHERE ticker = 'DEPO'), 'PT Caturkarda Depo Bangunan') ON CONFLICT DO NOTHING;</v>
      </c>
    </row>
    <row r="1071" spans="1:6" x14ac:dyDescent="0.2">
      <c r="A1071" t="s">
        <v>399</v>
      </c>
      <c r="B1071" t="s">
        <v>3550</v>
      </c>
      <c r="C1071" t="s">
        <v>399</v>
      </c>
      <c r="D1071" t="str">
        <f>TRIM(alias[[#This Row],[Column3]])</f>
        <v>DEWA</v>
      </c>
      <c r="F1071" t="str">
        <f t="shared" si="16"/>
        <v>INSERT INTO stock_alias (stock, alias) VALUES ((SELECT id FROM stock WHERE ticker = 'DEWA'), 'DEWA') ON CONFLICT DO NOTHING;</v>
      </c>
    </row>
    <row r="1072" spans="1:6" x14ac:dyDescent="0.2">
      <c r="A1072" t="s">
        <v>399</v>
      </c>
      <c r="B1072" t="s">
        <v>3550</v>
      </c>
      <c r="C1072" t="s">
        <v>5670</v>
      </c>
      <c r="D1072" t="str">
        <f>TRIM(alias[[#This Row],[Column3]])</f>
        <v>Darma Henwa</v>
      </c>
      <c r="F1072" t="str">
        <f t="shared" si="16"/>
        <v>INSERT INTO stock_alias (stock, alias) VALUES ((SELECT id FROM stock WHERE ticker = 'DEWA'), 'Darma Henwa') ON CONFLICT DO NOTHING;</v>
      </c>
    </row>
    <row r="1073" spans="1:6" x14ac:dyDescent="0.2">
      <c r="A1073" t="s">
        <v>399</v>
      </c>
      <c r="B1073" t="s">
        <v>3550</v>
      </c>
      <c r="C1073" t="s">
        <v>5671</v>
      </c>
      <c r="D1073" t="str">
        <f>TRIM(alias[[#This Row],[Column3]])</f>
        <v>Darma Henwa Tbk</v>
      </c>
      <c r="F1073" t="str">
        <f t="shared" si="16"/>
        <v>INSERT INTO stock_alias (stock, alias) VALUES ((SELECT id FROM stock WHERE ticker = 'DEWA'), 'Darma Henwa Tbk') ON CONFLICT DO NOTHING;</v>
      </c>
    </row>
    <row r="1074" spans="1:6" x14ac:dyDescent="0.2">
      <c r="A1074" t="s">
        <v>399</v>
      </c>
      <c r="B1074" t="s">
        <v>3550</v>
      </c>
      <c r="C1074" t="s">
        <v>5672</v>
      </c>
      <c r="D1074" t="str">
        <f>TRIM(alias[[#This Row],[Column3]])</f>
        <v>PT Darma Henwa</v>
      </c>
      <c r="F1074" t="str">
        <f t="shared" si="16"/>
        <v>INSERT INTO stock_alias (stock, alias) VALUES ((SELECT id FROM stock WHERE ticker = 'DEWA'), 'PT Darma Henwa') ON CONFLICT DO NOTHING;</v>
      </c>
    </row>
    <row r="1075" spans="1:6" x14ac:dyDescent="0.2">
      <c r="A1075" t="s">
        <v>2126</v>
      </c>
      <c r="B1075" t="s">
        <v>2127</v>
      </c>
      <c r="C1075" t="s">
        <v>2126</v>
      </c>
      <c r="D1075" t="str">
        <f>TRIM(alias[[#This Row],[Column3]])</f>
        <v>DEWI</v>
      </c>
      <c r="F1075" t="str">
        <f t="shared" si="16"/>
        <v>INSERT INTO stock_alias (stock, alias) VALUES ((SELECT id FROM stock WHERE ticker = 'DEWI'), 'DEWI') ON CONFLICT DO NOTHING;</v>
      </c>
    </row>
    <row r="1076" spans="1:6" x14ac:dyDescent="0.2">
      <c r="A1076" t="s">
        <v>2126</v>
      </c>
      <c r="B1076" t="s">
        <v>2127</v>
      </c>
      <c r="C1076" t="s">
        <v>5673</v>
      </c>
      <c r="D1076" t="str">
        <f>TRIM(alias[[#This Row],[Column3]])</f>
        <v>Dewi Shri Farmindo</v>
      </c>
      <c r="F1076" t="str">
        <f t="shared" si="16"/>
        <v>INSERT INTO stock_alias (stock, alias) VALUES ((SELECT id FROM stock WHERE ticker = 'DEWI'), 'Dewi Shri Farmindo') ON CONFLICT DO NOTHING;</v>
      </c>
    </row>
    <row r="1077" spans="1:6" x14ac:dyDescent="0.2">
      <c r="A1077" t="s">
        <v>2126</v>
      </c>
      <c r="B1077" t="s">
        <v>2127</v>
      </c>
      <c r="C1077" t="s">
        <v>5674</v>
      </c>
      <c r="D1077" t="str">
        <f>TRIM(alias[[#This Row],[Column3]])</f>
        <v>Dewi Shri Farmindo Tbk</v>
      </c>
      <c r="F1077" t="str">
        <f t="shared" si="16"/>
        <v>INSERT INTO stock_alias (stock, alias) VALUES ((SELECT id FROM stock WHERE ticker = 'DEWI'), 'Dewi Shri Farmindo Tbk') ON CONFLICT DO NOTHING;</v>
      </c>
    </row>
    <row r="1078" spans="1:6" x14ac:dyDescent="0.2">
      <c r="A1078" t="s">
        <v>2126</v>
      </c>
      <c r="B1078" t="s">
        <v>2127</v>
      </c>
      <c r="C1078" t="s">
        <v>5675</v>
      </c>
      <c r="D1078" t="str">
        <f>TRIM(alias[[#This Row],[Column3]])</f>
        <v>PT Dewi Shri Farmindo</v>
      </c>
      <c r="F1078" t="str">
        <f t="shared" si="16"/>
        <v>INSERT INTO stock_alias (stock, alias) VALUES ((SELECT id FROM stock WHERE ticker = 'DEWI'), 'PT Dewi Shri Farmindo') ON CONFLICT DO NOTHING;</v>
      </c>
    </row>
    <row r="1079" spans="1:6" x14ac:dyDescent="0.2">
      <c r="A1079" t="s">
        <v>1509</v>
      </c>
      <c r="B1079" t="s">
        <v>1510</v>
      </c>
      <c r="C1079" t="s">
        <v>1509</v>
      </c>
      <c r="D1079" t="str">
        <f>TRIM(alias[[#This Row],[Column3]])</f>
        <v>DFAM</v>
      </c>
      <c r="F1079" t="str">
        <f t="shared" si="16"/>
        <v>INSERT INTO stock_alias (stock, alias) VALUES ((SELECT id FROM stock WHERE ticker = 'DFAM'), 'DFAM') ON CONFLICT DO NOTHING;</v>
      </c>
    </row>
    <row r="1080" spans="1:6" x14ac:dyDescent="0.2">
      <c r="A1080" t="s">
        <v>1509</v>
      </c>
      <c r="B1080" t="s">
        <v>1510</v>
      </c>
      <c r="C1080" t="s">
        <v>5676</v>
      </c>
      <c r="D1080" t="str">
        <f>TRIM(alias[[#This Row],[Column3]])</f>
        <v>Dafam Property Indonesia</v>
      </c>
      <c r="F1080" t="str">
        <f t="shared" si="16"/>
        <v>INSERT INTO stock_alias (stock, alias) VALUES ((SELECT id FROM stock WHERE ticker = 'DFAM'), 'Dafam Property Indonesia') ON CONFLICT DO NOTHING;</v>
      </c>
    </row>
    <row r="1081" spans="1:6" x14ac:dyDescent="0.2">
      <c r="A1081" t="s">
        <v>1509</v>
      </c>
      <c r="B1081" t="s">
        <v>1510</v>
      </c>
      <c r="C1081" t="s">
        <v>5677</v>
      </c>
      <c r="D1081" t="str">
        <f>TRIM(alias[[#This Row],[Column3]])</f>
        <v>Dafam Property Indonesia Tbk</v>
      </c>
      <c r="F1081" t="str">
        <f t="shared" si="16"/>
        <v>INSERT INTO stock_alias (stock, alias) VALUES ((SELECT id FROM stock WHERE ticker = 'DFAM'), 'Dafam Property Indonesia Tbk') ON CONFLICT DO NOTHING;</v>
      </c>
    </row>
    <row r="1082" spans="1:6" x14ac:dyDescent="0.2">
      <c r="A1082" t="s">
        <v>1509</v>
      </c>
      <c r="B1082" t="s">
        <v>1510</v>
      </c>
      <c r="C1082" t="s">
        <v>5678</v>
      </c>
      <c r="D1082" t="str">
        <f>TRIM(alias[[#This Row],[Column3]])</f>
        <v>PT Dafam Property Indonesia</v>
      </c>
      <c r="F1082" t="str">
        <f t="shared" si="16"/>
        <v>INSERT INTO stock_alias (stock, alias) VALUES ((SELECT id FROM stock WHERE ticker = 'DFAM'), 'PT Dafam Property Indonesia') ON CONFLICT DO NOTHING;</v>
      </c>
    </row>
    <row r="1083" spans="1:6" x14ac:dyDescent="0.2">
      <c r="A1083" t="s">
        <v>402</v>
      </c>
      <c r="B1083" t="s">
        <v>3551</v>
      </c>
      <c r="C1083" t="s">
        <v>402</v>
      </c>
      <c r="D1083" t="str">
        <f>TRIM(alias[[#This Row],[Column3]])</f>
        <v>DGIK</v>
      </c>
      <c r="F1083" t="str">
        <f t="shared" si="16"/>
        <v>INSERT INTO stock_alias (stock, alias) VALUES ((SELECT id FROM stock WHERE ticker = 'DGIK'), 'DGIK') ON CONFLICT DO NOTHING;</v>
      </c>
    </row>
    <row r="1084" spans="1:6" x14ac:dyDescent="0.2">
      <c r="A1084" t="s">
        <v>402</v>
      </c>
      <c r="B1084" t="s">
        <v>3551</v>
      </c>
      <c r="C1084" t="s">
        <v>5679</v>
      </c>
      <c r="D1084" t="str">
        <f>TRIM(alias[[#This Row],[Column3]])</f>
        <v>Nusa Konstruksi Enjiniring</v>
      </c>
      <c r="F1084" t="str">
        <f t="shared" si="16"/>
        <v>INSERT INTO stock_alias (stock, alias) VALUES ((SELECT id FROM stock WHERE ticker = 'DGIK'), 'Nusa Konstruksi Enjiniring') ON CONFLICT DO NOTHING;</v>
      </c>
    </row>
    <row r="1085" spans="1:6" x14ac:dyDescent="0.2">
      <c r="A1085" t="s">
        <v>402</v>
      </c>
      <c r="B1085" t="s">
        <v>3551</v>
      </c>
      <c r="C1085" t="s">
        <v>5680</v>
      </c>
      <c r="D1085" t="str">
        <f>TRIM(alias[[#This Row],[Column3]])</f>
        <v>Nusa Konstruksi Enjiniring Tbk</v>
      </c>
      <c r="F1085" t="str">
        <f t="shared" si="16"/>
        <v>INSERT INTO stock_alias (stock, alias) VALUES ((SELECT id FROM stock WHERE ticker = 'DGIK'), 'Nusa Konstruksi Enjiniring Tbk') ON CONFLICT DO NOTHING;</v>
      </c>
    </row>
    <row r="1086" spans="1:6" x14ac:dyDescent="0.2">
      <c r="A1086" t="s">
        <v>402</v>
      </c>
      <c r="B1086" t="s">
        <v>3551</v>
      </c>
      <c r="C1086" t="s">
        <v>5681</v>
      </c>
      <c r="D1086" t="str">
        <f>TRIM(alias[[#This Row],[Column3]])</f>
        <v>PT Nusa Konstruksi Enjiniring</v>
      </c>
      <c r="F1086" t="str">
        <f t="shared" si="16"/>
        <v>INSERT INTO stock_alias (stock, alias) VALUES ((SELECT id FROM stock WHERE ticker = 'DGIK'), 'PT Nusa Konstruksi Enjiniring') ON CONFLICT DO NOTHING;</v>
      </c>
    </row>
    <row r="1087" spans="1:6" x14ac:dyDescent="0.2">
      <c r="A1087" t="s">
        <v>2655</v>
      </c>
      <c r="B1087" t="s">
        <v>3552</v>
      </c>
      <c r="C1087" t="s">
        <v>2655</v>
      </c>
      <c r="D1087" t="str">
        <f>TRIM(alias[[#This Row],[Column3]])</f>
        <v>DGNS</v>
      </c>
      <c r="F1087" t="str">
        <f t="shared" si="16"/>
        <v>INSERT INTO stock_alias (stock, alias) VALUES ((SELECT id FROM stock WHERE ticker = 'DGNS'), 'DGNS') ON CONFLICT DO NOTHING;</v>
      </c>
    </row>
    <row r="1088" spans="1:6" x14ac:dyDescent="0.2">
      <c r="A1088" t="s">
        <v>2655</v>
      </c>
      <c r="B1088" t="s">
        <v>3552</v>
      </c>
      <c r="C1088" t="s">
        <v>5682</v>
      </c>
      <c r="D1088" t="str">
        <f>TRIM(alias[[#This Row],[Column3]])</f>
        <v>Diagnos</v>
      </c>
      <c r="F1088" t="str">
        <f t="shared" si="16"/>
        <v>INSERT INTO stock_alias (stock, alias) VALUES ((SELECT id FROM stock WHERE ticker = 'DGNS'), 'Diagnos') ON CONFLICT DO NOTHING;</v>
      </c>
    </row>
    <row r="1089" spans="1:6" x14ac:dyDescent="0.2">
      <c r="A1089" t="s">
        <v>2655</v>
      </c>
      <c r="B1089" t="s">
        <v>3552</v>
      </c>
      <c r="C1089" t="s">
        <v>5683</v>
      </c>
      <c r="D1089" t="str">
        <f>TRIM(alias[[#This Row],[Column3]])</f>
        <v>Diagnos Laboratorium Utama</v>
      </c>
      <c r="F1089" t="str">
        <f t="shared" si="16"/>
        <v>INSERT INTO stock_alias (stock, alias) VALUES ((SELECT id FROM stock WHERE ticker = 'DGNS'), 'Diagnos Laboratorium Utama') ON CONFLICT DO NOTHING;</v>
      </c>
    </row>
    <row r="1090" spans="1:6" x14ac:dyDescent="0.2">
      <c r="A1090" t="s">
        <v>2655</v>
      </c>
      <c r="B1090" t="s">
        <v>3552</v>
      </c>
      <c r="C1090" t="s">
        <v>5684</v>
      </c>
      <c r="D1090" t="str">
        <f>TRIM(alias[[#This Row],[Column3]])</f>
        <v>Diagnos Laboratorium Utama Tbk</v>
      </c>
      <c r="F1090" t="str">
        <f t="shared" si="16"/>
        <v>INSERT INTO stock_alias (stock, alias) VALUES ((SELECT id FROM stock WHERE ticker = 'DGNS'), 'Diagnos Laboratorium Utama Tbk') ON CONFLICT DO NOTHING;</v>
      </c>
    </row>
    <row r="1091" spans="1:6" x14ac:dyDescent="0.2">
      <c r="A1091" t="s">
        <v>2655</v>
      </c>
      <c r="B1091" t="s">
        <v>3552</v>
      </c>
      <c r="C1091" t="s">
        <v>5685</v>
      </c>
      <c r="D1091" t="str">
        <f>TRIM(alias[[#This Row],[Column3]])</f>
        <v>PT Diagnos Laboratorium Utama</v>
      </c>
      <c r="F1091" t="str">
        <f t="shared" ref="F1091:F1154" si="17">_xlfn.CONCAT($F$1, _xlfn.CONCAT($G$1, A1091, "'), '", D1091, "') ON CONFLICT DO NOTHING;"))</f>
        <v>INSERT INTO stock_alias (stock, alias) VALUES ((SELECT id FROM stock WHERE ticker = 'DGNS'), 'PT Diagnos Laboratorium Utama') ON CONFLICT DO NOTHING;</v>
      </c>
    </row>
    <row r="1092" spans="1:6" x14ac:dyDescent="0.2">
      <c r="A1092" t="s">
        <v>2526</v>
      </c>
      <c r="B1092" t="s">
        <v>2527</v>
      </c>
      <c r="C1092" t="s">
        <v>2526</v>
      </c>
      <c r="D1092" t="str">
        <f>TRIM(alias[[#This Row],[Column3]])</f>
        <v>DGWG</v>
      </c>
      <c r="F1092" t="str">
        <f t="shared" si="17"/>
        <v>INSERT INTO stock_alias (stock, alias) VALUES ((SELECT id FROM stock WHERE ticker = 'DGWG'), 'DGWG') ON CONFLICT DO NOTHING;</v>
      </c>
    </row>
    <row r="1093" spans="1:6" x14ac:dyDescent="0.2">
      <c r="A1093" t="s">
        <v>2526</v>
      </c>
      <c r="B1093" t="s">
        <v>2527</v>
      </c>
      <c r="C1093" t="s">
        <v>5686</v>
      </c>
      <c r="D1093" t="str">
        <f>TRIM(alias[[#This Row],[Column3]])</f>
        <v>Delta Giri Wacana</v>
      </c>
      <c r="F1093" t="str">
        <f t="shared" si="17"/>
        <v>INSERT INTO stock_alias (stock, alias) VALUES ((SELECT id FROM stock WHERE ticker = 'DGWG'), 'Delta Giri Wacana') ON CONFLICT DO NOTHING;</v>
      </c>
    </row>
    <row r="1094" spans="1:6" x14ac:dyDescent="0.2">
      <c r="A1094" t="s">
        <v>2526</v>
      </c>
      <c r="B1094" t="s">
        <v>2527</v>
      </c>
      <c r="C1094" t="s">
        <v>5687</v>
      </c>
      <c r="D1094" t="str">
        <f>TRIM(alias[[#This Row],[Column3]])</f>
        <v>Delta Giri Wacana Tbk</v>
      </c>
      <c r="F1094" t="str">
        <f t="shared" si="17"/>
        <v>INSERT INTO stock_alias (stock, alias) VALUES ((SELECT id FROM stock WHERE ticker = 'DGWG'), 'Delta Giri Wacana Tbk') ON CONFLICT DO NOTHING;</v>
      </c>
    </row>
    <row r="1095" spans="1:6" x14ac:dyDescent="0.2">
      <c r="A1095" t="s">
        <v>2526</v>
      </c>
      <c r="B1095" t="s">
        <v>2527</v>
      </c>
      <c r="C1095" t="s">
        <v>5688</v>
      </c>
      <c r="D1095" t="str">
        <f>TRIM(alias[[#This Row],[Column3]])</f>
        <v>PT Delta Giri Wacana</v>
      </c>
      <c r="F1095" t="str">
        <f t="shared" si="17"/>
        <v>INSERT INTO stock_alias (stock, alias) VALUES ((SELECT id FROM stock WHERE ticker = 'DGWG'), 'PT Delta Giri Wacana') ON CONFLICT DO NOTHING;</v>
      </c>
    </row>
    <row r="1096" spans="1:6" x14ac:dyDescent="0.2">
      <c r="A1096" t="s">
        <v>1583</v>
      </c>
      <c r="B1096" t="s">
        <v>1584</v>
      </c>
      <c r="C1096" t="s">
        <v>1583</v>
      </c>
      <c r="D1096" t="str">
        <f>TRIM(alias[[#This Row],[Column3]])</f>
        <v>DIGI</v>
      </c>
      <c r="F1096" t="str">
        <f t="shared" si="17"/>
        <v>INSERT INTO stock_alias (stock, alias) VALUES ((SELECT id FROM stock WHERE ticker = 'DIGI'), 'DIGI') ON CONFLICT DO NOTHING;</v>
      </c>
    </row>
    <row r="1097" spans="1:6" x14ac:dyDescent="0.2">
      <c r="A1097" t="s">
        <v>1583</v>
      </c>
      <c r="B1097" t="s">
        <v>1584</v>
      </c>
      <c r="C1097" t="s">
        <v>5689</v>
      </c>
      <c r="D1097" t="str">
        <f>TRIM(alias[[#This Row],[Column3]])</f>
        <v>Arkadia Digital Media</v>
      </c>
      <c r="F1097" t="str">
        <f t="shared" si="17"/>
        <v>INSERT INTO stock_alias (stock, alias) VALUES ((SELECT id FROM stock WHERE ticker = 'DIGI'), 'Arkadia Digital Media') ON CONFLICT DO NOTHING;</v>
      </c>
    </row>
    <row r="1098" spans="1:6" x14ac:dyDescent="0.2">
      <c r="A1098" t="s">
        <v>1583</v>
      </c>
      <c r="B1098" t="s">
        <v>1584</v>
      </c>
      <c r="C1098" t="s">
        <v>5690</v>
      </c>
      <c r="D1098" t="str">
        <f>TRIM(alias[[#This Row],[Column3]])</f>
        <v>Arkadia Digital Media Tbk</v>
      </c>
      <c r="F1098" t="str">
        <f t="shared" si="17"/>
        <v>INSERT INTO stock_alias (stock, alias) VALUES ((SELECT id FROM stock WHERE ticker = 'DIGI'), 'Arkadia Digital Media Tbk') ON CONFLICT DO NOTHING;</v>
      </c>
    </row>
    <row r="1099" spans="1:6" x14ac:dyDescent="0.2">
      <c r="A1099" t="s">
        <v>1583</v>
      </c>
      <c r="B1099" t="s">
        <v>1584</v>
      </c>
      <c r="C1099" t="s">
        <v>5691</v>
      </c>
      <c r="D1099" t="str">
        <f>TRIM(alias[[#This Row],[Column3]])</f>
        <v>PT Arkadia Digital Media</v>
      </c>
      <c r="F1099" t="str">
        <f t="shared" si="17"/>
        <v>INSERT INTO stock_alias (stock, alias) VALUES ((SELECT id FROM stock WHERE ticker = 'DIGI'), 'PT Arkadia Digital Media') ON CONFLICT DO NOTHING;</v>
      </c>
    </row>
    <row r="1100" spans="1:6" x14ac:dyDescent="0.2">
      <c r="A1100" t="s">
        <v>404</v>
      </c>
      <c r="B1100" t="s">
        <v>405</v>
      </c>
      <c r="C1100" t="s">
        <v>404</v>
      </c>
      <c r="D1100" t="str">
        <f>TRIM(alias[[#This Row],[Column3]])</f>
        <v>DILD</v>
      </c>
      <c r="F1100" t="str">
        <f t="shared" si="17"/>
        <v>INSERT INTO stock_alias (stock, alias) VALUES ((SELECT id FROM stock WHERE ticker = 'DILD'), 'DILD') ON CONFLICT DO NOTHING;</v>
      </c>
    </row>
    <row r="1101" spans="1:6" x14ac:dyDescent="0.2">
      <c r="A1101" t="s">
        <v>404</v>
      </c>
      <c r="B1101" t="s">
        <v>405</v>
      </c>
      <c r="C1101" t="s">
        <v>5692</v>
      </c>
      <c r="D1101" t="str">
        <f>TRIM(alias[[#This Row],[Column3]])</f>
        <v>Intiland Development</v>
      </c>
      <c r="F1101" t="str">
        <f t="shared" si="17"/>
        <v>INSERT INTO stock_alias (stock, alias) VALUES ((SELECT id FROM stock WHERE ticker = 'DILD'), 'Intiland Development') ON CONFLICT DO NOTHING;</v>
      </c>
    </row>
    <row r="1102" spans="1:6" x14ac:dyDescent="0.2">
      <c r="A1102" t="s">
        <v>404</v>
      </c>
      <c r="B1102" t="s">
        <v>405</v>
      </c>
      <c r="C1102" t="s">
        <v>5693</v>
      </c>
      <c r="D1102" t="str">
        <f>TRIM(alias[[#This Row],[Column3]])</f>
        <v>Intiland Development Tbk</v>
      </c>
      <c r="F1102" t="str">
        <f t="shared" si="17"/>
        <v>INSERT INTO stock_alias (stock, alias) VALUES ((SELECT id FROM stock WHERE ticker = 'DILD'), 'Intiland Development Tbk') ON CONFLICT DO NOTHING;</v>
      </c>
    </row>
    <row r="1103" spans="1:6" x14ac:dyDescent="0.2">
      <c r="A1103" t="s">
        <v>404</v>
      </c>
      <c r="B1103" t="s">
        <v>405</v>
      </c>
      <c r="C1103" t="s">
        <v>5694</v>
      </c>
      <c r="D1103" t="str">
        <f>TRIM(alias[[#This Row],[Column3]])</f>
        <v>PT Intiland Development</v>
      </c>
      <c r="F1103" t="str">
        <f t="shared" si="17"/>
        <v>INSERT INTO stock_alias (stock, alias) VALUES ((SELECT id FROM stock WHERE ticker = 'DILD'), 'PT Intiland Development') ON CONFLICT DO NOTHING;</v>
      </c>
    </row>
    <row r="1104" spans="1:6" x14ac:dyDescent="0.2">
      <c r="A1104" t="s">
        <v>1625</v>
      </c>
      <c r="B1104" t="s">
        <v>3553</v>
      </c>
      <c r="C1104" t="s">
        <v>1625</v>
      </c>
      <c r="D1104" t="str">
        <f>TRIM(alias[[#This Row],[Column3]])</f>
        <v>DIVA</v>
      </c>
      <c r="F1104" t="str">
        <f t="shared" si="17"/>
        <v>INSERT INTO stock_alias (stock, alias) VALUES ((SELECT id FROM stock WHERE ticker = 'DIVA'), 'DIVA') ON CONFLICT DO NOTHING;</v>
      </c>
    </row>
    <row r="1105" spans="1:6" x14ac:dyDescent="0.2">
      <c r="A1105" t="s">
        <v>1625</v>
      </c>
      <c r="B1105" t="s">
        <v>3553</v>
      </c>
      <c r="C1105" t="s">
        <v>5695</v>
      </c>
      <c r="D1105" t="str">
        <f>TRIM(alias[[#This Row],[Column3]])</f>
        <v>Distribusi Voucher Nusantara</v>
      </c>
      <c r="F1105" t="str">
        <f t="shared" si="17"/>
        <v>INSERT INTO stock_alias (stock, alias) VALUES ((SELECT id FROM stock WHERE ticker = 'DIVA'), 'Distribusi Voucher Nusantara') ON CONFLICT DO NOTHING;</v>
      </c>
    </row>
    <row r="1106" spans="1:6" x14ac:dyDescent="0.2">
      <c r="A1106" t="s">
        <v>1625</v>
      </c>
      <c r="B1106" t="s">
        <v>3553</v>
      </c>
      <c r="C1106" t="s">
        <v>5696</v>
      </c>
      <c r="D1106" t="str">
        <f>TRIM(alias[[#This Row],[Column3]])</f>
        <v>Distribusi Voucher Nusantara Tbk</v>
      </c>
      <c r="F1106" t="str">
        <f t="shared" si="17"/>
        <v>INSERT INTO stock_alias (stock, alias) VALUES ((SELECT id FROM stock WHERE ticker = 'DIVA'), 'Distribusi Voucher Nusantara Tbk') ON CONFLICT DO NOTHING;</v>
      </c>
    </row>
    <row r="1107" spans="1:6" x14ac:dyDescent="0.2">
      <c r="A1107" t="s">
        <v>1625</v>
      </c>
      <c r="B1107" t="s">
        <v>3553</v>
      </c>
      <c r="C1107" t="s">
        <v>5697</v>
      </c>
      <c r="D1107" t="str">
        <f>TRIM(alias[[#This Row],[Column3]])</f>
        <v>PT Distribusi Voucher Nusantara</v>
      </c>
      <c r="F1107" t="str">
        <f t="shared" si="17"/>
        <v>INSERT INTO stock_alias (stock, alias) VALUES ((SELECT id FROM stock WHERE ticker = 'DIVA'), 'PT Distribusi Voucher Nusantara') ON CONFLICT DO NOTHING;</v>
      </c>
    </row>
    <row r="1108" spans="1:6" x14ac:dyDescent="0.2">
      <c r="A1108" t="s">
        <v>407</v>
      </c>
      <c r="B1108" t="s">
        <v>408</v>
      </c>
      <c r="C1108" t="s">
        <v>407</v>
      </c>
      <c r="D1108" t="str">
        <f>TRIM(alias[[#This Row],[Column3]])</f>
        <v>DKFT</v>
      </c>
      <c r="F1108" t="str">
        <f t="shared" si="17"/>
        <v>INSERT INTO stock_alias (stock, alias) VALUES ((SELECT id FROM stock WHERE ticker = 'DKFT'), 'DKFT') ON CONFLICT DO NOTHING;</v>
      </c>
    </row>
    <row r="1109" spans="1:6" x14ac:dyDescent="0.2">
      <c r="A1109" t="s">
        <v>407</v>
      </c>
      <c r="B1109" t="s">
        <v>408</v>
      </c>
      <c r="C1109" t="s">
        <v>5698</v>
      </c>
      <c r="D1109" t="str">
        <f>TRIM(alias[[#This Row],[Column3]])</f>
        <v>Central Omega Resources</v>
      </c>
      <c r="F1109" t="str">
        <f t="shared" si="17"/>
        <v>INSERT INTO stock_alias (stock, alias) VALUES ((SELECT id FROM stock WHERE ticker = 'DKFT'), 'Central Omega Resources') ON CONFLICT DO NOTHING;</v>
      </c>
    </row>
    <row r="1110" spans="1:6" x14ac:dyDescent="0.2">
      <c r="A1110" t="s">
        <v>407</v>
      </c>
      <c r="B1110" t="s">
        <v>408</v>
      </c>
      <c r="C1110" t="s">
        <v>5699</v>
      </c>
      <c r="D1110" t="str">
        <f>TRIM(alias[[#This Row],[Column3]])</f>
        <v>Central Omega Resources Tbk</v>
      </c>
      <c r="F1110" t="str">
        <f t="shared" si="17"/>
        <v>INSERT INTO stock_alias (stock, alias) VALUES ((SELECT id FROM stock WHERE ticker = 'DKFT'), 'Central Omega Resources Tbk') ON CONFLICT DO NOTHING;</v>
      </c>
    </row>
    <row r="1111" spans="1:6" x14ac:dyDescent="0.2">
      <c r="A1111" t="s">
        <v>407</v>
      </c>
      <c r="B1111" t="s">
        <v>408</v>
      </c>
      <c r="C1111" t="s">
        <v>5700</v>
      </c>
      <c r="D1111" t="str">
        <f>TRIM(alias[[#This Row],[Column3]])</f>
        <v>PT Central Omega Resources</v>
      </c>
      <c r="F1111" t="str">
        <f t="shared" si="17"/>
        <v>INSERT INTO stock_alias (stock, alias) VALUES ((SELECT id FROM stock WHERE ticker = 'DKFT'), 'PT Central Omega Resources') ON CONFLICT DO NOTHING;</v>
      </c>
    </row>
    <row r="1112" spans="1:6" x14ac:dyDescent="0.2">
      <c r="A1112" t="s">
        <v>2581</v>
      </c>
      <c r="B1112" t="s">
        <v>2582</v>
      </c>
      <c r="C1112" t="s">
        <v>2581</v>
      </c>
      <c r="D1112" t="str">
        <f>TRIM(alias[[#This Row],[Column3]])</f>
        <v>DKHH</v>
      </c>
      <c r="F1112" t="str">
        <f t="shared" si="17"/>
        <v>INSERT INTO stock_alias (stock, alias) VALUES ((SELECT id FROM stock WHERE ticker = 'DKHH'), 'DKHH') ON CONFLICT DO NOTHING;</v>
      </c>
    </row>
    <row r="1113" spans="1:6" x14ac:dyDescent="0.2">
      <c r="A1113" t="s">
        <v>2581</v>
      </c>
      <c r="B1113" t="s">
        <v>2582</v>
      </c>
      <c r="C1113" t="s">
        <v>5701</v>
      </c>
      <c r="D1113" t="str">
        <f>TRIM(alias[[#This Row],[Column3]])</f>
        <v>CIA SARANA MEDIKA</v>
      </c>
      <c r="F1113" t="str">
        <f t="shared" si="17"/>
        <v>INSERT INTO stock_alias (stock, alias) VALUES ((SELECT id FROM stock WHERE ticker = 'DKHH'), 'CIA SARANA MEDIKA') ON CONFLICT DO NOTHING;</v>
      </c>
    </row>
    <row r="1114" spans="1:6" x14ac:dyDescent="0.2">
      <c r="A1114" t="s">
        <v>2581</v>
      </c>
      <c r="B1114" t="s">
        <v>2582</v>
      </c>
      <c r="C1114" t="s">
        <v>5702</v>
      </c>
      <c r="D1114" t="str">
        <f>TRIM(alias[[#This Row],[Column3]])</f>
        <v>Cia Sarana Medika</v>
      </c>
      <c r="F1114" t="str">
        <f t="shared" si="17"/>
        <v>INSERT INTO stock_alias (stock, alias) VALUES ((SELECT id FROM stock WHERE ticker = 'DKHH'), 'Cia Sarana Medika') ON CONFLICT DO NOTHING;</v>
      </c>
    </row>
    <row r="1115" spans="1:6" x14ac:dyDescent="0.2">
      <c r="A1115" t="s">
        <v>2581</v>
      </c>
      <c r="B1115" t="s">
        <v>2582</v>
      </c>
      <c r="C1115" t="s">
        <v>5703</v>
      </c>
      <c r="D1115" t="str">
        <f>TRIM(alias[[#This Row],[Column3]])</f>
        <v>Cia Sarana Medika Tbk</v>
      </c>
      <c r="F1115" t="str">
        <f t="shared" si="17"/>
        <v>INSERT INTO stock_alias (stock, alias) VALUES ((SELECT id FROM stock WHERE ticker = 'DKHH'), 'Cia Sarana Medika Tbk') ON CONFLICT DO NOTHING;</v>
      </c>
    </row>
    <row r="1116" spans="1:6" x14ac:dyDescent="0.2">
      <c r="A1116" t="s">
        <v>2581</v>
      </c>
      <c r="B1116" t="s">
        <v>2582</v>
      </c>
      <c r="C1116" t="s">
        <v>5704</v>
      </c>
      <c r="D1116" t="str">
        <f>TRIM(alias[[#This Row],[Column3]])</f>
        <v>CiaSaranaMedika</v>
      </c>
      <c r="F1116" t="str">
        <f t="shared" si="17"/>
        <v>INSERT INTO stock_alias (stock, alias) VALUES ((SELECT id FROM stock WHERE ticker = 'DKHH'), 'CiaSaranaMedika') ON CONFLICT DO NOTHING;</v>
      </c>
    </row>
    <row r="1117" spans="1:6" x14ac:dyDescent="0.2">
      <c r="A1117" t="s">
        <v>2581</v>
      </c>
      <c r="B1117" t="s">
        <v>2582</v>
      </c>
      <c r="C1117" t="s">
        <v>5705</v>
      </c>
      <c r="D1117" t="str">
        <f>TRIM(alias[[#This Row],[Column3]])</f>
        <v>PT Cia Sarana Medika</v>
      </c>
      <c r="F1117" t="str">
        <f t="shared" si="17"/>
        <v>INSERT INTO stock_alias (stock, alias) VALUES ((SELECT id FROM stock WHERE ticker = 'DKHH'), 'PT Cia Sarana Medika') ON CONFLICT DO NOTHING;</v>
      </c>
    </row>
    <row r="1118" spans="1:6" x14ac:dyDescent="0.2">
      <c r="A1118" t="s">
        <v>2581</v>
      </c>
      <c r="B1118" t="s">
        <v>2582</v>
      </c>
      <c r="C1118" t="s">
        <v>5706</v>
      </c>
      <c r="D1118" t="str">
        <f>TRIM(alias[[#This Row],[Column3]])</f>
        <v>cia sarana medika</v>
      </c>
      <c r="F1118" t="str">
        <f t="shared" si="17"/>
        <v>INSERT INTO stock_alias (stock, alias) VALUES ((SELECT id FROM stock WHERE ticker = 'DKHH'), 'cia sarana medika') ON CONFLICT DO NOTHING;</v>
      </c>
    </row>
    <row r="1119" spans="1:6" x14ac:dyDescent="0.2">
      <c r="A1119" t="s">
        <v>410</v>
      </c>
      <c r="B1119" t="s">
        <v>411</v>
      </c>
      <c r="C1119" t="s">
        <v>410</v>
      </c>
      <c r="D1119" t="str">
        <f>TRIM(alias[[#This Row],[Column3]])</f>
        <v>DLTA</v>
      </c>
      <c r="F1119" t="str">
        <f t="shared" si="17"/>
        <v>INSERT INTO stock_alias (stock, alias) VALUES ((SELECT id FROM stock WHERE ticker = 'DLTA'), 'DLTA') ON CONFLICT DO NOTHING;</v>
      </c>
    </row>
    <row r="1120" spans="1:6" x14ac:dyDescent="0.2">
      <c r="A1120" t="s">
        <v>410</v>
      </c>
      <c r="B1120" t="s">
        <v>411</v>
      </c>
      <c r="C1120" t="s">
        <v>5707</v>
      </c>
      <c r="D1120" t="str">
        <f>TRIM(alias[[#This Row],[Column3]])</f>
        <v>Delta Djakarta</v>
      </c>
      <c r="F1120" t="str">
        <f t="shared" si="17"/>
        <v>INSERT INTO stock_alias (stock, alias) VALUES ((SELECT id FROM stock WHERE ticker = 'DLTA'), 'Delta Djakarta') ON CONFLICT DO NOTHING;</v>
      </c>
    </row>
    <row r="1121" spans="1:6" x14ac:dyDescent="0.2">
      <c r="A1121" t="s">
        <v>410</v>
      </c>
      <c r="B1121" t="s">
        <v>411</v>
      </c>
      <c r="C1121" t="s">
        <v>5708</v>
      </c>
      <c r="D1121" t="str">
        <f>TRIM(alias[[#This Row],[Column3]])</f>
        <v>Delta Djakarta Tbk</v>
      </c>
      <c r="F1121" t="str">
        <f t="shared" si="17"/>
        <v>INSERT INTO stock_alias (stock, alias) VALUES ((SELECT id FROM stock WHERE ticker = 'DLTA'), 'Delta Djakarta Tbk') ON CONFLICT DO NOTHING;</v>
      </c>
    </row>
    <row r="1122" spans="1:6" x14ac:dyDescent="0.2">
      <c r="A1122" t="s">
        <v>410</v>
      </c>
      <c r="B1122" t="s">
        <v>411</v>
      </c>
      <c r="C1122" t="s">
        <v>5709</v>
      </c>
      <c r="D1122" t="str">
        <f>TRIM(alias[[#This Row],[Column3]])</f>
        <v>PT Delta Djakarta</v>
      </c>
      <c r="F1122" t="str">
        <f t="shared" si="17"/>
        <v>INSERT INTO stock_alias (stock, alias) VALUES ((SELECT id FROM stock WHERE ticker = 'DLTA'), 'PT Delta Djakarta') ON CONFLICT DO NOTHING;</v>
      </c>
    </row>
    <row r="1123" spans="1:6" x14ac:dyDescent="0.2">
      <c r="A1123" t="s">
        <v>413</v>
      </c>
      <c r="B1123" t="s">
        <v>414</v>
      </c>
      <c r="C1123" t="s">
        <v>413</v>
      </c>
      <c r="D1123" t="str">
        <f>TRIM(alias[[#This Row],[Column3]])</f>
        <v>DMAS</v>
      </c>
      <c r="F1123" t="str">
        <f t="shared" si="17"/>
        <v>INSERT INTO stock_alias (stock, alias) VALUES ((SELECT id FROM stock WHERE ticker = 'DMAS'), 'DMAS') ON CONFLICT DO NOTHING;</v>
      </c>
    </row>
    <row r="1124" spans="1:6" x14ac:dyDescent="0.2">
      <c r="A1124" t="s">
        <v>413</v>
      </c>
      <c r="B1124" t="s">
        <v>414</v>
      </c>
      <c r="C1124" t="s">
        <v>5710</v>
      </c>
      <c r="D1124" t="str">
        <f>TRIM(alias[[#This Row],[Column3]])</f>
        <v>PT Puradelta Lestari</v>
      </c>
      <c r="F1124" t="str">
        <f t="shared" si="17"/>
        <v>INSERT INTO stock_alias (stock, alias) VALUES ((SELECT id FROM stock WHERE ticker = 'DMAS'), 'PT Puradelta Lestari') ON CONFLICT DO NOTHING;</v>
      </c>
    </row>
    <row r="1125" spans="1:6" x14ac:dyDescent="0.2">
      <c r="A1125" t="s">
        <v>413</v>
      </c>
      <c r="B1125" t="s">
        <v>414</v>
      </c>
      <c r="C1125" t="s">
        <v>5711</v>
      </c>
      <c r="D1125" t="str">
        <f>TRIM(alias[[#This Row],[Column3]])</f>
        <v>Puradelta Lestari</v>
      </c>
      <c r="F1125" t="str">
        <f t="shared" si="17"/>
        <v>INSERT INTO stock_alias (stock, alias) VALUES ((SELECT id FROM stock WHERE ticker = 'DMAS'), 'Puradelta Lestari') ON CONFLICT DO NOTHING;</v>
      </c>
    </row>
    <row r="1126" spans="1:6" x14ac:dyDescent="0.2">
      <c r="A1126" t="s">
        <v>413</v>
      </c>
      <c r="B1126" t="s">
        <v>414</v>
      </c>
      <c r="C1126" t="s">
        <v>5712</v>
      </c>
      <c r="D1126" t="str">
        <f>TRIM(alias[[#This Row],[Column3]])</f>
        <v>Puradelta Lestari Tbk</v>
      </c>
      <c r="F1126" t="str">
        <f t="shared" si="17"/>
        <v>INSERT INTO stock_alias (stock, alias) VALUES ((SELECT id FROM stock WHERE ticker = 'DMAS'), 'Puradelta Lestari Tbk') ON CONFLICT DO NOTHING;</v>
      </c>
    </row>
    <row r="1127" spans="1:6" x14ac:dyDescent="0.2">
      <c r="A1127" t="s">
        <v>1753</v>
      </c>
      <c r="B1127" t="s">
        <v>1754</v>
      </c>
      <c r="C1127" t="s">
        <v>1753</v>
      </c>
      <c r="D1127" t="str">
        <f>TRIM(alias[[#This Row],[Column3]])</f>
        <v>DMMX</v>
      </c>
      <c r="F1127" t="str">
        <f t="shared" si="17"/>
        <v>INSERT INTO stock_alias (stock, alias) VALUES ((SELECT id FROM stock WHERE ticker = 'DMMX'), 'DMMX') ON CONFLICT DO NOTHING;</v>
      </c>
    </row>
    <row r="1128" spans="1:6" x14ac:dyDescent="0.2">
      <c r="A1128" t="s">
        <v>1753</v>
      </c>
      <c r="B1128" t="s">
        <v>1754</v>
      </c>
      <c r="C1128" t="s">
        <v>5713</v>
      </c>
      <c r="D1128" t="str">
        <f>TRIM(alias[[#This Row],[Column3]])</f>
        <v>Digital Mediatama Maxima</v>
      </c>
      <c r="F1128" t="str">
        <f t="shared" si="17"/>
        <v>INSERT INTO stock_alias (stock, alias) VALUES ((SELECT id FROM stock WHERE ticker = 'DMMX'), 'Digital Mediatama Maxima') ON CONFLICT DO NOTHING;</v>
      </c>
    </row>
    <row r="1129" spans="1:6" x14ac:dyDescent="0.2">
      <c r="A1129" t="s">
        <v>1753</v>
      </c>
      <c r="B1129" t="s">
        <v>1754</v>
      </c>
      <c r="C1129" t="s">
        <v>5714</v>
      </c>
      <c r="D1129" t="str">
        <f>TRIM(alias[[#This Row],[Column3]])</f>
        <v>Digital Mediatama Maxima Tbk</v>
      </c>
      <c r="F1129" t="str">
        <f t="shared" si="17"/>
        <v>INSERT INTO stock_alias (stock, alias) VALUES ((SELECT id FROM stock WHERE ticker = 'DMMX'), 'Digital Mediatama Maxima Tbk') ON CONFLICT DO NOTHING;</v>
      </c>
    </row>
    <row r="1130" spans="1:6" x14ac:dyDescent="0.2">
      <c r="A1130" t="s">
        <v>1753</v>
      </c>
      <c r="B1130" t="s">
        <v>1754</v>
      </c>
      <c r="C1130" t="s">
        <v>5715</v>
      </c>
      <c r="D1130" t="str">
        <f>TRIM(alias[[#This Row],[Column3]])</f>
        <v>PT Digital Mediatama Maxima</v>
      </c>
      <c r="F1130" t="str">
        <f t="shared" si="17"/>
        <v>INSERT INTO stock_alias (stock, alias) VALUES ((SELECT id FROM stock WHERE ticker = 'DMMX'), 'PT Digital Mediatama Maxima') ON CONFLICT DO NOTHING;</v>
      </c>
    </row>
    <row r="1131" spans="1:6" x14ac:dyDescent="0.2">
      <c r="A1131" t="s">
        <v>1810</v>
      </c>
      <c r="B1131" t="s">
        <v>1811</v>
      </c>
      <c r="C1131" t="s">
        <v>1810</v>
      </c>
      <c r="D1131" t="str">
        <f>TRIM(alias[[#This Row],[Column3]])</f>
        <v>DMND</v>
      </c>
      <c r="F1131" t="str">
        <f t="shared" si="17"/>
        <v>INSERT INTO stock_alias (stock, alias) VALUES ((SELECT id FROM stock WHERE ticker = 'DMND'), 'DMND') ON CONFLICT DO NOTHING;</v>
      </c>
    </row>
    <row r="1132" spans="1:6" x14ac:dyDescent="0.2">
      <c r="A1132" t="s">
        <v>1810</v>
      </c>
      <c r="B1132" t="s">
        <v>1811</v>
      </c>
      <c r="C1132" t="s">
        <v>5716</v>
      </c>
      <c r="D1132" t="str">
        <f>TRIM(alias[[#This Row],[Column3]])</f>
        <v>Diamond Food Indonesia</v>
      </c>
      <c r="F1132" t="str">
        <f t="shared" si="17"/>
        <v>INSERT INTO stock_alias (stock, alias) VALUES ((SELECT id FROM stock WHERE ticker = 'DMND'), 'Diamond Food Indonesia') ON CONFLICT DO NOTHING;</v>
      </c>
    </row>
    <row r="1133" spans="1:6" x14ac:dyDescent="0.2">
      <c r="A1133" t="s">
        <v>1810</v>
      </c>
      <c r="B1133" t="s">
        <v>1811</v>
      </c>
      <c r="C1133" t="s">
        <v>5717</v>
      </c>
      <c r="D1133" t="str">
        <f>TRIM(alias[[#This Row],[Column3]])</f>
        <v>Diamond Food Indonesia Tbk</v>
      </c>
      <c r="F1133" t="str">
        <f t="shared" si="17"/>
        <v>INSERT INTO stock_alias (stock, alias) VALUES ((SELECT id FROM stock WHERE ticker = 'DMND'), 'Diamond Food Indonesia Tbk') ON CONFLICT DO NOTHING;</v>
      </c>
    </row>
    <row r="1134" spans="1:6" x14ac:dyDescent="0.2">
      <c r="A1134" t="s">
        <v>1810</v>
      </c>
      <c r="B1134" t="s">
        <v>1811</v>
      </c>
      <c r="C1134" t="s">
        <v>5718</v>
      </c>
      <c r="D1134" t="str">
        <f>TRIM(alias[[#This Row],[Column3]])</f>
        <v>PT Diamond Food Indonesia</v>
      </c>
      <c r="F1134" t="str">
        <f t="shared" si="17"/>
        <v>INSERT INTO stock_alias (stock, alias) VALUES ((SELECT id FROM stock WHERE ticker = 'DMND'), 'PT Diamond Food Indonesia') ON CONFLICT DO NOTHING;</v>
      </c>
    </row>
    <row r="1135" spans="1:6" x14ac:dyDescent="0.2">
      <c r="A1135" t="s">
        <v>416</v>
      </c>
      <c r="B1135" t="s">
        <v>417</v>
      </c>
      <c r="C1135" t="s">
        <v>416</v>
      </c>
      <c r="D1135" t="str">
        <f>TRIM(alias[[#This Row],[Column3]])</f>
        <v>DNAR</v>
      </c>
      <c r="F1135" t="str">
        <f t="shared" si="17"/>
        <v>INSERT INTO stock_alias (stock, alias) VALUES ((SELECT id FROM stock WHERE ticker = 'DNAR'), 'DNAR') ON CONFLICT DO NOTHING;</v>
      </c>
    </row>
    <row r="1136" spans="1:6" x14ac:dyDescent="0.2">
      <c r="A1136" t="s">
        <v>416</v>
      </c>
      <c r="B1136" t="s">
        <v>417</v>
      </c>
      <c r="C1136" t="s">
        <v>5719</v>
      </c>
      <c r="D1136" t="str">
        <f>TRIM(alias[[#This Row],[Column3]])</f>
        <v>Bank Oke Indonesia</v>
      </c>
      <c r="F1136" t="str">
        <f t="shared" si="17"/>
        <v>INSERT INTO stock_alias (stock, alias) VALUES ((SELECT id FROM stock WHERE ticker = 'DNAR'), 'Bank Oke Indonesia') ON CONFLICT DO NOTHING;</v>
      </c>
    </row>
    <row r="1137" spans="1:6" x14ac:dyDescent="0.2">
      <c r="A1137" t="s">
        <v>416</v>
      </c>
      <c r="B1137" t="s">
        <v>417</v>
      </c>
      <c r="C1137" t="s">
        <v>5720</v>
      </c>
      <c r="D1137" t="str">
        <f>TRIM(alias[[#This Row],[Column3]])</f>
        <v>Bank Oke Indonesia Tbk</v>
      </c>
      <c r="F1137" t="str">
        <f t="shared" si="17"/>
        <v>INSERT INTO stock_alias (stock, alias) VALUES ((SELECT id FROM stock WHERE ticker = 'DNAR'), 'Bank Oke Indonesia Tbk') ON CONFLICT DO NOTHING;</v>
      </c>
    </row>
    <row r="1138" spans="1:6" x14ac:dyDescent="0.2">
      <c r="A1138" t="s">
        <v>416</v>
      </c>
      <c r="B1138" t="s">
        <v>417</v>
      </c>
      <c r="C1138" t="s">
        <v>5721</v>
      </c>
      <c r="D1138" t="str">
        <f>TRIM(alias[[#This Row],[Column3]])</f>
        <v>PT Bank Oke Indonesia</v>
      </c>
      <c r="F1138" t="str">
        <f t="shared" si="17"/>
        <v>INSERT INTO stock_alias (stock, alias) VALUES ((SELECT id FROM stock WHERE ticker = 'DNAR'), 'PT Bank Oke Indonesia') ON CONFLICT DO NOTHING;</v>
      </c>
    </row>
    <row r="1139" spans="1:6" x14ac:dyDescent="0.2">
      <c r="A1139" t="s">
        <v>419</v>
      </c>
      <c r="B1139" t="s">
        <v>3554</v>
      </c>
      <c r="C1139" t="s">
        <v>419</v>
      </c>
      <c r="D1139" t="str">
        <f>TRIM(alias[[#This Row],[Column3]])</f>
        <v>DNET</v>
      </c>
      <c r="F1139" t="str">
        <f t="shared" si="17"/>
        <v>INSERT INTO stock_alias (stock, alias) VALUES ((SELECT id FROM stock WHERE ticker = 'DNET'), 'DNET') ON CONFLICT DO NOTHING;</v>
      </c>
    </row>
    <row r="1140" spans="1:6" x14ac:dyDescent="0.2">
      <c r="A1140" t="s">
        <v>419</v>
      </c>
      <c r="B1140" t="s">
        <v>3554</v>
      </c>
      <c r="C1140" t="s">
        <v>5722</v>
      </c>
      <c r="D1140" t="str">
        <f>TRIM(alias[[#This Row],[Column3]])</f>
        <v>Indoritel Makmur Internasional</v>
      </c>
      <c r="F1140" t="str">
        <f t="shared" si="17"/>
        <v>INSERT INTO stock_alias (stock, alias) VALUES ((SELECT id FROM stock WHERE ticker = 'DNET'), 'Indoritel Makmur Internasional') ON CONFLICT DO NOTHING;</v>
      </c>
    </row>
    <row r="1141" spans="1:6" x14ac:dyDescent="0.2">
      <c r="A1141" t="s">
        <v>419</v>
      </c>
      <c r="B1141" t="s">
        <v>3554</v>
      </c>
      <c r="C1141" t="s">
        <v>5723</v>
      </c>
      <c r="D1141" t="str">
        <f>TRIM(alias[[#This Row],[Column3]])</f>
        <v>Indoritel Makmur Internasional Tbk</v>
      </c>
      <c r="F1141" t="str">
        <f t="shared" si="17"/>
        <v>INSERT INTO stock_alias (stock, alias) VALUES ((SELECT id FROM stock WHERE ticker = 'DNET'), 'Indoritel Makmur Internasional Tbk') ON CONFLICT DO NOTHING;</v>
      </c>
    </row>
    <row r="1142" spans="1:6" x14ac:dyDescent="0.2">
      <c r="A1142" t="s">
        <v>419</v>
      </c>
      <c r="B1142" t="s">
        <v>3554</v>
      </c>
      <c r="C1142" t="s">
        <v>5724</v>
      </c>
      <c r="D1142" t="str">
        <f>TRIM(alias[[#This Row],[Column3]])</f>
        <v>PT Indoritel Makmur Internasional</v>
      </c>
      <c r="F1142" t="str">
        <f t="shared" si="17"/>
        <v>INSERT INTO stock_alias (stock, alias) VALUES ((SELECT id FROM stock WHERE ticker = 'DNET'), 'PT Indoritel Makmur Internasional') ON CONFLICT DO NOTHING;</v>
      </c>
    </row>
    <row r="1143" spans="1:6" x14ac:dyDescent="0.2">
      <c r="A1143" t="s">
        <v>421</v>
      </c>
      <c r="B1143" t="s">
        <v>422</v>
      </c>
      <c r="C1143" t="s">
        <v>421</v>
      </c>
      <c r="D1143" t="str">
        <f>TRIM(alias[[#This Row],[Column3]])</f>
        <v>DOID</v>
      </c>
      <c r="F1143" t="str">
        <f t="shared" si="17"/>
        <v>INSERT INTO stock_alias (stock, alias) VALUES ((SELECT id FROM stock WHERE ticker = 'DOID'), 'DOID') ON CONFLICT DO NOTHING;</v>
      </c>
    </row>
    <row r="1144" spans="1:6" x14ac:dyDescent="0.2">
      <c r="A1144" t="s">
        <v>421</v>
      </c>
      <c r="B1144" t="s">
        <v>422</v>
      </c>
      <c r="C1144" t="s">
        <v>5725</v>
      </c>
      <c r="D1144" t="str">
        <f>TRIM(alias[[#This Row],[Column3]])</f>
        <v>BUMA Internasional Grup</v>
      </c>
      <c r="F1144" t="str">
        <f t="shared" si="17"/>
        <v>INSERT INTO stock_alias (stock, alias) VALUES ((SELECT id FROM stock WHERE ticker = 'DOID'), 'BUMA Internasional Grup') ON CONFLICT DO NOTHING;</v>
      </c>
    </row>
    <row r="1145" spans="1:6" x14ac:dyDescent="0.2">
      <c r="A1145" t="s">
        <v>421</v>
      </c>
      <c r="B1145" t="s">
        <v>422</v>
      </c>
      <c r="C1145" t="s">
        <v>5726</v>
      </c>
      <c r="D1145" t="str">
        <f>TRIM(alias[[#This Row],[Column3]])</f>
        <v>BUMA Internasional Grup Tbk</v>
      </c>
      <c r="F1145" t="str">
        <f t="shared" si="17"/>
        <v>INSERT INTO stock_alias (stock, alias) VALUES ((SELECT id FROM stock WHERE ticker = 'DOID'), 'BUMA Internasional Grup Tbk') ON CONFLICT DO NOTHING;</v>
      </c>
    </row>
    <row r="1146" spans="1:6" x14ac:dyDescent="0.2">
      <c r="A1146" t="s">
        <v>421</v>
      </c>
      <c r="B1146" t="s">
        <v>422</v>
      </c>
      <c r="C1146" t="s">
        <v>5727</v>
      </c>
      <c r="D1146" t="str">
        <f>TRIM(alias[[#This Row],[Column3]])</f>
        <v>PT BUMA Internasional Grup</v>
      </c>
      <c r="F1146" t="str">
        <f t="shared" si="17"/>
        <v>INSERT INTO stock_alias (stock, alias) VALUES ((SELECT id FROM stock WHERE ticker = 'DOID'), 'PT BUMA Internasional Grup') ON CONFLICT DO NOTHING;</v>
      </c>
    </row>
    <row r="1147" spans="1:6" x14ac:dyDescent="0.2">
      <c r="A1147" t="s">
        <v>2622</v>
      </c>
      <c r="B1147" t="s">
        <v>2623</v>
      </c>
      <c r="C1147" t="s">
        <v>2622</v>
      </c>
      <c r="D1147" t="str">
        <f>TRIM(alias[[#This Row],[Column3]])</f>
        <v>DOOH</v>
      </c>
      <c r="F1147" t="str">
        <f t="shared" si="17"/>
        <v>INSERT INTO stock_alias (stock, alias) VALUES ((SELECT id FROM stock WHERE ticker = 'DOOH'), 'DOOH') ON CONFLICT DO NOTHING;</v>
      </c>
    </row>
    <row r="1148" spans="1:6" x14ac:dyDescent="0.2">
      <c r="A1148" t="s">
        <v>2622</v>
      </c>
      <c r="B1148" t="s">
        <v>2623</v>
      </c>
      <c r="C1148" t="s">
        <v>5728</v>
      </c>
      <c r="D1148" t="str">
        <f>TRIM(alias[[#This Row],[Column3]])</f>
        <v>Era Media Sejahtera</v>
      </c>
      <c r="F1148" t="str">
        <f t="shared" si="17"/>
        <v>INSERT INTO stock_alias (stock, alias) VALUES ((SELECT id FROM stock WHERE ticker = 'DOOH'), 'Era Media Sejahtera') ON CONFLICT DO NOTHING;</v>
      </c>
    </row>
    <row r="1149" spans="1:6" x14ac:dyDescent="0.2">
      <c r="A1149" t="s">
        <v>2622</v>
      </c>
      <c r="B1149" t="s">
        <v>2623</v>
      </c>
      <c r="C1149" t="s">
        <v>5729</v>
      </c>
      <c r="D1149" t="str">
        <f>TRIM(alias[[#This Row],[Column3]])</f>
        <v>Era Media Sejahtera Tbk</v>
      </c>
      <c r="F1149" t="str">
        <f t="shared" si="17"/>
        <v>INSERT INTO stock_alias (stock, alias) VALUES ((SELECT id FROM stock WHERE ticker = 'DOOH'), 'Era Media Sejahtera Tbk') ON CONFLICT DO NOTHING;</v>
      </c>
    </row>
    <row r="1150" spans="1:6" x14ac:dyDescent="0.2">
      <c r="A1150" t="s">
        <v>2622</v>
      </c>
      <c r="B1150" t="s">
        <v>2623</v>
      </c>
      <c r="C1150" t="s">
        <v>5730</v>
      </c>
      <c r="D1150" t="str">
        <f>TRIM(alias[[#This Row],[Column3]])</f>
        <v>PT Era Media Sejahtera</v>
      </c>
      <c r="F1150" t="str">
        <f t="shared" si="17"/>
        <v>INSERT INTO stock_alias (stock, alias) VALUES ((SELECT id FROM stock WHERE ticker = 'DOOH'), 'PT Era Media Sejahtera') ON CONFLICT DO NOTHING;</v>
      </c>
    </row>
    <row r="1151" spans="1:6" x14ac:dyDescent="0.2">
      <c r="A1151" t="s">
        <v>2485</v>
      </c>
      <c r="B1151" t="s">
        <v>2486</v>
      </c>
      <c r="C1151" t="s">
        <v>2485</v>
      </c>
      <c r="D1151" t="str">
        <f>TRIM(alias[[#This Row],[Column3]])</f>
        <v>DOSS</v>
      </c>
      <c r="F1151" t="str">
        <f t="shared" si="17"/>
        <v>INSERT INTO stock_alias (stock, alias) VALUES ((SELECT id FROM stock WHERE ticker = 'DOSS'), 'DOSS') ON CONFLICT DO NOTHING;</v>
      </c>
    </row>
    <row r="1152" spans="1:6" x14ac:dyDescent="0.2">
      <c r="A1152" t="s">
        <v>2485</v>
      </c>
      <c r="B1152" t="s">
        <v>2486</v>
      </c>
      <c r="C1152" t="s">
        <v>5731</v>
      </c>
      <c r="D1152" t="str">
        <f>TRIM(alias[[#This Row],[Column3]])</f>
        <v>Global Sukses Digital</v>
      </c>
      <c r="F1152" t="str">
        <f t="shared" si="17"/>
        <v>INSERT INTO stock_alias (stock, alias) VALUES ((SELECT id FROM stock WHERE ticker = 'DOSS'), 'Global Sukses Digital') ON CONFLICT DO NOTHING;</v>
      </c>
    </row>
    <row r="1153" spans="1:6" x14ac:dyDescent="0.2">
      <c r="A1153" t="s">
        <v>2485</v>
      </c>
      <c r="B1153" t="s">
        <v>2486</v>
      </c>
      <c r="C1153" t="s">
        <v>5732</v>
      </c>
      <c r="D1153" t="str">
        <f>TRIM(alias[[#This Row],[Column3]])</f>
        <v>Global Sukses Digital Tbk</v>
      </c>
      <c r="F1153" t="str">
        <f t="shared" si="17"/>
        <v>INSERT INTO stock_alias (stock, alias) VALUES ((SELECT id FROM stock WHERE ticker = 'DOSS'), 'Global Sukses Digital Tbk') ON CONFLICT DO NOTHING;</v>
      </c>
    </row>
    <row r="1154" spans="1:6" x14ac:dyDescent="0.2">
      <c r="A1154" t="s">
        <v>2485</v>
      </c>
      <c r="B1154" t="s">
        <v>2486</v>
      </c>
      <c r="C1154" t="s">
        <v>5733</v>
      </c>
      <c r="D1154" t="str">
        <f>TRIM(alias[[#This Row],[Column3]])</f>
        <v>PT Global Sukses Digital</v>
      </c>
      <c r="F1154" t="str">
        <f t="shared" si="17"/>
        <v>INSERT INTO stock_alias (stock, alias) VALUES ((SELECT id FROM stock WHERE ticker = 'DOSS'), 'PT Global Sukses Digital') ON CONFLICT DO NOTHING;</v>
      </c>
    </row>
    <row r="1155" spans="1:6" x14ac:dyDescent="0.2">
      <c r="A1155" t="s">
        <v>424</v>
      </c>
      <c r="B1155" t="s">
        <v>425</v>
      </c>
      <c r="C1155" t="s">
        <v>424</v>
      </c>
      <c r="D1155" t="str">
        <f>TRIM(alias[[#This Row],[Column3]])</f>
        <v>DPNS</v>
      </c>
      <c r="F1155" t="str">
        <f t="shared" ref="F1155:F1218" si="18">_xlfn.CONCAT($F$1, _xlfn.CONCAT($G$1, A1155, "'), '", D1155, "') ON CONFLICT DO NOTHING;"))</f>
        <v>INSERT INTO stock_alias (stock, alias) VALUES ((SELECT id FROM stock WHERE ticker = 'DPNS'), 'DPNS') ON CONFLICT DO NOTHING;</v>
      </c>
    </row>
    <row r="1156" spans="1:6" x14ac:dyDescent="0.2">
      <c r="A1156" t="s">
        <v>424</v>
      </c>
      <c r="B1156" t="s">
        <v>425</v>
      </c>
      <c r="C1156" t="s">
        <v>5734</v>
      </c>
      <c r="D1156" t="str">
        <f>TRIM(alias[[#This Row],[Column3]])</f>
        <v>Duta Pertiwi Nusantara</v>
      </c>
      <c r="F1156" t="str">
        <f t="shared" si="18"/>
        <v>INSERT INTO stock_alias (stock, alias) VALUES ((SELECT id FROM stock WHERE ticker = 'DPNS'), 'Duta Pertiwi Nusantara') ON CONFLICT DO NOTHING;</v>
      </c>
    </row>
    <row r="1157" spans="1:6" x14ac:dyDescent="0.2">
      <c r="A1157" t="s">
        <v>424</v>
      </c>
      <c r="B1157" t="s">
        <v>425</v>
      </c>
      <c r="C1157" t="s">
        <v>5735</v>
      </c>
      <c r="D1157" t="str">
        <f>TRIM(alias[[#This Row],[Column3]])</f>
        <v>Duta Pertiwi Nusantara Tbk</v>
      </c>
      <c r="F1157" t="str">
        <f t="shared" si="18"/>
        <v>INSERT INTO stock_alias (stock, alias) VALUES ((SELECT id FROM stock WHERE ticker = 'DPNS'), 'Duta Pertiwi Nusantara Tbk') ON CONFLICT DO NOTHING;</v>
      </c>
    </row>
    <row r="1158" spans="1:6" x14ac:dyDescent="0.2">
      <c r="A1158" t="s">
        <v>424</v>
      </c>
      <c r="B1158" t="s">
        <v>425</v>
      </c>
      <c r="C1158" t="s">
        <v>5736</v>
      </c>
      <c r="D1158" t="str">
        <f>TRIM(alias[[#This Row],[Column3]])</f>
        <v>PT Duta Pertiwi Nusantara</v>
      </c>
      <c r="F1158" t="str">
        <f t="shared" si="18"/>
        <v>INSERT INTO stock_alias (stock, alias) VALUES ((SELECT id FROM stock WHERE ticker = 'DPNS'), 'PT Duta Pertiwi Nusantara') ON CONFLICT DO NOTHING;</v>
      </c>
    </row>
    <row r="1159" spans="1:6" x14ac:dyDescent="0.2">
      <c r="A1159" t="s">
        <v>1350</v>
      </c>
      <c r="B1159" t="s">
        <v>1351</v>
      </c>
      <c r="C1159" t="s">
        <v>1350</v>
      </c>
      <c r="D1159" t="str">
        <f>TRIM(alias[[#This Row],[Column3]])</f>
        <v>DPUM</v>
      </c>
      <c r="F1159" t="str">
        <f t="shared" si="18"/>
        <v>INSERT INTO stock_alias (stock, alias) VALUES ((SELECT id FROM stock WHERE ticker = 'DPUM'), 'DPUM') ON CONFLICT DO NOTHING;</v>
      </c>
    </row>
    <row r="1160" spans="1:6" x14ac:dyDescent="0.2">
      <c r="A1160" t="s">
        <v>1350</v>
      </c>
      <c r="B1160" t="s">
        <v>1351</v>
      </c>
      <c r="C1160" t="s">
        <v>5737</v>
      </c>
      <c r="D1160" t="str">
        <f>TRIM(alias[[#This Row],[Column3]])</f>
        <v>Dua Putra Utama Makmur</v>
      </c>
      <c r="F1160" t="str">
        <f t="shared" si="18"/>
        <v>INSERT INTO stock_alias (stock, alias) VALUES ((SELECT id FROM stock WHERE ticker = 'DPUM'), 'Dua Putra Utama Makmur') ON CONFLICT DO NOTHING;</v>
      </c>
    </row>
    <row r="1161" spans="1:6" x14ac:dyDescent="0.2">
      <c r="A1161" t="s">
        <v>1350</v>
      </c>
      <c r="B1161" t="s">
        <v>1351</v>
      </c>
      <c r="C1161" t="s">
        <v>5738</v>
      </c>
      <c r="D1161" t="str">
        <f>TRIM(alias[[#This Row],[Column3]])</f>
        <v>Dua Putra Utama Makmur Tbk</v>
      </c>
      <c r="F1161" t="str">
        <f t="shared" si="18"/>
        <v>INSERT INTO stock_alias (stock, alias) VALUES ((SELECT id FROM stock WHERE ticker = 'DPUM'), 'Dua Putra Utama Makmur Tbk') ON CONFLICT DO NOTHING;</v>
      </c>
    </row>
    <row r="1162" spans="1:6" x14ac:dyDescent="0.2">
      <c r="A1162" t="s">
        <v>1350</v>
      </c>
      <c r="B1162" t="s">
        <v>1351</v>
      </c>
      <c r="C1162" t="s">
        <v>5739</v>
      </c>
      <c r="D1162" t="str">
        <f>TRIM(alias[[#This Row],[Column3]])</f>
        <v>PT Dua Putra Utama Makmur</v>
      </c>
      <c r="F1162" t="str">
        <f t="shared" si="18"/>
        <v>INSERT INTO stock_alias (stock, alias) VALUES ((SELECT id FROM stock WHERE ticker = 'DPUM'), 'PT Dua Putra Utama Makmur') ON CONFLICT DO NOTHING;</v>
      </c>
    </row>
    <row r="1163" spans="1:6" x14ac:dyDescent="0.2">
      <c r="A1163" t="s">
        <v>2057</v>
      </c>
      <c r="B1163" t="s">
        <v>2058</v>
      </c>
      <c r="C1163" t="s">
        <v>2057</v>
      </c>
      <c r="D1163" t="str">
        <f>TRIM(alias[[#This Row],[Column3]])</f>
        <v>DRMA</v>
      </c>
      <c r="F1163" t="str">
        <f t="shared" si="18"/>
        <v>INSERT INTO stock_alias (stock, alias) VALUES ((SELECT id FROM stock WHERE ticker = 'DRMA'), 'DRMA') ON CONFLICT DO NOTHING;</v>
      </c>
    </row>
    <row r="1164" spans="1:6" x14ac:dyDescent="0.2">
      <c r="A1164" t="s">
        <v>2057</v>
      </c>
      <c r="B1164" t="s">
        <v>2058</v>
      </c>
      <c r="C1164" t="s">
        <v>5740</v>
      </c>
      <c r="D1164" t="str">
        <f>TRIM(alias[[#This Row],[Column3]])</f>
        <v>Dharma Polimetal</v>
      </c>
      <c r="F1164" t="str">
        <f t="shared" si="18"/>
        <v>INSERT INTO stock_alias (stock, alias) VALUES ((SELECT id FROM stock WHERE ticker = 'DRMA'), 'Dharma Polimetal') ON CONFLICT DO NOTHING;</v>
      </c>
    </row>
    <row r="1165" spans="1:6" x14ac:dyDescent="0.2">
      <c r="A1165" t="s">
        <v>2057</v>
      </c>
      <c r="B1165" t="s">
        <v>2058</v>
      </c>
      <c r="C1165" t="s">
        <v>5741</v>
      </c>
      <c r="D1165" t="str">
        <f>TRIM(alias[[#This Row],[Column3]])</f>
        <v>Dharma Polimetal Tbk</v>
      </c>
      <c r="F1165" t="str">
        <f t="shared" si="18"/>
        <v>INSERT INTO stock_alias (stock, alias) VALUES ((SELECT id FROM stock WHERE ticker = 'DRMA'), 'Dharma Polimetal Tbk') ON CONFLICT DO NOTHING;</v>
      </c>
    </row>
    <row r="1166" spans="1:6" x14ac:dyDescent="0.2">
      <c r="A1166" t="s">
        <v>2057</v>
      </c>
      <c r="B1166" t="s">
        <v>2058</v>
      </c>
      <c r="C1166" t="s">
        <v>5742</v>
      </c>
      <c r="D1166" t="str">
        <f>TRIM(alias[[#This Row],[Column3]])</f>
        <v>PT Dharma Polimetal</v>
      </c>
      <c r="F1166" t="str">
        <f t="shared" si="18"/>
        <v>INSERT INTO stock_alias (stock, alias) VALUES ((SELECT id FROM stock WHERE ticker = 'DRMA'), 'PT Dharma Polimetal') ON CONFLICT DO NOTHING;</v>
      </c>
    </row>
    <row r="1167" spans="1:6" x14ac:dyDescent="0.2">
      <c r="A1167" t="s">
        <v>427</v>
      </c>
      <c r="B1167" t="s">
        <v>3889</v>
      </c>
      <c r="C1167" t="s">
        <v>427</v>
      </c>
      <c r="D1167" t="str">
        <f>TRIM(alias[[#This Row],[Column3]])</f>
        <v>DSFI</v>
      </c>
      <c r="F1167" t="str">
        <f t="shared" si="18"/>
        <v>INSERT INTO stock_alias (stock, alias) VALUES ((SELECT id FROM stock WHERE ticker = 'DSFI'), 'DSFI') ON CONFLICT DO NOTHING;</v>
      </c>
    </row>
    <row r="1168" spans="1:6" x14ac:dyDescent="0.2">
      <c r="A1168" t="s">
        <v>427</v>
      </c>
      <c r="B1168" t="s">
        <v>3889</v>
      </c>
      <c r="C1168" t="s">
        <v>5743</v>
      </c>
      <c r="D1168" t="str">
        <f>TRIM(alias[[#This Row],[Column3]])</f>
        <v>Dharma Samudera Fishing Industries</v>
      </c>
      <c r="F1168" t="str">
        <f t="shared" si="18"/>
        <v>INSERT INTO stock_alias (stock, alias) VALUES ((SELECT id FROM stock WHERE ticker = 'DSFI'), 'Dharma Samudera Fishing Industries') ON CONFLICT DO NOTHING;</v>
      </c>
    </row>
    <row r="1169" spans="1:6" x14ac:dyDescent="0.2">
      <c r="A1169" t="s">
        <v>427</v>
      </c>
      <c r="B1169" t="s">
        <v>3889</v>
      </c>
      <c r="C1169" t="s">
        <v>5744</v>
      </c>
      <c r="D1169" t="str">
        <f>TRIM(alias[[#This Row],[Column3]])</f>
        <v>Dharma Samudera Fishing Industries Tbk</v>
      </c>
      <c r="F1169" t="str">
        <f t="shared" si="18"/>
        <v>INSERT INTO stock_alias (stock, alias) VALUES ((SELECT id FROM stock WHERE ticker = 'DSFI'), 'Dharma Samudera Fishing Industries Tbk') ON CONFLICT DO NOTHING;</v>
      </c>
    </row>
    <row r="1170" spans="1:6" x14ac:dyDescent="0.2">
      <c r="A1170" t="s">
        <v>427</v>
      </c>
      <c r="B1170" t="s">
        <v>3889</v>
      </c>
      <c r="C1170" t="s">
        <v>5745</v>
      </c>
      <c r="D1170" t="str">
        <f>TRIM(alias[[#This Row],[Column3]])</f>
        <v>PT Dharma Samudera Fishing Industries</v>
      </c>
      <c r="F1170" t="str">
        <f t="shared" si="18"/>
        <v>INSERT INTO stock_alias (stock, alias) VALUES ((SELECT id FROM stock WHERE ticker = 'DSFI'), 'PT Dharma Samudera Fishing Industries') ON CONFLICT DO NOTHING;</v>
      </c>
    </row>
    <row r="1171" spans="1:6" x14ac:dyDescent="0.2">
      <c r="A1171" t="s">
        <v>429</v>
      </c>
      <c r="B1171" t="s">
        <v>430</v>
      </c>
      <c r="C1171" t="s">
        <v>429</v>
      </c>
      <c r="D1171" t="str">
        <f>TRIM(alias[[#This Row],[Column3]])</f>
        <v>DSNG</v>
      </c>
      <c r="F1171" t="str">
        <f t="shared" si="18"/>
        <v>INSERT INTO stock_alias (stock, alias) VALUES ((SELECT id FROM stock WHERE ticker = 'DSNG'), 'DSNG') ON CONFLICT DO NOTHING;</v>
      </c>
    </row>
    <row r="1172" spans="1:6" x14ac:dyDescent="0.2">
      <c r="A1172" t="s">
        <v>429</v>
      </c>
      <c r="B1172" t="s">
        <v>430</v>
      </c>
      <c r="C1172" t="s">
        <v>5746</v>
      </c>
      <c r="D1172" t="str">
        <f>TRIM(alias[[#This Row],[Column3]])</f>
        <v>Dharma Satya Nusantara</v>
      </c>
      <c r="F1172" t="str">
        <f t="shared" si="18"/>
        <v>INSERT INTO stock_alias (stock, alias) VALUES ((SELECT id FROM stock WHERE ticker = 'DSNG'), 'Dharma Satya Nusantara') ON CONFLICT DO NOTHING;</v>
      </c>
    </row>
    <row r="1173" spans="1:6" x14ac:dyDescent="0.2">
      <c r="A1173" t="s">
        <v>429</v>
      </c>
      <c r="B1173" t="s">
        <v>430</v>
      </c>
      <c r="C1173" t="s">
        <v>5747</v>
      </c>
      <c r="D1173" t="str">
        <f>TRIM(alias[[#This Row],[Column3]])</f>
        <v>Dharma Satya Nusantara Tbk</v>
      </c>
      <c r="F1173" t="str">
        <f t="shared" si="18"/>
        <v>INSERT INTO stock_alias (stock, alias) VALUES ((SELECT id FROM stock WHERE ticker = 'DSNG'), 'Dharma Satya Nusantara Tbk') ON CONFLICT DO NOTHING;</v>
      </c>
    </row>
    <row r="1174" spans="1:6" x14ac:dyDescent="0.2">
      <c r="A1174" t="s">
        <v>429</v>
      </c>
      <c r="B1174" t="s">
        <v>430</v>
      </c>
      <c r="C1174" t="s">
        <v>5748</v>
      </c>
      <c r="D1174" t="str">
        <f>TRIM(alias[[#This Row],[Column3]])</f>
        <v>PT Dharma Satya Nusantara</v>
      </c>
      <c r="F1174" t="str">
        <f t="shared" si="18"/>
        <v>INSERT INTO stock_alias (stock, alias) VALUES ((SELECT id FROM stock WHERE ticker = 'DSNG'), 'PT Dharma Satya Nusantara') ON CONFLICT DO NOTHING;</v>
      </c>
    </row>
    <row r="1175" spans="1:6" x14ac:dyDescent="0.2">
      <c r="A1175" t="s">
        <v>432</v>
      </c>
      <c r="B1175" t="s">
        <v>3555</v>
      </c>
      <c r="C1175" t="s">
        <v>432</v>
      </c>
      <c r="D1175" t="str">
        <f>TRIM(alias[[#This Row],[Column3]])</f>
        <v>DSSA</v>
      </c>
      <c r="F1175" t="str">
        <f t="shared" si="18"/>
        <v>INSERT INTO stock_alias (stock, alias) VALUES ((SELECT id FROM stock WHERE ticker = 'DSSA'), 'DSSA') ON CONFLICT DO NOTHING;</v>
      </c>
    </row>
    <row r="1176" spans="1:6" x14ac:dyDescent="0.2">
      <c r="A1176" t="s">
        <v>432</v>
      </c>
      <c r="B1176" t="s">
        <v>3555</v>
      </c>
      <c r="C1176" t="s">
        <v>5749</v>
      </c>
      <c r="D1176" t="str">
        <f>TRIM(alias[[#This Row],[Column3]])</f>
        <v>Dian Swastatika Sentosa</v>
      </c>
      <c r="F1176" t="str">
        <f t="shared" si="18"/>
        <v>INSERT INTO stock_alias (stock, alias) VALUES ((SELECT id FROM stock WHERE ticker = 'DSSA'), 'Dian Swastatika Sentosa') ON CONFLICT DO NOTHING;</v>
      </c>
    </row>
    <row r="1177" spans="1:6" x14ac:dyDescent="0.2">
      <c r="A1177" t="s">
        <v>432</v>
      </c>
      <c r="B1177" t="s">
        <v>3555</v>
      </c>
      <c r="C1177" t="s">
        <v>5750</v>
      </c>
      <c r="D1177" t="str">
        <f>TRIM(alias[[#This Row],[Column3]])</f>
        <v>Dian Swastatika Sentosa Tbk</v>
      </c>
      <c r="F1177" t="str">
        <f t="shared" si="18"/>
        <v>INSERT INTO stock_alias (stock, alias) VALUES ((SELECT id FROM stock WHERE ticker = 'DSSA'), 'Dian Swastatika Sentosa Tbk') ON CONFLICT DO NOTHING;</v>
      </c>
    </row>
    <row r="1178" spans="1:6" x14ac:dyDescent="0.2">
      <c r="A1178" t="s">
        <v>432</v>
      </c>
      <c r="B1178" t="s">
        <v>3555</v>
      </c>
      <c r="C1178" t="s">
        <v>5751</v>
      </c>
      <c r="D1178" t="str">
        <f>TRIM(alias[[#This Row],[Column3]])</f>
        <v>PT Dian Swastatika Sentosa</v>
      </c>
      <c r="F1178" t="str">
        <f t="shared" si="18"/>
        <v>INSERT INTO stock_alias (stock, alias) VALUES ((SELECT id FROM stock WHERE ticker = 'DSSA'), 'PT Dian Swastatika Sentosa') ON CONFLICT DO NOTHING;</v>
      </c>
    </row>
    <row r="1179" spans="1:6" x14ac:dyDescent="0.2">
      <c r="A1179" t="s">
        <v>1601</v>
      </c>
      <c r="B1179" t="s">
        <v>1602</v>
      </c>
      <c r="C1179" t="s">
        <v>1601</v>
      </c>
      <c r="D1179" t="str">
        <f>TRIM(alias[[#This Row],[Column3]])</f>
        <v>DUCK</v>
      </c>
      <c r="F1179" t="str">
        <f t="shared" si="18"/>
        <v>INSERT INTO stock_alias (stock, alias) VALUES ((SELECT id FROM stock WHERE ticker = 'DUCK'), 'DUCK') ON CONFLICT DO NOTHING;</v>
      </c>
    </row>
    <row r="1180" spans="1:6" x14ac:dyDescent="0.2">
      <c r="A1180" t="s">
        <v>1601</v>
      </c>
      <c r="B1180" t="s">
        <v>1602</v>
      </c>
      <c r="C1180" t="s">
        <v>5752</v>
      </c>
      <c r="D1180" t="str">
        <f>TRIM(alias[[#This Row],[Column3]])</f>
        <v>Jaya Bersama Indo</v>
      </c>
      <c r="F1180" t="str">
        <f t="shared" si="18"/>
        <v>INSERT INTO stock_alias (stock, alias) VALUES ((SELECT id FROM stock WHERE ticker = 'DUCK'), 'Jaya Bersama Indo') ON CONFLICT DO NOTHING;</v>
      </c>
    </row>
    <row r="1181" spans="1:6" x14ac:dyDescent="0.2">
      <c r="A1181" t="s">
        <v>1601</v>
      </c>
      <c r="B1181" t="s">
        <v>1602</v>
      </c>
      <c r="C1181" t="s">
        <v>5753</v>
      </c>
      <c r="D1181" t="str">
        <f>TRIM(alias[[#This Row],[Column3]])</f>
        <v>Jaya Bersama Indo Tbk</v>
      </c>
      <c r="F1181" t="str">
        <f t="shared" si="18"/>
        <v>INSERT INTO stock_alias (stock, alias) VALUES ((SELECT id FROM stock WHERE ticker = 'DUCK'), 'Jaya Bersama Indo Tbk') ON CONFLICT DO NOTHING;</v>
      </c>
    </row>
    <row r="1182" spans="1:6" x14ac:dyDescent="0.2">
      <c r="A1182" t="s">
        <v>1601</v>
      </c>
      <c r="B1182" t="s">
        <v>1602</v>
      </c>
      <c r="C1182" t="s">
        <v>5754</v>
      </c>
      <c r="D1182" t="str">
        <f>TRIM(alias[[#This Row],[Column3]])</f>
        <v>PT Jaya Bersama Indo</v>
      </c>
      <c r="F1182" t="str">
        <f t="shared" si="18"/>
        <v>INSERT INTO stock_alias (stock, alias) VALUES ((SELECT id FROM stock WHERE ticker = 'DUCK'), 'PT Jaya Bersama Indo') ON CONFLICT DO NOTHING;</v>
      </c>
    </row>
    <row r="1183" spans="1:6" x14ac:dyDescent="0.2">
      <c r="A1183" t="s">
        <v>435</v>
      </c>
      <c r="B1183" t="s">
        <v>3556</v>
      </c>
      <c r="C1183" t="s">
        <v>435</v>
      </c>
      <c r="D1183" t="str">
        <f>TRIM(alias[[#This Row],[Column3]])</f>
        <v>DUTI</v>
      </c>
      <c r="F1183" t="str">
        <f t="shared" si="18"/>
        <v>INSERT INTO stock_alias (stock, alias) VALUES ((SELECT id FROM stock WHERE ticker = 'DUTI'), 'DUTI') ON CONFLICT DO NOTHING;</v>
      </c>
    </row>
    <row r="1184" spans="1:6" x14ac:dyDescent="0.2">
      <c r="A1184" t="s">
        <v>435</v>
      </c>
      <c r="B1184" t="s">
        <v>3556</v>
      </c>
      <c r="C1184" t="s">
        <v>5755</v>
      </c>
      <c r="D1184" t="str">
        <f>TRIM(alias[[#This Row],[Column3]])</f>
        <v>Duta Pertiwi</v>
      </c>
      <c r="F1184" t="str">
        <f t="shared" si="18"/>
        <v>INSERT INTO stock_alias (stock, alias) VALUES ((SELECT id FROM stock WHERE ticker = 'DUTI'), 'Duta Pertiwi') ON CONFLICT DO NOTHING;</v>
      </c>
    </row>
    <row r="1185" spans="1:6" x14ac:dyDescent="0.2">
      <c r="A1185" t="s">
        <v>435</v>
      </c>
      <c r="B1185" t="s">
        <v>3556</v>
      </c>
      <c r="C1185" t="s">
        <v>5756</v>
      </c>
      <c r="D1185" t="str">
        <f>TRIM(alias[[#This Row],[Column3]])</f>
        <v>Duta Pertiwi Tbk</v>
      </c>
      <c r="F1185" t="str">
        <f t="shared" si="18"/>
        <v>INSERT INTO stock_alias (stock, alias) VALUES ((SELECT id FROM stock WHERE ticker = 'DUTI'), 'Duta Pertiwi Tbk') ON CONFLICT DO NOTHING;</v>
      </c>
    </row>
    <row r="1186" spans="1:6" x14ac:dyDescent="0.2">
      <c r="A1186" t="s">
        <v>435</v>
      </c>
      <c r="B1186" t="s">
        <v>3556</v>
      </c>
      <c r="C1186" t="s">
        <v>5757</v>
      </c>
      <c r="D1186" t="str">
        <f>TRIM(alias[[#This Row],[Column3]])</f>
        <v>PT Duta Pertiwi</v>
      </c>
      <c r="F1186" t="str">
        <f t="shared" si="18"/>
        <v>INSERT INTO stock_alias (stock, alias) VALUES ((SELECT id FROM stock WHERE ticker = 'DUTI'), 'PT Duta Pertiwi') ON CONFLICT DO NOTHING;</v>
      </c>
    </row>
    <row r="1187" spans="1:6" x14ac:dyDescent="0.2">
      <c r="A1187" t="s">
        <v>438</v>
      </c>
      <c r="B1187" t="s">
        <v>439</v>
      </c>
      <c r="C1187" t="s">
        <v>438</v>
      </c>
      <c r="D1187" t="str">
        <f>TRIM(alias[[#This Row],[Column3]])</f>
        <v>DVLA</v>
      </c>
      <c r="F1187" t="str">
        <f t="shared" si="18"/>
        <v>INSERT INTO stock_alias (stock, alias) VALUES ((SELECT id FROM stock WHERE ticker = 'DVLA'), 'DVLA') ON CONFLICT DO NOTHING;</v>
      </c>
    </row>
    <row r="1188" spans="1:6" x14ac:dyDescent="0.2">
      <c r="A1188" t="s">
        <v>438</v>
      </c>
      <c r="B1188" t="s">
        <v>439</v>
      </c>
      <c r="C1188" t="s">
        <v>5758</v>
      </c>
      <c r="D1188" t="str">
        <f>TRIM(alias[[#This Row],[Column3]])</f>
        <v>Darya-Varia Laboratoria</v>
      </c>
      <c r="F1188" t="str">
        <f t="shared" si="18"/>
        <v>INSERT INTO stock_alias (stock, alias) VALUES ((SELECT id FROM stock WHERE ticker = 'DVLA'), 'Darya-Varia Laboratoria') ON CONFLICT DO NOTHING;</v>
      </c>
    </row>
    <row r="1189" spans="1:6" x14ac:dyDescent="0.2">
      <c r="A1189" t="s">
        <v>438</v>
      </c>
      <c r="B1189" t="s">
        <v>439</v>
      </c>
      <c r="C1189" t="s">
        <v>5759</v>
      </c>
      <c r="D1189" t="str">
        <f>TRIM(alias[[#This Row],[Column3]])</f>
        <v>Darya-Varia Laboratoria Tbk</v>
      </c>
      <c r="F1189" t="str">
        <f t="shared" si="18"/>
        <v>INSERT INTO stock_alias (stock, alias) VALUES ((SELECT id FROM stock WHERE ticker = 'DVLA'), 'Darya-Varia Laboratoria Tbk') ON CONFLICT DO NOTHING;</v>
      </c>
    </row>
    <row r="1190" spans="1:6" x14ac:dyDescent="0.2">
      <c r="A1190" t="s">
        <v>438</v>
      </c>
      <c r="B1190" t="s">
        <v>439</v>
      </c>
      <c r="C1190" t="s">
        <v>5760</v>
      </c>
      <c r="D1190" t="str">
        <f>TRIM(alias[[#This Row],[Column3]])</f>
        <v>PT Darya-Varia Laboratoria</v>
      </c>
      <c r="F1190" t="str">
        <f t="shared" si="18"/>
        <v>INSERT INTO stock_alias (stock, alias) VALUES ((SELECT id FROM stock WHERE ticker = 'DVLA'), 'PT Darya-Varia Laboratoria') ON CONFLICT DO NOTHING;</v>
      </c>
    </row>
    <row r="1191" spans="1:6" x14ac:dyDescent="0.2">
      <c r="A1191" t="s">
        <v>1476</v>
      </c>
      <c r="B1191" t="s">
        <v>1477</v>
      </c>
      <c r="C1191" t="s">
        <v>1476</v>
      </c>
      <c r="D1191" t="str">
        <f>TRIM(alias[[#This Row],[Column3]])</f>
        <v>DWGL</v>
      </c>
      <c r="F1191" t="str">
        <f t="shared" si="18"/>
        <v>INSERT INTO stock_alias (stock, alias) VALUES ((SELECT id FROM stock WHERE ticker = 'DWGL'), 'DWGL') ON CONFLICT DO NOTHING;</v>
      </c>
    </row>
    <row r="1192" spans="1:6" x14ac:dyDescent="0.2">
      <c r="A1192" t="s">
        <v>1476</v>
      </c>
      <c r="B1192" t="s">
        <v>1477</v>
      </c>
      <c r="C1192" t="s">
        <v>5761</v>
      </c>
      <c r="D1192" t="str">
        <f>TRIM(alias[[#This Row],[Column3]])</f>
        <v>Dwi Guna Laksana</v>
      </c>
      <c r="F1192" t="str">
        <f t="shared" si="18"/>
        <v>INSERT INTO stock_alias (stock, alias) VALUES ((SELECT id FROM stock WHERE ticker = 'DWGL'), 'Dwi Guna Laksana') ON CONFLICT DO NOTHING;</v>
      </c>
    </row>
    <row r="1193" spans="1:6" x14ac:dyDescent="0.2">
      <c r="A1193" t="s">
        <v>1476</v>
      </c>
      <c r="B1193" t="s">
        <v>1477</v>
      </c>
      <c r="C1193" t="s">
        <v>5762</v>
      </c>
      <c r="D1193" t="str">
        <f>TRIM(alias[[#This Row],[Column3]])</f>
        <v>Dwi Guna Laksana Tbk</v>
      </c>
      <c r="F1193" t="str">
        <f t="shared" si="18"/>
        <v>INSERT INTO stock_alias (stock, alias) VALUES ((SELECT id FROM stock WHERE ticker = 'DWGL'), 'Dwi Guna Laksana Tbk') ON CONFLICT DO NOTHING;</v>
      </c>
    </row>
    <row r="1194" spans="1:6" x14ac:dyDescent="0.2">
      <c r="A1194" t="s">
        <v>1476</v>
      </c>
      <c r="B1194" t="s">
        <v>1477</v>
      </c>
      <c r="C1194" t="s">
        <v>5763</v>
      </c>
      <c r="D1194" t="str">
        <f>TRIM(alias[[#This Row],[Column3]])</f>
        <v>PT Dwi Guna Laksana</v>
      </c>
      <c r="F1194" t="str">
        <f t="shared" si="18"/>
        <v>INSERT INTO stock_alias (stock, alias) VALUES ((SELECT id FROM stock WHERE ticker = 'DWGL'), 'PT Dwi Guna Laksana') ON CONFLICT DO NOTHING;</v>
      </c>
    </row>
    <row r="1195" spans="1:6" x14ac:dyDescent="0.2">
      <c r="A1195" t="s">
        <v>441</v>
      </c>
      <c r="B1195" t="s">
        <v>3557</v>
      </c>
      <c r="C1195" t="s">
        <v>441</v>
      </c>
      <c r="D1195" t="str">
        <f>TRIM(alias[[#This Row],[Column3]])</f>
        <v>DYAN</v>
      </c>
      <c r="F1195" t="str">
        <f t="shared" si="18"/>
        <v>INSERT INTO stock_alias (stock, alias) VALUES ((SELECT id FROM stock WHERE ticker = 'DYAN'), 'DYAN') ON CONFLICT DO NOTHING;</v>
      </c>
    </row>
    <row r="1196" spans="1:6" x14ac:dyDescent="0.2">
      <c r="A1196" t="s">
        <v>441</v>
      </c>
      <c r="B1196" t="s">
        <v>3557</v>
      </c>
      <c r="C1196" t="s">
        <v>5764</v>
      </c>
      <c r="D1196" t="str">
        <f>TRIM(alias[[#This Row],[Column3]])</f>
        <v>Dyandra Media International</v>
      </c>
      <c r="F1196" t="str">
        <f t="shared" si="18"/>
        <v>INSERT INTO stock_alias (stock, alias) VALUES ((SELECT id FROM stock WHERE ticker = 'DYAN'), 'Dyandra Media International') ON CONFLICT DO NOTHING;</v>
      </c>
    </row>
    <row r="1197" spans="1:6" x14ac:dyDescent="0.2">
      <c r="A1197" t="s">
        <v>441</v>
      </c>
      <c r="B1197" t="s">
        <v>3557</v>
      </c>
      <c r="C1197" t="s">
        <v>5765</v>
      </c>
      <c r="D1197" t="str">
        <f>TRIM(alias[[#This Row],[Column3]])</f>
        <v>Dyandra Media International Tbk</v>
      </c>
      <c r="F1197" t="str">
        <f t="shared" si="18"/>
        <v>INSERT INTO stock_alias (stock, alias) VALUES ((SELECT id FROM stock WHERE ticker = 'DYAN'), 'Dyandra Media International Tbk') ON CONFLICT DO NOTHING;</v>
      </c>
    </row>
    <row r="1198" spans="1:6" x14ac:dyDescent="0.2">
      <c r="A1198" t="s">
        <v>441</v>
      </c>
      <c r="B1198" t="s">
        <v>3557</v>
      </c>
      <c r="C1198" t="s">
        <v>5766</v>
      </c>
      <c r="D1198" t="str">
        <f>TRIM(alias[[#This Row],[Column3]])</f>
        <v>PT Dyandra Media International</v>
      </c>
      <c r="F1198" t="str">
        <f t="shared" si="18"/>
        <v>INSERT INTO stock_alias (stock, alias) VALUES ((SELECT id FROM stock WHERE ticker = 'DYAN'), 'PT Dyandra Media International') ON CONFLICT DO NOTHING;</v>
      </c>
    </row>
    <row r="1199" spans="1:6" x14ac:dyDescent="0.2">
      <c r="A1199" t="s">
        <v>1707</v>
      </c>
      <c r="B1199" t="s">
        <v>1708</v>
      </c>
      <c r="C1199" t="s">
        <v>1707</v>
      </c>
      <c r="D1199" t="str">
        <f>TRIM(alias[[#This Row],[Column3]])</f>
        <v>EAST</v>
      </c>
      <c r="F1199" t="str">
        <f t="shared" si="18"/>
        <v>INSERT INTO stock_alias (stock, alias) VALUES ((SELECT id FROM stock WHERE ticker = 'EAST'), 'EAST') ON CONFLICT DO NOTHING;</v>
      </c>
    </row>
    <row r="1200" spans="1:6" x14ac:dyDescent="0.2">
      <c r="A1200" t="s">
        <v>1707</v>
      </c>
      <c r="B1200" t="s">
        <v>1708</v>
      </c>
      <c r="C1200" t="s">
        <v>5767</v>
      </c>
      <c r="D1200" t="str">
        <f>TRIM(alias[[#This Row],[Column3]])</f>
        <v>Eastparc Hotel</v>
      </c>
      <c r="F1200" t="str">
        <f t="shared" si="18"/>
        <v>INSERT INTO stock_alias (stock, alias) VALUES ((SELECT id FROM stock WHERE ticker = 'EAST'), 'Eastparc Hotel') ON CONFLICT DO NOTHING;</v>
      </c>
    </row>
    <row r="1201" spans="1:6" x14ac:dyDescent="0.2">
      <c r="A1201" t="s">
        <v>1707</v>
      </c>
      <c r="B1201" t="s">
        <v>1708</v>
      </c>
      <c r="C1201" t="s">
        <v>5768</v>
      </c>
      <c r="D1201" t="str">
        <f>TRIM(alias[[#This Row],[Column3]])</f>
        <v>Eastparc Hotel Tbk</v>
      </c>
      <c r="F1201" t="str">
        <f t="shared" si="18"/>
        <v>INSERT INTO stock_alias (stock, alias) VALUES ((SELECT id FROM stock WHERE ticker = 'EAST'), 'Eastparc Hotel Tbk') ON CONFLICT DO NOTHING;</v>
      </c>
    </row>
    <row r="1202" spans="1:6" x14ac:dyDescent="0.2">
      <c r="A1202" t="s">
        <v>1707</v>
      </c>
      <c r="B1202" t="s">
        <v>1708</v>
      </c>
      <c r="C1202" t="s">
        <v>5769</v>
      </c>
      <c r="D1202" t="str">
        <f>TRIM(alias[[#This Row],[Column3]])</f>
        <v>PT Eastparc Hotel</v>
      </c>
      <c r="F1202" t="str">
        <f t="shared" si="18"/>
        <v>INSERT INTO stock_alias (stock, alias) VALUES ((SELECT id FROM stock WHERE ticker = 'EAST'), 'PT Eastparc Hotel') ON CONFLICT DO NOTHING;</v>
      </c>
    </row>
    <row r="1203" spans="1:6" x14ac:dyDescent="0.2">
      <c r="A1203" t="s">
        <v>443</v>
      </c>
      <c r="B1203" t="s">
        <v>444</v>
      </c>
      <c r="C1203" t="s">
        <v>443</v>
      </c>
      <c r="D1203" t="str">
        <f>TRIM(alias[[#This Row],[Column3]])</f>
        <v>ECII</v>
      </c>
      <c r="F1203" t="str">
        <f t="shared" si="18"/>
        <v>INSERT INTO stock_alias (stock, alias) VALUES ((SELECT id FROM stock WHERE ticker = 'ECII'), 'ECII') ON CONFLICT DO NOTHING;</v>
      </c>
    </row>
    <row r="1204" spans="1:6" x14ac:dyDescent="0.2">
      <c r="A1204" t="s">
        <v>443</v>
      </c>
      <c r="B1204" t="s">
        <v>444</v>
      </c>
      <c r="C1204" t="s">
        <v>5770</v>
      </c>
      <c r="D1204" t="str">
        <f>TRIM(alias[[#This Row],[Column3]])</f>
        <v>Electronic City Indonesia</v>
      </c>
      <c r="F1204" t="str">
        <f t="shared" si="18"/>
        <v>INSERT INTO stock_alias (stock, alias) VALUES ((SELECT id FROM stock WHERE ticker = 'ECII'), 'Electronic City Indonesia') ON CONFLICT DO NOTHING;</v>
      </c>
    </row>
    <row r="1205" spans="1:6" x14ac:dyDescent="0.2">
      <c r="A1205" t="s">
        <v>443</v>
      </c>
      <c r="B1205" t="s">
        <v>444</v>
      </c>
      <c r="C1205" t="s">
        <v>5771</v>
      </c>
      <c r="D1205" t="str">
        <f>TRIM(alias[[#This Row],[Column3]])</f>
        <v>Electronic City Indonesia Tbk</v>
      </c>
      <c r="F1205" t="str">
        <f t="shared" si="18"/>
        <v>INSERT INTO stock_alias (stock, alias) VALUES ((SELECT id FROM stock WHERE ticker = 'ECII'), 'Electronic City Indonesia Tbk') ON CONFLICT DO NOTHING;</v>
      </c>
    </row>
    <row r="1206" spans="1:6" x14ac:dyDescent="0.2">
      <c r="A1206" t="s">
        <v>443</v>
      </c>
      <c r="B1206" t="s">
        <v>444</v>
      </c>
      <c r="C1206" t="s">
        <v>5772</v>
      </c>
      <c r="D1206" t="str">
        <f>TRIM(alias[[#This Row],[Column3]])</f>
        <v>PT Electronic City Indonesia</v>
      </c>
      <c r="F1206" t="str">
        <f t="shared" si="18"/>
        <v>INSERT INTO stock_alias (stock, alias) VALUES ((SELECT id FROM stock WHERE ticker = 'ECII'), 'PT Electronic City Indonesia') ON CONFLICT DO NOTHING;</v>
      </c>
    </row>
    <row r="1207" spans="1:6" x14ac:dyDescent="0.2">
      <c r="A1207" t="s">
        <v>1915</v>
      </c>
      <c r="B1207" t="s">
        <v>1916</v>
      </c>
      <c r="C1207" t="s">
        <v>5773</v>
      </c>
      <c r="D1207" t="str">
        <f>TRIM(alias[[#This Row],[Column3]])</f>
        <v>EDGE Tbk</v>
      </c>
      <c r="F1207" t="str">
        <f t="shared" si="18"/>
        <v>INSERT INTO stock_alias (stock, alias) VALUES ((SELECT id FROM stock WHERE ticker = 'EDGE'), 'EDGE Tbk') ON CONFLICT DO NOTHING;</v>
      </c>
    </row>
    <row r="1208" spans="1:6" x14ac:dyDescent="0.2">
      <c r="A1208" t="s">
        <v>1915</v>
      </c>
      <c r="B1208" t="s">
        <v>1916</v>
      </c>
      <c r="C1208" t="s">
        <v>5774</v>
      </c>
      <c r="D1208" t="str">
        <f>TRIM(alias[[#This Row],[Column3]])</f>
        <v>PT Indointernet</v>
      </c>
      <c r="F1208" t="str">
        <f t="shared" si="18"/>
        <v>INSERT INTO stock_alias (stock, alias) VALUES ((SELECT id FROM stock WHERE ticker = 'EDGE'), 'PT Indointernet') ON CONFLICT DO NOTHING;</v>
      </c>
    </row>
    <row r="1209" spans="1:6" x14ac:dyDescent="0.2">
      <c r="A1209" t="s">
        <v>446</v>
      </c>
      <c r="B1209" t="s">
        <v>447</v>
      </c>
      <c r="C1209" t="s">
        <v>446</v>
      </c>
      <c r="D1209" t="str">
        <f>TRIM(alias[[#This Row],[Column3]])</f>
        <v>EKAD</v>
      </c>
      <c r="F1209" t="str">
        <f t="shared" si="18"/>
        <v>INSERT INTO stock_alias (stock, alias) VALUES ((SELECT id FROM stock WHERE ticker = 'EKAD'), 'EKAD') ON CONFLICT DO NOTHING;</v>
      </c>
    </row>
    <row r="1210" spans="1:6" x14ac:dyDescent="0.2">
      <c r="A1210" t="s">
        <v>446</v>
      </c>
      <c r="B1210" t="s">
        <v>447</v>
      </c>
      <c r="C1210" t="s">
        <v>5775</v>
      </c>
      <c r="D1210" t="str">
        <f>TRIM(alias[[#This Row],[Column3]])</f>
        <v>Ekadharma International</v>
      </c>
      <c r="F1210" t="str">
        <f t="shared" si="18"/>
        <v>INSERT INTO stock_alias (stock, alias) VALUES ((SELECT id FROM stock WHERE ticker = 'EKAD'), 'Ekadharma International') ON CONFLICT DO NOTHING;</v>
      </c>
    </row>
    <row r="1211" spans="1:6" x14ac:dyDescent="0.2">
      <c r="A1211" t="s">
        <v>446</v>
      </c>
      <c r="B1211" t="s">
        <v>447</v>
      </c>
      <c r="C1211" t="s">
        <v>5776</v>
      </c>
      <c r="D1211" t="str">
        <f>TRIM(alias[[#This Row],[Column3]])</f>
        <v>Ekadharma International Tbk</v>
      </c>
      <c r="F1211" t="str">
        <f t="shared" si="18"/>
        <v>INSERT INTO stock_alias (stock, alias) VALUES ((SELECT id FROM stock WHERE ticker = 'EKAD'), 'Ekadharma International Tbk') ON CONFLICT DO NOTHING;</v>
      </c>
    </row>
    <row r="1212" spans="1:6" x14ac:dyDescent="0.2">
      <c r="A1212" t="s">
        <v>446</v>
      </c>
      <c r="B1212" t="s">
        <v>447</v>
      </c>
      <c r="C1212" t="s">
        <v>5777</v>
      </c>
      <c r="D1212" t="str">
        <f>TRIM(alias[[#This Row],[Column3]])</f>
        <v>PT Ekadharma International</v>
      </c>
      <c r="F1212" t="str">
        <f t="shared" si="18"/>
        <v>INSERT INTO stock_alias (stock, alias) VALUES ((SELECT id FROM stock WHERE ticker = 'EKAD'), 'PT Ekadharma International') ON CONFLICT DO NOTHING;</v>
      </c>
    </row>
    <row r="1213" spans="1:6" x14ac:dyDescent="0.2">
      <c r="A1213" t="s">
        <v>2219</v>
      </c>
      <c r="B1213" t="s">
        <v>2220</v>
      </c>
      <c r="C1213" t="s">
        <v>2219</v>
      </c>
      <c r="D1213" t="str">
        <f>TRIM(alias[[#This Row],[Column3]])</f>
        <v>ELIT</v>
      </c>
      <c r="F1213" t="str">
        <f t="shared" si="18"/>
        <v>INSERT INTO stock_alias (stock, alias) VALUES ((SELECT id FROM stock WHERE ticker = 'ELIT'), 'ELIT') ON CONFLICT DO NOTHING;</v>
      </c>
    </row>
    <row r="1214" spans="1:6" x14ac:dyDescent="0.2">
      <c r="A1214" t="s">
        <v>2219</v>
      </c>
      <c r="B1214" t="s">
        <v>2220</v>
      </c>
      <c r="C1214" t="s">
        <v>5778</v>
      </c>
      <c r="D1214" t="str">
        <f>TRIM(alias[[#This Row],[Column3]])</f>
        <v>Data Sinergitama Jaya</v>
      </c>
      <c r="F1214" t="str">
        <f t="shared" si="18"/>
        <v>INSERT INTO stock_alias (stock, alias) VALUES ((SELECT id FROM stock WHERE ticker = 'ELIT'), 'Data Sinergitama Jaya') ON CONFLICT DO NOTHING;</v>
      </c>
    </row>
    <row r="1215" spans="1:6" x14ac:dyDescent="0.2">
      <c r="A1215" t="s">
        <v>2219</v>
      </c>
      <c r="B1215" t="s">
        <v>2220</v>
      </c>
      <c r="C1215" t="s">
        <v>5779</v>
      </c>
      <c r="D1215" t="str">
        <f>TRIM(alias[[#This Row],[Column3]])</f>
        <v>Data Sinergitama Jaya Tbk</v>
      </c>
      <c r="F1215" t="str">
        <f t="shared" si="18"/>
        <v>INSERT INTO stock_alias (stock, alias) VALUES ((SELECT id FROM stock WHERE ticker = 'ELIT'), 'Data Sinergitama Jaya Tbk') ON CONFLICT DO NOTHING;</v>
      </c>
    </row>
    <row r="1216" spans="1:6" x14ac:dyDescent="0.2">
      <c r="A1216" t="s">
        <v>2219</v>
      </c>
      <c r="B1216" t="s">
        <v>2220</v>
      </c>
      <c r="C1216" t="s">
        <v>5780</v>
      </c>
      <c r="D1216" t="str">
        <f>TRIM(alias[[#This Row],[Column3]])</f>
        <v>PT Data Sinergitama Jaya</v>
      </c>
      <c r="F1216" t="str">
        <f t="shared" si="18"/>
        <v>INSERT INTO stock_alias (stock, alias) VALUES ((SELECT id FROM stock WHERE ticker = 'ELIT'), 'PT Data Sinergitama Jaya') ON CONFLICT DO NOTHING;</v>
      </c>
    </row>
    <row r="1217" spans="1:6" x14ac:dyDescent="0.2">
      <c r="A1217" t="s">
        <v>2154</v>
      </c>
      <c r="B1217" t="s">
        <v>3558</v>
      </c>
      <c r="C1217" t="s">
        <v>2154</v>
      </c>
      <c r="D1217" t="str">
        <f>TRIM(alias[[#This Row],[Column3]])</f>
        <v>ELPI</v>
      </c>
      <c r="F1217" t="str">
        <f t="shared" si="18"/>
        <v>INSERT INTO stock_alias (stock, alias) VALUES ((SELECT id FROM stock WHERE ticker = 'ELPI'), 'ELPI') ON CONFLICT DO NOTHING;</v>
      </c>
    </row>
    <row r="1218" spans="1:6" x14ac:dyDescent="0.2">
      <c r="A1218" t="s">
        <v>2154</v>
      </c>
      <c r="B1218" t="s">
        <v>3558</v>
      </c>
      <c r="C1218" t="s">
        <v>5781</v>
      </c>
      <c r="D1218" t="str">
        <f>TRIM(alias[[#This Row],[Column3]])</f>
        <v>PT Pelayaran Nasional Ekalya Purnamasari</v>
      </c>
      <c r="F1218" t="str">
        <f t="shared" si="18"/>
        <v>INSERT INTO stock_alias (stock, alias) VALUES ((SELECT id FROM stock WHERE ticker = 'ELPI'), 'PT Pelayaran Nasional Ekalya Purnamasari') ON CONFLICT DO NOTHING;</v>
      </c>
    </row>
    <row r="1219" spans="1:6" x14ac:dyDescent="0.2">
      <c r="A1219" t="s">
        <v>2154</v>
      </c>
      <c r="B1219" t="s">
        <v>3558</v>
      </c>
      <c r="C1219" t="s">
        <v>5782</v>
      </c>
      <c r="D1219" t="str">
        <f>TRIM(alias[[#This Row],[Column3]])</f>
        <v>Pelayaran Nasional Ekalya Purnamasari</v>
      </c>
      <c r="F1219" t="str">
        <f t="shared" ref="F1219:F1282" si="19">_xlfn.CONCAT($F$1, _xlfn.CONCAT($G$1, A1219, "'), '", D1219, "') ON CONFLICT DO NOTHING;"))</f>
        <v>INSERT INTO stock_alias (stock, alias) VALUES ((SELECT id FROM stock WHERE ticker = 'ELPI'), 'Pelayaran Nasional Ekalya Purnamasari') ON CONFLICT DO NOTHING;</v>
      </c>
    </row>
    <row r="1220" spans="1:6" x14ac:dyDescent="0.2">
      <c r="A1220" t="s">
        <v>2154</v>
      </c>
      <c r="B1220" t="s">
        <v>3558</v>
      </c>
      <c r="C1220" t="s">
        <v>5783</v>
      </c>
      <c r="D1220" t="str">
        <f>TRIM(alias[[#This Row],[Column3]])</f>
        <v>Pelayaran Nasional Ekalya Purnamasari Tbk</v>
      </c>
      <c r="F1220" t="str">
        <f t="shared" si="19"/>
        <v>INSERT INTO stock_alias (stock, alias) VALUES ((SELECT id FROM stock WHERE ticker = 'ELPI'), 'Pelayaran Nasional Ekalya Purnamasari Tbk') ON CONFLICT DO NOTHING;</v>
      </c>
    </row>
    <row r="1221" spans="1:6" x14ac:dyDescent="0.2">
      <c r="A1221" t="s">
        <v>449</v>
      </c>
      <c r="B1221" t="s">
        <v>450</v>
      </c>
      <c r="C1221" t="s">
        <v>5784</v>
      </c>
      <c r="D1221" t="str">
        <f>TRIM(alias[[#This Row],[Column3]])</f>
        <v>ELSA Tbk</v>
      </c>
      <c r="F1221" t="str">
        <f t="shared" si="19"/>
        <v>INSERT INTO stock_alias (stock, alias) VALUES ((SELECT id FROM stock WHERE ticker = 'ELSA'), 'ELSA Tbk') ON CONFLICT DO NOTHING;</v>
      </c>
    </row>
    <row r="1222" spans="1:6" x14ac:dyDescent="0.2">
      <c r="A1222" t="s">
        <v>449</v>
      </c>
      <c r="B1222" t="s">
        <v>450</v>
      </c>
      <c r="C1222" t="s">
        <v>5785</v>
      </c>
      <c r="D1222" t="str">
        <f>TRIM(alias[[#This Row],[Column3]])</f>
        <v>PT Elnusa</v>
      </c>
      <c r="F1222" t="str">
        <f t="shared" si="19"/>
        <v>INSERT INTO stock_alias (stock, alias) VALUES ((SELECT id FROM stock WHERE ticker = 'ELSA'), 'PT Elnusa') ON CONFLICT DO NOTHING;</v>
      </c>
    </row>
    <row r="1223" spans="1:6" x14ac:dyDescent="0.2">
      <c r="A1223" t="s">
        <v>452</v>
      </c>
      <c r="B1223" t="s">
        <v>453</v>
      </c>
      <c r="C1223" t="s">
        <v>452</v>
      </c>
      <c r="D1223" t="str">
        <f>TRIM(alias[[#This Row],[Column3]])</f>
        <v>ELTY</v>
      </c>
      <c r="F1223" t="str">
        <f t="shared" si="19"/>
        <v>INSERT INTO stock_alias (stock, alias) VALUES ((SELECT id FROM stock WHERE ticker = 'ELTY'), 'ELTY') ON CONFLICT DO NOTHING;</v>
      </c>
    </row>
    <row r="1224" spans="1:6" x14ac:dyDescent="0.2">
      <c r="A1224" t="s">
        <v>452</v>
      </c>
      <c r="B1224" t="s">
        <v>453</v>
      </c>
      <c r="C1224" t="s">
        <v>5786</v>
      </c>
      <c r="D1224" t="str">
        <f>TRIM(alias[[#This Row],[Column3]])</f>
        <v>Bakrieland Development</v>
      </c>
      <c r="F1224" t="str">
        <f t="shared" si="19"/>
        <v>INSERT INTO stock_alias (stock, alias) VALUES ((SELECT id FROM stock WHERE ticker = 'ELTY'), 'Bakrieland Development') ON CONFLICT DO NOTHING;</v>
      </c>
    </row>
    <row r="1225" spans="1:6" x14ac:dyDescent="0.2">
      <c r="A1225" t="s">
        <v>452</v>
      </c>
      <c r="B1225" t="s">
        <v>453</v>
      </c>
      <c r="C1225" t="s">
        <v>5787</v>
      </c>
      <c r="D1225" t="str">
        <f>TRIM(alias[[#This Row],[Column3]])</f>
        <v>Bakrieland Development Tbk</v>
      </c>
      <c r="F1225" t="str">
        <f t="shared" si="19"/>
        <v>INSERT INTO stock_alias (stock, alias) VALUES ((SELECT id FROM stock WHERE ticker = 'ELTY'), 'Bakrieland Development Tbk') ON CONFLICT DO NOTHING;</v>
      </c>
    </row>
    <row r="1226" spans="1:6" x14ac:dyDescent="0.2">
      <c r="A1226" t="s">
        <v>452</v>
      </c>
      <c r="B1226" t="s">
        <v>453</v>
      </c>
      <c r="C1226" t="s">
        <v>5788</v>
      </c>
      <c r="D1226" t="str">
        <f>TRIM(alias[[#This Row],[Column3]])</f>
        <v>PT Bakrieland Development</v>
      </c>
      <c r="F1226" t="str">
        <f t="shared" si="19"/>
        <v>INSERT INTO stock_alias (stock, alias) VALUES ((SELECT id FROM stock WHERE ticker = 'ELTY'), 'PT Bakrieland Development') ON CONFLICT DO NOTHING;</v>
      </c>
    </row>
    <row r="1227" spans="1:6" x14ac:dyDescent="0.2">
      <c r="A1227" t="s">
        <v>2558</v>
      </c>
      <c r="B1227" t="s">
        <v>2559</v>
      </c>
      <c r="C1227" t="s">
        <v>2558</v>
      </c>
      <c r="D1227" t="str">
        <f>TRIM(alias[[#This Row],[Column3]])</f>
        <v>EMAS</v>
      </c>
      <c r="F1227" t="str">
        <f t="shared" si="19"/>
        <v>INSERT INTO stock_alias (stock, alias) VALUES ((SELECT id FROM stock WHERE ticker = 'EMAS'), 'EMAS') ON CONFLICT DO NOTHING;</v>
      </c>
    </row>
    <row r="1228" spans="1:6" x14ac:dyDescent="0.2">
      <c r="A1228" t="s">
        <v>2558</v>
      </c>
      <c r="B1228" t="s">
        <v>2559</v>
      </c>
      <c r="C1228" t="s">
        <v>5789</v>
      </c>
      <c r="D1228" t="str">
        <f>TRIM(alias[[#This Row],[Column3]])</f>
        <v>Merdeka Gold Resources</v>
      </c>
      <c r="F1228" t="str">
        <f t="shared" si="19"/>
        <v>INSERT INTO stock_alias (stock, alias) VALUES ((SELECT id FROM stock WHERE ticker = 'EMAS'), 'Merdeka Gold Resources') ON CONFLICT DO NOTHING;</v>
      </c>
    </row>
    <row r="1229" spans="1:6" x14ac:dyDescent="0.2">
      <c r="A1229" t="s">
        <v>2558</v>
      </c>
      <c r="B1229" t="s">
        <v>2559</v>
      </c>
      <c r="C1229" t="s">
        <v>5790</v>
      </c>
      <c r="D1229" t="str">
        <f>TRIM(alias[[#This Row],[Column3]])</f>
        <v>Merdeka Gold Resources Tbk</v>
      </c>
      <c r="F1229" t="str">
        <f t="shared" si="19"/>
        <v>INSERT INTO stock_alias (stock, alias) VALUES ((SELECT id FROM stock WHERE ticker = 'EMAS'), 'Merdeka Gold Resources Tbk') ON CONFLICT DO NOTHING;</v>
      </c>
    </row>
    <row r="1230" spans="1:6" x14ac:dyDescent="0.2">
      <c r="A1230" t="s">
        <v>2558</v>
      </c>
      <c r="B1230" t="s">
        <v>2559</v>
      </c>
      <c r="C1230" t="s">
        <v>5791</v>
      </c>
      <c r="D1230" t="str">
        <f>TRIM(alias[[#This Row],[Column3]])</f>
        <v>PT Merdeka Gold Resources</v>
      </c>
      <c r="F1230" t="str">
        <f t="shared" si="19"/>
        <v>INSERT INTO stock_alias (stock, alias) VALUES ((SELECT id FROM stock WHERE ticker = 'EMAS'), 'PT Merdeka Gold Resources') ON CONFLICT DO NOTHING;</v>
      </c>
    </row>
    <row r="1231" spans="1:6" x14ac:dyDescent="0.2">
      <c r="A1231" t="s">
        <v>455</v>
      </c>
      <c r="B1231" t="s">
        <v>456</v>
      </c>
      <c r="C1231" t="s">
        <v>455</v>
      </c>
      <c r="D1231" t="str">
        <f>TRIM(alias[[#This Row],[Column3]])</f>
        <v>EMDE</v>
      </c>
      <c r="F1231" t="str">
        <f t="shared" si="19"/>
        <v>INSERT INTO stock_alias (stock, alias) VALUES ((SELECT id FROM stock WHERE ticker = 'EMDE'), 'EMDE') ON CONFLICT DO NOTHING;</v>
      </c>
    </row>
    <row r="1232" spans="1:6" x14ac:dyDescent="0.2">
      <c r="A1232" t="s">
        <v>455</v>
      </c>
      <c r="B1232" t="s">
        <v>456</v>
      </c>
      <c r="C1232" t="s">
        <v>5792</v>
      </c>
      <c r="D1232" t="str">
        <f>TRIM(alias[[#This Row],[Column3]])</f>
        <v>Megapolitan Developments</v>
      </c>
      <c r="F1232" t="str">
        <f t="shared" si="19"/>
        <v>INSERT INTO stock_alias (stock, alias) VALUES ((SELECT id FROM stock WHERE ticker = 'EMDE'), 'Megapolitan Developments') ON CONFLICT DO NOTHING;</v>
      </c>
    </row>
    <row r="1233" spans="1:6" x14ac:dyDescent="0.2">
      <c r="A1233" t="s">
        <v>455</v>
      </c>
      <c r="B1233" t="s">
        <v>456</v>
      </c>
      <c r="C1233" t="s">
        <v>5793</v>
      </c>
      <c r="D1233" t="str">
        <f>TRIM(alias[[#This Row],[Column3]])</f>
        <v>Megapolitan Developments Tbk</v>
      </c>
      <c r="F1233" t="str">
        <f t="shared" si="19"/>
        <v>INSERT INTO stock_alias (stock, alias) VALUES ((SELECT id FROM stock WHERE ticker = 'EMDE'), 'Megapolitan Developments Tbk') ON CONFLICT DO NOTHING;</v>
      </c>
    </row>
    <row r="1234" spans="1:6" x14ac:dyDescent="0.2">
      <c r="A1234" t="s">
        <v>455</v>
      </c>
      <c r="B1234" t="s">
        <v>456</v>
      </c>
      <c r="C1234" t="s">
        <v>5794</v>
      </c>
      <c r="D1234" t="str">
        <f>TRIM(alias[[#This Row],[Column3]])</f>
        <v>PT Megapolitan Developments</v>
      </c>
      <c r="F1234" t="str">
        <f t="shared" si="19"/>
        <v>INSERT INTO stock_alias (stock, alias) VALUES ((SELECT id FROM stock WHERE ticker = 'EMDE'), 'PT Megapolitan Developments') ON CONFLICT DO NOTHING;</v>
      </c>
    </row>
    <row r="1235" spans="1:6" x14ac:dyDescent="0.2">
      <c r="A1235" t="s">
        <v>458</v>
      </c>
      <c r="B1235" t="s">
        <v>459</v>
      </c>
      <c r="C1235" t="s">
        <v>458</v>
      </c>
      <c r="D1235" t="str">
        <f>TRIM(alias[[#This Row],[Column3]])</f>
        <v>EMTK</v>
      </c>
      <c r="F1235" t="str">
        <f t="shared" si="19"/>
        <v>INSERT INTO stock_alias (stock, alias) VALUES ((SELECT id FROM stock WHERE ticker = 'EMTK'), 'EMTK') ON CONFLICT DO NOTHING;</v>
      </c>
    </row>
    <row r="1236" spans="1:6" x14ac:dyDescent="0.2">
      <c r="A1236" t="s">
        <v>458</v>
      </c>
      <c r="B1236" t="s">
        <v>459</v>
      </c>
      <c r="C1236" t="s">
        <v>5795</v>
      </c>
      <c r="D1236" t="str">
        <f>TRIM(alias[[#This Row],[Column3]])</f>
        <v>Elang Mahkota Teknologi</v>
      </c>
      <c r="F1236" t="str">
        <f t="shared" si="19"/>
        <v>INSERT INTO stock_alias (stock, alias) VALUES ((SELECT id FROM stock WHERE ticker = 'EMTK'), 'Elang Mahkota Teknologi') ON CONFLICT DO NOTHING;</v>
      </c>
    </row>
    <row r="1237" spans="1:6" x14ac:dyDescent="0.2">
      <c r="A1237" t="s">
        <v>458</v>
      </c>
      <c r="B1237" t="s">
        <v>459</v>
      </c>
      <c r="C1237" t="s">
        <v>5796</v>
      </c>
      <c r="D1237" t="str">
        <f>TRIM(alias[[#This Row],[Column3]])</f>
        <v>Elang Mahkota Teknologi Tbk</v>
      </c>
      <c r="F1237" t="str">
        <f t="shared" si="19"/>
        <v>INSERT INTO stock_alias (stock, alias) VALUES ((SELECT id FROM stock WHERE ticker = 'EMTK'), 'Elang Mahkota Teknologi Tbk') ON CONFLICT DO NOTHING;</v>
      </c>
    </row>
    <row r="1238" spans="1:6" x14ac:dyDescent="0.2">
      <c r="A1238" t="s">
        <v>458</v>
      </c>
      <c r="B1238" t="s">
        <v>459</v>
      </c>
      <c r="C1238" t="s">
        <v>5797</v>
      </c>
      <c r="D1238" t="str">
        <f>TRIM(alias[[#This Row],[Column3]])</f>
        <v>PT Elang Mahkota Teknologi</v>
      </c>
      <c r="F1238" t="str">
        <f t="shared" si="19"/>
        <v>INSERT INTO stock_alias (stock, alias) VALUES ((SELECT id FROM stock WHERE ticker = 'EMTK'), 'PT Elang Mahkota Teknologi') ON CONFLICT DO NOTHING;</v>
      </c>
    </row>
    <row r="1239" spans="1:6" x14ac:dyDescent="0.2">
      <c r="A1239" t="s">
        <v>2074</v>
      </c>
      <c r="B1239" t="s">
        <v>2075</v>
      </c>
      <c r="C1239" t="s">
        <v>2074</v>
      </c>
      <c r="D1239" t="str">
        <f>TRIM(alias[[#This Row],[Column3]])</f>
        <v>ENAK</v>
      </c>
      <c r="F1239" t="str">
        <f t="shared" si="19"/>
        <v>INSERT INTO stock_alias (stock, alias) VALUES ((SELECT id FROM stock WHERE ticker = 'ENAK'), 'ENAK') ON CONFLICT DO NOTHING;</v>
      </c>
    </row>
    <row r="1240" spans="1:6" x14ac:dyDescent="0.2">
      <c r="A1240" t="s">
        <v>2074</v>
      </c>
      <c r="B1240" t="s">
        <v>2075</v>
      </c>
      <c r="C1240" t="s">
        <v>5798</v>
      </c>
      <c r="D1240" t="str">
        <f>TRIM(alias[[#This Row],[Column3]])</f>
        <v>Champ Resto Indonesia</v>
      </c>
      <c r="F1240" t="str">
        <f t="shared" si="19"/>
        <v>INSERT INTO stock_alias (stock, alias) VALUES ((SELECT id FROM stock WHERE ticker = 'ENAK'), 'Champ Resto Indonesia') ON CONFLICT DO NOTHING;</v>
      </c>
    </row>
    <row r="1241" spans="1:6" x14ac:dyDescent="0.2">
      <c r="A1241" t="s">
        <v>2074</v>
      </c>
      <c r="B1241" t="s">
        <v>2075</v>
      </c>
      <c r="C1241" t="s">
        <v>5799</v>
      </c>
      <c r="D1241" t="str">
        <f>TRIM(alias[[#This Row],[Column3]])</f>
        <v>Champ Resto Indonesia Tbk</v>
      </c>
      <c r="F1241" t="str">
        <f t="shared" si="19"/>
        <v>INSERT INTO stock_alias (stock, alias) VALUES ((SELECT id FROM stock WHERE ticker = 'ENAK'), 'Champ Resto Indonesia Tbk') ON CONFLICT DO NOTHING;</v>
      </c>
    </row>
    <row r="1242" spans="1:6" x14ac:dyDescent="0.2">
      <c r="A1242" t="s">
        <v>2074</v>
      </c>
      <c r="B1242" t="s">
        <v>2075</v>
      </c>
      <c r="C1242" t="s">
        <v>5800</v>
      </c>
      <c r="D1242" t="str">
        <f>TRIM(alias[[#This Row],[Column3]])</f>
        <v>PT Champ Resto Indonesia</v>
      </c>
      <c r="F1242" t="str">
        <f t="shared" si="19"/>
        <v>INSERT INTO stock_alias (stock, alias) VALUES ((SELECT id FROM stock WHERE ticker = 'ENAK'), 'PT Champ Resto Indonesia') ON CONFLICT DO NOTHING;</v>
      </c>
    </row>
    <row r="1243" spans="1:6" x14ac:dyDescent="0.2">
      <c r="A1243" t="s">
        <v>461</v>
      </c>
      <c r="B1243" t="s">
        <v>462</v>
      </c>
      <c r="C1243" t="s">
        <v>461</v>
      </c>
      <c r="D1243" t="str">
        <f>TRIM(alias[[#This Row],[Column3]])</f>
        <v>ENRG</v>
      </c>
      <c r="F1243" t="str">
        <f t="shared" si="19"/>
        <v>INSERT INTO stock_alias (stock, alias) VALUES ((SELECT id FROM stock WHERE ticker = 'ENRG'), 'ENRG') ON CONFLICT DO NOTHING;</v>
      </c>
    </row>
    <row r="1244" spans="1:6" x14ac:dyDescent="0.2">
      <c r="A1244" t="s">
        <v>461</v>
      </c>
      <c r="B1244" t="s">
        <v>462</v>
      </c>
      <c r="C1244" t="s">
        <v>5801</v>
      </c>
      <c r="D1244" t="str">
        <f>TRIM(alias[[#This Row],[Column3]])</f>
        <v>EMP</v>
      </c>
      <c r="F1244" t="str">
        <f t="shared" si="19"/>
        <v>INSERT INTO stock_alias (stock, alias) VALUES ((SELECT id FROM stock WHERE ticker = 'ENRG'), 'EMP') ON CONFLICT DO NOTHING;</v>
      </c>
    </row>
    <row r="1245" spans="1:6" x14ac:dyDescent="0.2">
      <c r="A1245" t="s">
        <v>461</v>
      </c>
      <c r="B1245" t="s">
        <v>462</v>
      </c>
      <c r="C1245" t="s">
        <v>5802</v>
      </c>
      <c r="D1245" t="str">
        <f>TRIM(alias[[#This Row],[Column3]])</f>
        <v>Energi Mega Persada</v>
      </c>
      <c r="F1245" t="str">
        <f t="shared" si="19"/>
        <v>INSERT INTO stock_alias (stock, alias) VALUES ((SELECT id FROM stock WHERE ticker = 'ENRG'), 'Energi Mega Persada') ON CONFLICT DO NOTHING;</v>
      </c>
    </row>
    <row r="1246" spans="1:6" x14ac:dyDescent="0.2">
      <c r="A1246" t="s">
        <v>461</v>
      </c>
      <c r="B1246" t="s">
        <v>462</v>
      </c>
      <c r="C1246" t="s">
        <v>5803</v>
      </c>
      <c r="D1246" t="str">
        <f>TRIM(alias[[#This Row],[Column3]])</f>
        <v>Energi Mega Persada Tbk</v>
      </c>
      <c r="F1246" t="str">
        <f t="shared" si="19"/>
        <v>INSERT INTO stock_alias (stock, alias) VALUES ((SELECT id FROM stock WHERE ticker = 'ENRG'), 'Energi Mega Persada Tbk') ON CONFLICT DO NOTHING;</v>
      </c>
    </row>
    <row r="1247" spans="1:6" x14ac:dyDescent="0.2">
      <c r="A1247" t="s">
        <v>461</v>
      </c>
      <c r="B1247" t="s">
        <v>462</v>
      </c>
      <c r="C1247" t="s">
        <v>5804</v>
      </c>
      <c r="D1247" t="str">
        <f>TRIM(alias[[#This Row],[Column3]])</f>
        <v>PT Energi Mega Persada</v>
      </c>
      <c r="F1247" t="str">
        <f t="shared" si="19"/>
        <v>INSERT INTO stock_alias (stock, alias) VALUES ((SELECT id FROM stock WHERE ticker = 'ENRG'), 'PT Energi Mega Persada') ON CONFLICT DO NOTHING;</v>
      </c>
    </row>
    <row r="1248" spans="1:6" x14ac:dyDescent="0.2">
      <c r="A1248" t="s">
        <v>1706</v>
      </c>
      <c r="B1248" t="s">
        <v>3559</v>
      </c>
      <c r="C1248" t="s">
        <v>1706</v>
      </c>
      <c r="D1248" t="str">
        <f>TRIM(alias[[#This Row],[Column3]])</f>
        <v>ENVY</v>
      </c>
      <c r="F1248" t="str">
        <f t="shared" si="19"/>
        <v>INSERT INTO stock_alias (stock, alias) VALUES ((SELECT id FROM stock WHERE ticker = 'ENVY'), 'ENVY') ON CONFLICT DO NOTHING;</v>
      </c>
    </row>
    <row r="1249" spans="1:6" x14ac:dyDescent="0.2">
      <c r="A1249" t="s">
        <v>1706</v>
      </c>
      <c r="B1249" t="s">
        <v>3559</v>
      </c>
      <c r="C1249" t="s">
        <v>5805</v>
      </c>
      <c r="D1249" t="str">
        <f>TRIM(alias[[#This Row],[Column3]])</f>
        <v>Envy Technologies Indonesia</v>
      </c>
      <c r="F1249" t="str">
        <f t="shared" si="19"/>
        <v>INSERT INTO stock_alias (stock, alias) VALUES ((SELECT id FROM stock WHERE ticker = 'ENVY'), 'Envy Technologies Indonesia') ON CONFLICT DO NOTHING;</v>
      </c>
    </row>
    <row r="1250" spans="1:6" x14ac:dyDescent="0.2">
      <c r="A1250" t="s">
        <v>1706</v>
      </c>
      <c r="B1250" t="s">
        <v>3559</v>
      </c>
      <c r="C1250" t="s">
        <v>5806</v>
      </c>
      <c r="D1250" t="str">
        <f>TRIM(alias[[#This Row],[Column3]])</f>
        <v>Envy Technologies Indonesia Tbk</v>
      </c>
      <c r="F1250" t="str">
        <f t="shared" si="19"/>
        <v>INSERT INTO stock_alias (stock, alias) VALUES ((SELECT id FROM stock WHERE ticker = 'ENVY'), 'Envy Technologies Indonesia Tbk') ON CONFLICT DO NOTHING;</v>
      </c>
    </row>
    <row r="1251" spans="1:6" x14ac:dyDescent="0.2">
      <c r="A1251" t="s">
        <v>1706</v>
      </c>
      <c r="B1251" t="s">
        <v>3559</v>
      </c>
      <c r="C1251" t="s">
        <v>5807</v>
      </c>
      <c r="D1251" t="str">
        <f>TRIM(alias[[#This Row],[Column3]])</f>
        <v>PT Envy Technologies Indonesia</v>
      </c>
      <c r="F1251" t="str">
        <f t="shared" si="19"/>
        <v>INSERT INTO stock_alias (stock, alias) VALUES ((SELECT id FROM stock WHERE ticker = 'ENVY'), 'PT Envy Technologies Indonesia') ON CONFLICT DO NOTHING;</v>
      </c>
    </row>
    <row r="1252" spans="1:6" x14ac:dyDescent="0.2">
      <c r="A1252" t="s">
        <v>1893</v>
      </c>
      <c r="B1252" t="s">
        <v>1894</v>
      </c>
      <c r="C1252" t="s">
        <v>1893</v>
      </c>
      <c r="D1252" t="str">
        <f>TRIM(alias[[#This Row],[Column3]])</f>
        <v>ENZO</v>
      </c>
      <c r="F1252" t="str">
        <f t="shared" si="19"/>
        <v>INSERT INTO stock_alias (stock, alias) VALUES ((SELECT id FROM stock WHERE ticker = 'ENZO'), 'ENZO') ON CONFLICT DO NOTHING;</v>
      </c>
    </row>
    <row r="1253" spans="1:6" x14ac:dyDescent="0.2">
      <c r="A1253" t="s">
        <v>1893</v>
      </c>
      <c r="B1253" t="s">
        <v>1894</v>
      </c>
      <c r="C1253" t="s">
        <v>5808</v>
      </c>
      <c r="D1253" t="str">
        <f>TRIM(alias[[#This Row],[Column3]])</f>
        <v>Morenzo Abadi Perkasa</v>
      </c>
      <c r="F1253" t="str">
        <f t="shared" si="19"/>
        <v>INSERT INTO stock_alias (stock, alias) VALUES ((SELECT id FROM stock WHERE ticker = 'ENZO'), 'Morenzo Abadi Perkasa') ON CONFLICT DO NOTHING;</v>
      </c>
    </row>
    <row r="1254" spans="1:6" x14ac:dyDescent="0.2">
      <c r="A1254" t="s">
        <v>1893</v>
      </c>
      <c r="B1254" t="s">
        <v>1894</v>
      </c>
      <c r="C1254" t="s">
        <v>5809</v>
      </c>
      <c r="D1254" t="str">
        <f>TRIM(alias[[#This Row],[Column3]])</f>
        <v>Morenzo Abadi Perkasa Tbk</v>
      </c>
      <c r="F1254" t="str">
        <f t="shared" si="19"/>
        <v>INSERT INTO stock_alias (stock, alias) VALUES ((SELECT id FROM stock WHERE ticker = 'ENZO'), 'Morenzo Abadi Perkasa Tbk') ON CONFLICT DO NOTHING;</v>
      </c>
    </row>
    <row r="1255" spans="1:6" x14ac:dyDescent="0.2">
      <c r="A1255" t="s">
        <v>1893</v>
      </c>
      <c r="B1255" t="s">
        <v>1894</v>
      </c>
      <c r="C1255" t="s">
        <v>5810</v>
      </c>
      <c r="D1255" t="str">
        <f>TRIM(alias[[#This Row],[Column3]])</f>
        <v>PT Morenzo Abadi Perkasa</v>
      </c>
      <c r="F1255" t="str">
        <f t="shared" si="19"/>
        <v>INSERT INTO stock_alias (stock, alias) VALUES ((SELECT id FROM stock WHERE ticker = 'ENZO'), 'PT Morenzo Abadi Perkasa') ON CONFLICT DO NOTHING;</v>
      </c>
    </row>
    <row r="1256" spans="1:6" x14ac:dyDescent="0.2">
      <c r="A1256" t="s">
        <v>1851</v>
      </c>
      <c r="B1256" t="s">
        <v>3560</v>
      </c>
      <c r="C1256" t="s">
        <v>1851</v>
      </c>
      <c r="D1256" t="str">
        <f>TRIM(alias[[#This Row],[Column3]])</f>
        <v>EPAC</v>
      </c>
      <c r="F1256" t="str">
        <f t="shared" si="19"/>
        <v>INSERT INTO stock_alias (stock, alias) VALUES ((SELECT id FROM stock WHERE ticker = 'EPAC'), 'EPAC') ON CONFLICT DO NOTHING;</v>
      </c>
    </row>
    <row r="1257" spans="1:6" x14ac:dyDescent="0.2">
      <c r="A1257" t="s">
        <v>1851</v>
      </c>
      <c r="B1257" t="s">
        <v>3560</v>
      </c>
      <c r="C1257" t="s">
        <v>5811</v>
      </c>
      <c r="D1257" t="str">
        <f>TRIM(alias[[#This Row],[Column3]])</f>
        <v>Megalestari Epack Sentosaraya</v>
      </c>
      <c r="F1257" t="str">
        <f t="shared" si="19"/>
        <v>INSERT INTO stock_alias (stock, alias) VALUES ((SELECT id FROM stock WHERE ticker = 'EPAC'), 'Megalestari Epack Sentosaraya') ON CONFLICT DO NOTHING;</v>
      </c>
    </row>
    <row r="1258" spans="1:6" x14ac:dyDescent="0.2">
      <c r="A1258" t="s">
        <v>1851</v>
      </c>
      <c r="B1258" t="s">
        <v>3560</v>
      </c>
      <c r="C1258" t="s">
        <v>5812</v>
      </c>
      <c r="D1258" t="str">
        <f>TRIM(alias[[#This Row],[Column3]])</f>
        <v>Megalestari Epack Sentosaraya Tbk</v>
      </c>
      <c r="F1258" t="str">
        <f t="shared" si="19"/>
        <v>INSERT INTO stock_alias (stock, alias) VALUES ((SELECT id FROM stock WHERE ticker = 'EPAC'), 'Megalestari Epack Sentosaraya Tbk') ON CONFLICT DO NOTHING;</v>
      </c>
    </row>
    <row r="1259" spans="1:6" x14ac:dyDescent="0.2">
      <c r="A1259" t="s">
        <v>1851</v>
      </c>
      <c r="B1259" t="s">
        <v>3560</v>
      </c>
      <c r="C1259" t="s">
        <v>5813</v>
      </c>
      <c r="D1259" t="str">
        <f>TRIM(alias[[#This Row],[Column3]])</f>
        <v>PT Megalestari Epack Sentosaraya</v>
      </c>
      <c r="F1259" t="str">
        <f t="shared" si="19"/>
        <v>INSERT INTO stock_alias (stock, alias) VALUES ((SELECT id FROM stock WHERE ticker = 'EPAC'), 'PT Megalestari Epack Sentosaraya') ON CONFLICT DO NOTHING;</v>
      </c>
    </row>
    <row r="1260" spans="1:6" x14ac:dyDescent="0.2">
      <c r="A1260" t="s">
        <v>464</v>
      </c>
      <c r="B1260" t="s">
        <v>3561</v>
      </c>
      <c r="C1260" t="s">
        <v>464</v>
      </c>
      <c r="D1260" t="str">
        <f>TRIM(alias[[#This Row],[Column3]])</f>
        <v>EPMT</v>
      </c>
      <c r="F1260" t="str">
        <f t="shared" si="19"/>
        <v>INSERT INTO stock_alias (stock, alias) VALUES ((SELECT id FROM stock WHERE ticker = 'EPMT'), 'EPMT') ON CONFLICT DO NOTHING;</v>
      </c>
    </row>
    <row r="1261" spans="1:6" x14ac:dyDescent="0.2">
      <c r="A1261" t="s">
        <v>464</v>
      </c>
      <c r="B1261" t="s">
        <v>3561</v>
      </c>
      <c r="C1261" t="s">
        <v>5814</v>
      </c>
      <c r="D1261" t="str">
        <f>TRIM(alias[[#This Row],[Column3]])</f>
        <v>Enseval Putera Megatrading</v>
      </c>
      <c r="F1261" t="str">
        <f t="shared" si="19"/>
        <v>INSERT INTO stock_alias (stock, alias) VALUES ((SELECT id FROM stock WHERE ticker = 'EPMT'), 'Enseval Putera Megatrading') ON CONFLICT DO NOTHING;</v>
      </c>
    </row>
    <row r="1262" spans="1:6" x14ac:dyDescent="0.2">
      <c r="A1262" t="s">
        <v>464</v>
      </c>
      <c r="B1262" t="s">
        <v>3561</v>
      </c>
      <c r="C1262" t="s">
        <v>5815</v>
      </c>
      <c r="D1262" t="str">
        <f>TRIM(alias[[#This Row],[Column3]])</f>
        <v>Enseval Putera Megatrading Tbk</v>
      </c>
      <c r="F1262" t="str">
        <f t="shared" si="19"/>
        <v>INSERT INTO stock_alias (stock, alias) VALUES ((SELECT id FROM stock WHERE ticker = 'EPMT'), 'Enseval Putera Megatrading Tbk') ON CONFLICT DO NOTHING;</v>
      </c>
    </row>
    <row r="1263" spans="1:6" x14ac:dyDescent="0.2">
      <c r="A1263" t="s">
        <v>464</v>
      </c>
      <c r="B1263" t="s">
        <v>3561</v>
      </c>
      <c r="C1263" t="s">
        <v>5816</v>
      </c>
      <c r="D1263" t="str">
        <f>TRIM(alias[[#This Row],[Column3]])</f>
        <v>PT Enseval Putera Megatrading</v>
      </c>
      <c r="F1263" t="str">
        <f t="shared" si="19"/>
        <v>INSERT INTO stock_alias (stock, alias) VALUES ((SELECT id FROM stock WHERE ticker = 'EPMT'), 'PT Enseval Putera Megatrading') ON CONFLICT DO NOTHING;</v>
      </c>
    </row>
    <row r="1264" spans="1:6" x14ac:dyDescent="0.2">
      <c r="A1264" t="s">
        <v>467</v>
      </c>
      <c r="B1264" t="s">
        <v>468</v>
      </c>
      <c r="C1264" t="s">
        <v>467</v>
      </c>
      <c r="D1264" t="str">
        <f>TRIM(alias[[#This Row],[Column3]])</f>
        <v>ERAA</v>
      </c>
      <c r="F1264" t="str">
        <f t="shared" si="19"/>
        <v>INSERT INTO stock_alias (stock, alias) VALUES ((SELECT id FROM stock WHERE ticker = 'ERAA'), 'ERAA') ON CONFLICT DO NOTHING;</v>
      </c>
    </row>
    <row r="1265" spans="1:6" x14ac:dyDescent="0.2">
      <c r="A1265" t="s">
        <v>467</v>
      </c>
      <c r="B1265" t="s">
        <v>468</v>
      </c>
      <c r="C1265" t="s">
        <v>5817</v>
      </c>
      <c r="D1265" t="str">
        <f>TRIM(alias[[#This Row],[Column3]])</f>
        <v>Erajaya Swasembada</v>
      </c>
      <c r="F1265" t="str">
        <f t="shared" si="19"/>
        <v>INSERT INTO stock_alias (stock, alias) VALUES ((SELECT id FROM stock WHERE ticker = 'ERAA'), 'Erajaya Swasembada') ON CONFLICT DO NOTHING;</v>
      </c>
    </row>
    <row r="1266" spans="1:6" x14ac:dyDescent="0.2">
      <c r="A1266" t="s">
        <v>467</v>
      </c>
      <c r="B1266" t="s">
        <v>468</v>
      </c>
      <c r="C1266" t="s">
        <v>5818</v>
      </c>
      <c r="D1266" t="str">
        <f>TRIM(alias[[#This Row],[Column3]])</f>
        <v>Erajaya Swasembada Tbk</v>
      </c>
      <c r="F1266" t="str">
        <f t="shared" si="19"/>
        <v>INSERT INTO stock_alias (stock, alias) VALUES ((SELECT id FROM stock WHERE ticker = 'ERAA'), 'Erajaya Swasembada Tbk') ON CONFLICT DO NOTHING;</v>
      </c>
    </row>
    <row r="1267" spans="1:6" x14ac:dyDescent="0.2">
      <c r="A1267" t="s">
        <v>467</v>
      </c>
      <c r="B1267" t="s">
        <v>468</v>
      </c>
      <c r="C1267" t="s">
        <v>5819</v>
      </c>
      <c r="D1267" t="str">
        <f>TRIM(alias[[#This Row],[Column3]])</f>
        <v>PT Erajaya Swasembada</v>
      </c>
      <c r="F1267" t="str">
        <f t="shared" si="19"/>
        <v>INSERT INTO stock_alias (stock, alias) VALUES ((SELECT id FROM stock WHERE ticker = 'ERAA'), 'PT Erajaya Swasembada') ON CONFLICT DO NOTHING;</v>
      </c>
    </row>
    <row r="1268" spans="1:6" x14ac:dyDescent="0.2">
      <c r="A1268" t="s">
        <v>2354</v>
      </c>
      <c r="B1268" t="s">
        <v>2355</v>
      </c>
      <c r="C1268" t="s">
        <v>2354</v>
      </c>
      <c r="D1268" t="str">
        <f>TRIM(alias[[#This Row],[Column3]])</f>
        <v>ERAL</v>
      </c>
      <c r="F1268" t="str">
        <f t="shared" si="19"/>
        <v>INSERT INTO stock_alias (stock, alias) VALUES ((SELECT id FROM stock WHERE ticker = 'ERAL'), 'ERAL') ON CONFLICT DO NOTHING;</v>
      </c>
    </row>
    <row r="1269" spans="1:6" x14ac:dyDescent="0.2">
      <c r="A1269" t="s">
        <v>2354</v>
      </c>
      <c r="B1269" t="s">
        <v>2355</v>
      </c>
      <c r="C1269" t="s">
        <v>5820</v>
      </c>
      <c r="D1269" t="str">
        <f>TRIM(alias[[#This Row],[Column3]])</f>
        <v>PT Sinar Eka Selaras</v>
      </c>
      <c r="F1269" t="str">
        <f t="shared" si="19"/>
        <v>INSERT INTO stock_alias (stock, alias) VALUES ((SELECT id FROM stock WHERE ticker = 'ERAL'), 'PT Sinar Eka Selaras') ON CONFLICT DO NOTHING;</v>
      </c>
    </row>
    <row r="1270" spans="1:6" x14ac:dyDescent="0.2">
      <c r="A1270" t="s">
        <v>2354</v>
      </c>
      <c r="B1270" t="s">
        <v>2355</v>
      </c>
      <c r="C1270" t="s">
        <v>5821</v>
      </c>
      <c r="D1270" t="str">
        <f>TRIM(alias[[#This Row],[Column3]])</f>
        <v>SES</v>
      </c>
      <c r="F1270" t="str">
        <f t="shared" si="19"/>
        <v>INSERT INTO stock_alias (stock, alias) VALUES ((SELECT id FROM stock WHERE ticker = 'ERAL'), 'SES') ON CONFLICT DO NOTHING;</v>
      </c>
    </row>
    <row r="1271" spans="1:6" x14ac:dyDescent="0.2">
      <c r="A1271" t="s">
        <v>2354</v>
      </c>
      <c r="B1271" t="s">
        <v>2355</v>
      </c>
      <c r="C1271" t="s">
        <v>5822</v>
      </c>
      <c r="D1271" t="str">
        <f>TRIM(alias[[#This Row],[Column3]])</f>
        <v>Sinar Eka Selaras</v>
      </c>
      <c r="F1271" t="str">
        <f t="shared" si="19"/>
        <v>INSERT INTO stock_alias (stock, alias) VALUES ((SELECT id FROM stock WHERE ticker = 'ERAL'), 'Sinar Eka Selaras') ON CONFLICT DO NOTHING;</v>
      </c>
    </row>
    <row r="1272" spans="1:6" x14ac:dyDescent="0.2">
      <c r="A1272" t="s">
        <v>2354</v>
      </c>
      <c r="B1272" t="s">
        <v>2355</v>
      </c>
      <c r="C1272" t="s">
        <v>5823</v>
      </c>
      <c r="D1272" t="str">
        <f>TRIM(alias[[#This Row],[Column3]])</f>
        <v>Sinar Eka Selaras Tbk</v>
      </c>
      <c r="F1272" t="str">
        <f t="shared" si="19"/>
        <v>INSERT INTO stock_alias (stock, alias) VALUES ((SELECT id FROM stock WHERE ticker = 'ERAL'), 'Sinar Eka Selaras Tbk') ON CONFLICT DO NOTHING;</v>
      </c>
    </row>
    <row r="1273" spans="1:6" x14ac:dyDescent="0.2">
      <c r="A1273" t="s">
        <v>470</v>
      </c>
      <c r="B1273" t="s">
        <v>471</v>
      </c>
      <c r="C1273" t="s">
        <v>470</v>
      </c>
      <c r="D1273" t="str">
        <f>TRIM(alias[[#This Row],[Column3]])</f>
        <v>ERTX</v>
      </c>
      <c r="F1273" t="str">
        <f t="shared" si="19"/>
        <v>INSERT INTO stock_alias (stock, alias) VALUES ((SELECT id FROM stock WHERE ticker = 'ERTX'), 'ERTX') ON CONFLICT DO NOTHING;</v>
      </c>
    </row>
    <row r="1274" spans="1:6" x14ac:dyDescent="0.2">
      <c r="A1274" t="s">
        <v>470</v>
      </c>
      <c r="B1274" t="s">
        <v>471</v>
      </c>
      <c r="C1274" t="s">
        <v>5824</v>
      </c>
      <c r="D1274" t="str">
        <f>TRIM(alias[[#This Row],[Column3]])</f>
        <v>Eratex Djaja</v>
      </c>
      <c r="F1274" t="str">
        <f t="shared" si="19"/>
        <v>INSERT INTO stock_alias (stock, alias) VALUES ((SELECT id FROM stock WHERE ticker = 'ERTX'), 'Eratex Djaja') ON CONFLICT DO NOTHING;</v>
      </c>
    </row>
    <row r="1275" spans="1:6" x14ac:dyDescent="0.2">
      <c r="A1275" t="s">
        <v>470</v>
      </c>
      <c r="B1275" t="s">
        <v>471</v>
      </c>
      <c r="C1275" t="s">
        <v>5825</v>
      </c>
      <c r="D1275" t="str">
        <f>TRIM(alias[[#This Row],[Column3]])</f>
        <v>Eratex Djaja Tbk</v>
      </c>
      <c r="F1275" t="str">
        <f t="shared" si="19"/>
        <v>INSERT INTO stock_alias (stock, alias) VALUES ((SELECT id FROM stock WHERE ticker = 'ERTX'), 'Eratex Djaja Tbk') ON CONFLICT DO NOTHING;</v>
      </c>
    </row>
    <row r="1276" spans="1:6" x14ac:dyDescent="0.2">
      <c r="A1276" t="s">
        <v>470</v>
      </c>
      <c r="B1276" t="s">
        <v>471</v>
      </c>
      <c r="C1276" t="s">
        <v>5826</v>
      </c>
      <c r="D1276" t="str">
        <f>TRIM(alias[[#This Row],[Column3]])</f>
        <v>PT Eratex Djaja</v>
      </c>
      <c r="F1276" t="str">
        <f t="shared" si="19"/>
        <v>INSERT INTO stock_alias (stock, alias) VALUES ((SELECT id FROM stock WHERE ticker = 'ERTX'), 'PT Eratex Djaja') ON CONFLICT DO NOTHING;</v>
      </c>
    </row>
    <row r="1277" spans="1:6" x14ac:dyDescent="0.2">
      <c r="A1277" t="s">
        <v>1762</v>
      </c>
      <c r="B1277" t="s">
        <v>1763</v>
      </c>
      <c r="C1277" t="s">
        <v>1762</v>
      </c>
      <c r="D1277" t="str">
        <f>TRIM(alias[[#This Row],[Column3]])</f>
        <v>ESIP</v>
      </c>
      <c r="F1277" t="str">
        <f t="shared" si="19"/>
        <v>INSERT INTO stock_alias (stock, alias) VALUES ((SELECT id FROM stock WHERE ticker = 'ESIP'), 'ESIP') ON CONFLICT DO NOTHING;</v>
      </c>
    </row>
    <row r="1278" spans="1:6" x14ac:dyDescent="0.2">
      <c r="A1278" t="s">
        <v>1762</v>
      </c>
      <c r="B1278" t="s">
        <v>1763</v>
      </c>
      <c r="C1278" t="s">
        <v>5827</v>
      </c>
      <c r="D1278" t="str">
        <f>TRIM(alias[[#This Row],[Column3]])</f>
        <v>PT Sinergi Inti Plastindo</v>
      </c>
      <c r="F1278" t="str">
        <f t="shared" si="19"/>
        <v>INSERT INTO stock_alias (stock, alias) VALUES ((SELECT id FROM stock WHERE ticker = 'ESIP'), 'PT Sinergi Inti Plastindo') ON CONFLICT DO NOTHING;</v>
      </c>
    </row>
    <row r="1279" spans="1:6" x14ac:dyDescent="0.2">
      <c r="A1279" t="s">
        <v>1762</v>
      </c>
      <c r="B1279" t="s">
        <v>1763</v>
      </c>
      <c r="C1279" t="s">
        <v>5828</v>
      </c>
      <c r="D1279" t="str">
        <f>TRIM(alias[[#This Row],[Column3]])</f>
        <v>Sinergi Inti Plastindo</v>
      </c>
      <c r="F1279" t="str">
        <f t="shared" si="19"/>
        <v>INSERT INTO stock_alias (stock, alias) VALUES ((SELECT id FROM stock WHERE ticker = 'ESIP'), 'Sinergi Inti Plastindo') ON CONFLICT DO NOTHING;</v>
      </c>
    </row>
    <row r="1280" spans="1:6" x14ac:dyDescent="0.2">
      <c r="A1280" t="s">
        <v>1762</v>
      </c>
      <c r="B1280" t="s">
        <v>1763</v>
      </c>
      <c r="C1280" t="s">
        <v>5829</v>
      </c>
      <c r="D1280" t="str">
        <f>TRIM(alias[[#This Row],[Column3]])</f>
        <v>Sinergi Inti Plastindo Tbk</v>
      </c>
      <c r="F1280" t="str">
        <f t="shared" si="19"/>
        <v>INSERT INTO stock_alias (stock, alias) VALUES ((SELECT id FROM stock WHERE ticker = 'ESIP'), 'Sinergi Inti Plastindo Tbk') ON CONFLICT DO NOTHING;</v>
      </c>
    </row>
    <row r="1281" spans="1:6" x14ac:dyDescent="0.2">
      <c r="A1281" t="s">
        <v>473</v>
      </c>
      <c r="B1281" t="s">
        <v>474</v>
      </c>
      <c r="C1281" t="s">
        <v>473</v>
      </c>
      <c r="D1281" t="str">
        <f>TRIM(alias[[#This Row],[Column3]])</f>
        <v>ESSA</v>
      </c>
      <c r="F1281" t="str">
        <f t="shared" si="19"/>
        <v>INSERT INTO stock_alias (stock, alias) VALUES ((SELECT id FROM stock WHERE ticker = 'ESSA'), 'ESSA') ON CONFLICT DO NOTHING;</v>
      </c>
    </row>
    <row r="1282" spans="1:6" x14ac:dyDescent="0.2">
      <c r="A1282" t="s">
        <v>473</v>
      </c>
      <c r="B1282" t="s">
        <v>474</v>
      </c>
      <c r="C1282" t="s">
        <v>5830</v>
      </c>
      <c r="D1282" t="str">
        <f>TRIM(alias[[#This Row],[Column3]])</f>
        <v>ESSA Industries Indonesia</v>
      </c>
      <c r="F1282" t="str">
        <f t="shared" si="19"/>
        <v>INSERT INTO stock_alias (stock, alias) VALUES ((SELECT id FROM stock WHERE ticker = 'ESSA'), 'ESSA Industries Indonesia') ON CONFLICT DO NOTHING;</v>
      </c>
    </row>
    <row r="1283" spans="1:6" x14ac:dyDescent="0.2">
      <c r="A1283" t="s">
        <v>473</v>
      </c>
      <c r="B1283" t="s">
        <v>474</v>
      </c>
      <c r="C1283" t="s">
        <v>5831</v>
      </c>
      <c r="D1283" t="str">
        <f>TRIM(alias[[#This Row],[Column3]])</f>
        <v>ESSA Industries Indonesia Tbk</v>
      </c>
      <c r="F1283" t="str">
        <f t="shared" ref="F1283:F1346" si="20">_xlfn.CONCAT($F$1, _xlfn.CONCAT($G$1, A1283, "'), '", D1283, "') ON CONFLICT DO NOTHING;"))</f>
        <v>INSERT INTO stock_alias (stock, alias) VALUES ((SELECT id FROM stock WHERE ticker = 'ESSA'), 'ESSA Industries Indonesia Tbk') ON CONFLICT DO NOTHING;</v>
      </c>
    </row>
    <row r="1284" spans="1:6" x14ac:dyDescent="0.2">
      <c r="A1284" t="s">
        <v>473</v>
      </c>
      <c r="B1284" t="s">
        <v>474</v>
      </c>
      <c r="C1284" t="s">
        <v>5832</v>
      </c>
      <c r="D1284" t="str">
        <f>TRIM(alias[[#This Row],[Column3]])</f>
        <v>PT ESSA Industries Indonesia</v>
      </c>
      <c r="F1284" t="str">
        <f t="shared" si="20"/>
        <v>INSERT INTO stock_alias (stock, alias) VALUES ((SELECT id FROM stock WHERE ticker = 'ESSA'), 'PT ESSA Industries Indonesia') ON CONFLICT DO NOTHING;</v>
      </c>
    </row>
    <row r="1285" spans="1:6" x14ac:dyDescent="0.2">
      <c r="A1285" t="s">
        <v>2593</v>
      </c>
      <c r="B1285" t="s">
        <v>2594</v>
      </c>
      <c r="C1285" t="s">
        <v>2593</v>
      </c>
      <c r="D1285" t="str">
        <f>TRIM(alias[[#This Row],[Column3]])</f>
        <v>ESTA</v>
      </c>
      <c r="F1285" t="str">
        <f t="shared" si="20"/>
        <v>INSERT INTO stock_alias (stock, alias) VALUES ((SELECT id FROM stock WHERE ticker = 'ESTA'), 'ESTA') ON CONFLICT DO NOTHING;</v>
      </c>
    </row>
    <row r="1286" spans="1:6" x14ac:dyDescent="0.2">
      <c r="A1286" t="s">
        <v>2593</v>
      </c>
      <c r="B1286" t="s">
        <v>2594</v>
      </c>
      <c r="C1286" t="s">
        <v>5833</v>
      </c>
      <c r="D1286" t="str">
        <f>TRIM(alias[[#This Row],[Column3]])</f>
        <v>Esta Multi Usaha</v>
      </c>
      <c r="F1286" t="str">
        <f t="shared" si="20"/>
        <v>INSERT INTO stock_alias (stock, alias) VALUES ((SELECT id FROM stock WHERE ticker = 'ESTA'), 'Esta Multi Usaha') ON CONFLICT DO NOTHING;</v>
      </c>
    </row>
    <row r="1287" spans="1:6" x14ac:dyDescent="0.2">
      <c r="A1287" t="s">
        <v>2593</v>
      </c>
      <c r="B1287" t="s">
        <v>2594</v>
      </c>
      <c r="C1287" t="s">
        <v>5834</v>
      </c>
      <c r="D1287" t="str">
        <f>TRIM(alias[[#This Row],[Column3]])</f>
        <v>Esta Multi Usaha Tbk</v>
      </c>
      <c r="F1287" t="str">
        <f t="shared" si="20"/>
        <v>INSERT INTO stock_alias (stock, alias) VALUES ((SELECT id FROM stock WHERE ticker = 'ESTA'), 'Esta Multi Usaha Tbk') ON CONFLICT DO NOTHING;</v>
      </c>
    </row>
    <row r="1288" spans="1:6" x14ac:dyDescent="0.2">
      <c r="A1288" t="s">
        <v>2593</v>
      </c>
      <c r="B1288" t="s">
        <v>2594</v>
      </c>
      <c r="C1288" t="s">
        <v>5835</v>
      </c>
      <c r="D1288" t="str">
        <f>TRIM(alias[[#This Row],[Column3]])</f>
        <v>PT Esta Multi Usaha</v>
      </c>
      <c r="F1288" t="str">
        <f t="shared" si="20"/>
        <v>INSERT INTO stock_alias (stock, alias) VALUES ((SELECT id FROM stock WHERE ticker = 'ESTA'), 'PT Esta Multi Usaha') ON CONFLICT DO NOTHING;</v>
      </c>
    </row>
    <row r="1289" spans="1:6" x14ac:dyDescent="0.2">
      <c r="A1289" t="s">
        <v>476</v>
      </c>
      <c r="B1289" t="s">
        <v>477</v>
      </c>
      <c r="C1289" t="s">
        <v>476</v>
      </c>
      <c r="D1289" t="str">
        <f>TRIM(alias[[#This Row],[Column3]])</f>
        <v>ESTI</v>
      </c>
      <c r="F1289" t="str">
        <f t="shared" si="20"/>
        <v>INSERT INTO stock_alias (stock, alias) VALUES ((SELECT id FROM stock WHERE ticker = 'ESTI'), 'ESTI') ON CONFLICT DO NOTHING;</v>
      </c>
    </row>
    <row r="1290" spans="1:6" x14ac:dyDescent="0.2">
      <c r="A1290" t="s">
        <v>476</v>
      </c>
      <c r="B1290" t="s">
        <v>477</v>
      </c>
      <c r="C1290" t="s">
        <v>5836</v>
      </c>
      <c r="D1290" t="str">
        <f>TRIM(alias[[#This Row],[Column3]])</f>
        <v>Ever Shine Tex</v>
      </c>
      <c r="F1290" t="str">
        <f t="shared" si="20"/>
        <v>INSERT INTO stock_alias (stock, alias) VALUES ((SELECT id FROM stock WHERE ticker = 'ESTI'), 'Ever Shine Tex') ON CONFLICT DO NOTHING;</v>
      </c>
    </row>
    <row r="1291" spans="1:6" x14ac:dyDescent="0.2">
      <c r="A1291" t="s">
        <v>476</v>
      </c>
      <c r="B1291" t="s">
        <v>477</v>
      </c>
      <c r="C1291" t="s">
        <v>5837</v>
      </c>
      <c r="D1291" t="str">
        <f>TRIM(alias[[#This Row],[Column3]])</f>
        <v>Ever Shine Tex Tbk</v>
      </c>
      <c r="F1291" t="str">
        <f t="shared" si="20"/>
        <v>INSERT INTO stock_alias (stock, alias) VALUES ((SELECT id FROM stock WHERE ticker = 'ESTI'), 'Ever Shine Tex Tbk') ON CONFLICT DO NOTHING;</v>
      </c>
    </row>
    <row r="1292" spans="1:6" x14ac:dyDescent="0.2">
      <c r="A1292" t="s">
        <v>476</v>
      </c>
      <c r="B1292" t="s">
        <v>477</v>
      </c>
      <c r="C1292" t="s">
        <v>5838</v>
      </c>
      <c r="D1292" t="str">
        <f>TRIM(alias[[#This Row],[Column3]])</f>
        <v>PT Ever Shine Tex</v>
      </c>
      <c r="F1292" t="str">
        <f t="shared" si="20"/>
        <v>INSERT INTO stock_alias (stock, alias) VALUES ((SELECT id FROM stock WHERE ticker = 'ESTI'), 'PT Ever Shine Tex') ON CONFLICT DO NOTHING;</v>
      </c>
    </row>
    <row r="1293" spans="1:6" x14ac:dyDescent="0.2">
      <c r="A1293" t="s">
        <v>479</v>
      </c>
      <c r="B1293" t="s">
        <v>3562</v>
      </c>
      <c r="C1293" t="s">
        <v>479</v>
      </c>
      <c r="D1293" t="str">
        <f>TRIM(alias[[#This Row],[Column3]])</f>
        <v>ETWA</v>
      </c>
      <c r="F1293" t="str">
        <f t="shared" si="20"/>
        <v>INSERT INTO stock_alias (stock, alias) VALUES ((SELECT id FROM stock WHERE ticker = 'ETWA'), 'ETWA') ON CONFLICT DO NOTHING;</v>
      </c>
    </row>
    <row r="1294" spans="1:6" x14ac:dyDescent="0.2">
      <c r="A1294" t="s">
        <v>479</v>
      </c>
      <c r="B1294" t="s">
        <v>3562</v>
      </c>
      <c r="C1294" t="s">
        <v>5839</v>
      </c>
      <c r="D1294" t="str">
        <f>TRIM(alias[[#This Row],[Column3]])</f>
        <v>Eterindo Wahanatama</v>
      </c>
      <c r="F1294" t="str">
        <f t="shared" si="20"/>
        <v>INSERT INTO stock_alias (stock, alias) VALUES ((SELECT id FROM stock WHERE ticker = 'ETWA'), 'Eterindo Wahanatama') ON CONFLICT DO NOTHING;</v>
      </c>
    </row>
    <row r="1295" spans="1:6" x14ac:dyDescent="0.2">
      <c r="A1295" t="s">
        <v>479</v>
      </c>
      <c r="B1295" t="s">
        <v>3562</v>
      </c>
      <c r="C1295" t="s">
        <v>5840</v>
      </c>
      <c r="D1295" t="str">
        <f>TRIM(alias[[#This Row],[Column3]])</f>
        <v>Eterindo Wahanatama Tbk</v>
      </c>
      <c r="F1295" t="str">
        <f t="shared" si="20"/>
        <v>INSERT INTO stock_alias (stock, alias) VALUES ((SELECT id FROM stock WHERE ticker = 'ETWA'), 'Eterindo Wahanatama Tbk') ON CONFLICT DO NOTHING;</v>
      </c>
    </row>
    <row r="1296" spans="1:6" x14ac:dyDescent="0.2">
      <c r="A1296" t="s">
        <v>479</v>
      </c>
      <c r="B1296" t="s">
        <v>3562</v>
      </c>
      <c r="C1296" t="s">
        <v>5841</v>
      </c>
      <c r="D1296" t="str">
        <f>TRIM(alias[[#This Row],[Column3]])</f>
        <v>PT Eterindo Wahanatama</v>
      </c>
      <c r="F1296" t="str">
        <f t="shared" si="20"/>
        <v>INSERT INTO stock_alias (stock, alias) VALUES ((SELECT id FROM stock WHERE ticker = 'ETWA'), 'PT Eterindo Wahanatama') ON CONFLICT DO NOTHING;</v>
      </c>
    </row>
    <row r="1297" spans="1:6" x14ac:dyDescent="0.2">
      <c r="A1297" t="s">
        <v>2156</v>
      </c>
      <c r="B1297" t="s">
        <v>2157</v>
      </c>
      <c r="C1297" t="s">
        <v>2156</v>
      </c>
      <c r="D1297" t="str">
        <f>TRIM(alias[[#This Row],[Column3]])</f>
        <v>EURO</v>
      </c>
      <c r="F1297" t="str">
        <f t="shared" si="20"/>
        <v>INSERT INTO stock_alias (stock, alias) VALUES ((SELECT id FROM stock WHERE ticker = 'EURO'), 'EURO') ON CONFLICT DO NOTHING;</v>
      </c>
    </row>
    <row r="1298" spans="1:6" x14ac:dyDescent="0.2">
      <c r="A1298" t="s">
        <v>2156</v>
      </c>
      <c r="B1298" t="s">
        <v>2157</v>
      </c>
      <c r="C1298" t="s">
        <v>5842</v>
      </c>
      <c r="D1298" t="str">
        <f>TRIM(alias[[#This Row],[Column3]])</f>
        <v>Estee Gold Feet</v>
      </c>
      <c r="F1298" t="str">
        <f t="shared" si="20"/>
        <v>INSERT INTO stock_alias (stock, alias) VALUES ((SELECT id FROM stock WHERE ticker = 'EURO'), 'Estee Gold Feet') ON CONFLICT DO NOTHING;</v>
      </c>
    </row>
    <row r="1299" spans="1:6" x14ac:dyDescent="0.2">
      <c r="A1299" t="s">
        <v>2156</v>
      </c>
      <c r="B1299" t="s">
        <v>2157</v>
      </c>
      <c r="C1299" t="s">
        <v>5843</v>
      </c>
      <c r="D1299" t="str">
        <f>TRIM(alias[[#This Row],[Column3]])</f>
        <v>Estee Gold Feet Tbk</v>
      </c>
      <c r="F1299" t="str">
        <f t="shared" si="20"/>
        <v>INSERT INTO stock_alias (stock, alias) VALUES ((SELECT id FROM stock WHERE ticker = 'EURO'), 'Estee Gold Feet Tbk') ON CONFLICT DO NOTHING;</v>
      </c>
    </row>
    <row r="1300" spans="1:6" x14ac:dyDescent="0.2">
      <c r="A1300" t="s">
        <v>2156</v>
      </c>
      <c r="B1300" t="s">
        <v>2157</v>
      </c>
      <c r="C1300" t="s">
        <v>5844</v>
      </c>
      <c r="D1300" t="str">
        <f>TRIM(alias[[#This Row],[Column3]])</f>
        <v>PT Estee Gold Feet</v>
      </c>
      <c r="F1300" t="str">
        <f t="shared" si="20"/>
        <v>INSERT INTO stock_alias (stock, alias) VALUES ((SELECT id FROM stock WHERE ticker = 'EURO'), 'PT Estee Gold Feet') ON CONFLICT DO NOTHING;</v>
      </c>
    </row>
    <row r="1301" spans="1:6" x14ac:dyDescent="0.2">
      <c r="A1301" t="s">
        <v>482</v>
      </c>
      <c r="B1301" t="s">
        <v>483</v>
      </c>
      <c r="C1301" t="s">
        <v>482</v>
      </c>
      <c r="D1301" t="str">
        <f>TRIM(alias[[#This Row],[Column3]])</f>
        <v>EXCL</v>
      </c>
      <c r="F1301" t="str">
        <f t="shared" si="20"/>
        <v>INSERT INTO stock_alias (stock, alias) VALUES ((SELECT id FROM stock WHERE ticker = 'EXCL'), 'EXCL') ON CONFLICT DO NOTHING;</v>
      </c>
    </row>
    <row r="1302" spans="1:6" x14ac:dyDescent="0.2">
      <c r="A1302" t="s">
        <v>482</v>
      </c>
      <c r="B1302" t="s">
        <v>483</v>
      </c>
      <c r="C1302" t="s">
        <v>5845</v>
      </c>
      <c r="D1302" t="str">
        <f>TRIM(alias[[#This Row],[Column3]])</f>
        <v>PT XLSMART Telecom Sejahtera</v>
      </c>
      <c r="F1302" t="str">
        <f t="shared" si="20"/>
        <v>INSERT INTO stock_alias (stock, alias) VALUES ((SELECT id FROM stock WHERE ticker = 'EXCL'), 'PT XLSMART Telecom Sejahtera') ON CONFLICT DO NOTHING;</v>
      </c>
    </row>
    <row r="1303" spans="1:6" x14ac:dyDescent="0.2">
      <c r="A1303" t="s">
        <v>482</v>
      </c>
      <c r="B1303" t="s">
        <v>483</v>
      </c>
      <c r="C1303" t="s">
        <v>5846</v>
      </c>
      <c r="D1303" t="str">
        <f>TRIM(alias[[#This Row],[Column3]])</f>
        <v>XLSMART Telecom Sejahtera</v>
      </c>
      <c r="F1303" t="str">
        <f t="shared" si="20"/>
        <v>INSERT INTO stock_alias (stock, alias) VALUES ((SELECT id FROM stock WHERE ticker = 'EXCL'), 'XLSMART Telecom Sejahtera') ON CONFLICT DO NOTHING;</v>
      </c>
    </row>
    <row r="1304" spans="1:6" x14ac:dyDescent="0.2">
      <c r="A1304" t="s">
        <v>482</v>
      </c>
      <c r="B1304" t="s">
        <v>483</v>
      </c>
      <c r="C1304" t="s">
        <v>5847</v>
      </c>
      <c r="D1304" t="str">
        <f>TRIM(alias[[#This Row],[Column3]])</f>
        <v>XLSMART Telecom Sejahtera Tbk</v>
      </c>
      <c r="F1304" t="str">
        <f t="shared" si="20"/>
        <v>INSERT INTO stock_alias (stock, alias) VALUES ((SELECT id FROM stock WHERE ticker = 'EXCL'), 'XLSMART Telecom Sejahtera Tbk') ON CONFLICT DO NOTHING;</v>
      </c>
    </row>
    <row r="1305" spans="1:6" x14ac:dyDescent="0.2">
      <c r="A1305" t="s">
        <v>482</v>
      </c>
      <c r="B1305" t="s">
        <v>483</v>
      </c>
      <c r="C1305" t="s">
        <v>5848</v>
      </c>
      <c r="D1305" t="str">
        <f>TRIM(alias[[#This Row],[Column3]])</f>
        <v>XTS</v>
      </c>
      <c r="F1305" t="str">
        <f t="shared" si="20"/>
        <v>INSERT INTO stock_alias (stock, alias) VALUES ((SELECT id FROM stock WHERE ticker = 'EXCL'), 'XTS') ON CONFLICT DO NOTHING;</v>
      </c>
    </row>
    <row r="1306" spans="1:6" x14ac:dyDescent="0.2">
      <c r="A1306" t="s">
        <v>2646</v>
      </c>
      <c r="B1306" t="s">
        <v>2647</v>
      </c>
      <c r="C1306" t="s">
        <v>2646</v>
      </c>
      <c r="D1306" t="str">
        <f>TRIM(alias[[#This Row],[Column3]])</f>
        <v>FAPA</v>
      </c>
      <c r="F1306" t="str">
        <f t="shared" si="20"/>
        <v>INSERT INTO stock_alias (stock, alias) VALUES ((SELECT id FROM stock WHERE ticker = 'FAPA'), 'FAPA') ON CONFLICT DO NOTHING;</v>
      </c>
    </row>
    <row r="1307" spans="1:6" x14ac:dyDescent="0.2">
      <c r="A1307" t="s">
        <v>2646</v>
      </c>
      <c r="B1307" t="s">
        <v>2647</v>
      </c>
      <c r="C1307" t="s">
        <v>5849</v>
      </c>
      <c r="D1307" t="str">
        <f>TRIM(alias[[#This Row],[Column3]])</f>
        <v>FAP Agri</v>
      </c>
      <c r="F1307" t="str">
        <f t="shared" si="20"/>
        <v>INSERT INTO stock_alias (stock, alias) VALUES ((SELECT id FROM stock WHERE ticker = 'FAPA'), 'FAP Agri') ON CONFLICT DO NOTHING;</v>
      </c>
    </row>
    <row r="1308" spans="1:6" x14ac:dyDescent="0.2">
      <c r="A1308" t="s">
        <v>2646</v>
      </c>
      <c r="B1308" t="s">
        <v>2647</v>
      </c>
      <c r="C1308" t="s">
        <v>5850</v>
      </c>
      <c r="D1308" t="str">
        <f>TRIM(alias[[#This Row],[Column3]])</f>
        <v>FAP Agri Tbk</v>
      </c>
      <c r="F1308" t="str">
        <f t="shared" si="20"/>
        <v>INSERT INTO stock_alias (stock, alias) VALUES ((SELECT id FROM stock WHERE ticker = 'FAPA'), 'FAP Agri Tbk') ON CONFLICT DO NOTHING;</v>
      </c>
    </row>
    <row r="1309" spans="1:6" x14ac:dyDescent="0.2">
      <c r="A1309" t="s">
        <v>2646</v>
      </c>
      <c r="B1309" t="s">
        <v>2647</v>
      </c>
      <c r="C1309" t="s">
        <v>5851</v>
      </c>
      <c r="D1309" t="str">
        <f>TRIM(alias[[#This Row],[Column3]])</f>
        <v>PT FAP Agri</v>
      </c>
      <c r="F1309" t="str">
        <f t="shared" si="20"/>
        <v>INSERT INTO stock_alias (stock, alias) VALUES ((SELECT id FROM stock WHERE ticker = 'FAPA'), 'PT FAP Agri') ON CONFLICT DO NOTHING;</v>
      </c>
    </row>
    <row r="1310" spans="1:6" x14ac:dyDescent="0.2">
      <c r="A1310" t="s">
        <v>485</v>
      </c>
      <c r="B1310" t="s">
        <v>486</v>
      </c>
      <c r="C1310" t="s">
        <v>485</v>
      </c>
      <c r="D1310" t="str">
        <f>TRIM(alias[[#This Row],[Column3]])</f>
        <v>FAST</v>
      </c>
      <c r="F1310" t="str">
        <f t="shared" si="20"/>
        <v>INSERT INTO stock_alias (stock, alias) VALUES ((SELECT id FROM stock WHERE ticker = 'FAST'), 'FAST') ON CONFLICT DO NOTHING;</v>
      </c>
    </row>
    <row r="1311" spans="1:6" x14ac:dyDescent="0.2">
      <c r="A1311" t="s">
        <v>485</v>
      </c>
      <c r="B1311" t="s">
        <v>486</v>
      </c>
      <c r="C1311" t="s">
        <v>5852</v>
      </c>
      <c r="D1311" t="str">
        <f>TRIM(alias[[#This Row],[Column3]])</f>
        <v>Fast Food Indonesia</v>
      </c>
      <c r="F1311" t="str">
        <f t="shared" si="20"/>
        <v>INSERT INTO stock_alias (stock, alias) VALUES ((SELECT id FROM stock WHERE ticker = 'FAST'), 'Fast Food Indonesia') ON CONFLICT DO NOTHING;</v>
      </c>
    </row>
    <row r="1312" spans="1:6" x14ac:dyDescent="0.2">
      <c r="A1312" t="s">
        <v>485</v>
      </c>
      <c r="B1312" t="s">
        <v>486</v>
      </c>
      <c r="C1312" t="s">
        <v>5853</v>
      </c>
      <c r="D1312" t="str">
        <f>TRIM(alias[[#This Row],[Column3]])</f>
        <v>Fast Food Indonesia Tbk</v>
      </c>
      <c r="F1312" t="str">
        <f t="shared" si="20"/>
        <v>INSERT INTO stock_alias (stock, alias) VALUES ((SELECT id FROM stock WHERE ticker = 'FAST'), 'Fast Food Indonesia Tbk') ON CONFLICT DO NOTHING;</v>
      </c>
    </row>
    <row r="1313" spans="1:6" x14ac:dyDescent="0.2">
      <c r="A1313" t="s">
        <v>485</v>
      </c>
      <c r="B1313" t="s">
        <v>486</v>
      </c>
      <c r="C1313" t="s">
        <v>5854</v>
      </c>
      <c r="D1313" t="str">
        <f>TRIM(alias[[#This Row],[Column3]])</f>
        <v>PT Fast Food Indonesia</v>
      </c>
      <c r="F1313" t="str">
        <f t="shared" si="20"/>
        <v>INSERT INTO stock_alias (stock, alias) VALUES ((SELECT id FROM stock WHERE ticker = 'FAST'), 'PT Fast Food Indonesia') ON CONFLICT DO NOTHING;</v>
      </c>
    </row>
    <row r="1314" spans="1:6" x14ac:dyDescent="0.2">
      <c r="A1314" t="s">
        <v>488</v>
      </c>
      <c r="B1314" t="s">
        <v>489</v>
      </c>
      <c r="C1314" t="s">
        <v>488</v>
      </c>
      <c r="D1314" t="str">
        <f>TRIM(alias[[#This Row],[Column3]])</f>
        <v>FASW</v>
      </c>
      <c r="F1314" t="str">
        <f t="shared" si="20"/>
        <v>INSERT INTO stock_alias (stock, alias) VALUES ((SELECT id FROM stock WHERE ticker = 'FASW'), 'FASW') ON CONFLICT DO NOTHING;</v>
      </c>
    </row>
    <row r="1315" spans="1:6" x14ac:dyDescent="0.2">
      <c r="A1315" t="s">
        <v>488</v>
      </c>
      <c r="B1315" t="s">
        <v>489</v>
      </c>
      <c r="C1315" t="s">
        <v>5855</v>
      </c>
      <c r="D1315" t="str">
        <f>TRIM(alias[[#This Row],[Column3]])</f>
        <v>Fajar Surya Wisesa</v>
      </c>
      <c r="F1315" t="str">
        <f t="shared" si="20"/>
        <v>INSERT INTO stock_alias (stock, alias) VALUES ((SELECT id FROM stock WHERE ticker = 'FASW'), 'Fajar Surya Wisesa') ON CONFLICT DO NOTHING;</v>
      </c>
    </row>
    <row r="1316" spans="1:6" x14ac:dyDescent="0.2">
      <c r="A1316" t="s">
        <v>488</v>
      </c>
      <c r="B1316" t="s">
        <v>489</v>
      </c>
      <c r="C1316" t="s">
        <v>5856</v>
      </c>
      <c r="D1316" t="str">
        <f>TRIM(alias[[#This Row],[Column3]])</f>
        <v>Fajar Surya Wisesa Tbk</v>
      </c>
      <c r="F1316" t="str">
        <f t="shared" si="20"/>
        <v>INSERT INTO stock_alias (stock, alias) VALUES ((SELECT id FROM stock WHERE ticker = 'FASW'), 'Fajar Surya Wisesa Tbk') ON CONFLICT DO NOTHING;</v>
      </c>
    </row>
    <row r="1317" spans="1:6" x14ac:dyDescent="0.2">
      <c r="A1317" t="s">
        <v>488</v>
      </c>
      <c r="B1317" t="s">
        <v>489</v>
      </c>
      <c r="C1317" t="s">
        <v>5857</v>
      </c>
      <c r="D1317" t="str">
        <f>TRIM(alias[[#This Row],[Column3]])</f>
        <v>PT Fajar Surya Wisesa</v>
      </c>
      <c r="F1317" t="str">
        <f t="shared" si="20"/>
        <v>INSERT INTO stock_alias (stock, alias) VALUES ((SELECT id FROM stock WHERE ticker = 'FASW'), 'PT Fajar Surya Wisesa') ON CONFLICT DO NOTHING;</v>
      </c>
    </row>
    <row r="1318" spans="1:6" x14ac:dyDescent="0.2">
      <c r="A1318" t="s">
        <v>1568</v>
      </c>
      <c r="B1318" t="s">
        <v>1569</v>
      </c>
      <c r="C1318" t="s">
        <v>1568</v>
      </c>
      <c r="D1318" t="str">
        <f>TRIM(alias[[#This Row],[Column3]])</f>
        <v>FILM</v>
      </c>
      <c r="F1318" t="str">
        <f t="shared" si="20"/>
        <v>INSERT INTO stock_alias (stock, alias) VALUES ((SELECT id FROM stock WHERE ticker = 'FILM'), 'FILM') ON CONFLICT DO NOTHING;</v>
      </c>
    </row>
    <row r="1319" spans="1:6" x14ac:dyDescent="0.2">
      <c r="A1319" t="s">
        <v>1568</v>
      </c>
      <c r="B1319" t="s">
        <v>1569</v>
      </c>
      <c r="C1319" t="s">
        <v>5858</v>
      </c>
      <c r="D1319" t="str">
        <f>TRIM(alias[[#This Row],[Column3]])</f>
        <v>MD Entertainment</v>
      </c>
      <c r="F1319" t="str">
        <f t="shared" si="20"/>
        <v>INSERT INTO stock_alias (stock, alias) VALUES ((SELECT id FROM stock WHERE ticker = 'FILM'), 'MD Entertainment') ON CONFLICT DO NOTHING;</v>
      </c>
    </row>
    <row r="1320" spans="1:6" x14ac:dyDescent="0.2">
      <c r="A1320" t="s">
        <v>1568</v>
      </c>
      <c r="B1320" t="s">
        <v>1569</v>
      </c>
      <c r="C1320" t="s">
        <v>5859</v>
      </c>
      <c r="D1320" t="str">
        <f>TRIM(alias[[#This Row],[Column3]])</f>
        <v>MD Entertainment Tbk</v>
      </c>
      <c r="F1320" t="str">
        <f t="shared" si="20"/>
        <v>INSERT INTO stock_alias (stock, alias) VALUES ((SELECT id FROM stock WHERE ticker = 'FILM'), 'MD Entertainment Tbk') ON CONFLICT DO NOTHING;</v>
      </c>
    </row>
    <row r="1321" spans="1:6" x14ac:dyDescent="0.2">
      <c r="A1321" t="s">
        <v>1568</v>
      </c>
      <c r="B1321" t="s">
        <v>1569</v>
      </c>
      <c r="C1321" t="s">
        <v>5860</v>
      </c>
      <c r="D1321" t="str">
        <f>TRIM(alias[[#This Row],[Column3]])</f>
        <v>PT MD Entertainment</v>
      </c>
      <c r="F1321" t="str">
        <f t="shared" si="20"/>
        <v>INSERT INTO stock_alias (stock, alias) VALUES ((SELECT id FROM stock WHERE ticker = 'FILM'), 'PT MD Entertainment') ON CONFLICT DO NOTHING;</v>
      </c>
    </row>
    <row r="1322" spans="1:6" x14ac:dyDescent="0.2">
      <c r="A1322" t="s">
        <v>1933</v>
      </c>
      <c r="B1322" t="s">
        <v>1934</v>
      </c>
      <c r="C1322" t="s">
        <v>1933</v>
      </c>
      <c r="D1322" t="str">
        <f>TRIM(alias[[#This Row],[Column3]])</f>
        <v>FIMP</v>
      </c>
      <c r="F1322" t="str">
        <f t="shared" si="20"/>
        <v>INSERT INTO stock_alias (stock, alias) VALUES ((SELECT id FROM stock WHERE ticker = 'FIMP'), 'FIMP') ON CONFLICT DO NOTHING;</v>
      </c>
    </row>
    <row r="1323" spans="1:6" x14ac:dyDescent="0.2">
      <c r="A1323" t="s">
        <v>1933</v>
      </c>
      <c r="B1323" t="s">
        <v>1934</v>
      </c>
      <c r="C1323" t="s">
        <v>5861</v>
      </c>
      <c r="D1323" t="str">
        <f>TRIM(alias[[#This Row],[Column3]])</f>
        <v>Fimperkasa Utama</v>
      </c>
      <c r="F1323" t="str">
        <f t="shared" si="20"/>
        <v>INSERT INTO stock_alias (stock, alias) VALUES ((SELECT id FROM stock WHERE ticker = 'FIMP'), 'Fimperkasa Utama') ON CONFLICT DO NOTHING;</v>
      </c>
    </row>
    <row r="1324" spans="1:6" x14ac:dyDescent="0.2">
      <c r="A1324" t="s">
        <v>1933</v>
      </c>
      <c r="B1324" t="s">
        <v>1934</v>
      </c>
      <c r="C1324" t="s">
        <v>5862</v>
      </c>
      <c r="D1324" t="str">
        <f>TRIM(alias[[#This Row],[Column3]])</f>
        <v>Fimperkasa Utama Tbk</v>
      </c>
      <c r="F1324" t="str">
        <f t="shared" si="20"/>
        <v>INSERT INTO stock_alias (stock, alias) VALUES ((SELECT id FROM stock WHERE ticker = 'FIMP'), 'Fimperkasa Utama Tbk') ON CONFLICT DO NOTHING;</v>
      </c>
    </row>
    <row r="1325" spans="1:6" x14ac:dyDescent="0.2">
      <c r="A1325" t="s">
        <v>1933</v>
      </c>
      <c r="B1325" t="s">
        <v>1934</v>
      </c>
      <c r="C1325" t="s">
        <v>5863</v>
      </c>
      <c r="D1325" t="str">
        <f>TRIM(alias[[#This Row],[Column3]])</f>
        <v>PT Fimperkasa Utama</v>
      </c>
      <c r="F1325" t="str">
        <f t="shared" si="20"/>
        <v>INSERT INTO stock_alias (stock, alias) VALUES ((SELECT id FROM stock WHERE ticker = 'FIMP'), 'PT Fimperkasa Utama') ON CONFLICT DO NOTHING;</v>
      </c>
    </row>
    <row r="1326" spans="1:6" x14ac:dyDescent="0.2">
      <c r="A1326" t="s">
        <v>1410</v>
      </c>
      <c r="B1326" t="s">
        <v>1411</v>
      </c>
      <c r="C1326" t="s">
        <v>1410</v>
      </c>
      <c r="D1326" t="str">
        <f>TRIM(alias[[#This Row],[Column3]])</f>
        <v>FIRE</v>
      </c>
      <c r="F1326" t="str">
        <f t="shared" si="20"/>
        <v>INSERT INTO stock_alias (stock, alias) VALUES ((SELECT id FROM stock WHERE ticker = 'FIRE'), 'FIRE') ON CONFLICT DO NOTHING;</v>
      </c>
    </row>
    <row r="1327" spans="1:6" x14ac:dyDescent="0.2">
      <c r="A1327" t="s">
        <v>1410</v>
      </c>
      <c r="B1327" t="s">
        <v>1411</v>
      </c>
      <c r="C1327" t="s">
        <v>5864</v>
      </c>
      <c r="D1327" t="str">
        <f>TRIM(alias[[#This Row],[Column3]])</f>
        <v>Alfa Energi Investama</v>
      </c>
      <c r="F1327" t="str">
        <f t="shared" si="20"/>
        <v>INSERT INTO stock_alias (stock, alias) VALUES ((SELECT id FROM stock WHERE ticker = 'FIRE'), 'Alfa Energi Investama') ON CONFLICT DO NOTHING;</v>
      </c>
    </row>
    <row r="1328" spans="1:6" x14ac:dyDescent="0.2">
      <c r="A1328" t="s">
        <v>1410</v>
      </c>
      <c r="B1328" t="s">
        <v>1411</v>
      </c>
      <c r="C1328" t="s">
        <v>5865</v>
      </c>
      <c r="D1328" t="str">
        <f>TRIM(alias[[#This Row],[Column3]])</f>
        <v>Alfa Energi Investama Tbk</v>
      </c>
      <c r="F1328" t="str">
        <f t="shared" si="20"/>
        <v>INSERT INTO stock_alias (stock, alias) VALUES ((SELECT id FROM stock WHERE ticker = 'FIRE'), 'Alfa Energi Investama Tbk') ON CONFLICT DO NOTHING;</v>
      </c>
    </row>
    <row r="1329" spans="1:6" x14ac:dyDescent="0.2">
      <c r="A1329" t="s">
        <v>1410</v>
      </c>
      <c r="B1329" t="s">
        <v>1411</v>
      </c>
      <c r="C1329" t="s">
        <v>5866</v>
      </c>
      <c r="D1329" t="str">
        <f>TRIM(alias[[#This Row],[Column3]])</f>
        <v>PT Alfa Energi Investama</v>
      </c>
      <c r="F1329" t="str">
        <f t="shared" si="20"/>
        <v>INSERT INTO stock_alias (stock, alias) VALUES ((SELECT id FROM stock WHERE ticker = 'FIRE'), 'PT Alfa Energi Investama') ON CONFLICT DO NOTHING;</v>
      </c>
    </row>
    <row r="1330" spans="1:6" x14ac:dyDescent="0.2">
      <c r="A1330" t="s">
        <v>491</v>
      </c>
      <c r="B1330" t="s">
        <v>492</v>
      </c>
      <c r="C1330" t="s">
        <v>491</v>
      </c>
      <c r="D1330" t="str">
        <f>TRIM(alias[[#This Row],[Column3]])</f>
        <v>FISH</v>
      </c>
      <c r="F1330" t="str">
        <f t="shared" si="20"/>
        <v>INSERT INTO stock_alias (stock, alias) VALUES ((SELECT id FROM stock WHERE ticker = 'FISH'), 'FISH') ON CONFLICT DO NOTHING;</v>
      </c>
    </row>
    <row r="1331" spans="1:6" x14ac:dyDescent="0.2">
      <c r="A1331" t="s">
        <v>491</v>
      </c>
      <c r="B1331" t="s">
        <v>492</v>
      </c>
      <c r="C1331" t="s">
        <v>5867</v>
      </c>
      <c r="D1331" t="str">
        <f>TRIM(alias[[#This Row],[Column3]])</f>
        <v>FKS Multi Agro</v>
      </c>
      <c r="F1331" t="str">
        <f t="shared" si="20"/>
        <v>INSERT INTO stock_alias (stock, alias) VALUES ((SELECT id FROM stock WHERE ticker = 'FISH'), 'FKS Multi Agro') ON CONFLICT DO NOTHING;</v>
      </c>
    </row>
    <row r="1332" spans="1:6" x14ac:dyDescent="0.2">
      <c r="A1332" t="s">
        <v>491</v>
      </c>
      <c r="B1332" t="s">
        <v>492</v>
      </c>
      <c r="C1332" t="s">
        <v>5868</v>
      </c>
      <c r="D1332" t="str">
        <f>TRIM(alias[[#This Row],[Column3]])</f>
        <v>FKS Multi Agro Tbk</v>
      </c>
      <c r="F1332" t="str">
        <f t="shared" si="20"/>
        <v>INSERT INTO stock_alias (stock, alias) VALUES ((SELECT id FROM stock WHERE ticker = 'FISH'), 'FKS Multi Agro Tbk') ON CONFLICT DO NOTHING;</v>
      </c>
    </row>
    <row r="1333" spans="1:6" x14ac:dyDescent="0.2">
      <c r="A1333" t="s">
        <v>491</v>
      </c>
      <c r="B1333" t="s">
        <v>492</v>
      </c>
      <c r="C1333" t="s">
        <v>5869</v>
      </c>
      <c r="D1333" t="str">
        <f>TRIM(alias[[#This Row],[Column3]])</f>
        <v>PT FKS Multi Agro</v>
      </c>
      <c r="F1333" t="str">
        <f t="shared" si="20"/>
        <v>INSERT INTO stock_alias (stock, alias) VALUES ((SELECT id FROM stock WHERE ticker = 'FISH'), 'PT FKS Multi Agro') ON CONFLICT DO NOTHING;</v>
      </c>
    </row>
    <row r="1334" spans="1:6" x14ac:dyDescent="0.2">
      <c r="A1334" t="s">
        <v>1675</v>
      </c>
      <c r="B1334" t="s">
        <v>1676</v>
      </c>
      <c r="C1334" t="s">
        <v>1675</v>
      </c>
      <c r="D1334" t="str">
        <f>TRIM(alias[[#This Row],[Column3]])</f>
        <v>FITT</v>
      </c>
      <c r="F1334" t="str">
        <f t="shared" si="20"/>
        <v>INSERT INTO stock_alias (stock, alias) VALUES ((SELECT id FROM stock WHERE ticker = 'FITT'), 'FITT') ON CONFLICT DO NOTHING;</v>
      </c>
    </row>
    <row r="1335" spans="1:6" x14ac:dyDescent="0.2">
      <c r="A1335" t="s">
        <v>1675</v>
      </c>
      <c r="B1335" t="s">
        <v>1676</v>
      </c>
      <c r="C1335" t="s">
        <v>5870</v>
      </c>
      <c r="D1335" t="str">
        <f>TRIM(alias[[#This Row],[Column3]])</f>
        <v>Hotel Fitra International</v>
      </c>
      <c r="F1335" t="str">
        <f t="shared" si="20"/>
        <v>INSERT INTO stock_alias (stock, alias) VALUES ((SELECT id FROM stock WHERE ticker = 'FITT'), 'Hotel Fitra International') ON CONFLICT DO NOTHING;</v>
      </c>
    </row>
    <row r="1336" spans="1:6" x14ac:dyDescent="0.2">
      <c r="A1336" t="s">
        <v>1675</v>
      </c>
      <c r="B1336" t="s">
        <v>1676</v>
      </c>
      <c r="C1336" t="s">
        <v>5871</v>
      </c>
      <c r="D1336" t="str">
        <f>TRIM(alias[[#This Row],[Column3]])</f>
        <v>Hotel Fitra International Tbk</v>
      </c>
      <c r="F1336" t="str">
        <f t="shared" si="20"/>
        <v>INSERT INTO stock_alias (stock, alias) VALUES ((SELECT id FROM stock WHERE ticker = 'FITT'), 'Hotel Fitra International Tbk') ON CONFLICT DO NOTHING;</v>
      </c>
    </row>
    <row r="1337" spans="1:6" x14ac:dyDescent="0.2">
      <c r="A1337" t="s">
        <v>1675</v>
      </c>
      <c r="B1337" t="s">
        <v>1676</v>
      </c>
      <c r="C1337" t="s">
        <v>5872</v>
      </c>
      <c r="D1337" t="str">
        <f>TRIM(alias[[#This Row],[Column3]])</f>
        <v>PT Hotel Fitra International</v>
      </c>
      <c r="F1337" t="str">
        <f t="shared" si="20"/>
        <v>INSERT INTO stock_alias (stock, alias) VALUES ((SELECT id FROM stock WHERE ticker = 'FITT'), 'PT Hotel Fitra International') ON CONFLICT DO NOTHING;</v>
      </c>
    </row>
    <row r="1338" spans="1:6" x14ac:dyDescent="0.2">
      <c r="A1338" t="s">
        <v>1972</v>
      </c>
      <c r="B1338" t="s">
        <v>1973</v>
      </c>
      <c r="C1338" t="s">
        <v>1972</v>
      </c>
      <c r="D1338" t="str">
        <f>TRIM(alias[[#This Row],[Column3]])</f>
        <v>FLMC</v>
      </c>
      <c r="F1338" t="str">
        <f t="shared" si="20"/>
        <v>INSERT INTO stock_alias (stock, alias) VALUES ((SELECT id FROM stock WHERE ticker = 'FLMC'), 'FLMC') ON CONFLICT DO NOTHING;</v>
      </c>
    </row>
    <row r="1339" spans="1:6" x14ac:dyDescent="0.2">
      <c r="A1339" t="s">
        <v>1972</v>
      </c>
      <c r="B1339" t="s">
        <v>1973</v>
      </c>
      <c r="C1339" t="s">
        <v>5873</v>
      </c>
      <c r="D1339" t="str">
        <f>TRIM(alias[[#This Row],[Column3]])</f>
        <v>Falmaco Nonwoven Industri</v>
      </c>
      <c r="F1339" t="str">
        <f t="shared" si="20"/>
        <v>INSERT INTO stock_alias (stock, alias) VALUES ((SELECT id FROM stock WHERE ticker = 'FLMC'), 'Falmaco Nonwoven Industri') ON CONFLICT DO NOTHING;</v>
      </c>
    </row>
    <row r="1340" spans="1:6" x14ac:dyDescent="0.2">
      <c r="A1340" t="s">
        <v>1972</v>
      </c>
      <c r="B1340" t="s">
        <v>1973</v>
      </c>
      <c r="C1340" t="s">
        <v>5874</v>
      </c>
      <c r="D1340" t="str">
        <f>TRIM(alias[[#This Row],[Column3]])</f>
        <v>Falmaco Nonwoven Industri Tbk</v>
      </c>
      <c r="F1340" t="str">
        <f t="shared" si="20"/>
        <v>INSERT INTO stock_alias (stock, alias) VALUES ((SELECT id FROM stock WHERE ticker = 'FLMC'), 'Falmaco Nonwoven Industri Tbk') ON CONFLICT DO NOTHING;</v>
      </c>
    </row>
    <row r="1341" spans="1:6" x14ac:dyDescent="0.2">
      <c r="A1341" t="s">
        <v>1972</v>
      </c>
      <c r="B1341" t="s">
        <v>1973</v>
      </c>
      <c r="C1341" t="s">
        <v>5875</v>
      </c>
      <c r="D1341" t="str">
        <f>TRIM(alias[[#This Row],[Column3]])</f>
        <v>PT Falmaco Nonwoven Industri</v>
      </c>
      <c r="F1341" t="str">
        <f t="shared" si="20"/>
        <v>INSERT INTO stock_alias (stock, alias) VALUES ((SELECT id FROM stock WHERE ticker = 'FLMC'), 'PT Falmaco Nonwoven Industri') ON CONFLICT DO NOTHING;</v>
      </c>
    </row>
    <row r="1342" spans="1:6" x14ac:dyDescent="0.2">
      <c r="A1342" t="s">
        <v>494</v>
      </c>
      <c r="B1342" t="s">
        <v>3563</v>
      </c>
      <c r="C1342" t="s">
        <v>494</v>
      </c>
      <c r="D1342" t="str">
        <f>TRIM(alias[[#This Row],[Column3]])</f>
        <v>FMII</v>
      </c>
      <c r="F1342" t="str">
        <f t="shared" si="20"/>
        <v>INSERT INTO stock_alias (stock, alias) VALUES ((SELECT id FROM stock WHERE ticker = 'FMII'), 'FMII') ON CONFLICT DO NOTHING;</v>
      </c>
    </row>
    <row r="1343" spans="1:6" x14ac:dyDescent="0.2">
      <c r="A1343" t="s">
        <v>494</v>
      </c>
      <c r="B1343" t="s">
        <v>3563</v>
      </c>
      <c r="C1343" t="s">
        <v>5876</v>
      </c>
      <c r="D1343" t="str">
        <f>TRIM(alias[[#This Row],[Column3]])</f>
        <v>Fortune Mate Indonesia</v>
      </c>
      <c r="F1343" t="str">
        <f t="shared" si="20"/>
        <v>INSERT INTO stock_alias (stock, alias) VALUES ((SELECT id FROM stock WHERE ticker = 'FMII'), 'Fortune Mate Indonesia') ON CONFLICT DO NOTHING;</v>
      </c>
    </row>
    <row r="1344" spans="1:6" x14ac:dyDescent="0.2">
      <c r="A1344" t="s">
        <v>494</v>
      </c>
      <c r="B1344" t="s">
        <v>3563</v>
      </c>
      <c r="C1344" t="s">
        <v>5877</v>
      </c>
      <c r="D1344" t="str">
        <f>TRIM(alias[[#This Row],[Column3]])</f>
        <v>Fortune Mate Indonesia Tbk</v>
      </c>
      <c r="F1344" t="str">
        <f t="shared" si="20"/>
        <v>INSERT INTO stock_alias (stock, alias) VALUES ((SELECT id FROM stock WHERE ticker = 'FMII'), 'Fortune Mate Indonesia Tbk') ON CONFLICT DO NOTHING;</v>
      </c>
    </row>
    <row r="1345" spans="1:6" x14ac:dyDescent="0.2">
      <c r="A1345" t="s">
        <v>494</v>
      </c>
      <c r="B1345" t="s">
        <v>3563</v>
      </c>
      <c r="C1345" t="s">
        <v>5878</v>
      </c>
      <c r="D1345" t="str">
        <f>TRIM(alias[[#This Row],[Column3]])</f>
        <v>PT Fortune Mate Indonesia</v>
      </c>
      <c r="F1345" t="str">
        <f t="shared" si="20"/>
        <v>INSERT INTO stock_alias (stock, alias) VALUES ((SELECT id FROM stock WHERE ticker = 'FMII'), 'PT Fortune Mate Indonesia') ON CONFLICT DO NOTHING;</v>
      </c>
    </row>
    <row r="1346" spans="1:6" x14ac:dyDescent="0.2">
      <c r="A1346" t="s">
        <v>2342</v>
      </c>
      <c r="B1346" t="s">
        <v>2343</v>
      </c>
      <c r="C1346" t="s">
        <v>2342</v>
      </c>
      <c r="D1346" t="str">
        <f>TRIM(alias[[#This Row],[Column3]])</f>
        <v>FOLK</v>
      </c>
      <c r="F1346" t="str">
        <f t="shared" si="20"/>
        <v>INSERT INTO stock_alias (stock, alias) VALUES ((SELECT id FROM stock WHERE ticker = 'FOLK'), 'FOLK') ON CONFLICT DO NOTHING;</v>
      </c>
    </row>
    <row r="1347" spans="1:6" x14ac:dyDescent="0.2">
      <c r="A1347" t="s">
        <v>2342</v>
      </c>
      <c r="B1347" t="s">
        <v>2343</v>
      </c>
      <c r="C1347" t="s">
        <v>5879</v>
      </c>
      <c r="D1347" t="str">
        <f>TRIM(alias[[#This Row],[Column3]])</f>
        <v>Multi Garam Utama</v>
      </c>
      <c r="F1347" t="str">
        <f t="shared" ref="F1347:F1410" si="21">_xlfn.CONCAT($F$1, _xlfn.CONCAT($G$1, A1347, "'), '", D1347, "') ON CONFLICT DO NOTHING;"))</f>
        <v>INSERT INTO stock_alias (stock, alias) VALUES ((SELECT id FROM stock WHERE ticker = 'FOLK'), 'Multi Garam Utama') ON CONFLICT DO NOTHING;</v>
      </c>
    </row>
    <row r="1348" spans="1:6" x14ac:dyDescent="0.2">
      <c r="A1348" t="s">
        <v>2342</v>
      </c>
      <c r="B1348" t="s">
        <v>2343</v>
      </c>
      <c r="C1348" t="s">
        <v>5880</v>
      </c>
      <c r="D1348" t="str">
        <f>TRIM(alias[[#This Row],[Column3]])</f>
        <v>Multi Garam Utama Tbk</v>
      </c>
      <c r="F1348" t="str">
        <f t="shared" si="21"/>
        <v>INSERT INTO stock_alias (stock, alias) VALUES ((SELECT id FROM stock WHERE ticker = 'FOLK'), 'Multi Garam Utama Tbk') ON CONFLICT DO NOTHING;</v>
      </c>
    </row>
    <row r="1349" spans="1:6" x14ac:dyDescent="0.2">
      <c r="A1349" t="s">
        <v>2342</v>
      </c>
      <c r="B1349" t="s">
        <v>2343</v>
      </c>
      <c r="C1349" t="s">
        <v>5881</v>
      </c>
      <c r="D1349" t="str">
        <f>TRIM(alias[[#This Row],[Column3]])</f>
        <v>PT Multi Garam Utama</v>
      </c>
      <c r="F1349" t="str">
        <f t="shared" si="21"/>
        <v>INSERT INTO stock_alias (stock, alias) VALUES ((SELECT id FROM stock WHERE ticker = 'FOLK'), 'PT Multi Garam Utama') ON CONFLICT DO NOTHING;</v>
      </c>
    </row>
    <row r="1350" spans="1:6" x14ac:dyDescent="0.2">
      <c r="A1350" t="s">
        <v>1641</v>
      </c>
      <c r="B1350" t="s">
        <v>1642</v>
      </c>
      <c r="C1350" t="s">
        <v>1641</v>
      </c>
      <c r="D1350" t="str">
        <f>TRIM(alias[[#This Row],[Column3]])</f>
        <v>FOOD</v>
      </c>
      <c r="F1350" t="str">
        <f t="shared" si="21"/>
        <v>INSERT INTO stock_alias (stock, alias) VALUES ((SELECT id FROM stock WHERE ticker = 'FOOD'), 'FOOD') ON CONFLICT DO NOTHING;</v>
      </c>
    </row>
    <row r="1351" spans="1:6" x14ac:dyDescent="0.2">
      <c r="A1351" t="s">
        <v>1641</v>
      </c>
      <c r="B1351" t="s">
        <v>1642</v>
      </c>
      <c r="C1351" t="s">
        <v>5882</v>
      </c>
      <c r="D1351" t="str">
        <f>TRIM(alias[[#This Row],[Column3]])</f>
        <v>PT Sentra Food Indonesia</v>
      </c>
      <c r="F1351" t="str">
        <f t="shared" si="21"/>
        <v>INSERT INTO stock_alias (stock, alias) VALUES ((SELECT id FROM stock WHERE ticker = 'FOOD'), 'PT Sentra Food Indonesia') ON CONFLICT DO NOTHING;</v>
      </c>
    </row>
    <row r="1352" spans="1:6" x14ac:dyDescent="0.2">
      <c r="A1352" t="s">
        <v>1641</v>
      </c>
      <c r="B1352" t="s">
        <v>1642</v>
      </c>
      <c r="C1352" t="s">
        <v>5883</v>
      </c>
      <c r="D1352" t="str">
        <f>TRIM(alias[[#This Row],[Column3]])</f>
        <v>Sentra Food Indonesia</v>
      </c>
      <c r="F1352" t="str">
        <f t="shared" si="21"/>
        <v>INSERT INTO stock_alias (stock, alias) VALUES ((SELECT id FROM stock WHERE ticker = 'FOOD'), 'Sentra Food Indonesia') ON CONFLICT DO NOTHING;</v>
      </c>
    </row>
    <row r="1353" spans="1:6" x14ac:dyDescent="0.2">
      <c r="A1353" t="s">
        <v>1641</v>
      </c>
      <c r="B1353" t="s">
        <v>1642</v>
      </c>
      <c r="C1353" t="s">
        <v>5884</v>
      </c>
      <c r="D1353" t="str">
        <f>TRIM(alias[[#This Row],[Column3]])</f>
        <v>Sentra Food Indonesia Tbk</v>
      </c>
      <c r="F1353" t="str">
        <f t="shared" si="21"/>
        <v>INSERT INTO stock_alias (stock, alias) VALUES ((SELECT id FROM stock WHERE ticker = 'FOOD'), 'Sentra Food Indonesia Tbk') ON CONFLICT DO NOTHING;</v>
      </c>
    </row>
    <row r="1354" spans="1:6" x14ac:dyDescent="0.2">
      <c r="A1354" t="s">
        <v>2575</v>
      </c>
      <c r="B1354" t="s">
        <v>2576</v>
      </c>
      <c r="C1354" t="s">
        <v>2575</v>
      </c>
      <c r="D1354" t="str">
        <f>TRIM(alias[[#This Row],[Column3]])</f>
        <v>FORE</v>
      </c>
      <c r="F1354" t="str">
        <f t="shared" si="21"/>
        <v>INSERT INTO stock_alias (stock, alias) VALUES ((SELECT id FROM stock WHERE ticker = 'FORE'), 'FORE') ON CONFLICT DO NOTHING;</v>
      </c>
    </row>
    <row r="1355" spans="1:6" x14ac:dyDescent="0.2">
      <c r="A1355" t="s">
        <v>2575</v>
      </c>
      <c r="B1355" t="s">
        <v>2576</v>
      </c>
      <c r="C1355" t="s">
        <v>5885</v>
      </c>
      <c r="D1355" t="str">
        <f>TRIM(alias[[#This Row],[Column3]])</f>
        <v>Fore Kopi Indonesia</v>
      </c>
      <c r="F1355" t="str">
        <f t="shared" si="21"/>
        <v>INSERT INTO stock_alias (stock, alias) VALUES ((SELECT id FROM stock WHERE ticker = 'FORE'), 'Fore Kopi Indonesia') ON CONFLICT DO NOTHING;</v>
      </c>
    </row>
    <row r="1356" spans="1:6" x14ac:dyDescent="0.2">
      <c r="A1356" t="s">
        <v>2575</v>
      </c>
      <c r="B1356" t="s">
        <v>2576</v>
      </c>
      <c r="C1356" t="s">
        <v>5886</v>
      </c>
      <c r="D1356" t="str">
        <f>TRIM(alias[[#This Row],[Column3]])</f>
        <v>Fore Kopi Indonesia Tbk</v>
      </c>
      <c r="F1356" t="str">
        <f t="shared" si="21"/>
        <v>INSERT INTO stock_alias (stock, alias) VALUES ((SELECT id FROM stock WHERE ticker = 'FORE'), 'Fore Kopi Indonesia Tbk') ON CONFLICT DO NOTHING;</v>
      </c>
    </row>
    <row r="1357" spans="1:6" x14ac:dyDescent="0.2">
      <c r="A1357" t="s">
        <v>2575</v>
      </c>
      <c r="B1357" t="s">
        <v>2576</v>
      </c>
      <c r="C1357" t="s">
        <v>5887</v>
      </c>
      <c r="D1357" t="str">
        <f>TRIM(alias[[#This Row],[Column3]])</f>
        <v>PT Fore Kopi Indonesia</v>
      </c>
      <c r="F1357" t="str">
        <f t="shared" si="21"/>
        <v>INSERT INTO stock_alias (stock, alias) VALUES ((SELECT id FROM stock WHERE ticker = 'FORE'), 'PT Fore Kopi Indonesia') ON CONFLICT DO NOTHING;</v>
      </c>
    </row>
    <row r="1358" spans="1:6" x14ac:dyDescent="0.2">
      <c r="A1358" t="s">
        <v>497</v>
      </c>
      <c r="B1358" t="s">
        <v>3564</v>
      </c>
      <c r="C1358" t="s">
        <v>497</v>
      </c>
      <c r="D1358" t="str">
        <f>TRIM(alias[[#This Row],[Column3]])</f>
        <v>FORU</v>
      </c>
      <c r="F1358" t="str">
        <f t="shared" si="21"/>
        <v>INSERT INTO stock_alias (stock, alias) VALUES ((SELECT id FROM stock WHERE ticker = 'FORU'), 'FORU') ON CONFLICT DO NOTHING;</v>
      </c>
    </row>
    <row r="1359" spans="1:6" x14ac:dyDescent="0.2">
      <c r="A1359" t="s">
        <v>497</v>
      </c>
      <c r="B1359" t="s">
        <v>3564</v>
      </c>
      <c r="C1359" t="s">
        <v>5888</v>
      </c>
      <c r="D1359" t="str">
        <f>TRIM(alias[[#This Row],[Column3]])</f>
        <v>Fortune Indonesia</v>
      </c>
      <c r="F1359" t="str">
        <f t="shared" si="21"/>
        <v>INSERT INTO stock_alias (stock, alias) VALUES ((SELECT id FROM stock WHERE ticker = 'FORU'), 'Fortune Indonesia') ON CONFLICT DO NOTHING;</v>
      </c>
    </row>
    <row r="1360" spans="1:6" x14ac:dyDescent="0.2">
      <c r="A1360" t="s">
        <v>497</v>
      </c>
      <c r="B1360" t="s">
        <v>3564</v>
      </c>
      <c r="C1360" t="s">
        <v>5889</v>
      </c>
      <c r="D1360" t="str">
        <f>TRIM(alias[[#This Row],[Column3]])</f>
        <v>Fortune Indonesia Tbk</v>
      </c>
      <c r="F1360" t="str">
        <f t="shared" si="21"/>
        <v>INSERT INTO stock_alias (stock, alias) VALUES ((SELECT id FROM stock WHERE ticker = 'FORU'), 'Fortune Indonesia Tbk') ON CONFLICT DO NOTHING;</v>
      </c>
    </row>
    <row r="1361" spans="1:6" x14ac:dyDescent="0.2">
      <c r="A1361" t="s">
        <v>497</v>
      </c>
      <c r="B1361" t="s">
        <v>3564</v>
      </c>
      <c r="C1361" t="s">
        <v>5890</v>
      </c>
      <c r="D1361" t="str">
        <f>TRIM(alias[[#This Row],[Column3]])</f>
        <v>PT Fortune Indonesia</v>
      </c>
      <c r="F1361" t="str">
        <f t="shared" si="21"/>
        <v>INSERT INTO stock_alias (stock, alias) VALUES ((SELECT id FROM stock WHERE ticker = 'FORU'), 'PT Fortune Indonesia') ON CONFLICT DO NOTHING;</v>
      </c>
    </row>
    <row r="1362" spans="1:6" x14ac:dyDescent="0.2">
      <c r="A1362" t="s">
        <v>500</v>
      </c>
      <c r="B1362" t="s">
        <v>501</v>
      </c>
      <c r="C1362" t="s">
        <v>500</v>
      </c>
      <c r="D1362" t="str">
        <f>TRIM(alias[[#This Row],[Column3]])</f>
        <v>FPNI</v>
      </c>
      <c r="F1362" t="str">
        <f t="shared" si="21"/>
        <v>INSERT INTO stock_alias (stock, alias) VALUES ((SELECT id FROM stock WHERE ticker = 'FPNI'), 'FPNI') ON CONFLICT DO NOTHING;</v>
      </c>
    </row>
    <row r="1363" spans="1:6" x14ac:dyDescent="0.2">
      <c r="A1363" t="s">
        <v>500</v>
      </c>
      <c r="B1363" t="s">
        <v>501</v>
      </c>
      <c r="C1363" t="s">
        <v>5891</v>
      </c>
      <c r="D1363" t="str">
        <f>TRIM(alias[[#This Row],[Column3]])</f>
        <v>Lotte Chemical Titan</v>
      </c>
      <c r="F1363" t="str">
        <f t="shared" si="21"/>
        <v>INSERT INTO stock_alias (stock, alias) VALUES ((SELECT id FROM stock WHERE ticker = 'FPNI'), 'Lotte Chemical Titan') ON CONFLICT DO NOTHING;</v>
      </c>
    </row>
    <row r="1364" spans="1:6" x14ac:dyDescent="0.2">
      <c r="A1364" t="s">
        <v>500</v>
      </c>
      <c r="B1364" t="s">
        <v>501</v>
      </c>
      <c r="C1364" t="s">
        <v>5892</v>
      </c>
      <c r="D1364" t="str">
        <f>TRIM(alias[[#This Row],[Column3]])</f>
        <v>Lotte Chemical Titan Tbk</v>
      </c>
      <c r="F1364" t="str">
        <f t="shared" si="21"/>
        <v>INSERT INTO stock_alias (stock, alias) VALUES ((SELECT id FROM stock WHERE ticker = 'FPNI'), 'Lotte Chemical Titan Tbk') ON CONFLICT DO NOTHING;</v>
      </c>
    </row>
    <row r="1365" spans="1:6" x14ac:dyDescent="0.2">
      <c r="A1365" t="s">
        <v>500</v>
      </c>
      <c r="B1365" t="s">
        <v>501</v>
      </c>
      <c r="C1365" t="s">
        <v>5893</v>
      </c>
      <c r="D1365" t="str">
        <f>TRIM(alias[[#This Row],[Column3]])</f>
        <v>PT Lotte Chemical Titan</v>
      </c>
      <c r="F1365" t="str">
        <f t="shared" si="21"/>
        <v>INSERT INTO stock_alias (stock, alias) VALUES ((SELECT id FROM stock WHERE ticker = 'FPNI'), 'PT Lotte Chemical Titan') ON CONFLICT DO NOTHING;</v>
      </c>
    </row>
    <row r="1366" spans="1:6" x14ac:dyDescent="0.2">
      <c r="A1366" t="s">
        <v>3452</v>
      </c>
      <c r="B1366" t="s">
        <v>3565</v>
      </c>
      <c r="C1366" t="s">
        <v>3452</v>
      </c>
      <c r="D1366" t="str">
        <f>TRIM(alias[[#This Row],[Column3]])</f>
        <v>FREN</v>
      </c>
      <c r="F1366" t="str">
        <f t="shared" si="21"/>
        <v>INSERT INTO stock_alias (stock, alias) VALUES ((SELECT id FROM stock WHERE ticker = 'FREN'), 'FREN') ON CONFLICT DO NOTHING;</v>
      </c>
    </row>
    <row r="1367" spans="1:6" x14ac:dyDescent="0.2">
      <c r="A1367" t="s">
        <v>3452</v>
      </c>
      <c r="B1367" t="s">
        <v>3565</v>
      </c>
      <c r="C1367" t="s">
        <v>5894</v>
      </c>
      <c r="D1367" t="str">
        <f>TRIM(alias[[#This Row],[Column3]])</f>
        <v>PT Smartfren Telecom</v>
      </c>
      <c r="F1367" t="str">
        <f t="shared" si="21"/>
        <v>INSERT INTO stock_alias (stock, alias) VALUES ((SELECT id FROM stock WHERE ticker = 'FREN'), 'PT Smartfren Telecom') ON CONFLICT DO NOTHING;</v>
      </c>
    </row>
    <row r="1368" spans="1:6" x14ac:dyDescent="0.2">
      <c r="A1368" t="s">
        <v>3452</v>
      </c>
      <c r="B1368" t="s">
        <v>3565</v>
      </c>
      <c r="C1368" t="s">
        <v>5895</v>
      </c>
      <c r="D1368" t="str">
        <f>TRIM(alias[[#This Row],[Column3]])</f>
        <v>Smartfren Telecom</v>
      </c>
      <c r="F1368" t="str">
        <f t="shared" si="21"/>
        <v>INSERT INTO stock_alias (stock, alias) VALUES ((SELECT id FROM stock WHERE ticker = 'FREN'), 'Smartfren Telecom') ON CONFLICT DO NOTHING;</v>
      </c>
    </row>
    <row r="1369" spans="1:6" x14ac:dyDescent="0.2">
      <c r="A1369" t="s">
        <v>3452</v>
      </c>
      <c r="B1369" t="s">
        <v>3565</v>
      </c>
      <c r="C1369" t="s">
        <v>5896</v>
      </c>
      <c r="D1369" t="str">
        <f>TRIM(alias[[#This Row],[Column3]])</f>
        <v>Smartfren Telecom Tbk</v>
      </c>
      <c r="F1369" t="str">
        <f t="shared" si="21"/>
        <v>INSERT INTO stock_alias (stock, alias) VALUES ((SELECT id FROM stock WHERE ticker = 'FREN'), 'Smartfren Telecom Tbk') ON CONFLICT DO NOTHING;</v>
      </c>
    </row>
    <row r="1370" spans="1:6" x14ac:dyDescent="0.2">
      <c r="A1370" t="s">
        <v>1712</v>
      </c>
      <c r="B1370" t="s">
        <v>1713</v>
      </c>
      <c r="C1370" t="s">
        <v>1712</v>
      </c>
      <c r="D1370" t="str">
        <f>TRIM(alias[[#This Row],[Column3]])</f>
        <v>FUJI</v>
      </c>
      <c r="F1370" t="str">
        <f t="shared" si="21"/>
        <v>INSERT INTO stock_alias (stock, alias) VALUES ((SELECT id FROM stock WHERE ticker = 'FUJI'), 'FUJI') ON CONFLICT DO NOTHING;</v>
      </c>
    </row>
    <row r="1371" spans="1:6" x14ac:dyDescent="0.2">
      <c r="A1371" t="s">
        <v>1712</v>
      </c>
      <c r="B1371" t="s">
        <v>1713</v>
      </c>
      <c r="C1371" t="s">
        <v>5897</v>
      </c>
      <c r="D1371" t="str">
        <f>TRIM(alias[[#This Row],[Column3]])</f>
        <v>Fuji Finance Indonesia</v>
      </c>
      <c r="F1371" t="str">
        <f t="shared" si="21"/>
        <v>INSERT INTO stock_alias (stock, alias) VALUES ((SELECT id FROM stock WHERE ticker = 'FUJI'), 'Fuji Finance Indonesia') ON CONFLICT DO NOTHING;</v>
      </c>
    </row>
    <row r="1372" spans="1:6" x14ac:dyDescent="0.2">
      <c r="A1372" t="s">
        <v>1712</v>
      </c>
      <c r="B1372" t="s">
        <v>1713</v>
      </c>
      <c r="C1372" t="s">
        <v>5898</v>
      </c>
      <c r="D1372" t="str">
        <f>TRIM(alias[[#This Row],[Column3]])</f>
        <v>Fuji Finance Indonesia Tbk</v>
      </c>
      <c r="F1372" t="str">
        <f t="shared" si="21"/>
        <v>INSERT INTO stock_alias (stock, alias) VALUES ((SELECT id FROM stock WHERE ticker = 'FUJI'), 'Fuji Finance Indonesia Tbk') ON CONFLICT DO NOTHING;</v>
      </c>
    </row>
    <row r="1373" spans="1:6" x14ac:dyDescent="0.2">
      <c r="A1373" t="s">
        <v>1712</v>
      </c>
      <c r="B1373" t="s">
        <v>1713</v>
      </c>
      <c r="C1373" t="s">
        <v>5899</v>
      </c>
      <c r="D1373" t="str">
        <f>TRIM(alias[[#This Row],[Column3]])</f>
        <v>PT Fuji Finance Indonesia</v>
      </c>
      <c r="F1373" t="str">
        <f t="shared" si="21"/>
        <v>INSERT INTO stock_alias (stock, alias) VALUES ((SELECT id FROM stock WHERE ticker = 'FUJI'), 'PT Fuji Finance Indonesia') ON CONFLICT DO NOTHING;</v>
      </c>
    </row>
    <row r="1374" spans="1:6" x14ac:dyDescent="0.2">
      <c r="A1374" t="s">
        <v>2269</v>
      </c>
      <c r="B1374" t="s">
        <v>2270</v>
      </c>
      <c r="C1374" t="s">
        <v>2269</v>
      </c>
      <c r="D1374" t="str">
        <f>TRIM(alias[[#This Row],[Column3]])</f>
        <v>FUTR</v>
      </c>
      <c r="F1374" t="str">
        <f t="shared" si="21"/>
        <v>INSERT INTO stock_alias (stock, alias) VALUES ((SELECT id FROM stock WHERE ticker = 'FUTR'), 'FUTR') ON CONFLICT DO NOTHING;</v>
      </c>
    </row>
    <row r="1375" spans="1:6" x14ac:dyDescent="0.2">
      <c r="A1375" t="s">
        <v>2269</v>
      </c>
      <c r="B1375" t="s">
        <v>2270</v>
      </c>
      <c r="C1375" t="s">
        <v>5900</v>
      </c>
      <c r="D1375" t="str">
        <f>TRIM(alias[[#This Row],[Column3]])</f>
        <v>Futura Energi Global</v>
      </c>
      <c r="F1375" t="str">
        <f t="shared" si="21"/>
        <v>INSERT INTO stock_alias (stock, alias) VALUES ((SELECT id FROM stock WHERE ticker = 'FUTR'), 'Futura Energi Global') ON CONFLICT DO NOTHING;</v>
      </c>
    </row>
    <row r="1376" spans="1:6" x14ac:dyDescent="0.2">
      <c r="A1376" t="s">
        <v>2269</v>
      </c>
      <c r="B1376" t="s">
        <v>2270</v>
      </c>
      <c r="C1376" t="s">
        <v>5901</v>
      </c>
      <c r="D1376" t="str">
        <f>TRIM(alias[[#This Row],[Column3]])</f>
        <v>Futura Energi Global Tbk</v>
      </c>
      <c r="F1376" t="str">
        <f t="shared" si="21"/>
        <v>INSERT INTO stock_alias (stock, alias) VALUES ((SELECT id FROM stock WHERE ticker = 'FUTR'), 'Futura Energi Global Tbk') ON CONFLICT DO NOTHING;</v>
      </c>
    </row>
    <row r="1377" spans="1:6" x14ac:dyDescent="0.2">
      <c r="A1377" t="s">
        <v>2269</v>
      </c>
      <c r="B1377" t="s">
        <v>2270</v>
      </c>
      <c r="C1377" t="s">
        <v>5902</v>
      </c>
      <c r="D1377" t="str">
        <f>TRIM(alias[[#This Row],[Column3]])</f>
        <v>PT Futura Energi Global</v>
      </c>
      <c r="F1377" t="str">
        <f t="shared" si="21"/>
        <v>INSERT INTO stock_alias (stock, alias) VALUES ((SELECT id FROM stock WHERE ticker = 'FUTR'), 'PT Futura Energi Global') ON CONFLICT DO NOTHING;</v>
      </c>
    </row>
    <row r="1378" spans="1:6" x14ac:dyDescent="0.2">
      <c r="A1378" t="s">
        <v>2244</v>
      </c>
      <c r="B1378" t="s">
        <v>2245</v>
      </c>
      <c r="C1378" t="s">
        <v>2244</v>
      </c>
      <c r="D1378" t="str">
        <f>TRIM(alias[[#This Row],[Column3]])</f>
        <v>FWCT</v>
      </c>
      <c r="F1378" t="str">
        <f t="shared" si="21"/>
        <v>INSERT INTO stock_alias (stock, alias) VALUES ((SELECT id FROM stock WHERE ticker = 'FWCT'), 'FWCT') ON CONFLICT DO NOTHING;</v>
      </c>
    </row>
    <row r="1379" spans="1:6" x14ac:dyDescent="0.2">
      <c r="A1379" t="s">
        <v>2244</v>
      </c>
      <c r="B1379" t="s">
        <v>2245</v>
      </c>
      <c r="C1379" t="s">
        <v>5903</v>
      </c>
      <c r="D1379" t="str">
        <f>TRIM(alias[[#This Row],[Column3]])</f>
        <v>PT Wijaya Cahaya Timber</v>
      </c>
      <c r="F1379" t="str">
        <f t="shared" si="21"/>
        <v>INSERT INTO stock_alias (stock, alias) VALUES ((SELECT id FROM stock WHERE ticker = 'FWCT'), 'PT Wijaya Cahaya Timber') ON CONFLICT DO NOTHING;</v>
      </c>
    </row>
    <row r="1380" spans="1:6" x14ac:dyDescent="0.2">
      <c r="A1380" t="s">
        <v>2244</v>
      </c>
      <c r="B1380" t="s">
        <v>2245</v>
      </c>
      <c r="C1380" t="s">
        <v>5904</v>
      </c>
      <c r="D1380" t="str">
        <f>TRIM(alias[[#This Row],[Column3]])</f>
        <v>WCT</v>
      </c>
      <c r="F1380" t="str">
        <f t="shared" si="21"/>
        <v>INSERT INTO stock_alias (stock, alias) VALUES ((SELECT id FROM stock WHERE ticker = 'FWCT'), 'WCT') ON CONFLICT DO NOTHING;</v>
      </c>
    </row>
    <row r="1381" spans="1:6" x14ac:dyDescent="0.2">
      <c r="A1381" t="s">
        <v>2244</v>
      </c>
      <c r="B1381" t="s">
        <v>2245</v>
      </c>
      <c r="C1381" t="s">
        <v>5905</v>
      </c>
      <c r="D1381" t="str">
        <f>TRIM(alias[[#This Row],[Column3]])</f>
        <v>Wijaya Cahaya Timber</v>
      </c>
      <c r="F1381" t="str">
        <f t="shared" si="21"/>
        <v>INSERT INTO stock_alias (stock, alias) VALUES ((SELECT id FROM stock WHERE ticker = 'FWCT'), 'Wijaya Cahaya Timber') ON CONFLICT DO NOTHING;</v>
      </c>
    </row>
    <row r="1382" spans="1:6" x14ac:dyDescent="0.2">
      <c r="A1382" t="s">
        <v>2244</v>
      </c>
      <c r="B1382" t="s">
        <v>2245</v>
      </c>
      <c r="C1382" t="s">
        <v>5906</v>
      </c>
      <c r="D1382" t="str">
        <f>TRIM(alias[[#This Row],[Column3]])</f>
        <v>Wijaya Cahaya Timber Tbk</v>
      </c>
      <c r="F1382" t="str">
        <f t="shared" si="21"/>
        <v>INSERT INTO stock_alias (stock, alias) VALUES ((SELECT id FROM stock WHERE ticker = 'FWCT'), 'Wijaya Cahaya Timber Tbk') ON CONFLICT DO NOTHING;</v>
      </c>
    </row>
    <row r="1383" spans="1:6" x14ac:dyDescent="0.2">
      <c r="A1383" t="s">
        <v>503</v>
      </c>
      <c r="B1383" t="s">
        <v>504</v>
      </c>
      <c r="C1383" t="s">
        <v>503</v>
      </c>
      <c r="D1383" t="str">
        <f>TRIM(alias[[#This Row],[Column3]])</f>
        <v>GAMA</v>
      </c>
      <c r="F1383" t="str">
        <f t="shared" si="21"/>
        <v>INSERT INTO stock_alias (stock, alias) VALUES ((SELECT id FROM stock WHERE ticker = 'GAMA'), 'GAMA') ON CONFLICT DO NOTHING;</v>
      </c>
    </row>
    <row r="1384" spans="1:6" x14ac:dyDescent="0.2">
      <c r="A1384" t="s">
        <v>503</v>
      </c>
      <c r="B1384" t="s">
        <v>504</v>
      </c>
      <c r="C1384" t="s">
        <v>5907</v>
      </c>
      <c r="D1384" t="str">
        <f>TRIM(alias[[#This Row],[Column3]])</f>
        <v>Aksara Global Development</v>
      </c>
      <c r="F1384" t="str">
        <f t="shared" si="21"/>
        <v>INSERT INTO stock_alias (stock, alias) VALUES ((SELECT id FROM stock WHERE ticker = 'GAMA'), 'Aksara Global Development') ON CONFLICT DO NOTHING;</v>
      </c>
    </row>
    <row r="1385" spans="1:6" x14ac:dyDescent="0.2">
      <c r="A1385" t="s">
        <v>503</v>
      </c>
      <c r="B1385" t="s">
        <v>504</v>
      </c>
      <c r="C1385" t="s">
        <v>5908</v>
      </c>
      <c r="D1385" t="str">
        <f>TRIM(alias[[#This Row],[Column3]])</f>
        <v>Aksara Global Development Tbk</v>
      </c>
      <c r="F1385" t="str">
        <f t="shared" si="21"/>
        <v>INSERT INTO stock_alias (stock, alias) VALUES ((SELECT id FROM stock WHERE ticker = 'GAMA'), 'Aksara Global Development Tbk') ON CONFLICT DO NOTHING;</v>
      </c>
    </row>
    <row r="1386" spans="1:6" x14ac:dyDescent="0.2">
      <c r="A1386" t="s">
        <v>503</v>
      </c>
      <c r="B1386" t="s">
        <v>504</v>
      </c>
      <c r="C1386" t="s">
        <v>5909</v>
      </c>
      <c r="D1386" t="str">
        <f>TRIM(alias[[#This Row],[Column3]])</f>
        <v>PT Aksara Global Development</v>
      </c>
      <c r="F1386" t="str">
        <f t="shared" si="21"/>
        <v>INSERT INTO stock_alias (stock, alias) VALUES ((SELECT id FROM stock WHERE ticker = 'GAMA'), 'PT Aksara Global Development') ON CONFLICT DO NOTHING;</v>
      </c>
    </row>
    <row r="1387" spans="1:6" x14ac:dyDescent="0.2">
      <c r="A1387" t="s">
        <v>506</v>
      </c>
      <c r="B1387" t="s">
        <v>507</v>
      </c>
      <c r="C1387" t="s">
        <v>506</v>
      </c>
      <c r="D1387" t="str">
        <f>TRIM(alias[[#This Row],[Column3]])</f>
        <v>GDST</v>
      </c>
      <c r="F1387" t="str">
        <f t="shared" si="21"/>
        <v>INSERT INTO stock_alias (stock, alias) VALUES ((SELECT id FROM stock WHERE ticker = 'GDST'), 'GDST') ON CONFLICT DO NOTHING;</v>
      </c>
    </row>
    <row r="1388" spans="1:6" x14ac:dyDescent="0.2">
      <c r="A1388" t="s">
        <v>506</v>
      </c>
      <c r="B1388" t="s">
        <v>507</v>
      </c>
      <c r="C1388" t="s">
        <v>5910</v>
      </c>
      <c r="D1388" t="str">
        <f>TRIM(alias[[#This Row],[Column3]])</f>
        <v>Gunawan Dianjaya Steel</v>
      </c>
      <c r="F1388" t="str">
        <f t="shared" si="21"/>
        <v>INSERT INTO stock_alias (stock, alias) VALUES ((SELECT id FROM stock WHERE ticker = 'GDST'), 'Gunawan Dianjaya Steel') ON CONFLICT DO NOTHING;</v>
      </c>
    </row>
    <row r="1389" spans="1:6" x14ac:dyDescent="0.2">
      <c r="A1389" t="s">
        <v>506</v>
      </c>
      <c r="B1389" t="s">
        <v>507</v>
      </c>
      <c r="C1389" t="s">
        <v>5911</v>
      </c>
      <c r="D1389" t="str">
        <f>TRIM(alias[[#This Row],[Column3]])</f>
        <v>Gunawan Dianjaya Steel Tbk</v>
      </c>
      <c r="F1389" t="str">
        <f t="shared" si="21"/>
        <v>INSERT INTO stock_alias (stock, alias) VALUES ((SELECT id FROM stock WHERE ticker = 'GDST'), 'Gunawan Dianjaya Steel Tbk') ON CONFLICT DO NOTHING;</v>
      </c>
    </row>
    <row r="1390" spans="1:6" x14ac:dyDescent="0.2">
      <c r="A1390" t="s">
        <v>506</v>
      </c>
      <c r="B1390" t="s">
        <v>507</v>
      </c>
      <c r="C1390" t="s">
        <v>5912</v>
      </c>
      <c r="D1390" t="str">
        <f>TRIM(alias[[#This Row],[Column3]])</f>
        <v>PT Gunawan Dianjaya Steel</v>
      </c>
      <c r="F1390" t="str">
        <f t="shared" si="21"/>
        <v>INSERT INTO stock_alias (stock, alias) VALUES ((SELECT id FROM stock WHERE ticker = 'GDST'), 'PT Gunawan Dianjaya Steel') ON CONFLICT DO NOTHING;</v>
      </c>
    </row>
    <row r="1391" spans="1:6" x14ac:dyDescent="0.2">
      <c r="A1391" t="s">
        <v>509</v>
      </c>
      <c r="B1391" t="s">
        <v>510</v>
      </c>
      <c r="C1391" t="s">
        <v>509</v>
      </c>
      <c r="D1391" t="str">
        <f>TRIM(alias[[#This Row],[Column3]])</f>
        <v>GDYR</v>
      </c>
      <c r="F1391" t="str">
        <f t="shared" si="21"/>
        <v>INSERT INTO stock_alias (stock, alias) VALUES ((SELECT id FROM stock WHERE ticker = 'GDYR'), 'GDYR') ON CONFLICT DO NOTHING;</v>
      </c>
    </row>
    <row r="1392" spans="1:6" x14ac:dyDescent="0.2">
      <c r="A1392" t="s">
        <v>509</v>
      </c>
      <c r="B1392" t="s">
        <v>510</v>
      </c>
      <c r="C1392" t="s">
        <v>5913</v>
      </c>
      <c r="D1392" t="str">
        <f>TRIM(alias[[#This Row],[Column3]])</f>
        <v>GI</v>
      </c>
      <c r="F1392" t="str">
        <f t="shared" si="21"/>
        <v>INSERT INTO stock_alias (stock, alias) VALUES ((SELECT id FROM stock WHERE ticker = 'GDYR'), 'GI') ON CONFLICT DO NOTHING;</v>
      </c>
    </row>
    <row r="1393" spans="1:6" x14ac:dyDescent="0.2">
      <c r="A1393" t="s">
        <v>509</v>
      </c>
      <c r="B1393" t="s">
        <v>510</v>
      </c>
      <c r="C1393" t="s">
        <v>5914</v>
      </c>
      <c r="D1393" t="str">
        <f>TRIM(alias[[#This Row],[Column3]])</f>
        <v>Goodyear Indonesia</v>
      </c>
      <c r="F1393" t="str">
        <f t="shared" si="21"/>
        <v>INSERT INTO stock_alias (stock, alias) VALUES ((SELECT id FROM stock WHERE ticker = 'GDYR'), 'Goodyear Indonesia') ON CONFLICT DO NOTHING;</v>
      </c>
    </row>
    <row r="1394" spans="1:6" x14ac:dyDescent="0.2">
      <c r="A1394" t="s">
        <v>509</v>
      </c>
      <c r="B1394" t="s">
        <v>510</v>
      </c>
      <c r="C1394" t="s">
        <v>5915</v>
      </c>
      <c r="D1394" t="str">
        <f>TRIM(alias[[#This Row],[Column3]])</f>
        <v>Goodyear Indonesia Tbk</v>
      </c>
      <c r="F1394" t="str">
        <f t="shared" si="21"/>
        <v>INSERT INTO stock_alias (stock, alias) VALUES ((SELECT id FROM stock WHERE ticker = 'GDYR'), 'Goodyear Indonesia Tbk') ON CONFLICT DO NOTHING;</v>
      </c>
    </row>
    <row r="1395" spans="1:6" x14ac:dyDescent="0.2">
      <c r="A1395" t="s">
        <v>509</v>
      </c>
      <c r="B1395" t="s">
        <v>510</v>
      </c>
      <c r="C1395" t="s">
        <v>5916</v>
      </c>
      <c r="D1395" t="str">
        <f>TRIM(alias[[#This Row],[Column3]])</f>
        <v>PT Goodyear Indonesia</v>
      </c>
      <c r="F1395" t="str">
        <f t="shared" si="21"/>
        <v>INSERT INTO stock_alias (stock, alias) VALUES ((SELECT id FROM stock WHERE ticker = 'GDYR'), 'PT Goodyear Indonesia') ON CONFLICT DO NOTHING;</v>
      </c>
    </row>
    <row r="1396" spans="1:6" x14ac:dyDescent="0.2">
      <c r="A1396" t="s">
        <v>512</v>
      </c>
      <c r="B1396" t="s">
        <v>513</v>
      </c>
      <c r="C1396" t="s">
        <v>512</v>
      </c>
      <c r="D1396" t="str">
        <f>TRIM(alias[[#This Row],[Column3]])</f>
        <v>GEMA</v>
      </c>
      <c r="F1396" t="str">
        <f t="shared" si="21"/>
        <v>INSERT INTO stock_alias (stock, alias) VALUES ((SELECT id FROM stock WHERE ticker = 'GEMA'), 'GEMA') ON CONFLICT DO NOTHING;</v>
      </c>
    </row>
    <row r="1397" spans="1:6" x14ac:dyDescent="0.2">
      <c r="A1397" t="s">
        <v>512</v>
      </c>
      <c r="B1397" t="s">
        <v>513</v>
      </c>
      <c r="C1397" t="s">
        <v>5917</v>
      </c>
      <c r="D1397" t="str">
        <f>TRIM(alias[[#This Row],[Column3]])</f>
        <v>Gema Grahasarana</v>
      </c>
      <c r="F1397" t="str">
        <f t="shared" si="21"/>
        <v>INSERT INTO stock_alias (stock, alias) VALUES ((SELECT id FROM stock WHERE ticker = 'GEMA'), 'Gema Grahasarana') ON CONFLICT DO NOTHING;</v>
      </c>
    </row>
    <row r="1398" spans="1:6" x14ac:dyDescent="0.2">
      <c r="A1398" t="s">
        <v>512</v>
      </c>
      <c r="B1398" t="s">
        <v>513</v>
      </c>
      <c r="C1398" t="s">
        <v>5918</v>
      </c>
      <c r="D1398" t="str">
        <f>TRIM(alias[[#This Row],[Column3]])</f>
        <v>Gema Grahasarana Tbk</v>
      </c>
      <c r="F1398" t="str">
        <f t="shared" si="21"/>
        <v>INSERT INTO stock_alias (stock, alias) VALUES ((SELECT id FROM stock WHERE ticker = 'GEMA'), 'Gema Grahasarana Tbk') ON CONFLICT DO NOTHING;</v>
      </c>
    </row>
    <row r="1399" spans="1:6" x14ac:dyDescent="0.2">
      <c r="A1399" t="s">
        <v>512</v>
      </c>
      <c r="B1399" t="s">
        <v>513</v>
      </c>
      <c r="C1399" t="s">
        <v>5919</v>
      </c>
      <c r="D1399" t="str">
        <f>TRIM(alias[[#This Row],[Column3]])</f>
        <v>PT Gema Grahasarana</v>
      </c>
      <c r="F1399" t="str">
        <f t="shared" si="21"/>
        <v>INSERT INTO stock_alias (stock, alias) VALUES ((SELECT id FROM stock WHERE ticker = 'GEMA'), 'PT Gema Grahasarana') ON CONFLICT DO NOTHING;</v>
      </c>
    </row>
    <row r="1400" spans="1:6" x14ac:dyDescent="0.2">
      <c r="A1400" t="s">
        <v>515</v>
      </c>
      <c r="B1400" t="s">
        <v>516</v>
      </c>
      <c r="C1400" t="s">
        <v>515</v>
      </c>
      <c r="D1400" t="str">
        <f>TRIM(alias[[#This Row],[Column3]])</f>
        <v>GEMS</v>
      </c>
      <c r="F1400" t="str">
        <f t="shared" si="21"/>
        <v>INSERT INTO stock_alias (stock, alias) VALUES ((SELECT id FROM stock WHERE ticker = 'GEMS'), 'GEMS') ON CONFLICT DO NOTHING;</v>
      </c>
    </row>
    <row r="1401" spans="1:6" x14ac:dyDescent="0.2">
      <c r="A1401" t="s">
        <v>515</v>
      </c>
      <c r="B1401" t="s">
        <v>516</v>
      </c>
      <c r="C1401" t="s">
        <v>5920</v>
      </c>
      <c r="D1401" t="str">
        <f>TRIM(alias[[#This Row],[Column3]])</f>
        <v>Golden Energy Mines</v>
      </c>
      <c r="F1401" t="str">
        <f t="shared" si="21"/>
        <v>INSERT INTO stock_alias (stock, alias) VALUES ((SELECT id FROM stock WHERE ticker = 'GEMS'), 'Golden Energy Mines') ON CONFLICT DO NOTHING;</v>
      </c>
    </row>
    <row r="1402" spans="1:6" x14ac:dyDescent="0.2">
      <c r="A1402" t="s">
        <v>515</v>
      </c>
      <c r="B1402" t="s">
        <v>516</v>
      </c>
      <c r="C1402" t="s">
        <v>5921</v>
      </c>
      <c r="D1402" t="str">
        <f>TRIM(alias[[#This Row],[Column3]])</f>
        <v>Golden Energy Mines Tbk</v>
      </c>
      <c r="F1402" t="str">
        <f t="shared" si="21"/>
        <v>INSERT INTO stock_alias (stock, alias) VALUES ((SELECT id FROM stock WHERE ticker = 'GEMS'), 'Golden Energy Mines Tbk') ON CONFLICT DO NOTHING;</v>
      </c>
    </row>
    <row r="1403" spans="1:6" x14ac:dyDescent="0.2">
      <c r="A1403" t="s">
        <v>515</v>
      </c>
      <c r="B1403" t="s">
        <v>516</v>
      </c>
      <c r="C1403" t="s">
        <v>5922</v>
      </c>
      <c r="D1403" t="str">
        <f>TRIM(alias[[#This Row],[Column3]])</f>
        <v>PT Golden Energy Mines</v>
      </c>
      <c r="F1403" t="str">
        <f t="shared" si="21"/>
        <v>INSERT INTO stock_alias (stock, alias) VALUES ((SELECT id FROM stock WHERE ticker = 'GEMS'), 'PT Golden Energy Mines') ON CONFLICT DO NOTHING;</v>
      </c>
    </row>
    <row r="1404" spans="1:6" x14ac:dyDescent="0.2">
      <c r="A1404" t="s">
        <v>518</v>
      </c>
      <c r="B1404" t="s">
        <v>519</v>
      </c>
      <c r="C1404" t="s">
        <v>518</v>
      </c>
      <c r="D1404" t="str">
        <f>TRIM(alias[[#This Row],[Column3]])</f>
        <v>GGRM</v>
      </c>
      <c r="F1404" t="str">
        <f t="shared" si="21"/>
        <v>INSERT INTO stock_alias (stock, alias) VALUES ((SELECT id FROM stock WHERE ticker = 'GGRM'), 'GGRM') ON CONFLICT DO NOTHING;</v>
      </c>
    </row>
    <row r="1405" spans="1:6" x14ac:dyDescent="0.2">
      <c r="A1405" t="s">
        <v>518</v>
      </c>
      <c r="B1405" t="s">
        <v>519</v>
      </c>
      <c r="C1405" t="s">
        <v>5923</v>
      </c>
      <c r="D1405" t="str">
        <f>TRIM(alias[[#This Row],[Column3]])</f>
        <v>Gudang Garam</v>
      </c>
      <c r="F1405" t="str">
        <f t="shared" si="21"/>
        <v>INSERT INTO stock_alias (stock, alias) VALUES ((SELECT id FROM stock WHERE ticker = 'GGRM'), 'Gudang Garam') ON CONFLICT DO NOTHING;</v>
      </c>
    </row>
    <row r="1406" spans="1:6" x14ac:dyDescent="0.2">
      <c r="A1406" t="s">
        <v>518</v>
      </c>
      <c r="B1406" t="s">
        <v>519</v>
      </c>
      <c r="C1406" t="s">
        <v>5924</v>
      </c>
      <c r="D1406" t="str">
        <f>TRIM(alias[[#This Row],[Column3]])</f>
        <v>Gudang Garam Tbk</v>
      </c>
      <c r="F1406" t="str">
        <f t="shared" si="21"/>
        <v>INSERT INTO stock_alias (stock, alias) VALUES ((SELECT id FROM stock WHERE ticker = 'GGRM'), 'Gudang Garam Tbk') ON CONFLICT DO NOTHING;</v>
      </c>
    </row>
    <row r="1407" spans="1:6" x14ac:dyDescent="0.2">
      <c r="A1407" t="s">
        <v>518</v>
      </c>
      <c r="B1407" t="s">
        <v>519</v>
      </c>
      <c r="C1407" t="s">
        <v>5925</v>
      </c>
      <c r="D1407" t="str">
        <f>TRIM(alias[[#This Row],[Column3]])</f>
        <v>PT Gudang Garam</v>
      </c>
      <c r="F1407" t="str">
        <f t="shared" si="21"/>
        <v>INSERT INTO stock_alias (stock, alias) VALUES ((SELECT id FROM stock WHERE ticker = 'GGRM'), 'PT Gudang Garam') ON CONFLICT DO NOTHING;</v>
      </c>
    </row>
    <row r="1408" spans="1:6" x14ac:dyDescent="0.2">
      <c r="A1408" t="s">
        <v>1738</v>
      </c>
      <c r="B1408" t="s">
        <v>1739</v>
      </c>
      <c r="C1408" t="s">
        <v>1738</v>
      </c>
      <c r="D1408" t="str">
        <f>TRIM(alias[[#This Row],[Column3]])</f>
        <v>GGRP</v>
      </c>
      <c r="F1408" t="str">
        <f t="shared" si="21"/>
        <v>INSERT INTO stock_alias (stock, alias) VALUES ((SELECT id FROM stock WHERE ticker = 'GGRP'), 'GGRP') ON CONFLICT DO NOTHING;</v>
      </c>
    </row>
    <row r="1409" spans="1:6" x14ac:dyDescent="0.2">
      <c r="A1409" t="s">
        <v>1738</v>
      </c>
      <c r="B1409" t="s">
        <v>1739</v>
      </c>
      <c r="C1409" t="s">
        <v>5926</v>
      </c>
      <c r="D1409" t="str">
        <f>TRIM(alias[[#This Row],[Column3]])</f>
        <v>Gunung Raja Paksi</v>
      </c>
      <c r="F1409" t="str">
        <f t="shared" si="21"/>
        <v>INSERT INTO stock_alias (stock, alias) VALUES ((SELECT id FROM stock WHERE ticker = 'GGRP'), 'Gunung Raja Paksi') ON CONFLICT DO NOTHING;</v>
      </c>
    </row>
    <row r="1410" spans="1:6" x14ac:dyDescent="0.2">
      <c r="A1410" t="s">
        <v>1738</v>
      </c>
      <c r="B1410" t="s">
        <v>1739</v>
      </c>
      <c r="C1410" t="s">
        <v>5927</v>
      </c>
      <c r="D1410" t="str">
        <f>TRIM(alias[[#This Row],[Column3]])</f>
        <v>Gunung Raja Paksi Tbk</v>
      </c>
      <c r="F1410" t="str">
        <f t="shared" si="21"/>
        <v>INSERT INTO stock_alias (stock, alias) VALUES ((SELECT id FROM stock WHERE ticker = 'GGRP'), 'Gunung Raja Paksi Tbk') ON CONFLICT DO NOTHING;</v>
      </c>
    </row>
    <row r="1411" spans="1:6" x14ac:dyDescent="0.2">
      <c r="A1411" t="s">
        <v>1738</v>
      </c>
      <c r="B1411" t="s">
        <v>1739</v>
      </c>
      <c r="C1411" t="s">
        <v>5928</v>
      </c>
      <c r="D1411" t="str">
        <f>TRIM(alias[[#This Row],[Column3]])</f>
        <v>PT Gunung Raja Paksi</v>
      </c>
      <c r="F1411" t="str">
        <f t="shared" ref="F1411:F1474" si="22">_xlfn.CONCAT($F$1, _xlfn.CONCAT($G$1, A1411, "'), '", D1411, "') ON CONFLICT DO NOTHING;"))</f>
        <v>INSERT INTO stock_alias (stock, alias) VALUES ((SELECT id FROM stock WHERE ticker = 'GGRP'), 'PT Gunung Raja Paksi') ON CONFLICT DO NOTHING;</v>
      </c>
    </row>
    <row r="1412" spans="1:6" x14ac:dyDescent="0.2">
      <c r="A1412" t="s">
        <v>1505</v>
      </c>
      <c r="B1412" t="s">
        <v>3566</v>
      </c>
      <c r="C1412" t="s">
        <v>1505</v>
      </c>
      <c r="D1412" t="str">
        <f>TRIM(alias[[#This Row],[Column3]])</f>
        <v>GHON</v>
      </c>
      <c r="F1412" t="str">
        <f t="shared" si="22"/>
        <v>INSERT INTO stock_alias (stock, alias) VALUES ((SELECT id FROM stock WHERE ticker = 'GHON'), 'GHON') ON CONFLICT DO NOTHING;</v>
      </c>
    </row>
    <row r="1413" spans="1:6" x14ac:dyDescent="0.2">
      <c r="A1413" t="s">
        <v>1505</v>
      </c>
      <c r="B1413" t="s">
        <v>3566</v>
      </c>
      <c r="C1413" t="s">
        <v>5929</v>
      </c>
      <c r="D1413" t="str">
        <f>TRIM(alias[[#This Row],[Column3]])</f>
        <v>GTI</v>
      </c>
      <c r="F1413" t="str">
        <f t="shared" si="22"/>
        <v>INSERT INTO stock_alias (stock, alias) VALUES ((SELECT id FROM stock WHERE ticker = 'GHON'), 'GTI') ON CONFLICT DO NOTHING;</v>
      </c>
    </row>
    <row r="1414" spans="1:6" x14ac:dyDescent="0.2">
      <c r="A1414" t="s">
        <v>1505</v>
      </c>
      <c r="B1414" t="s">
        <v>3566</v>
      </c>
      <c r="C1414" t="s">
        <v>5930</v>
      </c>
      <c r="D1414" t="str">
        <f>TRIM(alias[[#This Row],[Column3]])</f>
        <v>Gihon Telekomunikasi Indonesia</v>
      </c>
      <c r="F1414" t="str">
        <f t="shared" si="22"/>
        <v>INSERT INTO stock_alias (stock, alias) VALUES ((SELECT id FROM stock WHERE ticker = 'GHON'), 'Gihon Telekomunikasi Indonesia') ON CONFLICT DO NOTHING;</v>
      </c>
    </row>
    <row r="1415" spans="1:6" x14ac:dyDescent="0.2">
      <c r="A1415" t="s">
        <v>1505</v>
      </c>
      <c r="B1415" t="s">
        <v>3566</v>
      </c>
      <c r="C1415" t="s">
        <v>5931</v>
      </c>
      <c r="D1415" t="str">
        <f>TRIM(alias[[#This Row],[Column3]])</f>
        <v>Gihon Telekomunikasi Indonesia Tbk</v>
      </c>
      <c r="F1415" t="str">
        <f t="shared" si="22"/>
        <v>INSERT INTO stock_alias (stock, alias) VALUES ((SELECT id FROM stock WHERE ticker = 'GHON'), 'Gihon Telekomunikasi Indonesia Tbk') ON CONFLICT DO NOTHING;</v>
      </c>
    </row>
    <row r="1416" spans="1:6" x14ac:dyDescent="0.2">
      <c r="A1416" t="s">
        <v>1505</v>
      </c>
      <c r="B1416" t="s">
        <v>3566</v>
      </c>
      <c r="C1416" t="s">
        <v>5932</v>
      </c>
      <c r="D1416" t="str">
        <f>TRIM(alias[[#This Row],[Column3]])</f>
        <v>PT Gihon Telekomunikasi Indonesia</v>
      </c>
      <c r="F1416" t="str">
        <f t="shared" si="22"/>
        <v>INSERT INTO stock_alias (stock, alias) VALUES ((SELECT id FROM stock WHERE ticker = 'GHON'), 'PT Gihon Telekomunikasi Indonesia') ON CONFLICT DO NOTHING;</v>
      </c>
    </row>
    <row r="1417" spans="1:6" x14ac:dyDescent="0.2">
      <c r="A1417" t="s">
        <v>521</v>
      </c>
      <c r="B1417" t="s">
        <v>3567</v>
      </c>
      <c r="C1417" t="s">
        <v>521</v>
      </c>
      <c r="D1417" t="str">
        <f>TRIM(alias[[#This Row],[Column3]])</f>
        <v>GIAA</v>
      </c>
      <c r="F1417" t="str">
        <f t="shared" si="22"/>
        <v>INSERT INTO stock_alias (stock, alias) VALUES ((SELECT id FROM stock WHERE ticker = 'GIAA'), 'GIAA') ON CONFLICT DO NOTHING;</v>
      </c>
    </row>
    <row r="1418" spans="1:6" x14ac:dyDescent="0.2">
      <c r="A1418" t="s">
        <v>521</v>
      </c>
      <c r="B1418" t="s">
        <v>3567</v>
      </c>
      <c r="C1418" t="s">
        <v>5933</v>
      </c>
      <c r="D1418" t="str">
        <f>TRIM(alias[[#This Row],[Column3]])</f>
        <v>Garuda Indonesia (Persero)</v>
      </c>
      <c r="F1418" t="str">
        <f t="shared" si="22"/>
        <v>INSERT INTO stock_alias (stock, alias) VALUES ((SELECT id FROM stock WHERE ticker = 'GIAA'), 'Garuda Indonesia (Persero)') ON CONFLICT DO NOTHING;</v>
      </c>
    </row>
    <row r="1419" spans="1:6" x14ac:dyDescent="0.2">
      <c r="A1419" t="s">
        <v>521</v>
      </c>
      <c r="B1419" t="s">
        <v>3567</v>
      </c>
      <c r="C1419" t="s">
        <v>5934</v>
      </c>
      <c r="D1419" t="str">
        <f>TRIM(alias[[#This Row],[Column3]])</f>
        <v>Garuda Indonesia (Persero) Tbk</v>
      </c>
      <c r="F1419" t="str">
        <f t="shared" si="22"/>
        <v>INSERT INTO stock_alias (stock, alias) VALUES ((SELECT id FROM stock WHERE ticker = 'GIAA'), 'Garuda Indonesia (Persero) Tbk') ON CONFLICT DO NOTHING;</v>
      </c>
    </row>
    <row r="1420" spans="1:6" x14ac:dyDescent="0.2">
      <c r="A1420" t="s">
        <v>521</v>
      </c>
      <c r="B1420" t="s">
        <v>3567</v>
      </c>
      <c r="C1420" t="s">
        <v>5935</v>
      </c>
      <c r="D1420" t="str">
        <f>TRIM(alias[[#This Row],[Column3]])</f>
        <v>PT Garuda Indonesia (Persero)</v>
      </c>
      <c r="F1420" t="str">
        <f t="shared" si="22"/>
        <v>INSERT INTO stock_alias (stock, alias) VALUES ((SELECT id FROM stock WHERE ticker = 'GIAA'), 'PT Garuda Indonesia (Persero)') ON CONFLICT DO NOTHING;</v>
      </c>
    </row>
    <row r="1421" spans="1:6" x14ac:dyDescent="0.2">
      <c r="A1421" t="s">
        <v>524</v>
      </c>
      <c r="B1421" t="s">
        <v>525</v>
      </c>
      <c r="C1421" t="s">
        <v>524</v>
      </c>
      <c r="D1421" t="str">
        <f>TRIM(alias[[#This Row],[Column3]])</f>
        <v>GJTL</v>
      </c>
      <c r="F1421" t="str">
        <f t="shared" si="22"/>
        <v>INSERT INTO stock_alias (stock, alias) VALUES ((SELECT id FROM stock WHERE ticker = 'GJTL'), 'GJTL') ON CONFLICT DO NOTHING;</v>
      </c>
    </row>
    <row r="1422" spans="1:6" x14ac:dyDescent="0.2">
      <c r="A1422" t="s">
        <v>524</v>
      </c>
      <c r="B1422" t="s">
        <v>525</v>
      </c>
      <c r="C1422" t="s">
        <v>5936</v>
      </c>
      <c r="D1422" t="str">
        <f>TRIM(alias[[#This Row],[Column3]])</f>
        <v>Gajah Tunggal</v>
      </c>
      <c r="F1422" t="str">
        <f t="shared" si="22"/>
        <v>INSERT INTO stock_alias (stock, alias) VALUES ((SELECT id FROM stock WHERE ticker = 'GJTL'), 'Gajah Tunggal') ON CONFLICT DO NOTHING;</v>
      </c>
    </row>
    <row r="1423" spans="1:6" x14ac:dyDescent="0.2">
      <c r="A1423" t="s">
        <v>524</v>
      </c>
      <c r="B1423" t="s">
        <v>525</v>
      </c>
      <c r="C1423" t="s">
        <v>5937</v>
      </c>
      <c r="D1423" t="str">
        <f>TRIM(alias[[#This Row],[Column3]])</f>
        <v>Gajah Tunggal Tbk</v>
      </c>
      <c r="F1423" t="str">
        <f t="shared" si="22"/>
        <v>INSERT INTO stock_alias (stock, alias) VALUES ((SELECT id FROM stock WHERE ticker = 'GJTL'), 'Gajah Tunggal Tbk') ON CONFLICT DO NOTHING;</v>
      </c>
    </row>
    <row r="1424" spans="1:6" x14ac:dyDescent="0.2">
      <c r="A1424" t="s">
        <v>524</v>
      </c>
      <c r="B1424" t="s">
        <v>525</v>
      </c>
      <c r="C1424" t="s">
        <v>5938</v>
      </c>
      <c r="D1424" t="str">
        <f>TRIM(alias[[#This Row],[Column3]])</f>
        <v>PT Gajah Tunggal</v>
      </c>
      <c r="F1424" t="str">
        <f t="shared" si="22"/>
        <v>INSERT INTO stock_alias (stock, alias) VALUES ((SELECT id FROM stock WHERE ticker = 'GJTL'), 'PT Gajah Tunggal') ON CONFLICT DO NOTHING;</v>
      </c>
    </row>
    <row r="1425" spans="1:6" x14ac:dyDescent="0.2">
      <c r="A1425" t="s">
        <v>527</v>
      </c>
      <c r="B1425" t="s">
        <v>528</v>
      </c>
      <c r="C1425" t="s">
        <v>527</v>
      </c>
      <c r="D1425" t="str">
        <f>TRIM(alias[[#This Row],[Column3]])</f>
        <v>GLOB</v>
      </c>
      <c r="F1425" t="str">
        <f t="shared" si="22"/>
        <v>INSERT INTO stock_alias (stock, alias) VALUES ((SELECT id FROM stock WHERE ticker = 'GLOB'), 'GLOB') ON CONFLICT DO NOTHING;</v>
      </c>
    </row>
    <row r="1426" spans="1:6" x14ac:dyDescent="0.2">
      <c r="A1426" t="s">
        <v>527</v>
      </c>
      <c r="B1426" t="s">
        <v>528</v>
      </c>
      <c r="C1426" t="s">
        <v>5939</v>
      </c>
      <c r="D1426" t="str">
        <f>TRIM(alias[[#This Row],[Column3]])</f>
        <v>Globe Kita Terang</v>
      </c>
      <c r="F1426" t="str">
        <f t="shared" si="22"/>
        <v>INSERT INTO stock_alias (stock, alias) VALUES ((SELECT id FROM stock WHERE ticker = 'GLOB'), 'Globe Kita Terang') ON CONFLICT DO NOTHING;</v>
      </c>
    </row>
    <row r="1427" spans="1:6" x14ac:dyDescent="0.2">
      <c r="A1427" t="s">
        <v>527</v>
      </c>
      <c r="B1427" t="s">
        <v>528</v>
      </c>
      <c r="C1427" t="s">
        <v>5940</v>
      </c>
      <c r="D1427" t="str">
        <f>TRIM(alias[[#This Row],[Column3]])</f>
        <v>Globe Kita Terang Tbk</v>
      </c>
      <c r="F1427" t="str">
        <f t="shared" si="22"/>
        <v>INSERT INTO stock_alias (stock, alias) VALUES ((SELECT id FROM stock WHERE ticker = 'GLOB'), 'Globe Kita Terang Tbk') ON CONFLICT DO NOTHING;</v>
      </c>
    </row>
    <row r="1428" spans="1:6" x14ac:dyDescent="0.2">
      <c r="A1428" t="s">
        <v>527</v>
      </c>
      <c r="B1428" t="s">
        <v>528</v>
      </c>
      <c r="C1428" t="s">
        <v>5941</v>
      </c>
      <c r="D1428" t="str">
        <f>TRIM(alias[[#This Row],[Column3]])</f>
        <v>PT Globe Kita Terang</v>
      </c>
      <c r="F1428" t="str">
        <f t="shared" si="22"/>
        <v>INSERT INTO stock_alias (stock, alias) VALUES ((SELECT id FROM stock WHERE ticker = 'GLOB'), 'PT Globe Kita Terang') ON CONFLICT DO NOTHING;</v>
      </c>
    </row>
    <row r="1429" spans="1:6" x14ac:dyDescent="0.2">
      <c r="A1429" t="s">
        <v>1790</v>
      </c>
      <c r="B1429" t="s">
        <v>1791</v>
      </c>
      <c r="C1429" t="s">
        <v>1790</v>
      </c>
      <c r="D1429" t="str">
        <f>TRIM(alias[[#This Row],[Column3]])</f>
        <v>GLVA</v>
      </c>
      <c r="F1429" t="str">
        <f t="shared" si="22"/>
        <v>INSERT INTO stock_alias (stock, alias) VALUES ((SELECT id FROM stock WHERE ticker = 'GLVA'), 'GLVA') ON CONFLICT DO NOTHING;</v>
      </c>
    </row>
    <row r="1430" spans="1:6" x14ac:dyDescent="0.2">
      <c r="A1430" t="s">
        <v>1790</v>
      </c>
      <c r="B1430" t="s">
        <v>1791</v>
      </c>
      <c r="C1430" t="s">
        <v>5942</v>
      </c>
      <c r="D1430" t="str">
        <f>TRIM(alias[[#This Row],[Column3]])</f>
        <v>Galva Technologies</v>
      </c>
      <c r="F1430" t="str">
        <f t="shared" si="22"/>
        <v>INSERT INTO stock_alias (stock, alias) VALUES ((SELECT id FROM stock WHERE ticker = 'GLVA'), 'Galva Technologies') ON CONFLICT DO NOTHING;</v>
      </c>
    </row>
    <row r="1431" spans="1:6" x14ac:dyDescent="0.2">
      <c r="A1431" t="s">
        <v>1790</v>
      </c>
      <c r="B1431" t="s">
        <v>1791</v>
      </c>
      <c r="C1431" t="s">
        <v>5943</v>
      </c>
      <c r="D1431" t="str">
        <f>TRIM(alias[[#This Row],[Column3]])</f>
        <v>Galva Technologies Tbk</v>
      </c>
      <c r="F1431" t="str">
        <f t="shared" si="22"/>
        <v>INSERT INTO stock_alias (stock, alias) VALUES ((SELECT id FROM stock WHERE ticker = 'GLVA'), 'Galva Technologies Tbk') ON CONFLICT DO NOTHING;</v>
      </c>
    </row>
    <row r="1432" spans="1:6" x14ac:dyDescent="0.2">
      <c r="A1432" t="s">
        <v>1790</v>
      </c>
      <c r="B1432" t="s">
        <v>1791</v>
      </c>
      <c r="C1432" t="s">
        <v>5944</v>
      </c>
      <c r="D1432" t="str">
        <f>TRIM(alias[[#This Row],[Column3]])</f>
        <v>PT Galva Technologies</v>
      </c>
      <c r="F1432" t="str">
        <f t="shared" si="22"/>
        <v>INSERT INTO stock_alias (stock, alias) VALUES ((SELECT id FROM stock WHERE ticker = 'GLVA'), 'PT Galva Technologies') ON CONFLICT DO NOTHING;</v>
      </c>
    </row>
    <row r="1433" spans="1:6" x14ac:dyDescent="0.2">
      <c r="A1433" t="s">
        <v>1455</v>
      </c>
      <c r="B1433" t="s">
        <v>3568</v>
      </c>
      <c r="C1433" t="s">
        <v>1455</v>
      </c>
      <c r="D1433" t="str">
        <f>TRIM(alias[[#This Row],[Column3]])</f>
        <v>GMFI</v>
      </c>
      <c r="F1433" t="str">
        <f t="shared" si="22"/>
        <v>INSERT INTO stock_alias (stock, alias) VALUES ((SELECT id FROM stock WHERE ticker = 'GMFI'), 'GMFI') ON CONFLICT DO NOTHING;</v>
      </c>
    </row>
    <row r="1434" spans="1:6" x14ac:dyDescent="0.2">
      <c r="A1434" t="s">
        <v>1455</v>
      </c>
      <c r="B1434" t="s">
        <v>3568</v>
      </c>
      <c r="C1434" t="s">
        <v>5945</v>
      </c>
      <c r="D1434" t="str">
        <f>TRIM(alias[[#This Row],[Column3]])</f>
        <v>Garuda Maintenance Facility Aero Asia</v>
      </c>
      <c r="F1434" t="str">
        <f t="shared" si="22"/>
        <v>INSERT INTO stock_alias (stock, alias) VALUES ((SELECT id FROM stock WHERE ticker = 'GMFI'), 'Garuda Maintenance Facility Aero Asia') ON CONFLICT DO NOTHING;</v>
      </c>
    </row>
    <row r="1435" spans="1:6" x14ac:dyDescent="0.2">
      <c r="A1435" t="s">
        <v>1455</v>
      </c>
      <c r="B1435" t="s">
        <v>3568</v>
      </c>
      <c r="C1435" t="s">
        <v>5946</v>
      </c>
      <c r="D1435" t="str">
        <f>TRIM(alias[[#This Row],[Column3]])</f>
        <v>Garuda Maintenance Facility Aero Asia Tbk</v>
      </c>
      <c r="F1435" t="str">
        <f t="shared" si="22"/>
        <v>INSERT INTO stock_alias (stock, alias) VALUES ((SELECT id FROM stock WHERE ticker = 'GMFI'), 'Garuda Maintenance Facility Aero Asia Tbk') ON CONFLICT DO NOTHING;</v>
      </c>
    </row>
    <row r="1436" spans="1:6" x14ac:dyDescent="0.2">
      <c r="A1436" t="s">
        <v>1455</v>
      </c>
      <c r="B1436" t="s">
        <v>3568</v>
      </c>
      <c r="C1436" t="s">
        <v>5947</v>
      </c>
      <c r="D1436" t="str">
        <f>TRIM(alias[[#This Row],[Column3]])</f>
        <v>PT Garuda Maintenance Facility Aero Asia</v>
      </c>
      <c r="F1436" t="str">
        <f t="shared" si="22"/>
        <v>INSERT INTO stock_alias (stock, alias) VALUES ((SELECT id FROM stock WHERE ticker = 'GMFI'), 'PT Garuda Maintenance Facility Aero Asia') ON CONFLICT DO NOTHING;</v>
      </c>
    </row>
    <row r="1437" spans="1:6" x14ac:dyDescent="0.2">
      <c r="A1437" t="s">
        <v>530</v>
      </c>
      <c r="B1437" t="s">
        <v>3569</v>
      </c>
      <c r="C1437" t="s">
        <v>530</v>
      </c>
      <c r="D1437" t="str">
        <f>TRIM(alias[[#This Row],[Column3]])</f>
        <v>GMTD</v>
      </c>
      <c r="F1437" t="str">
        <f t="shared" si="22"/>
        <v>INSERT INTO stock_alias (stock, alias) VALUES ((SELECT id FROM stock WHERE ticker = 'GMTD'), 'GMTD') ON CONFLICT DO NOTHING;</v>
      </c>
    </row>
    <row r="1438" spans="1:6" x14ac:dyDescent="0.2">
      <c r="A1438" t="s">
        <v>530</v>
      </c>
      <c r="B1438" t="s">
        <v>3569</v>
      </c>
      <c r="C1438" t="s">
        <v>5948</v>
      </c>
      <c r="D1438" t="str">
        <f>TRIM(alias[[#This Row],[Column3]])</f>
        <v>Gowa Makassar Tourism Development</v>
      </c>
      <c r="F1438" t="str">
        <f t="shared" si="22"/>
        <v>INSERT INTO stock_alias (stock, alias) VALUES ((SELECT id FROM stock WHERE ticker = 'GMTD'), 'Gowa Makassar Tourism Development') ON CONFLICT DO NOTHING;</v>
      </c>
    </row>
    <row r="1439" spans="1:6" x14ac:dyDescent="0.2">
      <c r="A1439" t="s">
        <v>530</v>
      </c>
      <c r="B1439" t="s">
        <v>3569</v>
      </c>
      <c r="C1439" t="s">
        <v>5949</v>
      </c>
      <c r="D1439" t="str">
        <f>TRIM(alias[[#This Row],[Column3]])</f>
        <v>Gowa Makassar Tourism Development Tbk</v>
      </c>
      <c r="F1439" t="str">
        <f t="shared" si="22"/>
        <v>INSERT INTO stock_alias (stock, alias) VALUES ((SELECT id FROM stock WHERE ticker = 'GMTD'), 'Gowa Makassar Tourism Development Tbk') ON CONFLICT DO NOTHING;</v>
      </c>
    </row>
    <row r="1440" spans="1:6" x14ac:dyDescent="0.2">
      <c r="A1440" t="s">
        <v>530</v>
      </c>
      <c r="B1440" t="s">
        <v>3569</v>
      </c>
      <c r="C1440" t="s">
        <v>5950</v>
      </c>
      <c r="D1440" t="str">
        <f>TRIM(alias[[#This Row],[Column3]])</f>
        <v>PT Gowa Makassar Tourism Development</v>
      </c>
      <c r="F1440" t="str">
        <f t="shared" si="22"/>
        <v>INSERT INTO stock_alias (stock, alias) VALUES ((SELECT id FROM stock WHERE ticker = 'GMTD'), 'PT Gowa Makassar Tourism Development') ON CONFLICT DO NOTHING;</v>
      </c>
    </row>
    <row r="1441" spans="1:6" x14ac:dyDescent="0.2">
      <c r="A1441" t="s">
        <v>532</v>
      </c>
      <c r="B1441" t="s">
        <v>3570</v>
      </c>
      <c r="C1441" t="s">
        <v>532</v>
      </c>
      <c r="D1441" t="str">
        <f>TRIM(alias[[#This Row],[Column3]])</f>
        <v>GOLD</v>
      </c>
      <c r="F1441" t="str">
        <f t="shared" si="22"/>
        <v>INSERT INTO stock_alias (stock, alias) VALUES ((SELECT id FROM stock WHERE ticker = 'GOLD'), 'GOLD') ON CONFLICT DO NOTHING;</v>
      </c>
    </row>
    <row r="1442" spans="1:6" x14ac:dyDescent="0.2">
      <c r="A1442" t="s">
        <v>532</v>
      </c>
      <c r="B1442" t="s">
        <v>3570</v>
      </c>
      <c r="C1442" t="s">
        <v>5951</v>
      </c>
      <c r="D1442" t="str">
        <f>TRIM(alias[[#This Row],[Column3]])</f>
        <v>PT Visi Telekomunikasi Infrastruktur</v>
      </c>
      <c r="F1442" t="str">
        <f t="shared" si="22"/>
        <v>INSERT INTO stock_alias (stock, alias) VALUES ((SELECT id FROM stock WHERE ticker = 'GOLD'), 'PT Visi Telekomunikasi Infrastruktur') ON CONFLICT DO NOTHING;</v>
      </c>
    </row>
    <row r="1443" spans="1:6" x14ac:dyDescent="0.2">
      <c r="A1443" t="s">
        <v>532</v>
      </c>
      <c r="B1443" t="s">
        <v>3570</v>
      </c>
      <c r="C1443" t="s">
        <v>5952</v>
      </c>
      <c r="D1443" t="str">
        <f>TRIM(alias[[#This Row],[Column3]])</f>
        <v>Visi Telekomunikasi Infrastruktur</v>
      </c>
      <c r="F1443" t="str">
        <f t="shared" si="22"/>
        <v>INSERT INTO stock_alias (stock, alias) VALUES ((SELECT id FROM stock WHERE ticker = 'GOLD'), 'Visi Telekomunikasi Infrastruktur') ON CONFLICT DO NOTHING;</v>
      </c>
    </row>
    <row r="1444" spans="1:6" x14ac:dyDescent="0.2">
      <c r="A1444" t="s">
        <v>532</v>
      </c>
      <c r="B1444" t="s">
        <v>3570</v>
      </c>
      <c r="C1444" t="s">
        <v>5953</v>
      </c>
      <c r="D1444" t="str">
        <f>TRIM(alias[[#This Row],[Column3]])</f>
        <v>Visi Telekomunikasi Infrastruktur Tbk</v>
      </c>
      <c r="F1444" t="str">
        <f t="shared" si="22"/>
        <v>INSERT INTO stock_alias (stock, alias) VALUES ((SELECT id FROM stock WHERE ticker = 'GOLD'), 'Visi Telekomunikasi Infrastruktur Tbk') ON CONFLICT DO NOTHING;</v>
      </c>
    </row>
    <row r="1445" spans="1:6" x14ac:dyDescent="0.2">
      <c r="A1445" t="s">
        <v>2471</v>
      </c>
      <c r="B1445" t="s">
        <v>2472</v>
      </c>
      <c r="C1445" t="s">
        <v>2471</v>
      </c>
      <c r="D1445" t="str">
        <f>TRIM(alias[[#This Row],[Column3]])</f>
        <v>GOLF</v>
      </c>
      <c r="F1445" t="str">
        <f t="shared" si="22"/>
        <v>INSERT INTO stock_alias (stock, alias) VALUES ((SELECT id FROM stock WHERE ticker = 'GOLF'), 'GOLF') ON CONFLICT DO NOTHING;</v>
      </c>
    </row>
    <row r="1446" spans="1:6" x14ac:dyDescent="0.2">
      <c r="A1446" t="s">
        <v>2471</v>
      </c>
      <c r="B1446" t="s">
        <v>2472</v>
      </c>
      <c r="C1446" t="s">
        <v>5954</v>
      </c>
      <c r="D1446" t="str">
        <f>TRIM(alias[[#This Row],[Column3]])</f>
        <v>Intra Golflink Resorts</v>
      </c>
      <c r="F1446" t="str">
        <f t="shared" si="22"/>
        <v>INSERT INTO stock_alias (stock, alias) VALUES ((SELECT id FROM stock WHERE ticker = 'GOLF'), 'Intra Golflink Resorts') ON CONFLICT DO NOTHING;</v>
      </c>
    </row>
    <row r="1447" spans="1:6" x14ac:dyDescent="0.2">
      <c r="A1447" t="s">
        <v>2471</v>
      </c>
      <c r="B1447" t="s">
        <v>2472</v>
      </c>
      <c r="C1447" t="s">
        <v>5955</v>
      </c>
      <c r="D1447" t="str">
        <f>TRIM(alias[[#This Row],[Column3]])</f>
        <v>Intra Golflink Resorts Tbk</v>
      </c>
      <c r="F1447" t="str">
        <f t="shared" si="22"/>
        <v>INSERT INTO stock_alias (stock, alias) VALUES ((SELECT id FROM stock WHERE ticker = 'GOLF'), 'Intra Golflink Resorts Tbk') ON CONFLICT DO NOTHING;</v>
      </c>
    </row>
    <row r="1448" spans="1:6" x14ac:dyDescent="0.2">
      <c r="A1448" t="s">
        <v>2471</v>
      </c>
      <c r="B1448" t="s">
        <v>2472</v>
      </c>
      <c r="C1448" t="s">
        <v>5956</v>
      </c>
      <c r="D1448" t="str">
        <f>TRIM(alias[[#This Row],[Column3]])</f>
        <v>PT Intra Golflink Resorts</v>
      </c>
      <c r="F1448" t="str">
        <f t="shared" si="22"/>
        <v>INSERT INTO stock_alias (stock, alias) VALUES ((SELECT id FROM stock WHERE ticker = 'GOLF'), 'PT Intra Golflink Resorts') ON CONFLICT DO NOTHING;</v>
      </c>
    </row>
    <row r="1449" spans="1:6" x14ac:dyDescent="0.2">
      <c r="A1449" t="s">
        <v>534</v>
      </c>
      <c r="B1449" t="s">
        <v>535</v>
      </c>
      <c r="C1449" t="s">
        <v>534</v>
      </c>
      <c r="D1449" t="str">
        <f>TRIM(alias[[#This Row],[Column3]])</f>
        <v>GOLL</v>
      </c>
      <c r="F1449" t="str">
        <f t="shared" si="22"/>
        <v>INSERT INTO stock_alias (stock, alias) VALUES ((SELECT id FROM stock WHERE ticker = 'GOLL'), 'GOLL') ON CONFLICT DO NOTHING;</v>
      </c>
    </row>
    <row r="1450" spans="1:6" x14ac:dyDescent="0.2">
      <c r="A1450" t="s">
        <v>534</v>
      </c>
      <c r="B1450" t="s">
        <v>535</v>
      </c>
      <c r="C1450" t="s">
        <v>5957</v>
      </c>
      <c r="D1450" t="str">
        <f>TRIM(alias[[#This Row],[Column3]])</f>
        <v>Golden Plantation</v>
      </c>
      <c r="F1450" t="str">
        <f t="shared" si="22"/>
        <v>INSERT INTO stock_alias (stock, alias) VALUES ((SELECT id FROM stock WHERE ticker = 'GOLL'), 'Golden Plantation') ON CONFLICT DO NOTHING;</v>
      </c>
    </row>
    <row r="1451" spans="1:6" x14ac:dyDescent="0.2">
      <c r="A1451" t="s">
        <v>534</v>
      </c>
      <c r="B1451" t="s">
        <v>535</v>
      </c>
      <c r="C1451" t="s">
        <v>5958</v>
      </c>
      <c r="D1451" t="str">
        <f>TRIM(alias[[#This Row],[Column3]])</f>
        <v>Golden Plantation Tbk</v>
      </c>
      <c r="F1451" t="str">
        <f t="shared" si="22"/>
        <v>INSERT INTO stock_alias (stock, alias) VALUES ((SELECT id FROM stock WHERE ticker = 'GOLL'), 'Golden Plantation Tbk') ON CONFLICT DO NOTHING;</v>
      </c>
    </row>
    <row r="1452" spans="1:6" x14ac:dyDescent="0.2">
      <c r="A1452" t="s">
        <v>534</v>
      </c>
      <c r="B1452" t="s">
        <v>535</v>
      </c>
      <c r="C1452" t="s">
        <v>5959</v>
      </c>
      <c r="D1452" t="str">
        <f>TRIM(alias[[#This Row],[Column3]])</f>
        <v>PT Golden Plantation</v>
      </c>
      <c r="F1452" t="str">
        <f t="shared" si="22"/>
        <v>INSERT INTO stock_alias (stock, alias) VALUES ((SELECT id FROM stock WHERE ticker = 'GOLL'), 'PT Golden Plantation') ON CONFLICT DO NOTHING;</v>
      </c>
    </row>
    <row r="1453" spans="1:6" x14ac:dyDescent="0.2">
      <c r="A1453" t="s">
        <v>1604</v>
      </c>
      <c r="B1453" t="s">
        <v>3571</v>
      </c>
      <c r="C1453" t="s">
        <v>1604</v>
      </c>
      <c r="D1453" t="str">
        <f>TRIM(alias[[#This Row],[Column3]])</f>
        <v>GOOD</v>
      </c>
      <c r="F1453" t="str">
        <f t="shared" si="22"/>
        <v>INSERT INTO stock_alias (stock, alias) VALUES ((SELECT id FROM stock WHERE ticker = 'GOOD'), 'GOOD') ON CONFLICT DO NOTHING;</v>
      </c>
    </row>
    <row r="1454" spans="1:6" x14ac:dyDescent="0.2">
      <c r="A1454" t="s">
        <v>1604</v>
      </c>
      <c r="B1454" t="s">
        <v>3571</v>
      </c>
      <c r="C1454" t="s">
        <v>5960</v>
      </c>
      <c r="D1454" t="str">
        <f>TRIM(alias[[#This Row],[Column3]])</f>
        <v>Garudafood Putra Putri Jaya</v>
      </c>
      <c r="F1454" t="str">
        <f t="shared" si="22"/>
        <v>INSERT INTO stock_alias (stock, alias) VALUES ((SELECT id FROM stock WHERE ticker = 'GOOD'), 'Garudafood Putra Putri Jaya') ON CONFLICT DO NOTHING;</v>
      </c>
    </row>
    <row r="1455" spans="1:6" x14ac:dyDescent="0.2">
      <c r="A1455" t="s">
        <v>1604</v>
      </c>
      <c r="B1455" t="s">
        <v>3571</v>
      </c>
      <c r="C1455" t="s">
        <v>5961</v>
      </c>
      <c r="D1455" t="str">
        <f>TRIM(alias[[#This Row],[Column3]])</f>
        <v>Garudafood Putra Putri Jaya Tbk</v>
      </c>
      <c r="F1455" t="str">
        <f t="shared" si="22"/>
        <v>INSERT INTO stock_alias (stock, alias) VALUES ((SELECT id FROM stock WHERE ticker = 'GOOD'), 'Garudafood Putra Putri Jaya Tbk') ON CONFLICT DO NOTHING;</v>
      </c>
    </row>
    <row r="1456" spans="1:6" x14ac:dyDescent="0.2">
      <c r="A1456" t="s">
        <v>1604</v>
      </c>
      <c r="B1456" t="s">
        <v>3571</v>
      </c>
      <c r="C1456" t="s">
        <v>5962</v>
      </c>
      <c r="D1456" t="str">
        <f>TRIM(alias[[#This Row],[Column3]])</f>
        <v>PT Garudafood Putra Putri Jaya</v>
      </c>
      <c r="F1456" t="str">
        <f t="shared" si="22"/>
        <v>INSERT INTO stock_alias (stock, alias) VALUES ((SELECT id FROM stock WHERE ticker = 'GOOD'), 'PT Garudafood Putra Putri Jaya') ON CONFLICT DO NOTHING;</v>
      </c>
    </row>
    <row r="1457" spans="1:6" x14ac:dyDescent="0.2">
      <c r="A1457" t="s">
        <v>2097</v>
      </c>
      <c r="B1457" t="s">
        <v>2098</v>
      </c>
      <c r="C1457" t="s">
        <v>2097</v>
      </c>
      <c r="D1457" t="str">
        <f>TRIM(alias[[#This Row],[Column3]])</f>
        <v>GOTO</v>
      </c>
      <c r="F1457" t="str">
        <f t="shared" si="22"/>
        <v>INSERT INTO stock_alias (stock, alias) VALUES ((SELECT id FROM stock WHERE ticker = 'GOTO'), 'GOTO') ON CONFLICT DO NOTHING;</v>
      </c>
    </row>
    <row r="1458" spans="1:6" x14ac:dyDescent="0.2">
      <c r="A1458" t="s">
        <v>2097</v>
      </c>
      <c r="B1458" t="s">
        <v>2098</v>
      </c>
      <c r="C1458" t="s">
        <v>5963</v>
      </c>
      <c r="D1458" t="str">
        <f>TRIM(alias[[#This Row],[Column3]])</f>
        <v>GoTo Gojek Tokopedia</v>
      </c>
      <c r="F1458" t="str">
        <f t="shared" si="22"/>
        <v>INSERT INTO stock_alias (stock, alias) VALUES ((SELECT id FROM stock WHERE ticker = 'GOTO'), 'GoTo Gojek Tokopedia') ON CONFLICT DO NOTHING;</v>
      </c>
    </row>
    <row r="1459" spans="1:6" x14ac:dyDescent="0.2">
      <c r="A1459" t="s">
        <v>2097</v>
      </c>
      <c r="B1459" t="s">
        <v>2098</v>
      </c>
      <c r="C1459" t="s">
        <v>5964</v>
      </c>
      <c r="D1459" t="str">
        <f>TRIM(alias[[#This Row],[Column3]])</f>
        <v>GoTo Gojek Tokopedia Tbk</v>
      </c>
      <c r="F1459" t="str">
        <f t="shared" si="22"/>
        <v>INSERT INTO stock_alias (stock, alias) VALUES ((SELECT id FROM stock WHERE ticker = 'GOTO'), 'GoTo Gojek Tokopedia Tbk') ON CONFLICT DO NOTHING;</v>
      </c>
    </row>
    <row r="1460" spans="1:6" x14ac:dyDescent="0.2">
      <c r="A1460" t="s">
        <v>2097</v>
      </c>
      <c r="B1460" t="s">
        <v>2098</v>
      </c>
      <c r="C1460" t="s">
        <v>5965</v>
      </c>
      <c r="D1460" t="str">
        <f>TRIM(alias[[#This Row],[Column3]])</f>
        <v>PT GoTo Gojek Tokopedia</v>
      </c>
      <c r="F1460" t="str">
        <f t="shared" si="22"/>
        <v>INSERT INTO stock_alias (stock, alias) VALUES ((SELECT id FROM stock WHERE ticker = 'GOTO'), 'PT GoTo Gojek Tokopedia') ON CONFLICT DO NOTHING;</v>
      </c>
    </row>
    <row r="1461" spans="1:6" x14ac:dyDescent="0.2">
      <c r="A1461" t="s">
        <v>537</v>
      </c>
      <c r="B1461" t="s">
        <v>538</v>
      </c>
      <c r="C1461" t="s">
        <v>537</v>
      </c>
      <c r="D1461" t="str">
        <f>TRIM(alias[[#This Row],[Column3]])</f>
        <v>GPRA</v>
      </c>
      <c r="F1461" t="str">
        <f t="shared" si="22"/>
        <v>INSERT INTO stock_alias (stock, alias) VALUES ((SELECT id FROM stock WHERE ticker = 'GPRA'), 'GPRA') ON CONFLICT DO NOTHING;</v>
      </c>
    </row>
    <row r="1462" spans="1:6" x14ac:dyDescent="0.2">
      <c r="A1462" t="s">
        <v>537</v>
      </c>
      <c r="B1462" t="s">
        <v>538</v>
      </c>
      <c r="C1462" t="s">
        <v>5966</v>
      </c>
      <c r="D1462" t="str">
        <f>TRIM(alias[[#This Row],[Column3]])</f>
        <v>PT Perdana Gapuraprima</v>
      </c>
      <c r="F1462" t="str">
        <f t="shared" si="22"/>
        <v>INSERT INTO stock_alias (stock, alias) VALUES ((SELECT id FROM stock WHERE ticker = 'GPRA'), 'PT Perdana Gapuraprima') ON CONFLICT DO NOTHING;</v>
      </c>
    </row>
    <row r="1463" spans="1:6" x14ac:dyDescent="0.2">
      <c r="A1463" t="s">
        <v>537</v>
      </c>
      <c r="B1463" t="s">
        <v>538</v>
      </c>
      <c r="C1463" t="s">
        <v>5967</v>
      </c>
      <c r="D1463" t="str">
        <f>TRIM(alias[[#This Row],[Column3]])</f>
        <v>Perdana Gapuraprima</v>
      </c>
      <c r="F1463" t="str">
        <f t="shared" si="22"/>
        <v>INSERT INTO stock_alias (stock, alias) VALUES ((SELECT id FROM stock WHERE ticker = 'GPRA'), 'Perdana Gapuraprima') ON CONFLICT DO NOTHING;</v>
      </c>
    </row>
    <row r="1464" spans="1:6" x14ac:dyDescent="0.2">
      <c r="A1464" t="s">
        <v>537</v>
      </c>
      <c r="B1464" t="s">
        <v>538</v>
      </c>
      <c r="C1464" t="s">
        <v>5968</v>
      </c>
      <c r="D1464" t="str">
        <f>TRIM(alias[[#This Row],[Column3]])</f>
        <v>Perdana Gapuraprima Tbk</v>
      </c>
      <c r="F1464" t="str">
        <f t="shared" si="22"/>
        <v>INSERT INTO stock_alias (stock, alias) VALUES ((SELECT id FROM stock WHERE ticker = 'GPRA'), 'Perdana Gapuraprima Tbk') ON CONFLICT DO NOTHING;</v>
      </c>
    </row>
    <row r="1465" spans="1:6" x14ac:dyDescent="0.2">
      <c r="A1465" t="s">
        <v>1989</v>
      </c>
      <c r="B1465" t="s">
        <v>1990</v>
      </c>
      <c r="C1465" t="s">
        <v>1989</v>
      </c>
      <c r="D1465" t="str">
        <f>TRIM(alias[[#This Row],[Column3]])</f>
        <v>GPSO</v>
      </c>
      <c r="F1465" t="str">
        <f t="shared" si="22"/>
        <v>INSERT INTO stock_alias (stock, alias) VALUES ((SELECT id FROM stock WHERE ticker = 'GPSO'), 'GPSO') ON CONFLICT DO NOTHING;</v>
      </c>
    </row>
    <row r="1466" spans="1:6" x14ac:dyDescent="0.2">
      <c r="A1466" t="s">
        <v>1989</v>
      </c>
      <c r="B1466" t="s">
        <v>1990</v>
      </c>
      <c r="C1466" t="s">
        <v>5969</v>
      </c>
      <c r="D1466" t="str">
        <f>TRIM(alias[[#This Row],[Column3]])</f>
        <v>Geoprima Solusi</v>
      </c>
      <c r="F1466" t="str">
        <f t="shared" si="22"/>
        <v>INSERT INTO stock_alias (stock, alias) VALUES ((SELECT id FROM stock WHERE ticker = 'GPSO'), 'Geoprima Solusi') ON CONFLICT DO NOTHING;</v>
      </c>
    </row>
    <row r="1467" spans="1:6" x14ac:dyDescent="0.2">
      <c r="A1467" t="s">
        <v>1989</v>
      </c>
      <c r="B1467" t="s">
        <v>1990</v>
      </c>
      <c r="C1467" t="s">
        <v>5970</v>
      </c>
      <c r="D1467" t="str">
        <f>TRIM(alias[[#This Row],[Column3]])</f>
        <v>Geoprima Solusi Tbk</v>
      </c>
      <c r="F1467" t="str">
        <f t="shared" si="22"/>
        <v>INSERT INTO stock_alias (stock, alias) VALUES ((SELECT id FROM stock WHERE ticker = 'GPSO'), 'Geoprima Solusi Tbk') ON CONFLICT DO NOTHING;</v>
      </c>
    </row>
    <row r="1468" spans="1:6" x14ac:dyDescent="0.2">
      <c r="A1468" t="s">
        <v>1989</v>
      </c>
      <c r="B1468" t="s">
        <v>1990</v>
      </c>
      <c r="C1468" t="s">
        <v>5971</v>
      </c>
      <c r="D1468" t="str">
        <f>TRIM(alias[[#This Row],[Column3]])</f>
        <v>PT Geoprima Solusi</v>
      </c>
      <c r="F1468" t="str">
        <f t="shared" si="22"/>
        <v>INSERT INTO stock_alias (stock, alias) VALUES ((SELECT id FROM stock WHERE ticker = 'GPSO'), 'PT Geoprima Solusi') ON CONFLICT DO NOTHING;</v>
      </c>
    </row>
    <row r="1469" spans="1:6" x14ac:dyDescent="0.2">
      <c r="A1469" t="s">
        <v>2348</v>
      </c>
      <c r="B1469" t="s">
        <v>3572</v>
      </c>
      <c r="C1469" t="s">
        <v>2348</v>
      </c>
      <c r="D1469" t="str">
        <f>TRIM(alias[[#This Row],[Column3]])</f>
        <v>GRIA</v>
      </c>
      <c r="F1469" t="str">
        <f t="shared" si="22"/>
        <v>INSERT INTO stock_alias (stock, alias) VALUES ((SELECT id FROM stock WHERE ticker = 'GRIA'), 'GRIA') ON CONFLICT DO NOTHING;</v>
      </c>
    </row>
    <row r="1470" spans="1:6" x14ac:dyDescent="0.2">
      <c r="A1470" t="s">
        <v>2348</v>
      </c>
      <c r="B1470" t="s">
        <v>3572</v>
      </c>
      <c r="C1470" t="s">
        <v>5972</v>
      </c>
      <c r="D1470" t="str">
        <f>TRIM(alias[[#This Row],[Column3]])</f>
        <v>Ingria Pratama Capitalindo</v>
      </c>
      <c r="F1470" t="str">
        <f t="shared" si="22"/>
        <v>INSERT INTO stock_alias (stock, alias) VALUES ((SELECT id FROM stock WHERE ticker = 'GRIA'), 'Ingria Pratama Capitalindo') ON CONFLICT DO NOTHING;</v>
      </c>
    </row>
    <row r="1471" spans="1:6" x14ac:dyDescent="0.2">
      <c r="A1471" t="s">
        <v>2348</v>
      </c>
      <c r="B1471" t="s">
        <v>3572</v>
      </c>
      <c r="C1471" t="s">
        <v>5973</v>
      </c>
      <c r="D1471" t="str">
        <f>TRIM(alias[[#This Row],[Column3]])</f>
        <v>Ingria Pratama Capitalindo Tbk</v>
      </c>
      <c r="F1471" t="str">
        <f t="shared" si="22"/>
        <v>INSERT INTO stock_alias (stock, alias) VALUES ((SELECT id FROM stock WHERE ticker = 'GRIA'), 'Ingria Pratama Capitalindo Tbk') ON CONFLICT DO NOTHING;</v>
      </c>
    </row>
    <row r="1472" spans="1:6" x14ac:dyDescent="0.2">
      <c r="A1472" t="s">
        <v>2348</v>
      </c>
      <c r="B1472" t="s">
        <v>3572</v>
      </c>
      <c r="C1472" t="s">
        <v>5974</v>
      </c>
      <c r="D1472" t="str">
        <f>TRIM(alias[[#This Row],[Column3]])</f>
        <v>PT Ingria Pratama Capitalindo</v>
      </c>
      <c r="F1472" t="str">
        <f t="shared" si="22"/>
        <v>INSERT INTO stock_alias (stock, alias) VALUES ((SELECT id FROM stock WHERE ticker = 'GRIA'), 'PT Ingria Pratama Capitalindo') ON CONFLICT DO NOTHING;</v>
      </c>
    </row>
    <row r="1473" spans="1:6" x14ac:dyDescent="0.2">
      <c r="A1473" t="s">
        <v>2417</v>
      </c>
      <c r="B1473" t="s">
        <v>2418</v>
      </c>
      <c r="C1473" t="s">
        <v>2417</v>
      </c>
      <c r="D1473" t="str">
        <f>TRIM(alias[[#This Row],[Column3]])</f>
        <v>GRPH</v>
      </c>
      <c r="F1473" t="str">
        <f t="shared" si="22"/>
        <v>INSERT INTO stock_alias (stock, alias) VALUES ((SELECT id FROM stock WHERE ticker = 'GRPH'), 'GRPH') ON CONFLICT DO NOTHING;</v>
      </c>
    </row>
    <row r="1474" spans="1:6" x14ac:dyDescent="0.2">
      <c r="A1474" t="s">
        <v>2417</v>
      </c>
      <c r="B1474" t="s">
        <v>2418</v>
      </c>
      <c r="C1474" t="s">
        <v>5975</v>
      </c>
      <c r="D1474" t="str">
        <f>TRIM(alias[[#This Row],[Column3]])</f>
        <v>GRIHA PUTRA PERSADA</v>
      </c>
      <c r="F1474" t="str">
        <f t="shared" si="22"/>
        <v>INSERT INTO stock_alias (stock, alias) VALUES ((SELECT id FROM stock WHERE ticker = 'GRPH'), 'GRIHA PUTRA PERSADA') ON CONFLICT DO NOTHING;</v>
      </c>
    </row>
    <row r="1475" spans="1:6" x14ac:dyDescent="0.2">
      <c r="A1475" t="s">
        <v>2417</v>
      </c>
      <c r="B1475" t="s">
        <v>2418</v>
      </c>
      <c r="C1475" t="s">
        <v>5976</v>
      </c>
      <c r="D1475" t="str">
        <f>TRIM(alias[[#This Row],[Column3]])</f>
        <v>Griha Putra Persada</v>
      </c>
      <c r="F1475" t="str">
        <f t="shared" ref="F1475:F1538" si="23">_xlfn.CONCAT($F$1, _xlfn.CONCAT($G$1, A1475, "'), '", D1475, "') ON CONFLICT DO NOTHING;"))</f>
        <v>INSERT INTO stock_alias (stock, alias) VALUES ((SELECT id FROM stock WHERE ticker = 'GRPH'), 'Griha Putra Persada') ON CONFLICT DO NOTHING;</v>
      </c>
    </row>
    <row r="1476" spans="1:6" x14ac:dyDescent="0.2">
      <c r="A1476" t="s">
        <v>2417</v>
      </c>
      <c r="B1476" t="s">
        <v>2418</v>
      </c>
      <c r="C1476" t="s">
        <v>5977</v>
      </c>
      <c r="D1476" t="str">
        <f>TRIM(alias[[#This Row],[Column3]])</f>
        <v>Griha Putra Persada Tbk</v>
      </c>
      <c r="F1476" t="str">
        <f t="shared" si="23"/>
        <v>INSERT INTO stock_alias (stock, alias) VALUES ((SELECT id FROM stock WHERE ticker = 'GRPH'), 'Griha Putra Persada Tbk') ON CONFLICT DO NOTHING;</v>
      </c>
    </row>
    <row r="1477" spans="1:6" x14ac:dyDescent="0.2">
      <c r="A1477" t="s">
        <v>2417</v>
      </c>
      <c r="B1477" t="s">
        <v>2418</v>
      </c>
      <c r="C1477" t="s">
        <v>5978</v>
      </c>
      <c r="D1477" t="str">
        <f>TRIM(alias[[#This Row],[Column3]])</f>
        <v>GrihaPutraPersada</v>
      </c>
      <c r="F1477" t="str">
        <f t="shared" si="23"/>
        <v>INSERT INTO stock_alias (stock, alias) VALUES ((SELECT id FROM stock WHERE ticker = 'GRPH'), 'GrihaPutraPersada') ON CONFLICT DO NOTHING;</v>
      </c>
    </row>
    <row r="1478" spans="1:6" x14ac:dyDescent="0.2">
      <c r="A1478" t="s">
        <v>2417</v>
      </c>
      <c r="B1478" t="s">
        <v>2418</v>
      </c>
      <c r="C1478" t="s">
        <v>5979</v>
      </c>
      <c r="D1478" t="str">
        <f>TRIM(alias[[#This Row],[Column3]])</f>
        <v>PT Griha Putra Persada</v>
      </c>
      <c r="F1478" t="str">
        <f t="shared" si="23"/>
        <v>INSERT INTO stock_alias (stock, alias) VALUES ((SELECT id FROM stock WHERE ticker = 'GRPH'), 'PT Griha Putra Persada') ON CONFLICT DO NOTHING;</v>
      </c>
    </row>
    <row r="1479" spans="1:6" x14ac:dyDescent="0.2">
      <c r="A1479" t="s">
        <v>2417</v>
      </c>
      <c r="B1479" t="s">
        <v>2418</v>
      </c>
      <c r="C1479" t="s">
        <v>5980</v>
      </c>
      <c r="D1479" t="str">
        <f>TRIM(alias[[#This Row],[Column3]])</f>
        <v>griha putra persada</v>
      </c>
      <c r="F1479" t="str">
        <f t="shared" si="23"/>
        <v>INSERT INTO stock_alias (stock, alias) VALUES ((SELECT id FROM stock WHERE ticker = 'GRPH'), 'griha putra persada') ON CONFLICT DO NOTHING;</v>
      </c>
    </row>
    <row r="1480" spans="1:6" x14ac:dyDescent="0.2">
      <c r="A1480" t="s">
        <v>2324</v>
      </c>
      <c r="B1480" t="s">
        <v>2325</v>
      </c>
      <c r="C1480" t="s">
        <v>2324</v>
      </c>
      <c r="D1480" t="str">
        <f>TRIM(alias[[#This Row],[Column3]])</f>
        <v>GRPM</v>
      </c>
      <c r="F1480" t="str">
        <f t="shared" si="23"/>
        <v>INSERT INTO stock_alias (stock, alias) VALUES ((SELECT id FROM stock WHERE ticker = 'GRPM'), 'GRPM') ON CONFLICT DO NOTHING;</v>
      </c>
    </row>
    <row r="1481" spans="1:6" x14ac:dyDescent="0.2">
      <c r="A1481" t="s">
        <v>2324</v>
      </c>
      <c r="B1481" t="s">
        <v>2325</v>
      </c>
      <c r="C1481" t="s">
        <v>5981</v>
      </c>
      <c r="D1481" t="str">
        <f>TRIM(alias[[#This Row],[Column3]])</f>
        <v>Graha Prima Mentari</v>
      </c>
      <c r="F1481" t="str">
        <f t="shared" si="23"/>
        <v>INSERT INTO stock_alias (stock, alias) VALUES ((SELECT id FROM stock WHERE ticker = 'GRPM'), 'Graha Prima Mentari') ON CONFLICT DO NOTHING;</v>
      </c>
    </row>
    <row r="1482" spans="1:6" x14ac:dyDescent="0.2">
      <c r="A1482" t="s">
        <v>2324</v>
      </c>
      <c r="B1482" t="s">
        <v>2325</v>
      </c>
      <c r="C1482" t="s">
        <v>5982</v>
      </c>
      <c r="D1482" t="str">
        <f>TRIM(alias[[#This Row],[Column3]])</f>
        <v>Graha Prima Mentari Tbk</v>
      </c>
      <c r="F1482" t="str">
        <f t="shared" si="23"/>
        <v>INSERT INTO stock_alias (stock, alias) VALUES ((SELECT id FROM stock WHERE ticker = 'GRPM'), 'Graha Prima Mentari Tbk') ON CONFLICT DO NOTHING;</v>
      </c>
    </row>
    <row r="1483" spans="1:6" x14ac:dyDescent="0.2">
      <c r="A1483" t="s">
        <v>2324</v>
      </c>
      <c r="B1483" t="s">
        <v>2325</v>
      </c>
      <c r="C1483" t="s">
        <v>5983</v>
      </c>
      <c r="D1483" t="str">
        <f>TRIM(alias[[#This Row],[Column3]])</f>
        <v>PT Graha Prima Mentari</v>
      </c>
      <c r="F1483" t="str">
        <f t="shared" si="23"/>
        <v>INSERT INTO stock_alias (stock, alias) VALUES ((SELECT id FROM stock WHERE ticker = 'GRPM'), 'PT Graha Prima Mentari') ON CONFLICT DO NOTHING;</v>
      </c>
    </row>
    <row r="1484" spans="1:6" x14ac:dyDescent="0.2">
      <c r="A1484" t="s">
        <v>540</v>
      </c>
      <c r="B1484" t="s">
        <v>3573</v>
      </c>
      <c r="C1484" t="s">
        <v>540</v>
      </c>
      <c r="D1484" t="str">
        <f>TRIM(alias[[#This Row],[Column3]])</f>
        <v>GSMF</v>
      </c>
      <c r="F1484" t="str">
        <f t="shared" si="23"/>
        <v>INSERT INTO stock_alias (stock, alias) VALUES ((SELECT id FROM stock WHERE ticker = 'GSMF'), 'GSMF') ON CONFLICT DO NOTHING;</v>
      </c>
    </row>
    <row r="1485" spans="1:6" x14ac:dyDescent="0.2">
      <c r="A1485" t="s">
        <v>540</v>
      </c>
      <c r="B1485" t="s">
        <v>3573</v>
      </c>
      <c r="C1485" t="s">
        <v>5984</v>
      </c>
      <c r="D1485" t="str">
        <f>TRIM(alias[[#This Row],[Column3]])</f>
        <v>Equity Development Investment</v>
      </c>
      <c r="F1485" t="str">
        <f t="shared" si="23"/>
        <v>INSERT INTO stock_alias (stock, alias) VALUES ((SELECT id FROM stock WHERE ticker = 'GSMF'), 'Equity Development Investment') ON CONFLICT DO NOTHING;</v>
      </c>
    </row>
    <row r="1486" spans="1:6" x14ac:dyDescent="0.2">
      <c r="A1486" t="s">
        <v>540</v>
      </c>
      <c r="B1486" t="s">
        <v>3573</v>
      </c>
      <c r="C1486" t="s">
        <v>5985</v>
      </c>
      <c r="D1486" t="str">
        <f>TRIM(alias[[#This Row],[Column3]])</f>
        <v>Equity Development Investment Tbk</v>
      </c>
      <c r="F1486" t="str">
        <f t="shared" si="23"/>
        <v>INSERT INTO stock_alias (stock, alias) VALUES ((SELECT id FROM stock WHERE ticker = 'GSMF'), 'Equity Development Investment Tbk') ON CONFLICT DO NOTHING;</v>
      </c>
    </row>
    <row r="1487" spans="1:6" x14ac:dyDescent="0.2">
      <c r="A1487" t="s">
        <v>540</v>
      </c>
      <c r="B1487" t="s">
        <v>3573</v>
      </c>
      <c r="C1487" t="s">
        <v>5986</v>
      </c>
      <c r="D1487" t="str">
        <f>TRIM(alias[[#This Row],[Column3]])</f>
        <v>PT Equity Development Investment</v>
      </c>
      <c r="F1487" t="str">
        <f t="shared" si="23"/>
        <v>INSERT INTO stock_alias (stock, alias) VALUES ((SELECT id FROM stock WHERE ticker = 'GSMF'), 'PT Equity Development Investment') ON CONFLICT DO NOTHING;</v>
      </c>
    </row>
    <row r="1488" spans="1:6" x14ac:dyDescent="0.2">
      <c r="A1488" t="s">
        <v>542</v>
      </c>
      <c r="B1488" t="s">
        <v>3574</v>
      </c>
      <c r="C1488" t="s">
        <v>542</v>
      </c>
      <c r="D1488" t="str">
        <f>TRIM(alias[[#This Row],[Column3]])</f>
        <v>GTBO</v>
      </c>
      <c r="F1488" t="str">
        <f t="shared" si="23"/>
        <v>INSERT INTO stock_alias (stock, alias) VALUES ((SELECT id FROM stock WHERE ticker = 'GTBO'), 'GTBO') ON CONFLICT DO NOTHING;</v>
      </c>
    </row>
    <row r="1489" spans="1:6" x14ac:dyDescent="0.2">
      <c r="A1489" t="s">
        <v>542</v>
      </c>
      <c r="B1489" t="s">
        <v>3574</v>
      </c>
      <c r="C1489" t="s">
        <v>5987</v>
      </c>
      <c r="D1489" t="str">
        <f>TRIM(alias[[#This Row],[Column3]])</f>
        <v>Garda Tujuh Buana</v>
      </c>
      <c r="F1489" t="str">
        <f t="shared" si="23"/>
        <v>INSERT INTO stock_alias (stock, alias) VALUES ((SELECT id FROM stock WHERE ticker = 'GTBO'), 'Garda Tujuh Buana') ON CONFLICT DO NOTHING;</v>
      </c>
    </row>
    <row r="1490" spans="1:6" x14ac:dyDescent="0.2">
      <c r="A1490" t="s">
        <v>542</v>
      </c>
      <c r="B1490" t="s">
        <v>3574</v>
      </c>
      <c r="C1490" t="s">
        <v>5988</v>
      </c>
      <c r="D1490" t="str">
        <f>TRIM(alias[[#This Row],[Column3]])</f>
        <v>Garda Tujuh Buana Tbk</v>
      </c>
      <c r="F1490" t="str">
        <f t="shared" si="23"/>
        <v>INSERT INTO stock_alias (stock, alias) VALUES ((SELECT id FROM stock WHERE ticker = 'GTBO'), 'Garda Tujuh Buana Tbk') ON CONFLICT DO NOTHING;</v>
      </c>
    </row>
    <row r="1491" spans="1:6" x14ac:dyDescent="0.2">
      <c r="A1491" t="s">
        <v>542</v>
      </c>
      <c r="B1491" t="s">
        <v>3574</v>
      </c>
      <c r="C1491" t="s">
        <v>5989</v>
      </c>
      <c r="D1491" t="str">
        <f>TRIM(alias[[#This Row],[Column3]])</f>
        <v>PT Garda Tujuh Buana</v>
      </c>
      <c r="F1491" t="str">
        <f t="shared" si="23"/>
        <v>INSERT INTO stock_alias (stock, alias) VALUES ((SELECT id FROM stock WHERE ticker = 'GTBO'), 'PT Garda Tujuh Buana') ON CONFLICT DO NOTHING;</v>
      </c>
    </row>
    <row r="1492" spans="1:6" x14ac:dyDescent="0.2">
      <c r="A1492" t="s">
        <v>2292</v>
      </c>
      <c r="B1492" t="s">
        <v>2293</v>
      </c>
      <c r="C1492" t="s">
        <v>2292</v>
      </c>
      <c r="D1492" t="str">
        <f>TRIM(alias[[#This Row],[Column3]])</f>
        <v>GTRA</v>
      </c>
      <c r="F1492" t="str">
        <f t="shared" si="23"/>
        <v>INSERT INTO stock_alias (stock, alias) VALUES ((SELECT id FROM stock WHERE ticker = 'GTRA'), 'GTRA') ON CONFLICT DO NOTHING;</v>
      </c>
    </row>
    <row r="1493" spans="1:6" x14ac:dyDescent="0.2">
      <c r="A1493" t="s">
        <v>2292</v>
      </c>
      <c r="B1493" t="s">
        <v>2293</v>
      </c>
      <c r="C1493" t="s">
        <v>5990</v>
      </c>
      <c r="D1493" t="str">
        <f>TRIM(alias[[#This Row],[Column3]])</f>
        <v>Grahaprima Suksesmandiri</v>
      </c>
      <c r="F1493" t="str">
        <f t="shared" si="23"/>
        <v>INSERT INTO stock_alias (stock, alias) VALUES ((SELECT id FROM stock WHERE ticker = 'GTRA'), 'Grahaprima Suksesmandiri') ON CONFLICT DO NOTHING;</v>
      </c>
    </row>
    <row r="1494" spans="1:6" x14ac:dyDescent="0.2">
      <c r="A1494" t="s">
        <v>2292</v>
      </c>
      <c r="B1494" t="s">
        <v>2293</v>
      </c>
      <c r="C1494" t="s">
        <v>5991</v>
      </c>
      <c r="D1494" t="str">
        <f>TRIM(alias[[#This Row],[Column3]])</f>
        <v>Grahaprima Suksesmandiri Tbk</v>
      </c>
      <c r="F1494" t="str">
        <f t="shared" si="23"/>
        <v>INSERT INTO stock_alias (stock, alias) VALUES ((SELECT id FROM stock WHERE ticker = 'GTRA'), 'Grahaprima Suksesmandiri Tbk') ON CONFLICT DO NOTHING;</v>
      </c>
    </row>
    <row r="1495" spans="1:6" x14ac:dyDescent="0.2">
      <c r="A1495" t="s">
        <v>2292</v>
      </c>
      <c r="B1495" t="s">
        <v>2293</v>
      </c>
      <c r="C1495" t="s">
        <v>5992</v>
      </c>
      <c r="D1495" t="str">
        <f>TRIM(alias[[#This Row],[Column3]])</f>
        <v>PT Grahaprima Suksesmandiri</v>
      </c>
      <c r="F1495" t="str">
        <f t="shared" si="23"/>
        <v>INSERT INTO stock_alias (stock, alias) VALUES ((SELECT id FROM stock WHERE ticker = 'GTRA'), 'PT Grahaprima Suksesmandiri') ON CONFLICT DO NOTHING;</v>
      </c>
    </row>
    <row r="1496" spans="1:6" x14ac:dyDescent="0.2">
      <c r="A1496" t="s">
        <v>2007</v>
      </c>
      <c r="B1496" t="s">
        <v>2008</v>
      </c>
      <c r="C1496" t="s">
        <v>2007</v>
      </c>
      <c r="D1496" t="str">
        <f>TRIM(alias[[#This Row],[Column3]])</f>
        <v>GTSI</v>
      </c>
      <c r="F1496" t="str">
        <f t="shared" si="23"/>
        <v>INSERT INTO stock_alias (stock, alias) VALUES ((SELECT id FROM stock WHERE ticker = 'GTSI'), 'GTSI') ON CONFLICT DO NOTHING;</v>
      </c>
    </row>
    <row r="1497" spans="1:6" x14ac:dyDescent="0.2">
      <c r="A1497" t="s">
        <v>2007</v>
      </c>
      <c r="B1497" t="s">
        <v>2008</v>
      </c>
      <c r="C1497" t="s">
        <v>5993</v>
      </c>
      <c r="D1497" t="str">
        <f>TRIM(alias[[#This Row],[Column3]])</f>
        <v>GTS Internasional</v>
      </c>
      <c r="F1497" t="str">
        <f t="shared" si="23"/>
        <v>INSERT INTO stock_alias (stock, alias) VALUES ((SELECT id FROM stock WHERE ticker = 'GTSI'), 'GTS Internasional') ON CONFLICT DO NOTHING;</v>
      </c>
    </row>
    <row r="1498" spans="1:6" x14ac:dyDescent="0.2">
      <c r="A1498" t="s">
        <v>2007</v>
      </c>
      <c r="B1498" t="s">
        <v>2008</v>
      </c>
      <c r="C1498" t="s">
        <v>5994</v>
      </c>
      <c r="D1498" t="str">
        <f>TRIM(alias[[#This Row],[Column3]])</f>
        <v>GTS Internasional Tbk</v>
      </c>
      <c r="F1498" t="str">
        <f t="shared" si="23"/>
        <v>INSERT INTO stock_alias (stock, alias) VALUES ((SELECT id FROM stock WHERE ticker = 'GTSI'), 'GTS Internasional Tbk') ON CONFLICT DO NOTHING;</v>
      </c>
    </row>
    <row r="1499" spans="1:6" x14ac:dyDescent="0.2">
      <c r="A1499" t="s">
        <v>2007</v>
      </c>
      <c r="B1499" t="s">
        <v>2008</v>
      </c>
      <c r="C1499" t="s">
        <v>5995</v>
      </c>
      <c r="D1499" t="str">
        <f>TRIM(alias[[#This Row],[Column3]])</f>
        <v>PT GTS Internasional</v>
      </c>
      <c r="F1499" t="str">
        <f t="shared" si="23"/>
        <v>INSERT INTO stock_alias (stock, alias) VALUES ((SELECT id FROM stock WHERE ticker = 'GTSI'), 'PT GTS Internasional') ON CONFLICT DO NOTHING;</v>
      </c>
    </row>
    <row r="1500" spans="1:6" x14ac:dyDescent="0.2">
      <c r="A1500" t="s">
        <v>2140</v>
      </c>
      <c r="B1500" t="s">
        <v>2141</v>
      </c>
      <c r="C1500" t="s">
        <v>2140</v>
      </c>
      <c r="D1500" t="str">
        <f>TRIM(alias[[#This Row],[Column3]])</f>
        <v>GULA</v>
      </c>
      <c r="F1500" t="str">
        <f t="shared" si="23"/>
        <v>INSERT INTO stock_alias (stock, alias) VALUES ((SELECT id FROM stock WHERE ticker = 'GULA'), 'GULA') ON CONFLICT DO NOTHING;</v>
      </c>
    </row>
    <row r="1501" spans="1:6" x14ac:dyDescent="0.2">
      <c r="A1501" t="s">
        <v>2140</v>
      </c>
      <c r="B1501" t="s">
        <v>2141</v>
      </c>
      <c r="C1501" t="s">
        <v>5996</v>
      </c>
      <c r="D1501" t="str">
        <f>TRIM(alias[[#This Row],[Column3]])</f>
        <v>Aman Agrindo</v>
      </c>
      <c r="F1501" t="str">
        <f t="shared" si="23"/>
        <v>INSERT INTO stock_alias (stock, alias) VALUES ((SELECT id FROM stock WHERE ticker = 'GULA'), 'Aman Agrindo') ON CONFLICT DO NOTHING;</v>
      </c>
    </row>
    <row r="1502" spans="1:6" x14ac:dyDescent="0.2">
      <c r="A1502" t="s">
        <v>2140</v>
      </c>
      <c r="B1502" t="s">
        <v>2141</v>
      </c>
      <c r="C1502" t="s">
        <v>5997</v>
      </c>
      <c r="D1502" t="str">
        <f>TRIM(alias[[#This Row],[Column3]])</f>
        <v>Aman Agrindo Tbk</v>
      </c>
      <c r="F1502" t="str">
        <f t="shared" si="23"/>
        <v>INSERT INTO stock_alias (stock, alias) VALUES ((SELECT id FROM stock WHERE ticker = 'GULA'), 'Aman Agrindo Tbk') ON CONFLICT DO NOTHING;</v>
      </c>
    </row>
    <row r="1503" spans="1:6" x14ac:dyDescent="0.2">
      <c r="A1503" t="s">
        <v>2140</v>
      </c>
      <c r="B1503" t="s">
        <v>2141</v>
      </c>
      <c r="C1503" t="s">
        <v>5998</v>
      </c>
      <c r="D1503" t="str">
        <f>TRIM(alias[[#This Row],[Column3]])</f>
        <v>PT Aman Agrindo</v>
      </c>
      <c r="F1503" t="str">
        <f t="shared" si="23"/>
        <v>INSERT INTO stock_alias (stock, alias) VALUES ((SELECT id FROM stock WHERE ticker = 'GULA'), 'PT Aman Agrindo') ON CONFLICT DO NOTHING;</v>
      </c>
    </row>
    <row r="1504" spans="1:6" x14ac:dyDescent="0.2">
      <c r="A1504" t="s">
        <v>2480</v>
      </c>
      <c r="B1504" t="s">
        <v>2481</v>
      </c>
      <c r="C1504" t="s">
        <v>2480</v>
      </c>
      <c r="D1504" t="str">
        <f>TRIM(alias[[#This Row],[Column3]])</f>
        <v>GUNA</v>
      </c>
      <c r="F1504" t="str">
        <f t="shared" si="23"/>
        <v>INSERT INTO stock_alias (stock, alias) VALUES ((SELECT id FROM stock WHERE ticker = 'GUNA'), 'GUNA') ON CONFLICT DO NOTHING;</v>
      </c>
    </row>
    <row r="1505" spans="1:6" x14ac:dyDescent="0.2">
      <c r="A1505" t="s">
        <v>2480</v>
      </c>
      <c r="B1505" t="s">
        <v>2481</v>
      </c>
      <c r="C1505" t="s">
        <v>5999</v>
      </c>
      <c r="D1505" t="str">
        <f>TRIM(alias[[#This Row],[Column3]])</f>
        <v>Gunanusa Eramandiri</v>
      </c>
      <c r="F1505" t="str">
        <f t="shared" si="23"/>
        <v>INSERT INTO stock_alias (stock, alias) VALUES ((SELECT id FROM stock WHERE ticker = 'GUNA'), 'Gunanusa Eramandiri') ON CONFLICT DO NOTHING;</v>
      </c>
    </row>
    <row r="1506" spans="1:6" x14ac:dyDescent="0.2">
      <c r="A1506" t="s">
        <v>2480</v>
      </c>
      <c r="B1506" t="s">
        <v>2481</v>
      </c>
      <c r="C1506" t="s">
        <v>6000</v>
      </c>
      <c r="D1506" t="str">
        <f>TRIM(alias[[#This Row],[Column3]])</f>
        <v>Gunanusa Eramandiri Tbk</v>
      </c>
      <c r="F1506" t="str">
        <f t="shared" si="23"/>
        <v>INSERT INTO stock_alias (stock, alias) VALUES ((SELECT id FROM stock WHERE ticker = 'GUNA'), 'Gunanusa Eramandiri Tbk') ON CONFLICT DO NOTHING;</v>
      </c>
    </row>
    <row r="1507" spans="1:6" x14ac:dyDescent="0.2">
      <c r="A1507" t="s">
        <v>2480</v>
      </c>
      <c r="B1507" t="s">
        <v>2481</v>
      </c>
      <c r="C1507" t="s">
        <v>6001</v>
      </c>
      <c r="D1507" t="str">
        <f>TRIM(alias[[#This Row],[Column3]])</f>
        <v>PT Gunanusa Eramandiri</v>
      </c>
      <c r="F1507" t="str">
        <f t="shared" si="23"/>
        <v>INSERT INTO stock_alias (stock, alias) VALUES ((SELECT id FROM stock WHERE ticker = 'GUNA'), 'PT Gunanusa Eramandiri') ON CONFLICT DO NOTHING;</v>
      </c>
    </row>
    <row r="1508" spans="1:6" x14ac:dyDescent="0.2">
      <c r="A1508" t="s">
        <v>545</v>
      </c>
      <c r="B1508" t="s">
        <v>546</v>
      </c>
      <c r="C1508" t="s">
        <v>545</v>
      </c>
      <c r="D1508" t="str">
        <f>TRIM(alias[[#This Row],[Column3]])</f>
        <v>GWSA</v>
      </c>
      <c r="F1508" t="str">
        <f t="shared" si="23"/>
        <v>INSERT INTO stock_alias (stock, alias) VALUES ((SELECT id FROM stock WHERE ticker = 'GWSA'), 'GWSA') ON CONFLICT DO NOTHING;</v>
      </c>
    </row>
    <row r="1509" spans="1:6" x14ac:dyDescent="0.2">
      <c r="A1509" t="s">
        <v>545</v>
      </c>
      <c r="B1509" t="s">
        <v>546</v>
      </c>
      <c r="C1509" t="s">
        <v>6002</v>
      </c>
      <c r="D1509" t="str">
        <f>TRIM(alias[[#This Row],[Column3]])</f>
        <v>Greenwood Sejahtera</v>
      </c>
      <c r="F1509" t="str">
        <f t="shared" si="23"/>
        <v>INSERT INTO stock_alias (stock, alias) VALUES ((SELECT id FROM stock WHERE ticker = 'GWSA'), 'Greenwood Sejahtera') ON CONFLICT DO NOTHING;</v>
      </c>
    </row>
    <row r="1510" spans="1:6" x14ac:dyDescent="0.2">
      <c r="A1510" t="s">
        <v>545</v>
      </c>
      <c r="B1510" t="s">
        <v>546</v>
      </c>
      <c r="C1510" t="s">
        <v>6003</v>
      </c>
      <c r="D1510" t="str">
        <f>TRIM(alias[[#This Row],[Column3]])</f>
        <v>Greenwood Sejahtera Tbk</v>
      </c>
      <c r="F1510" t="str">
        <f t="shared" si="23"/>
        <v>INSERT INTO stock_alias (stock, alias) VALUES ((SELECT id FROM stock WHERE ticker = 'GWSA'), 'Greenwood Sejahtera Tbk') ON CONFLICT DO NOTHING;</v>
      </c>
    </row>
    <row r="1511" spans="1:6" x14ac:dyDescent="0.2">
      <c r="A1511" t="s">
        <v>545</v>
      </c>
      <c r="B1511" t="s">
        <v>546</v>
      </c>
      <c r="C1511" t="s">
        <v>6004</v>
      </c>
      <c r="D1511" t="str">
        <f>TRIM(alias[[#This Row],[Column3]])</f>
        <v>PT Greenwood Sejahtera</v>
      </c>
      <c r="F1511" t="str">
        <f t="shared" si="23"/>
        <v>INSERT INTO stock_alias (stock, alias) VALUES ((SELECT id FROM stock WHERE ticker = 'GWSA'), 'PT Greenwood Sejahtera') ON CONFLICT DO NOTHING;</v>
      </c>
    </row>
    <row r="1512" spans="1:6" x14ac:dyDescent="0.2">
      <c r="A1512" t="s">
        <v>548</v>
      </c>
      <c r="B1512" t="s">
        <v>549</v>
      </c>
      <c r="C1512" t="s">
        <v>548</v>
      </c>
      <c r="D1512" t="str">
        <f>TRIM(alias[[#This Row],[Column3]])</f>
        <v>GZCO</v>
      </c>
      <c r="F1512" t="str">
        <f t="shared" si="23"/>
        <v>INSERT INTO stock_alias (stock, alias) VALUES ((SELECT id FROM stock WHERE ticker = 'GZCO'), 'GZCO') ON CONFLICT DO NOTHING;</v>
      </c>
    </row>
    <row r="1513" spans="1:6" x14ac:dyDescent="0.2">
      <c r="A1513" t="s">
        <v>548</v>
      </c>
      <c r="B1513" t="s">
        <v>549</v>
      </c>
      <c r="C1513" t="s">
        <v>6005</v>
      </c>
      <c r="D1513" t="str">
        <f>TRIM(alias[[#This Row],[Column3]])</f>
        <v>Gozco Plantations</v>
      </c>
      <c r="F1513" t="str">
        <f t="shared" si="23"/>
        <v>INSERT INTO stock_alias (stock, alias) VALUES ((SELECT id FROM stock WHERE ticker = 'GZCO'), 'Gozco Plantations') ON CONFLICT DO NOTHING;</v>
      </c>
    </row>
    <row r="1514" spans="1:6" x14ac:dyDescent="0.2">
      <c r="A1514" t="s">
        <v>548</v>
      </c>
      <c r="B1514" t="s">
        <v>549</v>
      </c>
      <c r="C1514" t="s">
        <v>6006</v>
      </c>
      <c r="D1514" t="str">
        <f>TRIM(alias[[#This Row],[Column3]])</f>
        <v>Gozco Plantations Tbk</v>
      </c>
      <c r="F1514" t="str">
        <f t="shared" si="23"/>
        <v>INSERT INTO stock_alias (stock, alias) VALUES ((SELECT id FROM stock WHERE ticker = 'GZCO'), 'Gozco Plantations Tbk') ON CONFLICT DO NOTHING;</v>
      </c>
    </row>
    <row r="1515" spans="1:6" x14ac:dyDescent="0.2">
      <c r="A1515" t="s">
        <v>548</v>
      </c>
      <c r="B1515" t="s">
        <v>549</v>
      </c>
      <c r="C1515" t="s">
        <v>6007</v>
      </c>
      <c r="D1515" t="str">
        <f>TRIM(alias[[#This Row],[Column3]])</f>
        <v>PT Gozco Plantations</v>
      </c>
      <c r="F1515" t="str">
        <f t="shared" si="23"/>
        <v>INSERT INTO stock_alias (stock, alias) VALUES ((SELECT id FROM stock WHERE ticker = 'GZCO'), 'PT Gozco Plantations') ON CONFLICT DO NOTHING;</v>
      </c>
    </row>
    <row r="1516" spans="1:6" x14ac:dyDescent="0.2">
      <c r="A1516" t="s">
        <v>551</v>
      </c>
      <c r="B1516" t="s">
        <v>552</v>
      </c>
      <c r="C1516" t="s">
        <v>551</v>
      </c>
      <c r="D1516" t="str">
        <f>TRIM(alias[[#This Row],[Column3]])</f>
        <v>HADE</v>
      </c>
      <c r="F1516" t="str">
        <f t="shared" si="23"/>
        <v>INSERT INTO stock_alias (stock, alias) VALUES ((SELECT id FROM stock WHERE ticker = 'HADE'), 'HADE') ON CONFLICT DO NOTHING;</v>
      </c>
    </row>
    <row r="1517" spans="1:6" x14ac:dyDescent="0.2">
      <c r="A1517" t="s">
        <v>551</v>
      </c>
      <c r="B1517" t="s">
        <v>552</v>
      </c>
      <c r="C1517" t="s">
        <v>6008</v>
      </c>
      <c r="D1517" t="str">
        <f>TRIM(alias[[#This Row],[Column3]])</f>
        <v>Himalaya Energi Perkasa</v>
      </c>
      <c r="F1517" t="str">
        <f t="shared" si="23"/>
        <v>INSERT INTO stock_alias (stock, alias) VALUES ((SELECT id FROM stock WHERE ticker = 'HADE'), 'Himalaya Energi Perkasa') ON CONFLICT DO NOTHING;</v>
      </c>
    </row>
    <row r="1518" spans="1:6" x14ac:dyDescent="0.2">
      <c r="A1518" t="s">
        <v>551</v>
      </c>
      <c r="B1518" t="s">
        <v>552</v>
      </c>
      <c r="C1518" t="s">
        <v>6009</v>
      </c>
      <c r="D1518" t="str">
        <f>TRIM(alias[[#This Row],[Column3]])</f>
        <v>Himalaya Energi Perkasa Tbk</v>
      </c>
      <c r="F1518" t="str">
        <f t="shared" si="23"/>
        <v>INSERT INTO stock_alias (stock, alias) VALUES ((SELECT id FROM stock WHERE ticker = 'HADE'), 'Himalaya Energi Perkasa Tbk') ON CONFLICT DO NOTHING;</v>
      </c>
    </row>
    <row r="1519" spans="1:6" x14ac:dyDescent="0.2">
      <c r="A1519" t="s">
        <v>551</v>
      </c>
      <c r="B1519" t="s">
        <v>552</v>
      </c>
      <c r="C1519" t="s">
        <v>6010</v>
      </c>
      <c r="D1519" t="str">
        <f>TRIM(alias[[#This Row],[Column3]])</f>
        <v>PT Himalaya Energi Perkasa</v>
      </c>
      <c r="F1519" t="str">
        <f t="shared" si="23"/>
        <v>INSERT INTO stock_alias (stock, alias) VALUES ((SELECT id FROM stock WHERE ticker = 'HADE'), 'PT Himalaya Energi Perkasa') ON CONFLICT DO NOTHING;</v>
      </c>
    </row>
    <row r="1520" spans="1:6" x14ac:dyDescent="0.2">
      <c r="A1520" t="s">
        <v>1984</v>
      </c>
      <c r="B1520" t="s">
        <v>3575</v>
      </c>
      <c r="C1520" t="s">
        <v>1984</v>
      </c>
      <c r="D1520" t="str">
        <f>TRIM(alias[[#This Row],[Column3]])</f>
        <v>HAIS</v>
      </c>
      <c r="F1520" t="str">
        <f t="shared" si="23"/>
        <v>INSERT INTO stock_alias (stock, alias) VALUES ((SELECT id FROM stock WHERE ticker = 'HAIS'), 'HAIS') ON CONFLICT DO NOTHING;</v>
      </c>
    </row>
    <row r="1521" spans="1:6" x14ac:dyDescent="0.2">
      <c r="A1521" t="s">
        <v>1984</v>
      </c>
      <c r="B1521" t="s">
        <v>3575</v>
      </c>
      <c r="C1521" t="s">
        <v>6011</v>
      </c>
      <c r="D1521" t="str">
        <f>TRIM(alias[[#This Row],[Column3]])</f>
        <v>Hasnur Internasional Shipping</v>
      </c>
      <c r="F1521" t="str">
        <f t="shared" si="23"/>
        <v>INSERT INTO stock_alias (stock, alias) VALUES ((SELECT id FROM stock WHERE ticker = 'HAIS'), 'Hasnur Internasional Shipping') ON CONFLICT DO NOTHING;</v>
      </c>
    </row>
    <row r="1522" spans="1:6" x14ac:dyDescent="0.2">
      <c r="A1522" t="s">
        <v>1984</v>
      </c>
      <c r="B1522" t="s">
        <v>3575</v>
      </c>
      <c r="C1522" t="s">
        <v>6012</v>
      </c>
      <c r="D1522" t="str">
        <f>TRIM(alias[[#This Row],[Column3]])</f>
        <v>Hasnur Internasional Shipping Tbk</v>
      </c>
      <c r="F1522" t="str">
        <f t="shared" si="23"/>
        <v>INSERT INTO stock_alias (stock, alias) VALUES ((SELECT id FROM stock WHERE ticker = 'HAIS'), 'Hasnur Internasional Shipping Tbk') ON CONFLICT DO NOTHING;</v>
      </c>
    </row>
    <row r="1523" spans="1:6" x14ac:dyDescent="0.2">
      <c r="A1523" t="s">
        <v>1984</v>
      </c>
      <c r="B1523" t="s">
        <v>3575</v>
      </c>
      <c r="C1523" t="s">
        <v>6013</v>
      </c>
      <c r="D1523" t="str">
        <f>TRIM(alias[[#This Row],[Column3]])</f>
        <v>PT Hasnur Internasional Shipping</v>
      </c>
      <c r="F1523" t="str">
        <f t="shared" si="23"/>
        <v>INSERT INTO stock_alias (stock, alias) VALUES ((SELECT id FROM stock WHERE ticker = 'HAIS'), 'PT Hasnur Internasional Shipping') ON CONFLICT DO NOTHING;</v>
      </c>
    </row>
    <row r="1524" spans="1:6" x14ac:dyDescent="0.2">
      <c r="A1524" t="s">
        <v>2295</v>
      </c>
      <c r="B1524" t="s">
        <v>2296</v>
      </c>
      <c r="C1524" t="s">
        <v>2295</v>
      </c>
      <c r="D1524" t="str">
        <f>TRIM(alias[[#This Row],[Column3]])</f>
        <v>HAJJ</v>
      </c>
      <c r="F1524" t="str">
        <f t="shared" si="23"/>
        <v>INSERT INTO stock_alias (stock, alias) VALUES ((SELECT id FROM stock WHERE ticker = 'HAJJ'), 'HAJJ') ON CONFLICT DO NOTHING;</v>
      </c>
    </row>
    <row r="1525" spans="1:6" x14ac:dyDescent="0.2">
      <c r="A1525" t="s">
        <v>2295</v>
      </c>
      <c r="B1525" t="s">
        <v>2296</v>
      </c>
      <c r="C1525" t="s">
        <v>6014</v>
      </c>
      <c r="D1525" t="str">
        <f>TRIM(alias[[#This Row],[Column3]])</f>
        <v>Arsy Buana Travelindo</v>
      </c>
      <c r="F1525" t="str">
        <f t="shared" si="23"/>
        <v>INSERT INTO stock_alias (stock, alias) VALUES ((SELECT id FROM stock WHERE ticker = 'HAJJ'), 'Arsy Buana Travelindo') ON CONFLICT DO NOTHING;</v>
      </c>
    </row>
    <row r="1526" spans="1:6" x14ac:dyDescent="0.2">
      <c r="A1526" t="s">
        <v>2295</v>
      </c>
      <c r="B1526" t="s">
        <v>2296</v>
      </c>
      <c r="C1526" t="s">
        <v>6015</v>
      </c>
      <c r="D1526" t="str">
        <f>TRIM(alias[[#This Row],[Column3]])</f>
        <v>Arsy Buana Travelindo Tbk</v>
      </c>
      <c r="F1526" t="str">
        <f t="shared" si="23"/>
        <v>INSERT INTO stock_alias (stock, alias) VALUES ((SELECT id FROM stock WHERE ticker = 'HAJJ'), 'Arsy Buana Travelindo Tbk') ON CONFLICT DO NOTHING;</v>
      </c>
    </row>
    <row r="1527" spans="1:6" x14ac:dyDescent="0.2">
      <c r="A1527" t="s">
        <v>2295</v>
      </c>
      <c r="B1527" t="s">
        <v>2296</v>
      </c>
      <c r="C1527" t="s">
        <v>6016</v>
      </c>
      <c r="D1527" t="str">
        <f>TRIM(alias[[#This Row],[Column3]])</f>
        <v>PT Arsy Buana Travelindo</v>
      </c>
      <c r="F1527" t="str">
        <f t="shared" si="23"/>
        <v>INSERT INTO stock_alias (stock, alias) VALUES ((SELECT id FROM stock WHERE ticker = 'HAJJ'), 'PT Arsy Buana Travelindo') ON CONFLICT DO NOTHING;</v>
      </c>
    </row>
    <row r="1528" spans="1:6" x14ac:dyDescent="0.2">
      <c r="A1528" t="s">
        <v>2261</v>
      </c>
      <c r="B1528" t="s">
        <v>2262</v>
      </c>
      <c r="C1528" t="s">
        <v>2261</v>
      </c>
      <c r="D1528" t="str">
        <f>TRIM(alias[[#This Row],[Column3]])</f>
        <v>HALO</v>
      </c>
      <c r="F1528" t="str">
        <f t="shared" si="23"/>
        <v>INSERT INTO stock_alias (stock, alias) VALUES ((SELECT id FROM stock WHERE ticker = 'HALO'), 'HALO') ON CONFLICT DO NOTHING;</v>
      </c>
    </row>
    <row r="1529" spans="1:6" x14ac:dyDescent="0.2">
      <c r="A1529" t="s">
        <v>2261</v>
      </c>
      <c r="B1529" t="s">
        <v>2262</v>
      </c>
      <c r="C1529" t="s">
        <v>6017</v>
      </c>
      <c r="D1529" t="str">
        <f>TRIM(alias[[#This Row],[Column3]])</f>
        <v>Haloni Jane</v>
      </c>
      <c r="F1529" t="str">
        <f t="shared" si="23"/>
        <v>INSERT INTO stock_alias (stock, alias) VALUES ((SELECT id FROM stock WHERE ticker = 'HALO'), 'Haloni Jane') ON CONFLICT DO NOTHING;</v>
      </c>
    </row>
    <row r="1530" spans="1:6" x14ac:dyDescent="0.2">
      <c r="A1530" t="s">
        <v>2261</v>
      </c>
      <c r="B1530" t="s">
        <v>2262</v>
      </c>
      <c r="C1530" t="s">
        <v>6018</v>
      </c>
      <c r="D1530" t="str">
        <f>TRIM(alias[[#This Row],[Column3]])</f>
        <v>Haloni Jane Tbk</v>
      </c>
      <c r="F1530" t="str">
        <f t="shared" si="23"/>
        <v>INSERT INTO stock_alias (stock, alias) VALUES ((SELECT id FROM stock WHERE ticker = 'HALO'), 'Haloni Jane Tbk') ON CONFLICT DO NOTHING;</v>
      </c>
    </row>
    <row r="1531" spans="1:6" x14ac:dyDescent="0.2">
      <c r="A1531" t="s">
        <v>2261</v>
      </c>
      <c r="B1531" t="s">
        <v>2262</v>
      </c>
      <c r="C1531" t="s">
        <v>6019</v>
      </c>
      <c r="D1531" t="str">
        <f>TRIM(alias[[#This Row],[Column3]])</f>
        <v>PT Haloni Jane</v>
      </c>
      <c r="F1531" t="str">
        <f t="shared" si="23"/>
        <v>INSERT INTO stock_alias (stock, alias) VALUES ((SELECT id FROM stock WHERE ticker = 'HALO'), 'PT Haloni Jane') ON CONFLICT DO NOTHING;</v>
      </c>
    </row>
    <row r="1532" spans="1:6" x14ac:dyDescent="0.2">
      <c r="A1532" t="s">
        <v>2134</v>
      </c>
      <c r="B1532" t="s">
        <v>2135</v>
      </c>
      <c r="C1532" t="s">
        <v>2134</v>
      </c>
      <c r="D1532" t="str">
        <f>TRIM(alias[[#This Row],[Column3]])</f>
        <v>HATM</v>
      </c>
      <c r="F1532" t="str">
        <f t="shared" si="23"/>
        <v>INSERT INTO stock_alias (stock, alias) VALUES ((SELECT id FROM stock WHERE ticker = 'HATM'), 'HATM') ON CONFLICT DO NOTHING;</v>
      </c>
    </row>
    <row r="1533" spans="1:6" x14ac:dyDescent="0.2">
      <c r="A1533" t="s">
        <v>2134</v>
      </c>
      <c r="B1533" t="s">
        <v>2135</v>
      </c>
      <c r="C1533" t="s">
        <v>6020</v>
      </c>
      <c r="D1533" t="str">
        <f>TRIM(alias[[#This Row],[Column3]])</f>
        <v>Habco Trans Maritima</v>
      </c>
      <c r="F1533" t="str">
        <f t="shared" si="23"/>
        <v>INSERT INTO stock_alias (stock, alias) VALUES ((SELECT id FROM stock WHERE ticker = 'HATM'), 'Habco Trans Maritima') ON CONFLICT DO NOTHING;</v>
      </c>
    </row>
    <row r="1534" spans="1:6" x14ac:dyDescent="0.2">
      <c r="A1534" t="s">
        <v>2134</v>
      </c>
      <c r="B1534" t="s">
        <v>2135</v>
      </c>
      <c r="C1534" t="s">
        <v>6021</v>
      </c>
      <c r="D1534" t="str">
        <f>TRIM(alias[[#This Row],[Column3]])</f>
        <v>Habco Trans Maritima Tbk</v>
      </c>
      <c r="F1534" t="str">
        <f t="shared" si="23"/>
        <v>INSERT INTO stock_alias (stock, alias) VALUES ((SELECT id FROM stock WHERE ticker = 'HATM'), 'Habco Trans Maritima Tbk') ON CONFLICT DO NOTHING;</v>
      </c>
    </row>
    <row r="1535" spans="1:6" x14ac:dyDescent="0.2">
      <c r="A1535" t="s">
        <v>2134</v>
      </c>
      <c r="B1535" t="s">
        <v>2135</v>
      </c>
      <c r="C1535" t="s">
        <v>6022</v>
      </c>
      <c r="D1535" t="str">
        <f>TRIM(alias[[#This Row],[Column3]])</f>
        <v>PT Habco Trans Maritima</v>
      </c>
      <c r="F1535" t="str">
        <f t="shared" si="23"/>
        <v>INSERT INTO stock_alias (stock, alias) VALUES ((SELECT id FROM stock WHERE ticker = 'HATM'), 'PT Habco Trans Maritima') ON CONFLICT DO NOTHING;</v>
      </c>
    </row>
    <row r="1536" spans="1:6" x14ac:dyDescent="0.2">
      <c r="A1536" t="s">
        <v>2345</v>
      </c>
      <c r="B1536" t="s">
        <v>2346</v>
      </c>
      <c r="C1536" t="s">
        <v>2345</v>
      </c>
      <c r="D1536" t="str">
        <f>TRIM(alias[[#This Row],[Column3]])</f>
        <v>HBAT</v>
      </c>
      <c r="F1536" t="str">
        <f t="shared" si="23"/>
        <v>INSERT INTO stock_alias (stock, alias) VALUES ((SELECT id FROM stock WHERE ticker = 'HBAT'), 'HBAT') ON CONFLICT DO NOTHING;</v>
      </c>
    </row>
    <row r="1537" spans="1:6" x14ac:dyDescent="0.2">
      <c r="A1537" t="s">
        <v>2345</v>
      </c>
      <c r="B1537" t="s">
        <v>2346</v>
      </c>
      <c r="C1537" t="s">
        <v>6023</v>
      </c>
      <c r="D1537" t="str">
        <f>TRIM(alias[[#This Row],[Column3]])</f>
        <v>Minahasa Membangun Hebat</v>
      </c>
      <c r="F1537" t="str">
        <f t="shared" si="23"/>
        <v>INSERT INTO stock_alias (stock, alias) VALUES ((SELECT id FROM stock WHERE ticker = 'HBAT'), 'Minahasa Membangun Hebat') ON CONFLICT DO NOTHING;</v>
      </c>
    </row>
    <row r="1538" spans="1:6" x14ac:dyDescent="0.2">
      <c r="A1538" t="s">
        <v>2345</v>
      </c>
      <c r="B1538" t="s">
        <v>2346</v>
      </c>
      <c r="C1538" t="s">
        <v>6024</v>
      </c>
      <c r="D1538" t="str">
        <f>TRIM(alias[[#This Row],[Column3]])</f>
        <v>Minahasa Membangun Hebat Tbk</v>
      </c>
      <c r="F1538" t="str">
        <f t="shared" si="23"/>
        <v>INSERT INTO stock_alias (stock, alias) VALUES ((SELECT id FROM stock WHERE ticker = 'HBAT'), 'Minahasa Membangun Hebat Tbk') ON CONFLICT DO NOTHING;</v>
      </c>
    </row>
    <row r="1539" spans="1:6" x14ac:dyDescent="0.2">
      <c r="A1539" t="s">
        <v>2345</v>
      </c>
      <c r="B1539" t="s">
        <v>2346</v>
      </c>
      <c r="C1539" t="s">
        <v>6025</v>
      </c>
      <c r="D1539" t="str">
        <f>TRIM(alias[[#This Row],[Column3]])</f>
        <v>PT Minahasa Membangun Hebat</v>
      </c>
      <c r="F1539" t="str">
        <f t="shared" ref="F1539:F1602" si="24">_xlfn.CONCAT($F$1, _xlfn.CONCAT($G$1, A1539, "'), '", D1539, "') ON CONFLICT DO NOTHING;"))</f>
        <v>INSERT INTO stock_alias (stock, alias) VALUES ((SELECT id FROM stock WHERE ticker = 'HBAT'), 'PT Minahasa Membangun Hebat') ON CONFLICT DO NOTHING;</v>
      </c>
    </row>
    <row r="1540" spans="1:6" x14ac:dyDescent="0.2">
      <c r="A1540" t="s">
        <v>554</v>
      </c>
      <c r="B1540" t="s">
        <v>555</v>
      </c>
      <c r="C1540" t="s">
        <v>554</v>
      </c>
      <c r="D1540" t="str">
        <f>TRIM(alias[[#This Row],[Column3]])</f>
        <v>HDFA</v>
      </c>
      <c r="F1540" t="str">
        <f t="shared" si="24"/>
        <v>INSERT INTO stock_alias (stock, alias) VALUES ((SELECT id FROM stock WHERE ticker = 'HDFA'), 'HDFA') ON CONFLICT DO NOTHING;</v>
      </c>
    </row>
    <row r="1541" spans="1:6" x14ac:dyDescent="0.2">
      <c r="A1541" t="s">
        <v>554</v>
      </c>
      <c r="B1541" t="s">
        <v>555</v>
      </c>
      <c r="C1541" t="s">
        <v>6026</v>
      </c>
      <c r="D1541" t="str">
        <f>TRIM(alias[[#This Row],[Column3]])</f>
        <v>PT Radana Bhaskara Finance</v>
      </c>
      <c r="F1541" t="str">
        <f t="shared" si="24"/>
        <v>INSERT INTO stock_alias (stock, alias) VALUES ((SELECT id FROM stock WHERE ticker = 'HDFA'), 'PT Radana Bhaskara Finance') ON CONFLICT DO NOTHING;</v>
      </c>
    </row>
    <row r="1542" spans="1:6" x14ac:dyDescent="0.2">
      <c r="A1542" t="s">
        <v>554</v>
      </c>
      <c r="B1542" t="s">
        <v>555</v>
      </c>
      <c r="C1542" t="s">
        <v>6027</v>
      </c>
      <c r="D1542" t="str">
        <f>TRIM(alias[[#This Row],[Column3]])</f>
        <v>Radana Bhaskara Finance</v>
      </c>
      <c r="F1542" t="str">
        <f t="shared" si="24"/>
        <v>INSERT INTO stock_alias (stock, alias) VALUES ((SELECT id FROM stock WHERE ticker = 'HDFA'), 'Radana Bhaskara Finance') ON CONFLICT DO NOTHING;</v>
      </c>
    </row>
    <row r="1543" spans="1:6" x14ac:dyDescent="0.2">
      <c r="A1543" t="s">
        <v>554</v>
      </c>
      <c r="B1543" t="s">
        <v>555</v>
      </c>
      <c r="C1543" t="s">
        <v>6028</v>
      </c>
      <c r="D1543" t="str">
        <f>TRIM(alias[[#This Row],[Column3]])</f>
        <v>Radana Bhaskara Finance Tbk</v>
      </c>
      <c r="F1543" t="str">
        <f t="shared" si="24"/>
        <v>INSERT INTO stock_alias (stock, alias) VALUES ((SELECT id FROM stock WHERE ticker = 'HDFA'), 'Radana Bhaskara Finance Tbk') ON CONFLICT DO NOTHING;</v>
      </c>
    </row>
    <row r="1544" spans="1:6" x14ac:dyDescent="0.2">
      <c r="A1544" t="s">
        <v>1726</v>
      </c>
      <c r="B1544" t="s">
        <v>1727</v>
      </c>
      <c r="C1544" t="s">
        <v>1726</v>
      </c>
      <c r="D1544" t="str">
        <f>TRIM(alias[[#This Row],[Column3]])</f>
        <v>HDIT</v>
      </c>
      <c r="F1544" t="str">
        <f t="shared" si="24"/>
        <v>INSERT INTO stock_alias (stock, alias) VALUES ((SELECT id FROM stock WHERE ticker = 'HDIT'), 'HDIT') ON CONFLICT DO NOTHING;</v>
      </c>
    </row>
    <row r="1545" spans="1:6" x14ac:dyDescent="0.2">
      <c r="A1545" t="s">
        <v>1726</v>
      </c>
      <c r="B1545" t="s">
        <v>1727</v>
      </c>
      <c r="C1545" t="s">
        <v>6029</v>
      </c>
      <c r="D1545" t="str">
        <f>TRIM(alias[[#This Row],[Column3]])</f>
        <v>Hensel Davest Indonesia</v>
      </c>
      <c r="F1545" t="str">
        <f t="shared" si="24"/>
        <v>INSERT INTO stock_alias (stock, alias) VALUES ((SELECT id FROM stock WHERE ticker = 'HDIT'), 'Hensel Davest Indonesia') ON CONFLICT DO NOTHING;</v>
      </c>
    </row>
    <row r="1546" spans="1:6" x14ac:dyDescent="0.2">
      <c r="A1546" t="s">
        <v>1726</v>
      </c>
      <c r="B1546" t="s">
        <v>1727</v>
      </c>
      <c r="C1546" t="s">
        <v>6030</v>
      </c>
      <c r="D1546" t="str">
        <f>TRIM(alias[[#This Row],[Column3]])</f>
        <v>Hensel Davest Indonesia Tbk</v>
      </c>
      <c r="F1546" t="str">
        <f t="shared" si="24"/>
        <v>INSERT INTO stock_alias (stock, alias) VALUES ((SELECT id FROM stock WHERE ticker = 'HDIT'), 'Hensel Davest Indonesia Tbk') ON CONFLICT DO NOTHING;</v>
      </c>
    </row>
    <row r="1547" spans="1:6" x14ac:dyDescent="0.2">
      <c r="A1547" t="s">
        <v>1726</v>
      </c>
      <c r="B1547" t="s">
        <v>1727</v>
      </c>
      <c r="C1547" t="s">
        <v>6031</v>
      </c>
      <c r="D1547" t="str">
        <f>TRIM(alias[[#This Row],[Column3]])</f>
        <v>PT Hensel Davest Indonesia</v>
      </c>
      <c r="F1547" t="str">
        <f t="shared" si="24"/>
        <v>INSERT INTO stock_alias (stock, alias) VALUES ((SELECT id FROM stock WHERE ticker = 'HDIT'), 'PT Hensel Davest Indonesia') ON CONFLICT DO NOTHING;</v>
      </c>
    </row>
    <row r="1548" spans="1:6" x14ac:dyDescent="0.2">
      <c r="A1548" t="s">
        <v>1524</v>
      </c>
      <c r="B1548" t="s">
        <v>1525</v>
      </c>
      <c r="C1548" t="s">
        <v>1524</v>
      </c>
      <c r="D1548" t="str">
        <f>TRIM(alias[[#This Row],[Column3]])</f>
        <v>HEAL</v>
      </c>
      <c r="F1548" t="str">
        <f t="shared" si="24"/>
        <v>INSERT INTO stock_alias (stock, alias) VALUES ((SELECT id FROM stock WHERE ticker = 'HEAL'), 'HEAL') ON CONFLICT DO NOTHING;</v>
      </c>
    </row>
    <row r="1549" spans="1:6" x14ac:dyDescent="0.2">
      <c r="A1549" t="s">
        <v>1524</v>
      </c>
      <c r="B1549" t="s">
        <v>1525</v>
      </c>
      <c r="C1549" t="s">
        <v>6032</v>
      </c>
      <c r="D1549" t="str">
        <f>TRIM(alias[[#This Row],[Column3]])</f>
        <v>Medikaloka Hermina</v>
      </c>
      <c r="F1549" t="str">
        <f t="shared" si="24"/>
        <v>INSERT INTO stock_alias (stock, alias) VALUES ((SELECT id FROM stock WHERE ticker = 'HEAL'), 'Medikaloka Hermina') ON CONFLICT DO NOTHING;</v>
      </c>
    </row>
    <row r="1550" spans="1:6" x14ac:dyDescent="0.2">
      <c r="A1550" t="s">
        <v>1524</v>
      </c>
      <c r="B1550" t="s">
        <v>1525</v>
      </c>
      <c r="C1550" t="s">
        <v>6033</v>
      </c>
      <c r="D1550" t="str">
        <f>TRIM(alias[[#This Row],[Column3]])</f>
        <v>Medikaloka Hermina Tbk</v>
      </c>
      <c r="F1550" t="str">
        <f t="shared" si="24"/>
        <v>INSERT INTO stock_alias (stock, alias) VALUES ((SELECT id FROM stock WHERE ticker = 'HEAL'), 'Medikaloka Hermina Tbk') ON CONFLICT DO NOTHING;</v>
      </c>
    </row>
    <row r="1551" spans="1:6" x14ac:dyDescent="0.2">
      <c r="A1551" t="s">
        <v>1524</v>
      </c>
      <c r="B1551" t="s">
        <v>1525</v>
      </c>
      <c r="C1551" t="s">
        <v>6034</v>
      </c>
      <c r="D1551" t="str">
        <f>TRIM(alias[[#This Row],[Column3]])</f>
        <v>PT Medikaloka Hermina</v>
      </c>
      <c r="F1551" t="str">
        <f t="shared" si="24"/>
        <v>INSERT INTO stock_alias (stock, alias) VALUES ((SELECT id FROM stock WHERE ticker = 'HEAL'), 'PT Medikaloka Hermina') ON CONFLICT DO NOTHING;</v>
      </c>
    </row>
    <row r="1552" spans="1:6" x14ac:dyDescent="0.2">
      <c r="A1552" t="s">
        <v>1496</v>
      </c>
      <c r="B1552" t="s">
        <v>1497</v>
      </c>
      <c r="C1552" t="s">
        <v>1496</v>
      </c>
      <c r="D1552" t="str">
        <f>TRIM(alias[[#This Row],[Column3]])</f>
        <v>HELI</v>
      </c>
      <c r="F1552" t="str">
        <f t="shared" si="24"/>
        <v>INSERT INTO stock_alias (stock, alias) VALUES ((SELECT id FROM stock WHERE ticker = 'HELI'), 'HELI') ON CONFLICT DO NOTHING;</v>
      </c>
    </row>
    <row r="1553" spans="1:6" x14ac:dyDescent="0.2">
      <c r="A1553" t="s">
        <v>1496</v>
      </c>
      <c r="B1553" t="s">
        <v>1497</v>
      </c>
      <c r="C1553" t="s">
        <v>6035</v>
      </c>
      <c r="D1553" t="str">
        <f>TRIM(alias[[#This Row],[Column3]])</f>
        <v>Jaya Trishindo</v>
      </c>
      <c r="F1553" t="str">
        <f t="shared" si="24"/>
        <v>INSERT INTO stock_alias (stock, alias) VALUES ((SELECT id FROM stock WHERE ticker = 'HELI'), 'Jaya Trishindo') ON CONFLICT DO NOTHING;</v>
      </c>
    </row>
    <row r="1554" spans="1:6" x14ac:dyDescent="0.2">
      <c r="A1554" t="s">
        <v>1496</v>
      </c>
      <c r="B1554" t="s">
        <v>1497</v>
      </c>
      <c r="C1554" t="s">
        <v>6036</v>
      </c>
      <c r="D1554" t="str">
        <f>TRIM(alias[[#This Row],[Column3]])</f>
        <v>Jaya Trishindo Tbk</v>
      </c>
      <c r="F1554" t="str">
        <f t="shared" si="24"/>
        <v>INSERT INTO stock_alias (stock, alias) VALUES ((SELECT id FROM stock WHERE ticker = 'HELI'), 'Jaya Trishindo Tbk') ON CONFLICT DO NOTHING;</v>
      </c>
    </row>
    <row r="1555" spans="1:6" x14ac:dyDescent="0.2">
      <c r="A1555" t="s">
        <v>1496</v>
      </c>
      <c r="B1555" t="s">
        <v>1497</v>
      </c>
      <c r="C1555" t="s">
        <v>6037</v>
      </c>
      <c r="D1555" t="str">
        <f>TRIM(alias[[#This Row],[Column3]])</f>
        <v>PT Jaya Trishindo</v>
      </c>
      <c r="F1555" t="str">
        <f t="shared" si="24"/>
        <v>INSERT INTO stock_alias (stock, alias) VALUES ((SELECT id FROM stock WHERE ticker = 'HELI'), 'PT Jaya Trishindo') ON CONFLICT DO NOTHING;</v>
      </c>
    </row>
    <row r="1556" spans="1:6" x14ac:dyDescent="0.2">
      <c r="A1556" t="s">
        <v>557</v>
      </c>
      <c r="B1556" t="s">
        <v>558</v>
      </c>
      <c r="C1556" t="s">
        <v>557</v>
      </c>
      <c r="D1556" t="str">
        <f>TRIM(alias[[#This Row],[Column3]])</f>
        <v>HERO</v>
      </c>
      <c r="F1556" t="str">
        <f t="shared" si="24"/>
        <v>INSERT INTO stock_alias (stock, alias) VALUES ((SELECT id FROM stock WHERE ticker = 'HERO'), 'HERO') ON CONFLICT DO NOTHING;</v>
      </c>
    </row>
    <row r="1557" spans="1:6" x14ac:dyDescent="0.2">
      <c r="A1557" t="s">
        <v>557</v>
      </c>
      <c r="B1557" t="s">
        <v>558</v>
      </c>
      <c r="C1557" t="s">
        <v>6038</v>
      </c>
      <c r="D1557" t="str">
        <f>TRIM(alias[[#This Row],[Column3]])</f>
        <v>DFI Retail Nusantara</v>
      </c>
      <c r="F1557" t="str">
        <f t="shared" si="24"/>
        <v>INSERT INTO stock_alias (stock, alias) VALUES ((SELECT id FROM stock WHERE ticker = 'HERO'), 'DFI Retail Nusantara') ON CONFLICT DO NOTHING;</v>
      </c>
    </row>
    <row r="1558" spans="1:6" x14ac:dyDescent="0.2">
      <c r="A1558" t="s">
        <v>557</v>
      </c>
      <c r="B1558" t="s">
        <v>558</v>
      </c>
      <c r="C1558" t="s">
        <v>6039</v>
      </c>
      <c r="D1558" t="str">
        <f>TRIM(alias[[#This Row],[Column3]])</f>
        <v>DFI Retail Nusantara Tbk</v>
      </c>
      <c r="F1558" t="str">
        <f t="shared" si="24"/>
        <v>INSERT INTO stock_alias (stock, alias) VALUES ((SELECT id FROM stock WHERE ticker = 'HERO'), 'DFI Retail Nusantara Tbk') ON CONFLICT DO NOTHING;</v>
      </c>
    </row>
    <row r="1559" spans="1:6" x14ac:dyDescent="0.2">
      <c r="A1559" t="s">
        <v>557</v>
      </c>
      <c r="B1559" t="s">
        <v>558</v>
      </c>
      <c r="C1559" t="s">
        <v>6040</v>
      </c>
      <c r="D1559" t="str">
        <f>TRIM(alias[[#This Row],[Column3]])</f>
        <v>PT DFI Retail Nusantara</v>
      </c>
      <c r="F1559" t="str">
        <f t="shared" si="24"/>
        <v>INSERT INTO stock_alias (stock, alias) VALUES ((SELECT id FROM stock WHERE ticker = 'HERO'), 'PT DFI Retail Nusantara') ON CONFLICT DO NOTHING;</v>
      </c>
    </row>
    <row r="1560" spans="1:6" x14ac:dyDescent="0.2">
      <c r="A1560" t="s">
        <v>560</v>
      </c>
      <c r="B1560" t="s">
        <v>561</v>
      </c>
      <c r="C1560" t="s">
        <v>560</v>
      </c>
      <c r="D1560" t="str">
        <f>TRIM(alias[[#This Row],[Column3]])</f>
        <v>HEXA</v>
      </c>
      <c r="F1560" t="str">
        <f t="shared" si="24"/>
        <v>INSERT INTO stock_alias (stock, alias) VALUES ((SELECT id FROM stock WHERE ticker = 'HEXA'), 'HEXA') ON CONFLICT DO NOTHING;</v>
      </c>
    </row>
    <row r="1561" spans="1:6" x14ac:dyDescent="0.2">
      <c r="A1561" t="s">
        <v>560</v>
      </c>
      <c r="B1561" t="s">
        <v>561</v>
      </c>
      <c r="C1561" t="s">
        <v>6041</v>
      </c>
      <c r="D1561" t="str">
        <f>TRIM(alias[[#This Row],[Column3]])</f>
        <v>Hexindo Adiperkasa</v>
      </c>
      <c r="F1561" t="str">
        <f t="shared" si="24"/>
        <v>INSERT INTO stock_alias (stock, alias) VALUES ((SELECT id FROM stock WHERE ticker = 'HEXA'), 'Hexindo Adiperkasa') ON CONFLICT DO NOTHING;</v>
      </c>
    </row>
    <row r="1562" spans="1:6" x14ac:dyDescent="0.2">
      <c r="A1562" t="s">
        <v>560</v>
      </c>
      <c r="B1562" t="s">
        <v>561</v>
      </c>
      <c r="C1562" t="s">
        <v>6042</v>
      </c>
      <c r="D1562" t="str">
        <f>TRIM(alias[[#This Row],[Column3]])</f>
        <v>Hexindo Adiperkasa Tbk</v>
      </c>
      <c r="F1562" t="str">
        <f t="shared" si="24"/>
        <v>INSERT INTO stock_alias (stock, alias) VALUES ((SELECT id FROM stock WHERE ticker = 'HEXA'), 'Hexindo Adiperkasa Tbk') ON CONFLICT DO NOTHING;</v>
      </c>
    </row>
    <row r="1563" spans="1:6" x14ac:dyDescent="0.2">
      <c r="A1563" t="s">
        <v>560</v>
      </c>
      <c r="B1563" t="s">
        <v>561</v>
      </c>
      <c r="C1563" t="s">
        <v>6043</v>
      </c>
      <c r="D1563" t="str">
        <f>TRIM(alias[[#This Row],[Column3]])</f>
        <v>PT Hexindo Adiperkasa</v>
      </c>
      <c r="F1563" t="str">
        <f t="shared" si="24"/>
        <v>INSERT INTO stock_alias (stock, alias) VALUES ((SELECT id FROM stock WHERE ticker = 'HEXA'), 'PT Hexindo Adiperkasa') ON CONFLICT DO NOTHING;</v>
      </c>
    </row>
    <row r="1564" spans="1:6" x14ac:dyDescent="0.2">
      <c r="A1564" t="s">
        <v>2520</v>
      </c>
      <c r="B1564" t="s">
        <v>2521</v>
      </c>
      <c r="C1564" t="s">
        <v>2520</v>
      </c>
      <c r="D1564" t="str">
        <f>TRIM(alias[[#This Row],[Column3]])</f>
        <v>HGII</v>
      </c>
      <c r="F1564" t="str">
        <f t="shared" si="24"/>
        <v>INSERT INTO stock_alias (stock, alias) VALUES ((SELECT id FROM stock WHERE ticker = 'HGII'), 'HGII') ON CONFLICT DO NOTHING;</v>
      </c>
    </row>
    <row r="1565" spans="1:6" x14ac:dyDescent="0.2">
      <c r="A1565" t="s">
        <v>2520</v>
      </c>
      <c r="B1565" t="s">
        <v>2521</v>
      </c>
      <c r="C1565" t="s">
        <v>6044</v>
      </c>
      <c r="D1565" t="str">
        <f>TRIM(alias[[#This Row],[Column3]])</f>
        <v>Hero Global Investment</v>
      </c>
      <c r="F1565" t="str">
        <f t="shared" si="24"/>
        <v>INSERT INTO stock_alias (stock, alias) VALUES ((SELECT id FROM stock WHERE ticker = 'HGII'), 'Hero Global Investment') ON CONFLICT DO NOTHING;</v>
      </c>
    </row>
    <row r="1566" spans="1:6" x14ac:dyDescent="0.2">
      <c r="A1566" t="s">
        <v>2520</v>
      </c>
      <c r="B1566" t="s">
        <v>2521</v>
      </c>
      <c r="C1566" t="s">
        <v>6045</v>
      </c>
      <c r="D1566" t="str">
        <f>TRIM(alias[[#This Row],[Column3]])</f>
        <v>Hero Global Investment Tbk</v>
      </c>
      <c r="F1566" t="str">
        <f t="shared" si="24"/>
        <v>INSERT INTO stock_alias (stock, alias) VALUES ((SELECT id FROM stock WHERE ticker = 'HGII'), 'Hero Global Investment Tbk') ON CONFLICT DO NOTHING;</v>
      </c>
    </row>
    <row r="1567" spans="1:6" x14ac:dyDescent="0.2">
      <c r="A1567" t="s">
        <v>2520</v>
      </c>
      <c r="B1567" t="s">
        <v>2521</v>
      </c>
      <c r="C1567" t="s">
        <v>6046</v>
      </c>
      <c r="D1567" t="str">
        <f>TRIM(alias[[#This Row],[Column3]])</f>
        <v>PT Hero Global Investment</v>
      </c>
      <c r="F1567" t="str">
        <f t="shared" si="24"/>
        <v>INSERT INTO stock_alias (stock, alias) VALUES ((SELECT id FROM stock WHERE ticker = 'HGII'), 'PT Hero Global Investment') ON CONFLICT DO NOTHING;</v>
      </c>
    </row>
    <row r="1568" spans="1:6" x14ac:dyDescent="0.2">
      <c r="A1568" t="s">
        <v>2272</v>
      </c>
      <c r="B1568" t="s">
        <v>2273</v>
      </c>
      <c r="C1568" t="s">
        <v>6047</v>
      </c>
      <c r="D1568" t="str">
        <f>TRIM(alias[[#This Row],[Column3]])</f>
        <v>HILL Tbk</v>
      </c>
      <c r="F1568" t="str">
        <f t="shared" si="24"/>
        <v>INSERT INTO stock_alias (stock, alias) VALUES ((SELECT id FROM stock WHERE ticker = 'HILL'), 'HILL Tbk') ON CONFLICT DO NOTHING;</v>
      </c>
    </row>
    <row r="1569" spans="1:6" x14ac:dyDescent="0.2">
      <c r="A1569" t="s">
        <v>2272</v>
      </c>
      <c r="B1569" t="s">
        <v>2273</v>
      </c>
      <c r="C1569" t="s">
        <v>6048</v>
      </c>
      <c r="D1569" t="str">
        <f>TRIM(alias[[#This Row],[Column3]])</f>
        <v>PT Hillcon</v>
      </c>
      <c r="F1569" t="str">
        <f t="shared" si="24"/>
        <v>INSERT INTO stock_alias (stock, alias) VALUES ((SELECT id FROM stock WHERE ticker = 'HILL'), 'PT Hillcon') ON CONFLICT DO NOTHING;</v>
      </c>
    </row>
    <row r="1570" spans="1:6" x14ac:dyDescent="0.2">
      <c r="A1570" t="s">
        <v>563</v>
      </c>
      <c r="B1570" t="s">
        <v>3576</v>
      </c>
      <c r="C1570" t="s">
        <v>563</v>
      </c>
      <c r="D1570" t="str">
        <f>TRIM(alias[[#This Row],[Column3]])</f>
        <v>HITS</v>
      </c>
      <c r="F1570" t="str">
        <f t="shared" si="24"/>
        <v>INSERT INTO stock_alias (stock, alias) VALUES ((SELECT id FROM stock WHERE ticker = 'HITS'), 'HITS') ON CONFLICT DO NOTHING;</v>
      </c>
    </row>
    <row r="1571" spans="1:6" x14ac:dyDescent="0.2">
      <c r="A1571" t="s">
        <v>563</v>
      </c>
      <c r="B1571" t="s">
        <v>3576</v>
      </c>
      <c r="C1571" t="s">
        <v>6049</v>
      </c>
      <c r="D1571" t="str">
        <f>TRIM(alias[[#This Row],[Column3]])</f>
        <v>Humpuss Intermoda Transportasi</v>
      </c>
      <c r="F1571" t="str">
        <f t="shared" si="24"/>
        <v>INSERT INTO stock_alias (stock, alias) VALUES ((SELECT id FROM stock WHERE ticker = 'HITS'), 'Humpuss Intermoda Transportasi') ON CONFLICT DO NOTHING;</v>
      </c>
    </row>
    <row r="1572" spans="1:6" x14ac:dyDescent="0.2">
      <c r="A1572" t="s">
        <v>563</v>
      </c>
      <c r="B1572" t="s">
        <v>3576</v>
      </c>
      <c r="C1572" t="s">
        <v>6050</v>
      </c>
      <c r="D1572" t="str">
        <f>TRIM(alias[[#This Row],[Column3]])</f>
        <v>Humpuss Intermoda Transportasi Tbk</v>
      </c>
      <c r="F1572" t="str">
        <f t="shared" si="24"/>
        <v>INSERT INTO stock_alias (stock, alias) VALUES ((SELECT id FROM stock WHERE ticker = 'HITS'), 'Humpuss Intermoda Transportasi Tbk') ON CONFLICT DO NOTHING;</v>
      </c>
    </row>
    <row r="1573" spans="1:6" x14ac:dyDescent="0.2">
      <c r="A1573" t="s">
        <v>563</v>
      </c>
      <c r="B1573" t="s">
        <v>3576</v>
      </c>
      <c r="C1573" t="s">
        <v>6051</v>
      </c>
      <c r="D1573" t="str">
        <f>TRIM(alias[[#This Row],[Column3]])</f>
        <v>PT Humpuss Intermoda Transportasi</v>
      </c>
      <c r="F1573" t="str">
        <f t="shared" si="24"/>
        <v>INSERT INTO stock_alias (stock, alias) VALUES ((SELECT id FROM stock WHERE ticker = 'HITS'), 'PT Humpuss Intermoda Transportasi') ON CONFLICT DO NOTHING;</v>
      </c>
    </row>
    <row r="1574" spans="1:6" x14ac:dyDescent="0.2">
      <c r="A1574" t="s">
        <v>1595</v>
      </c>
      <c r="B1574" t="s">
        <v>1596</v>
      </c>
      <c r="C1574" t="s">
        <v>1595</v>
      </c>
      <c r="D1574" t="str">
        <f>TRIM(alias[[#This Row],[Column3]])</f>
        <v>HKMU</v>
      </c>
      <c r="F1574" t="str">
        <f t="shared" si="24"/>
        <v>INSERT INTO stock_alias (stock, alias) VALUES ((SELECT id FROM stock WHERE ticker = 'HKMU'), 'HKMU') ON CONFLICT DO NOTHING;</v>
      </c>
    </row>
    <row r="1575" spans="1:6" x14ac:dyDescent="0.2">
      <c r="A1575" t="s">
        <v>1595</v>
      </c>
      <c r="B1575" t="s">
        <v>1596</v>
      </c>
      <c r="C1575" t="s">
        <v>6052</v>
      </c>
      <c r="D1575" t="str">
        <f>TRIM(alias[[#This Row],[Column3]])</f>
        <v>HK Metals Utama</v>
      </c>
      <c r="F1575" t="str">
        <f t="shared" si="24"/>
        <v>INSERT INTO stock_alias (stock, alias) VALUES ((SELECT id FROM stock WHERE ticker = 'HKMU'), 'HK Metals Utama') ON CONFLICT DO NOTHING;</v>
      </c>
    </row>
    <row r="1576" spans="1:6" x14ac:dyDescent="0.2">
      <c r="A1576" t="s">
        <v>1595</v>
      </c>
      <c r="B1576" t="s">
        <v>1596</v>
      </c>
      <c r="C1576" t="s">
        <v>6053</v>
      </c>
      <c r="D1576" t="str">
        <f>TRIM(alias[[#This Row],[Column3]])</f>
        <v>HK Metals Utama Tbk</v>
      </c>
      <c r="F1576" t="str">
        <f t="shared" si="24"/>
        <v>INSERT INTO stock_alias (stock, alias) VALUES ((SELECT id FROM stock WHERE ticker = 'HKMU'), 'HK Metals Utama Tbk') ON CONFLICT DO NOTHING;</v>
      </c>
    </row>
    <row r="1577" spans="1:6" x14ac:dyDescent="0.2">
      <c r="A1577" t="s">
        <v>1595</v>
      </c>
      <c r="B1577" t="s">
        <v>1596</v>
      </c>
      <c r="C1577" t="s">
        <v>6054</v>
      </c>
      <c r="D1577" t="str">
        <f>TRIM(alias[[#This Row],[Column3]])</f>
        <v>PT HK Metals Utama</v>
      </c>
      <c r="F1577" t="str">
        <f t="shared" si="24"/>
        <v>INSERT INTO stock_alias (stock, alias) VALUES ((SELECT id FROM stock WHERE ticker = 'HKMU'), 'PT HK Metals Utama') ON CONFLICT DO NOTHING;</v>
      </c>
    </row>
    <row r="1578" spans="1:6" x14ac:dyDescent="0.2">
      <c r="A1578" t="s">
        <v>565</v>
      </c>
      <c r="B1578" t="s">
        <v>566</v>
      </c>
      <c r="C1578" t="s">
        <v>565</v>
      </c>
      <c r="D1578" t="str">
        <f>TRIM(alias[[#This Row],[Column3]])</f>
        <v>HMSP</v>
      </c>
      <c r="F1578" t="str">
        <f t="shared" si="24"/>
        <v>INSERT INTO stock_alias (stock, alias) VALUES ((SELECT id FROM stock WHERE ticker = 'HMSP'), 'HMSP') ON CONFLICT DO NOTHING;</v>
      </c>
    </row>
    <row r="1579" spans="1:6" x14ac:dyDescent="0.2">
      <c r="A1579" t="s">
        <v>565</v>
      </c>
      <c r="B1579" t="s">
        <v>566</v>
      </c>
      <c r="C1579" t="s">
        <v>6055</v>
      </c>
      <c r="D1579" t="str">
        <f>TRIM(alias[[#This Row],[Column3]])</f>
        <v>H.M. Sampoerna</v>
      </c>
      <c r="F1579" t="str">
        <f t="shared" si="24"/>
        <v>INSERT INTO stock_alias (stock, alias) VALUES ((SELECT id FROM stock WHERE ticker = 'HMSP'), 'H.M. Sampoerna') ON CONFLICT DO NOTHING;</v>
      </c>
    </row>
    <row r="1580" spans="1:6" x14ac:dyDescent="0.2">
      <c r="A1580" t="s">
        <v>565</v>
      </c>
      <c r="B1580" t="s">
        <v>566</v>
      </c>
      <c r="C1580" t="s">
        <v>6056</v>
      </c>
      <c r="D1580" t="str">
        <f>TRIM(alias[[#This Row],[Column3]])</f>
        <v>H.M. Sampoerna Tbk</v>
      </c>
      <c r="F1580" t="str">
        <f t="shared" si="24"/>
        <v>INSERT INTO stock_alias (stock, alias) VALUES ((SELECT id FROM stock WHERE ticker = 'HMSP'), 'H.M. Sampoerna Tbk') ON CONFLICT DO NOTHING;</v>
      </c>
    </row>
    <row r="1581" spans="1:6" x14ac:dyDescent="0.2">
      <c r="A1581" t="s">
        <v>565</v>
      </c>
      <c r="B1581" t="s">
        <v>566</v>
      </c>
      <c r="C1581" t="s">
        <v>6057</v>
      </c>
      <c r="D1581" t="str">
        <f>TRIM(alias[[#This Row],[Column3]])</f>
        <v>PT H.M. Sampoerna</v>
      </c>
      <c r="F1581" t="str">
        <f t="shared" si="24"/>
        <v>INSERT INTO stock_alias (stock, alias) VALUES ((SELECT id FROM stock WHERE ticker = 'HMSP'), 'PT H.M. Sampoerna') ON CONFLICT DO NOTHING;</v>
      </c>
    </row>
    <row r="1582" spans="1:6" x14ac:dyDescent="0.2">
      <c r="A1582" t="s">
        <v>1434</v>
      </c>
      <c r="B1582" t="s">
        <v>1435</v>
      </c>
      <c r="C1582" t="s">
        <v>1434</v>
      </c>
      <c r="D1582" t="str">
        <f>TRIM(alias[[#This Row],[Column3]])</f>
        <v>HOKI</v>
      </c>
      <c r="F1582" t="str">
        <f t="shared" si="24"/>
        <v>INSERT INTO stock_alias (stock, alias) VALUES ((SELECT id FROM stock WHERE ticker = 'HOKI'), 'HOKI') ON CONFLICT DO NOTHING;</v>
      </c>
    </row>
    <row r="1583" spans="1:6" x14ac:dyDescent="0.2">
      <c r="A1583" t="s">
        <v>1434</v>
      </c>
      <c r="B1583" t="s">
        <v>1435</v>
      </c>
      <c r="C1583" t="s">
        <v>6058</v>
      </c>
      <c r="D1583" t="str">
        <f>TRIM(alias[[#This Row],[Column3]])</f>
        <v>Buyung Poetra Sembada</v>
      </c>
      <c r="F1583" t="str">
        <f t="shared" si="24"/>
        <v>INSERT INTO stock_alias (stock, alias) VALUES ((SELECT id FROM stock WHERE ticker = 'HOKI'), 'Buyung Poetra Sembada') ON CONFLICT DO NOTHING;</v>
      </c>
    </row>
    <row r="1584" spans="1:6" x14ac:dyDescent="0.2">
      <c r="A1584" t="s">
        <v>1434</v>
      </c>
      <c r="B1584" t="s">
        <v>1435</v>
      </c>
      <c r="C1584" t="s">
        <v>6059</v>
      </c>
      <c r="D1584" t="str">
        <f>TRIM(alias[[#This Row],[Column3]])</f>
        <v>Buyung Poetra Sembada Tbk</v>
      </c>
      <c r="F1584" t="str">
        <f t="shared" si="24"/>
        <v>INSERT INTO stock_alias (stock, alias) VALUES ((SELECT id FROM stock WHERE ticker = 'HOKI'), 'Buyung Poetra Sembada Tbk') ON CONFLICT DO NOTHING;</v>
      </c>
    </row>
    <row r="1585" spans="1:6" x14ac:dyDescent="0.2">
      <c r="A1585" t="s">
        <v>1434</v>
      </c>
      <c r="B1585" t="s">
        <v>1435</v>
      </c>
      <c r="C1585" t="s">
        <v>6060</v>
      </c>
      <c r="D1585" t="str">
        <f>TRIM(alias[[#This Row],[Column3]])</f>
        <v>PT Buyung Poetra Sembada</v>
      </c>
      <c r="F1585" t="str">
        <f t="shared" si="24"/>
        <v>INSERT INTO stock_alias (stock, alias) VALUES ((SELECT id FROM stock WHERE ticker = 'HOKI'), 'PT Buyung Poetra Sembada') ON CONFLICT DO NOTHING;</v>
      </c>
    </row>
    <row r="1586" spans="1:6" x14ac:dyDescent="0.2">
      <c r="A1586" t="s">
        <v>568</v>
      </c>
      <c r="B1586" t="s">
        <v>569</v>
      </c>
      <c r="C1586" t="s">
        <v>568</v>
      </c>
      <c r="D1586" t="str">
        <f>TRIM(alias[[#This Row],[Column3]])</f>
        <v>HOME</v>
      </c>
      <c r="F1586" t="str">
        <f t="shared" si="24"/>
        <v>INSERT INTO stock_alias (stock, alias) VALUES ((SELECT id FROM stock WHERE ticker = 'HOME'), 'HOME') ON CONFLICT DO NOTHING;</v>
      </c>
    </row>
    <row r="1587" spans="1:6" x14ac:dyDescent="0.2">
      <c r="A1587" t="s">
        <v>568</v>
      </c>
      <c r="B1587" t="s">
        <v>569</v>
      </c>
      <c r="C1587" t="s">
        <v>6061</v>
      </c>
      <c r="D1587" t="str">
        <f>TRIM(alias[[#This Row],[Column3]])</f>
        <v>Hotel Mandarine Regency</v>
      </c>
      <c r="F1587" t="str">
        <f t="shared" si="24"/>
        <v>INSERT INTO stock_alias (stock, alias) VALUES ((SELECT id FROM stock WHERE ticker = 'HOME'), 'Hotel Mandarine Regency') ON CONFLICT DO NOTHING;</v>
      </c>
    </row>
    <row r="1588" spans="1:6" x14ac:dyDescent="0.2">
      <c r="A1588" t="s">
        <v>568</v>
      </c>
      <c r="B1588" t="s">
        <v>569</v>
      </c>
      <c r="C1588" t="s">
        <v>6062</v>
      </c>
      <c r="D1588" t="str">
        <f>TRIM(alias[[#This Row],[Column3]])</f>
        <v>Hotel Mandarine Regency Tbk</v>
      </c>
      <c r="F1588" t="str">
        <f t="shared" si="24"/>
        <v>INSERT INTO stock_alias (stock, alias) VALUES ((SELECT id FROM stock WHERE ticker = 'HOME'), 'Hotel Mandarine Regency Tbk') ON CONFLICT DO NOTHING;</v>
      </c>
    </row>
    <row r="1589" spans="1:6" x14ac:dyDescent="0.2">
      <c r="A1589" t="s">
        <v>568</v>
      </c>
      <c r="B1589" t="s">
        <v>569</v>
      </c>
      <c r="C1589" t="s">
        <v>6063</v>
      </c>
      <c r="D1589" t="str">
        <f>TRIM(alias[[#This Row],[Column3]])</f>
        <v>PT Hotel Mandarine Regency</v>
      </c>
      <c r="F1589" t="str">
        <f t="shared" si="24"/>
        <v>INSERT INTO stock_alias (stock, alias) VALUES ((SELECT id FROM stock WHERE ticker = 'HOME'), 'PT Hotel Mandarine Regency') ON CONFLICT DO NOTHING;</v>
      </c>
    </row>
    <row r="1590" spans="1:6" x14ac:dyDescent="0.2">
      <c r="A1590" t="s">
        <v>1888</v>
      </c>
      <c r="B1590" t="s">
        <v>1889</v>
      </c>
      <c r="C1590" t="s">
        <v>1888</v>
      </c>
      <c r="D1590" t="str">
        <f>TRIM(alias[[#This Row],[Column3]])</f>
        <v>HOMI</v>
      </c>
      <c r="F1590" t="str">
        <f t="shared" si="24"/>
        <v>INSERT INTO stock_alias (stock, alias) VALUES ((SELECT id FROM stock WHERE ticker = 'HOMI'), 'HOMI') ON CONFLICT DO NOTHING;</v>
      </c>
    </row>
    <row r="1591" spans="1:6" x14ac:dyDescent="0.2">
      <c r="A1591" t="s">
        <v>1888</v>
      </c>
      <c r="B1591" t="s">
        <v>1889</v>
      </c>
      <c r="C1591" t="s">
        <v>6064</v>
      </c>
      <c r="D1591" t="str">
        <f>TRIM(alias[[#This Row],[Column3]])</f>
        <v>Grand House Mulia</v>
      </c>
      <c r="F1591" t="str">
        <f t="shared" si="24"/>
        <v>INSERT INTO stock_alias (stock, alias) VALUES ((SELECT id FROM stock WHERE ticker = 'HOMI'), 'Grand House Mulia') ON CONFLICT DO NOTHING;</v>
      </c>
    </row>
    <row r="1592" spans="1:6" x14ac:dyDescent="0.2">
      <c r="A1592" t="s">
        <v>1888</v>
      </c>
      <c r="B1592" t="s">
        <v>1889</v>
      </c>
      <c r="C1592" t="s">
        <v>6065</v>
      </c>
      <c r="D1592" t="str">
        <f>TRIM(alias[[#This Row],[Column3]])</f>
        <v>Grand House Mulia Tbk</v>
      </c>
      <c r="F1592" t="str">
        <f t="shared" si="24"/>
        <v>INSERT INTO stock_alias (stock, alias) VALUES ((SELECT id FROM stock WHERE ticker = 'HOMI'), 'Grand House Mulia Tbk') ON CONFLICT DO NOTHING;</v>
      </c>
    </row>
    <row r="1593" spans="1:6" x14ac:dyDescent="0.2">
      <c r="A1593" t="s">
        <v>1888</v>
      </c>
      <c r="B1593" t="s">
        <v>1889</v>
      </c>
      <c r="C1593" t="s">
        <v>6066</v>
      </c>
      <c r="D1593" t="str">
        <f>TRIM(alias[[#This Row],[Column3]])</f>
        <v>PT Grand House Mulia</v>
      </c>
      <c r="F1593" t="str">
        <f t="shared" si="24"/>
        <v>INSERT INTO stock_alias (stock, alias) VALUES ((SELECT id FROM stock WHERE ticker = 'HOMI'), 'PT Grand House Mulia') ON CONFLICT DO NOTHING;</v>
      </c>
    </row>
    <row r="1594" spans="1:6" x14ac:dyDescent="0.2">
      <c r="A1594" t="s">
        <v>1948</v>
      </c>
      <c r="B1594" t="s">
        <v>1949</v>
      </c>
      <c r="C1594" t="s">
        <v>1948</v>
      </c>
      <c r="D1594" t="str">
        <f>TRIM(alias[[#This Row],[Column3]])</f>
        <v>HOPE</v>
      </c>
      <c r="F1594" t="str">
        <f t="shared" si="24"/>
        <v>INSERT INTO stock_alias (stock, alias) VALUES ((SELECT id FROM stock WHERE ticker = 'HOPE'), 'HOPE') ON CONFLICT DO NOTHING;</v>
      </c>
    </row>
    <row r="1595" spans="1:6" x14ac:dyDescent="0.2">
      <c r="A1595" t="s">
        <v>1948</v>
      </c>
      <c r="B1595" t="s">
        <v>1949</v>
      </c>
      <c r="C1595" t="s">
        <v>6067</v>
      </c>
      <c r="D1595" t="str">
        <f>TRIM(alias[[#This Row],[Column3]])</f>
        <v>Harapan Duta Pertiwi</v>
      </c>
      <c r="F1595" t="str">
        <f t="shared" si="24"/>
        <v>INSERT INTO stock_alias (stock, alias) VALUES ((SELECT id FROM stock WHERE ticker = 'HOPE'), 'Harapan Duta Pertiwi') ON CONFLICT DO NOTHING;</v>
      </c>
    </row>
    <row r="1596" spans="1:6" x14ac:dyDescent="0.2">
      <c r="A1596" t="s">
        <v>1948</v>
      </c>
      <c r="B1596" t="s">
        <v>1949</v>
      </c>
      <c r="C1596" t="s">
        <v>6068</v>
      </c>
      <c r="D1596" t="str">
        <f>TRIM(alias[[#This Row],[Column3]])</f>
        <v>Harapan Duta Pertiwi Tbk</v>
      </c>
      <c r="F1596" t="str">
        <f t="shared" si="24"/>
        <v>INSERT INTO stock_alias (stock, alias) VALUES ((SELECT id FROM stock WHERE ticker = 'HOPE'), 'Harapan Duta Pertiwi Tbk') ON CONFLICT DO NOTHING;</v>
      </c>
    </row>
    <row r="1597" spans="1:6" x14ac:dyDescent="0.2">
      <c r="A1597" t="s">
        <v>1948</v>
      </c>
      <c r="B1597" t="s">
        <v>1949</v>
      </c>
      <c r="C1597" t="s">
        <v>6069</v>
      </c>
      <c r="D1597" t="str">
        <f>TRIM(alias[[#This Row],[Column3]])</f>
        <v>PT Harapan Duta Pertiwi</v>
      </c>
      <c r="F1597" t="str">
        <f t="shared" si="24"/>
        <v>INSERT INTO stock_alias (stock, alias) VALUES ((SELECT id FROM stock WHERE ticker = 'HOPE'), 'PT Harapan Duta Pertiwi') ON CONFLICT DO NOTHING;</v>
      </c>
    </row>
    <row r="1598" spans="1:6" x14ac:dyDescent="0.2">
      <c r="A1598" t="s">
        <v>571</v>
      </c>
      <c r="B1598" t="s">
        <v>572</v>
      </c>
      <c r="C1598" t="s">
        <v>571</v>
      </c>
      <c r="D1598" t="str">
        <f>TRIM(alias[[#This Row],[Column3]])</f>
        <v>HOTL</v>
      </c>
      <c r="F1598" t="str">
        <f t="shared" si="24"/>
        <v>INSERT INTO stock_alias (stock, alias) VALUES ((SELECT id FROM stock WHERE ticker = 'HOTL'), 'HOTL') ON CONFLICT DO NOTHING;</v>
      </c>
    </row>
    <row r="1599" spans="1:6" x14ac:dyDescent="0.2">
      <c r="A1599" t="s">
        <v>571</v>
      </c>
      <c r="B1599" t="s">
        <v>572</v>
      </c>
      <c r="C1599" t="s">
        <v>6070</v>
      </c>
      <c r="D1599" t="str">
        <f>TRIM(alias[[#This Row],[Column3]])</f>
        <v>PT Saraswati Griya Lestari</v>
      </c>
      <c r="F1599" t="str">
        <f t="shared" si="24"/>
        <v>INSERT INTO stock_alias (stock, alias) VALUES ((SELECT id FROM stock WHERE ticker = 'HOTL'), 'PT Saraswati Griya Lestari') ON CONFLICT DO NOTHING;</v>
      </c>
    </row>
    <row r="1600" spans="1:6" x14ac:dyDescent="0.2">
      <c r="A1600" t="s">
        <v>571</v>
      </c>
      <c r="B1600" t="s">
        <v>572</v>
      </c>
      <c r="C1600" t="s">
        <v>6071</v>
      </c>
      <c r="D1600" t="str">
        <f>TRIM(alias[[#This Row],[Column3]])</f>
        <v>Saraswati Griya Lestari</v>
      </c>
      <c r="F1600" t="str">
        <f t="shared" si="24"/>
        <v>INSERT INTO stock_alias (stock, alias) VALUES ((SELECT id FROM stock WHERE ticker = 'HOTL'), 'Saraswati Griya Lestari') ON CONFLICT DO NOTHING;</v>
      </c>
    </row>
    <row r="1601" spans="1:6" x14ac:dyDescent="0.2">
      <c r="A1601" t="s">
        <v>571</v>
      </c>
      <c r="B1601" t="s">
        <v>572</v>
      </c>
      <c r="C1601" t="s">
        <v>6072</v>
      </c>
      <c r="D1601" t="str">
        <f>TRIM(alias[[#This Row],[Column3]])</f>
        <v>Saraswati Griya Lestari Tbk</v>
      </c>
      <c r="F1601" t="str">
        <f t="shared" si="24"/>
        <v>INSERT INTO stock_alias (stock, alias) VALUES ((SELECT id FROM stock WHERE ticker = 'HOTL'), 'Saraswati Griya Lestari Tbk') ON CONFLICT DO NOTHING;</v>
      </c>
    </row>
    <row r="1602" spans="1:6" x14ac:dyDescent="0.2">
      <c r="A1602" t="s">
        <v>1666</v>
      </c>
      <c r="B1602" t="s">
        <v>1667</v>
      </c>
      <c r="C1602" t="s">
        <v>1666</v>
      </c>
      <c r="D1602" t="str">
        <f>TRIM(alias[[#This Row],[Column3]])</f>
        <v>HRME</v>
      </c>
      <c r="F1602" t="str">
        <f t="shared" si="24"/>
        <v>INSERT INTO stock_alias (stock, alias) VALUES ((SELECT id FROM stock WHERE ticker = 'HRME'), 'HRME') ON CONFLICT DO NOTHING;</v>
      </c>
    </row>
    <row r="1603" spans="1:6" x14ac:dyDescent="0.2">
      <c r="A1603" t="s">
        <v>1666</v>
      </c>
      <c r="B1603" t="s">
        <v>1667</v>
      </c>
      <c r="C1603" t="s">
        <v>6073</v>
      </c>
      <c r="D1603" t="str">
        <f>TRIM(alias[[#This Row],[Column3]])</f>
        <v>MHR</v>
      </c>
      <c r="F1603" t="str">
        <f t="shared" ref="F1603:F1666" si="25">_xlfn.CONCAT($F$1, _xlfn.CONCAT($G$1, A1603, "'), '", D1603, "') ON CONFLICT DO NOTHING;"))</f>
        <v>INSERT INTO stock_alias (stock, alias) VALUES ((SELECT id FROM stock WHERE ticker = 'HRME'), 'MHR') ON CONFLICT DO NOTHING;</v>
      </c>
    </row>
    <row r="1604" spans="1:6" x14ac:dyDescent="0.2">
      <c r="A1604" t="s">
        <v>1666</v>
      </c>
      <c r="B1604" t="s">
        <v>1667</v>
      </c>
      <c r="C1604" t="s">
        <v>6074</v>
      </c>
      <c r="D1604" t="str">
        <f>TRIM(alias[[#This Row],[Column3]])</f>
        <v>Menteng Heritage Realty</v>
      </c>
      <c r="F1604" t="str">
        <f t="shared" si="25"/>
        <v>INSERT INTO stock_alias (stock, alias) VALUES ((SELECT id FROM stock WHERE ticker = 'HRME'), 'Menteng Heritage Realty') ON CONFLICT DO NOTHING;</v>
      </c>
    </row>
    <row r="1605" spans="1:6" x14ac:dyDescent="0.2">
      <c r="A1605" t="s">
        <v>1666</v>
      </c>
      <c r="B1605" t="s">
        <v>1667</v>
      </c>
      <c r="C1605" t="s">
        <v>6075</v>
      </c>
      <c r="D1605" t="str">
        <f>TRIM(alias[[#This Row],[Column3]])</f>
        <v>Menteng Heritage Realty Tbk</v>
      </c>
      <c r="F1605" t="str">
        <f t="shared" si="25"/>
        <v>INSERT INTO stock_alias (stock, alias) VALUES ((SELECT id FROM stock WHERE ticker = 'HRME'), 'Menteng Heritage Realty Tbk') ON CONFLICT DO NOTHING;</v>
      </c>
    </row>
    <row r="1606" spans="1:6" x14ac:dyDescent="0.2">
      <c r="A1606" t="s">
        <v>1666</v>
      </c>
      <c r="B1606" t="s">
        <v>1667</v>
      </c>
      <c r="C1606" t="s">
        <v>6076</v>
      </c>
      <c r="D1606" t="str">
        <f>TRIM(alias[[#This Row],[Column3]])</f>
        <v>PT Menteng Heritage Realty</v>
      </c>
      <c r="F1606" t="str">
        <f t="shared" si="25"/>
        <v>INSERT INTO stock_alias (stock, alias) VALUES ((SELECT id FROM stock WHERE ticker = 'HRME'), 'PT Menteng Heritage Realty') ON CONFLICT DO NOTHING;</v>
      </c>
    </row>
    <row r="1607" spans="1:6" x14ac:dyDescent="0.2">
      <c r="A1607" t="s">
        <v>1428</v>
      </c>
      <c r="B1607" t="s">
        <v>1429</v>
      </c>
      <c r="C1607" t="s">
        <v>1428</v>
      </c>
      <c r="D1607" t="str">
        <f>TRIM(alias[[#This Row],[Column3]])</f>
        <v>HRTA</v>
      </c>
      <c r="F1607" t="str">
        <f t="shared" si="25"/>
        <v>INSERT INTO stock_alias (stock, alias) VALUES ((SELECT id FROM stock WHERE ticker = 'HRTA'), 'HRTA') ON CONFLICT DO NOTHING;</v>
      </c>
    </row>
    <row r="1608" spans="1:6" x14ac:dyDescent="0.2">
      <c r="A1608" t="s">
        <v>1428</v>
      </c>
      <c r="B1608" t="s">
        <v>1429</v>
      </c>
      <c r="C1608" t="s">
        <v>6077</v>
      </c>
      <c r="D1608" t="str">
        <f>TRIM(alias[[#This Row],[Column3]])</f>
        <v>Hartadinata Abadi</v>
      </c>
      <c r="F1608" t="str">
        <f t="shared" si="25"/>
        <v>INSERT INTO stock_alias (stock, alias) VALUES ((SELECT id FROM stock WHERE ticker = 'HRTA'), 'Hartadinata Abadi') ON CONFLICT DO NOTHING;</v>
      </c>
    </row>
    <row r="1609" spans="1:6" x14ac:dyDescent="0.2">
      <c r="A1609" t="s">
        <v>1428</v>
      </c>
      <c r="B1609" t="s">
        <v>1429</v>
      </c>
      <c r="C1609" t="s">
        <v>6078</v>
      </c>
      <c r="D1609" t="str">
        <f>TRIM(alias[[#This Row],[Column3]])</f>
        <v>Hartadinata Abadi Tbk</v>
      </c>
      <c r="F1609" t="str">
        <f t="shared" si="25"/>
        <v>INSERT INTO stock_alias (stock, alias) VALUES ((SELECT id FROM stock WHERE ticker = 'HRTA'), 'Hartadinata Abadi Tbk') ON CONFLICT DO NOTHING;</v>
      </c>
    </row>
    <row r="1610" spans="1:6" x14ac:dyDescent="0.2">
      <c r="A1610" t="s">
        <v>1428</v>
      </c>
      <c r="B1610" t="s">
        <v>1429</v>
      </c>
      <c r="C1610" t="s">
        <v>6079</v>
      </c>
      <c r="D1610" t="str">
        <f>TRIM(alias[[#This Row],[Column3]])</f>
        <v>PT Hartadinata Abadi</v>
      </c>
      <c r="F1610" t="str">
        <f t="shared" si="25"/>
        <v>INSERT INTO stock_alias (stock, alias) VALUES ((SELECT id FROM stock WHERE ticker = 'HRTA'), 'PT Hartadinata Abadi') ON CONFLICT DO NOTHING;</v>
      </c>
    </row>
    <row r="1611" spans="1:6" x14ac:dyDescent="0.2">
      <c r="A1611" t="s">
        <v>574</v>
      </c>
      <c r="B1611" t="s">
        <v>575</v>
      </c>
      <c r="C1611" t="s">
        <v>574</v>
      </c>
      <c r="D1611" t="str">
        <f>TRIM(alias[[#This Row],[Column3]])</f>
        <v>HRUM</v>
      </c>
      <c r="F1611" t="str">
        <f t="shared" si="25"/>
        <v>INSERT INTO stock_alias (stock, alias) VALUES ((SELECT id FROM stock WHERE ticker = 'HRUM'), 'HRUM') ON CONFLICT DO NOTHING;</v>
      </c>
    </row>
    <row r="1612" spans="1:6" x14ac:dyDescent="0.2">
      <c r="A1612" t="s">
        <v>574</v>
      </c>
      <c r="B1612" t="s">
        <v>575</v>
      </c>
      <c r="C1612" t="s">
        <v>6080</v>
      </c>
      <c r="D1612" t="str">
        <f>TRIM(alias[[#This Row],[Column3]])</f>
        <v>Harum Energy</v>
      </c>
      <c r="F1612" t="str">
        <f t="shared" si="25"/>
        <v>INSERT INTO stock_alias (stock, alias) VALUES ((SELECT id FROM stock WHERE ticker = 'HRUM'), 'Harum Energy') ON CONFLICT DO NOTHING;</v>
      </c>
    </row>
    <row r="1613" spans="1:6" x14ac:dyDescent="0.2">
      <c r="A1613" t="s">
        <v>574</v>
      </c>
      <c r="B1613" t="s">
        <v>575</v>
      </c>
      <c r="C1613" t="s">
        <v>6081</v>
      </c>
      <c r="D1613" t="str">
        <f>TRIM(alias[[#This Row],[Column3]])</f>
        <v>Harum Energy Tbk</v>
      </c>
      <c r="F1613" t="str">
        <f t="shared" si="25"/>
        <v>INSERT INTO stock_alias (stock, alias) VALUES ((SELECT id FROM stock WHERE ticker = 'HRUM'), 'Harum Energy Tbk') ON CONFLICT DO NOTHING;</v>
      </c>
    </row>
    <row r="1614" spans="1:6" x14ac:dyDescent="0.2">
      <c r="A1614" t="s">
        <v>574</v>
      </c>
      <c r="B1614" t="s">
        <v>575</v>
      </c>
      <c r="C1614" t="s">
        <v>6082</v>
      </c>
      <c r="D1614" t="str">
        <f>TRIM(alias[[#This Row],[Column3]])</f>
        <v>PT Harum Energy</v>
      </c>
      <c r="F1614" t="str">
        <f t="shared" si="25"/>
        <v>INSERT INTO stock_alias (stock, alias) VALUES ((SELECT id FROM stock WHERE ticker = 'HRUM'), 'PT Harum Energy') ON CONFLICT DO NOTHING;</v>
      </c>
    </row>
    <row r="1615" spans="1:6" x14ac:dyDescent="0.2">
      <c r="A1615" t="s">
        <v>2365</v>
      </c>
      <c r="B1615" t="s">
        <v>3577</v>
      </c>
      <c r="C1615" t="s">
        <v>2365</v>
      </c>
      <c r="D1615" t="str">
        <f>TRIM(alias[[#This Row],[Column3]])</f>
        <v>HUMI</v>
      </c>
      <c r="F1615" t="str">
        <f t="shared" si="25"/>
        <v>INSERT INTO stock_alias (stock, alias) VALUES ((SELECT id FROM stock WHERE ticker = 'HUMI'), 'HUMI') ON CONFLICT DO NOTHING;</v>
      </c>
    </row>
    <row r="1616" spans="1:6" x14ac:dyDescent="0.2">
      <c r="A1616" t="s">
        <v>2365</v>
      </c>
      <c r="B1616" t="s">
        <v>3577</v>
      </c>
      <c r="C1616" t="s">
        <v>6083</v>
      </c>
      <c r="D1616" t="str">
        <f>TRIM(alias[[#This Row],[Column3]])</f>
        <v>Humpuss Maritim Internasional</v>
      </c>
      <c r="F1616" t="str">
        <f t="shared" si="25"/>
        <v>INSERT INTO stock_alias (stock, alias) VALUES ((SELECT id FROM stock WHERE ticker = 'HUMI'), 'Humpuss Maritim Internasional') ON CONFLICT DO NOTHING;</v>
      </c>
    </row>
    <row r="1617" spans="1:6" x14ac:dyDescent="0.2">
      <c r="A1617" t="s">
        <v>2365</v>
      </c>
      <c r="B1617" t="s">
        <v>3577</v>
      </c>
      <c r="C1617" t="s">
        <v>6084</v>
      </c>
      <c r="D1617" t="str">
        <f>TRIM(alias[[#This Row],[Column3]])</f>
        <v>Humpuss Maritim Internasional Tbk</v>
      </c>
      <c r="F1617" t="str">
        <f t="shared" si="25"/>
        <v>INSERT INTO stock_alias (stock, alias) VALUES ((SELECT id FROM stock WHERE ticker = 'HUMI'), 'Humpuss Maritim Internasional Tbk') ON CONFLICT DO NOTHING;</v>
      </c>
    </row>
    <row r="1618" spans="1:6" x14ac:dyDescent="0.2">
      <c r="A1618" t="s">
        <v>2365</v>
      </c>
      <c r="B1618" t="s">
        <v>3577</v>
      </c>
      <c r="C1618" t="s">
        <v>6085</v>
      </c>
      <c r="D1618" t="str">
        <f>TRIM(alias[[#This Row],[Column3]])</f>
        <v>PT Humpuss Maritim Internasional</v>
      </c>
      <c r="F1618" t="str">
        <f t="shared" si="25"/>
        <v>INSERT INTO stock_alias (stock, alias) VALUES ((SELECT id FROM stock WHERE ticker = 'HUMI'), 'PT Humpuss Maritim Internasional') ON CONFLICT DO NOTHING;</v>
      </c>
    </row>
    <row r="1619" spans="1:6" x14ac:dyDescent="0.2">
      <c r="A1619" t="s">
        <v>2441</v>
      </c>
      <c r="B1619" t="s">
        <v>2442</v>
      </c>
      <c r="C1619" t="s">
        <v>2441</v>
      </c>
      <c r="D1619" t="str">
        <f>TRIM(alias[[#This Row],[Column3]])</f>
        <v>HYGN</v>
      </c>
      <c r="F1619" t="str">
        <f t="shared" si="25"/>
        <v>INSERT INTO stock_alias (stock, alias) VALUES ((SELECT id FROM stock WHERE ticker = 'HYGN'), 'HYGN') ON CONFLICT DO NOTHING;</v>
      </c>
    </row>
    <row r="1620" spans="1:6" x14ac:dyDescent="0.2">
      <c r="A1620" t="s">
        <v>2441</v>
      </c>
      <c r="B1620" t="s">
        <v>2442</v>
      </c>
      <c r="C1620" t="s">
        <v>6086</v>
      </c>
      <c r="D1620" t="str">
        <f>TRIM(alias[[#This Row],[Column3]])</f>
        <v>Ecocare Indo Pasifik</v>
      </c>
      <c r="F1620" t="str">
        <f t="shared" si="25"/>
        <v>INSERT INTO stock_alias (stock, alias) VALUES ((SELECT id FROM stock WHERE ticker = 'HYGN'), 'Ecocare Indo Pasifik') ON CONFLICT DO NOTHING;</v>
      </c>
    </row>
    <row r="1621" spans="1:6" x14ac:dyDescent="0.2">
      <c r="A1621" t="s">
        <v>2441</v>
      </c>
      <c r="B1621" t="s">
        <v>2442</v>
      </c>
      <c r="C1621" t="s">
        <v>6087</v>
      </c>
      <c r="D1621" t="str">
        <f>TRIM(alias[[#This Row],[Column3]])</f>
        <v>Ecocare Indo Pasifik Tbk</v>
      </c>
      <c r="F1621" t="str">
        <f t="shared" si="25"/>
        <v>INSERT INTO stock_alias (stock, alias) VALUES ((SELECT id FROM stock WHERE ticker = 'HYGN'), 'Ecocare Indo Pasifik Tbk') ON CONFLICT DO NOTHING;</v>
      </c>
    </row>
    <row r="1622" spans="1:6" x14ac:dyDescent="0.2">
      <c r="A1622" t="s">
        <v>2441</v>
      </c>
      <c r="B1622" t="s">
        <v>2442</v>
      </c>
      <c r="C1622" t="s">
        <v>6088</v>
      </c>
      <c r="D1622" t="str">
        <f>TRIM(alias[[#This Row],[Column3]])</f>
        <v>PT Ecocare Indo Pasifik</v>
      </c>
      <c r="F1622" t="str">
        <f t="shared" si="25"/>
        <v>INSERT INTO stock_alias (stock, alias) VALUES ((SELECT id FROM stock WHERE ticker = 'HYGN'), 'PT Ecocare Indo Pasifik') ON CONFLICT DO NOTHING;</v>
      </c>
    </row>
    <row r="1623" spans="1:6" x14ac:dyDescent="0.2">
      <c r="A1623" t="s">
        <v>577</v>
      </c>
      <c r="B1623" t="s">
        <v>578</v>
      </c>
      <c r="C1623" t="s">
        <v>577</v>
      </c>
      <c r="D1623" t="str">
        <f>TRIM(alias[[#This Row],[Column3]])</f>
        <v>IATA</v>
      </c>
      <c r="F1623" t="str">
        <f t="shared" si="25"/>
        <v>INSERT INTO stock_alias (stock, alias) VALUES ((SELECT id FROM stock WHERE ticker = 'IATA'), 'IATA') ON CONFLICT DO NOTHING;</v>
      </c>
    </row>
    <row r="1624" spans="1:6" x14ac:dyDescent="0.2">
      <c r="A1624" t="s">
        <v>577</v>
      </c>
      <c r="B1624" t="s">
        <v>578</v>
      </c>
      <c r="C1624" t="s">
        <v>6089</v>
      </c>
      <c r="D1624" t="str">
        <f>TRIM(alias[[#This Row],[Column3]])</f>
        <v>MNC Energy Investments</v>
      </c>
      <c r="F1624" t="str">
        <f t="shared" si="25"/>
        <v>INSERT INTO stock_alias (stock, alias) VALUES ((SELECT id FROM stock WHERE ticker = 'IATA'), 'MNC Energy Investments') ON CONFLICT DO NOTHING;</v>
      </c>
    </row>
    <row r="1625" spans="1:6" x14ac:dyDescent="0.2">
      <c r="A1625" t="s">
        <v>577</v>
      </c>
      <c r="B1625" t="s">
        <v>578</v>
      </c>
      <c r="C1625" t="s">
        <v>6090</v>
      </c>
      <c r="D1625" t="str">
        <f>TRIM(alias[[#This Row],[Column3]])</f>
        <v>MNC Energy Investments Tbk</v>
      </c>
      <c r="F1625" t="str">
        <f t="shared" si="25"/>
        <v>INSERT INTO stock_alias (stock, alias) VALUES ((SELECT id FROM stock WHERE ticker = 'IATA'), 'MNC Energy Investments Tbk') ON CONFLICT DO NOTHING;</v>
      </c>
    </row>
    <row r="1626" spans="1:6" x14ac:dyDescent="0.2">
      <c r="A1626" t="s">
        <v>577</v>
      </c>
      <c r="B1626" t="s">
        <v>578</v>
      </c>
      <c r="C1626" t="s">
        <v>6091</v>
      </c>
      <c r="D1626" t="str">
        <f>TRIM(alias[[#This Row],[Column3]])</f>
        <v>PT MNC Energy Investments</v>
      </c>
      <c r="F1626" t="str">
        <f t="shared" si="25"/>
        <v>INSERT INTO stock_alias (stock, alias) VALUES ((SELECT id FROM stock WHERE ticker = 'IATA'), 'PT MNC Energy Investments') ON CONFLICT DO NOTHING;</v>
      </c>
    </row>
    <row r="1627" spans="1:6" x14ac:dyDescent="0.2">
      <c r="A1627" t="s">
        <v>580</v>
      </c>
      <c r="B1627" t="s">
        <v>581</v>
      </c>
      <c r="C1627" t="s">
        <v>580</v>
      </c>
      <c r="D1627" t="str">
        <f>TRIM(alias[[#This Row],[Column3]])</f>
        <v>IBFN</v>
      </c>
      <c r="F1627" t="str">
        <f t="shared" si="25"/>
        <v>INSERT INTO stock_alias (stock, alias) VALUES ((SELECT id FROM stock WHERE ticker = 'IBFN'), 'IBFN') ON CONFLICT DO NOTHING;</v>
      </c>
    </row>
    <row r="1628" spans="1:6" x14ac:dyDescent="0.2">
      <c r="A1628" t="s">
        <v>580</v>
      </c>
      <c r="B1628" t="s">
        <v>581</v>
      </c>
      <c r="C1628" t="s">
        <v>6092</v>
      </c>
      <c r="D1628" t="str">
        <f>TRIM(alias[[#This Row],[Column3]])</f>
        <v>Intan Baru Prana</v>
      </c>
      <c r="F1628" t="str">
        <f t="shared" si="25"/>
        <v>INSERT INTO stock_alias (stock, alias) VALUES ((SELECT id FROM stock WHERE ticker = 'IBFN'), 'Intan Baru Prana') ON CONFLICT DO NOTHING;</v>
      </c>
    </row>
    <row r="1629" spans="1:6" x14ac:dyDescent="0.2">
      <c r="A1629" t="s">
        <v>580</v>
      </c>
      <c r="B1629" t="s">
        <v>581</v>
      </c>
      <c r="C1629" t="s">
        <v>6093</v>
      </c>
      <c r="D1629" t="str">
        <f>TRIM(alias[[#This Row],[Column3]])</f>
        <v>Intan Baru Prana Tbk</v>
      </c>
      <c r="F1629" t="str">
        <f t="shared" si="25"/>
        <v>INSERT INTO stock_alias (stock, alias) VALUES ((SELECT id FROM stock WHERE ticker = 'IBFN'), 'Intan Baru Prana Tbk') ON CONFLICT DO NOTHING;</v>
      </c>
    </row>
    <row r="1630" spans="1:6" x14ac:dyDescent="0.2">
      <c r="A1630" t="s">
        <v>580</v>
      </c>
      <c r="B1630" t="s">
        <v>581</v>
      </c>
      <c r="C1630" t="s">
        <v>6094</v>
      </c>
      <c r="D1630" t="str">
        <f>TRIM(alias[[#This Row],[Column3]])</f>
        <v>PT Intan Baru Prana</v>
      </c>
      <c r="F1630" t="str">
        <f t="shared" si="25"/>
        <v>INSERT INTO stock_alias (stock, alias) VALUES ((SELECT id FROM stock WHERE ticker = 'IBFN'), 'PT Intan Baru Prana') ON CONFLICT DO NOTHING;</v>
      </c>
    </row>
    <row r="1631" spans="1:6" x14ac:dyDescent="0.2">
      <c r="A1631" t="s">
        <v>2109</v>
      </c>
      <c r="B1631" t="s">
        <v>2110</v>
      </c>
      <c r="C1631" t="s">
        <v>2109</v>
      </c>
      <c r="D1631" t="str">
        <f>TRIM(alias[[#This Row],[Column3]])</f>
        <v>IBOS</v>
      </c>
      <c r="F1631" t="str">
        <f t="shared" si="25"/>
        <v>INSERT INTO stock_alias (stock, alias) VALUES ((SELECT id FROM stock WHERE ticker = 'IBOS'), 'IBOS') ON CONFLICT DO NOTHING;</v>
      </c>
    </row>
    <row r="1632" spans="1:6" x14ac:dyDescent="0.2">
      <c r="A1632" t="s">
        <v>2109</v>
      </c>
      <c r="B1632" t="s">
        <v>2110</v>
      </c>
      <c r="C1632" t="s">
        <v>6095</v>
      </c>
      <c r="D1632" t="str">
        <f>TRIM(alias[[#This Row],[Column3]])</f>
        <v>Indo Boga Sukses</v>
      </c>
      <c r="F1632" t="str">
        <f t="shared" si="25"/>
        <v>INSERT INTO stock_alias (stock, alias) VALUES ((SELECT id FROM stock WHERE ticker = 'IBOS'), 'Indo Boga Sukses') ON CONFLICT DO NOTHING;</v>
      </c>
    </row>
    <row r="1633" spans="1:6" x14ac:dyDescent="0.2">
      <c r="A1633" t="s">
        <v>2109</v>
      </c>
      <c r="B1633" t="s">
        <v>2110</v>
      </c>
      <c r="C1633" t="s">
        <v>6096</v>
      </c>
      <c r="D1633" t="str">
        <f>TRIM(alias[[#This Row],[Column3]])</f>
        <v>Indo Boga Sukses Tbk</v>
      </c>
      <c r="F1633" t="str">
        <f t="shared" si="25"/>
        <v>INSERT INTO stock_alias (stock, alias) VALUES ((SELECT id FROM stock WHERE ticker = 'IBOS'), 'Indo Boga Sukses Tbk') ON CONFLICT DO NOTHING;</v>
      </c>
    </row>
    <row r="1634" spans="1:6" x14ac:dyDescent="0.2">
      <c r="A1634" t="s">
        <v>2109</v>
      </c>
      <c r="B1634" t="s">
        <v>2110</v>
      </c>
      <c r="C1634" t="s">
        <v>6097</v>
      </c>
      <c r="D1634" t="str">
        <f>TRIM(alias[[#This Row],[Column3]])</f>
        <v>PT Indo Boga Sukses</v>
      </c>
      <c r="F1634" t="str">
        <f t="shared" si="25"/>
        <v>INSERT INTO stock_alias (stock, alias) VALUES ((SELECT id FROM stock WHERE ticker = 'IBOS'), 'PT Indo Boga Sukses') ON CONFLICT DO NOTHING;</v>
      </c>
    </row>
    <row r="1635" spans="1:6" x14ac:dyDescent="0.2">
      <c r="A1635" t="s">
        <v>583</v>
      </c>
      <c r="B1635" t="s">
        <v>584</v>
      </c>
      <c r="C1635" t="s">
        <v>583</v>
      </c>
      <c r="D1635" t="str">
        <f>TRIM(alias[[#This Row],[Column3]])</f>
        <v>IBST</v>
      </c>
      <c r="F1635" t="str">
        <f t="shared" si="25"/>
        <v>INSERT INTO stock_alias (stock, alias) VALUES ((SELECT id FROM stock WHERE ticker = 'IBST'), 'IBST') ON CONFLICT DO NOTHING;</v>
      </c>
    </row>
    <row r="1636" spans="1:6" x14ac:dyDescent="0.2">
      <c r="A1636" t="s">
        <v>583</v>
      </c>
      <c r="B1636" t="s">
        <v>584</v>
      </c>
      <c r="C1636" t="s">
        <v>6098</v>
      </c>
      <c r="D1636" t="str">
        <f>TRIM(alias[[#This Row],[Column3]])</f>
        <v>Inti Bangun Sejahtera</v>
      </c>
      <c r="F1636" t="str">
        <f t="shared" si="25"/>
        <v>INSERT INTO stock_alias (stock, alias) VALUES ((SELECT id FROM stock WHERE ticker = 'IBST'), 'Inti Bangun Sejahtera') ON CONFLICT DO NOTHING;</v>
      </c>
    </row>
    <row r="1637" spans="1:6" x14ac:dyDescent="0.2">
      <c r="A1637" t="s">
        <v>583</v>
      </c>
      <c r="B1637" t="s">
        <v>584</v>
      </c>
      <c r="C1637" t="s">
        <v>6099</v>
      </c>
      <c r="D1637" t="str">
        <f>TRIM(alias[[#This Row],[Column3]])</f>
        <v>Inti Bangun Sejahtera Tbk</v>
      </c>
      <c r="F1637" t="str">
        <f t="shared" si="25"/>
        <v>INSERT INTO stock_alias (stock, alias) VALUES ((SELECT id FROM stock WHERE ticker = 'IBST'), 'Inti Bangun Sejahtera Tbk') ON CONFLICT DO NOTHING;</v>
      </c>
    </row>
    <row r="1638" spans="1:6" x14ac:dyDescent="0.2">
      <c r="A1638" t="s">
        <v>583</v>
      </c>
      <c r="B1638" t="s">
        <v>584</v>
      </c>
      <c r="C1638" t="s">
        <v>6100</v>
      </c>
      <c r="D1638" t="str">
        <f>TRIM(alias[[#This Row],[Column3]])</f>
        <v>PT Inti Bangun Sejahtera</v>
      </c>
      <c r="F1638" t="str">
        <f t="shared" si="25"/>
        <v>INSERT INTO stock_alias (stock, alias) VALUES ((SELECT id FROM stock WHERE ticker = 'IBST'), 'PT Inti Bangun Sejahtera') ON CONFLICT DO NOTHING;</v>
      </c>
    </row>
    <row r="1639" spans="1:6" x14ac:dyDescent="0.2">
      <c r="A1639" t="s">
        <v>586</v>
      </c>
      <c r="B1639" t="s">
        <v>3578</v>
      </c>
      <c r="C1639" t="s">
        <v>586</v>
      </c>
      <c r="D1639" t="str">
        <f>TRIM(alias[[#This Row],[Column3]])</f>
        <v>ICBP</v>
      </c>
      <c r="F1639" t="str">
        <f t="shared" si="25"/>
        <v>INSERT INTO stock_alias (stock, alias) VALUES ((SELECT id FROM stock WHERE ticker = 'ICBP'), 'ICBP') ON CONFLICT DO NOTHING;</v>
      </c>
    </row>
    <row r="1640" spans="1:6" x14ac:dyDescent="0.2">
      <c r="A1640" t="s">
        <v>586</v>
      </c>
      <c r="B1640" t="s">
        <v>3578</v>
      </c>
      <c r="C1640" t="s">
        <v>6101</v>
      </c>
      <c r="D1640" t="str">
        <f>TRIM(alias[[#This Row],[Column3]])</f>
        <v>Indofood CBP Sukses Makmur</v>
      </c>
      <c r="F1640" t="str">
        <f t="shared" si="25"/>
        <v>INSERT INTO stock_alias (stock, alias) VALUES ((SELECT id FROM stock WHERE ticker = 'ICBP'), 'Indofood CBP Sukses Makmur') ON CONFLICT DO NOTHING;</v>
      </c>
    </row>
    <row r="1641" spans="1:6" x14ac:dyDescent="0.2">
      <c r="A1641" t="s">
        <v>586</v>
      </c>
      <c r="B1641" t="s">
        <v>3578</v>
      </c>
      <c r="C1641" t="s">
        <v>6102</v>
      </c>
      <c r="D1641" t="str">
        <f>TRIM(alias[[#This Row],[Column3]])</f>
        <v>Indofood CBP Sukses Makmur Tbk</v>
      </c>
      <c r="F1641" t="str">
        <f t="shared" si="25"/>
        <v>INSERT INTO stock_alias (stock, alias) VALUES ((SELECT id FROM stock WHERE ticker = 'ICBP'), 'Indofood CBP Sukses Makmur Tbk') ON CONFLICT DO NOTHING;</v>
      </c>
    </row>
    <row r="1642" spans="1:6" x14ac:dyDescent="0.2">
      <c r="A1642" t="s">
        <v>586</v>
      </c>
      <c r="B1642" t="s">
        <v>3578</v>
      </c>
      <c r="C1642" t="s">
        <v>6103</v>
      </c>
      <c r="D1642" t="str">
        <f>TRIM(alias[[#This Row],[Column3]])</f>
        <v>PT Indofood CBP Sukses Makmur</v>
      </c>
      <c r="F1642" t="str">
        <f t="shared" si="25"/>
        <v>INSERT INTO stock_alias (stock, alias) VALUES ((SELECT id FROM stock WHERE ticker = 'ICBP'), 'PT Indofood CBP Sukses Makmur') ON CONFLICT DO NOTHING;</v>
      </c>
    </row>
    <row r="1643" spans="1:6" x14ac:dyDescent="0.2">
      <c r="A1643" t="s">
        <v>589</v>
      </c>
      <c r="B1643" t="s">
        <v>590</v>
      </c>
      <c r="C1643" t="s">
        <v>589</v>
      </c>
      <c r="D1643" t="str">
        <f>TRIM(alias[[#This Row],[Column3]])</f>
        <v>ICON</v>
      </c>
      <c r="F1643" t="str">
        <f t="shared" si="25"/>
        <v>INSERT INTO stock_alias (stock, alias) VALUES ((SELECT id FROM stock WHERE ticker = 'ICON'), 'ICON') ON CONFLICT DO NOTHING;</v>
      </c>
    </row>
    <row r="1644" spans="1:6" x14ac:dyDescent="0.2">
      <c r="A1644" t="s">
        <v>589</v>
      </c>
      <c r="B1644" t="s">
        <v>590</v>
      </c>
      <c r="C1644" t="s">
        <v>6104</v>
      </c>
      <c r="D1644" t="str">
        <f>TRIM(alias[[#This Row],[Column3]])</f>
        <v>ISLAND CONCES INDONESIA</v>
      </c>
      <c r="F1644" t="str">
        <f t="shared" si="25"/>
        <v>INSERT INTO stock_alias (stock, alias) VALUES ((SELECT id FROM stock WHERE ticker = 'ICON'), 'ISLAND CONCES INDONESIA') ON CONFLICT DO NOTHING;</v>
      </c>
    </row>
    <row r="1645" spans="1:6" x14ac:dyDescent="0.2">
      <c r="A1645" t="s">
        <v>589</v>
      </c>
      <c r="B1645" t="s">
        <v>590</v>
      </c>
      <c r="C1645" t="s">
        <v>6105</v>
      </c>
      <c r="D1645" t="str">
        <f>TRIM(alias[[#This Row],[Column3]])</f>
        <v>Island Conces Indonesia</v>
      </c>
      <c r="F1645" t="str">
        <f t="shared" si="25"/>
        <v>INSERT INTO stock_alias (stock, alias) VALUES ((SELECT id FROM stock WHERE ticker = 'ICON'), 'Island Conces Indonesia') ON CONFLICT DO NOTHING;</v>
      </c>
    </row>
    <row r="1646" spans="1:6" x14ac:dyDescent="0.2">
      <c r="A1646" t="s">
        <v>589</v>
      </c>
      <c r="B1646" t="s">
        <v>590</v>
      </c>
      <c r="C1646" t="s">
        <v>6106</v>
      </c>
      <c r="D1646" t="str">
        <f>TRIM(alias[[#This Row],[Column3]])</f>
        <v>Island Conces Indonesia Tbk</v>
      </c>
      <c r="F1646" t="str">
        <f t="shared" si="25"/>
        <v>INSERT INTO stock_alias (stock, alias) VALUES ((SELECT id FROM stock WHERE ticker = 'ICON'), 'Island Conces Indonesia Tbk') ON CONFLICT DO NOTHING;</v>
      </c>
    </row>
    <row r="1647" spans="1:6" x14ac:dyDescent="0.2">
      <c r="A1647" t="s">
        <v>589</v>
      </c>
      <c r="B1647" t="s">
        <v>590</v>
      </c>
      <c r="C1647" t="s">
        <v>6107</v>
      </c>
      <c r="D1647" t="str">
        <f>TRIM(alias[[#This Row],[Column3]])</f>
        <v>IslandConcesIndonesia</v>
      </c>
      <c r="F1647" t="str">
        <f t="shared" si="25"/>
        <v>INSERT INTO stock_alias (stock, alias) VALUES ((SELECT id FROM stock WHERE ticker = 'ICON'), 'IslandConcesIndonesia') ON CONFLICT DO NOTHING;</v>
      </c>
    </row>
    <row r="1648" spans="1:6" x14ac:dyDescent="0.2">
      <c r="A1648" t="s">
        <v>589</v>
      </c>
      <c r="B1648" t="s">
        <v>590</v>
      </c>
      <c r="C1648" t="s">
        <v>6108</v>
      </c>
      <c r="D1648" t="str">
        <f>TRIM(alias[[#This Row],[Column3]])</f>
        <v>PT Island Conces Indonesia</v>
      </c>
      <c r="F1648" t="str">
        <f t="shared" si="25"/>
        <v>INSERT INTO stock_alias (stock, alias) VALUES ((SELECT id FROM stock WHERE ticker = 'ICON'), 'PT Island Conces Indonesia') ON CONFLICT DO NOTHING;</v>
      </c>
    </row>
    <row r="1649" spans="1:6" x14ac:dyDescent="0.2">
      <c r="A1649" t="s">
        <v>589</v>
      </c>
      <c r="B1649" t="s">
        <v>590</v>
      </c>
      <c r="C1649" t="s">
        <v>6109</v>
      </c>
      <c r="D1649" t="str">
        <f>TRIM(alias[[#This Row],[Column3]])</f>
        <v>island conces indonesia</v>
      </c>
      <c r="F1649" t="str">
        <f t="shared" si="25"/>
        <v>INSERT INTO stock_alias (stock, alias) VALUES ((SELECT id FROM stock WHERE ticker = 'ICON'), 'island conces indonesia') ON CONFLICT DO NOTHING;</v>
      </c>
    </row>
    <row r="1650" spans="1:6" x14ac:dyDescent="0.2">
      <c r="A1650" t="s">
        <v>2010</v>
      </c>
      <c r="B1650" t="s">
        <v>2011</v>
      </c>
      <c r="C1650" t="s">
        <v>2010</v>
      </c>
      <c r="D1650" t="str">
        <f>TRIM(alias[[#This Row],[Column3]])</f>
        <v>IDEA</v>
      </c>
      <c r="F1650" t="str">
        <f t="shared" si="25"/>
        <v>INSERT INTO stock_alias (stock, alias) VALUES ((SELECT id FROM stock WHERE ticker = 'IDEA'), 'IDEA') ON CONFLICT DO NOTHING;</v>
      </c>
    </row>
    <row r="1651" spans="1:6" x14ac:dyDescent="0.2">
      <c r="A1651" t="s">
        <v>2010</v>
      </c>
      <c r="B1651" t="s">
        <v>2011</v>
      </c>
      <c r="C1651" t="s">
        <v>6110</v>
      </c>
      <c r="D1651" t="str">
        <f>TRIM(alias[[#This Row],[Column3]])</f>
        <v>Idea Indonesia Akademi</v>
      </c>
      <c r="F1651" t="str">
        <f t="shared" si="25"/>
        <v>INSERT INTO stock_alias (stock, alias) VALUES ((SELECT id FROM stock WHERE ticker = 'IDEA'), 'Idea Indonesia Akademi') ON CONFLICT DO NOTHING;</v>
      </c>
    </row>
    <row r="1652" spans="1:6" x14ac:dyDescent="0.2">
      <c r="A1652" t="s">
        <v>2010</v>
      </c>
      <c r="B1652" t="s">
        <v>2011</v>
      </c>
      <c r="C1652" t="s">
        <v>6111</v>
      </c>
      <c r="D1652" t="str">
        <f>TRIM(alias[[#This Row],[Column3]])</f>
        <v>Idea Indonesia Akademi Tbk</v>
      </c>
      <c r="F1652" t="str">
        <f t="shared" si="25"/>
        <v>INSERT INTO stock_alias (stock, alias) VALUES ((SELECT id FROM stock WHERE ticker = 'IDEA'), 'Idea Indonesia Akademi Tbk') ON CONFLICT DO NOTHING;</v>
      </c>
    </row>
    <row r="1653" spans="1:6" x14ac:dyDescent="0.2">
      <c r="A1653" t="s">
        <v>2010</v>
      </c>
      <c r="B1653" t="s">
        <v>2011</v>
      </c>
      <c r="C1653" t="s">
        <v>6112</v>
      </c>
      <c r="D1653" t="str">
        <f>TRIM(alias[[#This Row],[Column3]])</f>
        <v>PT Idea Indonesia Akademi</v>
      </c>
      <c r="F1653" t="str">
        <f t="shared" si="25"/>
        <v>INSERT INTO stock_alias (stock, alias) VALUES ((SELECT id FROM stock WHERE ticker = 'IDEA'), 'PT Idea Indonesia Akademi') ON CONFLICT DO NOTHING;</v>
      </c>
    </row>
    <row r="1654" spans="1:6" x14ac:dyDescent="0.2">
      <c r="A1654" t="s">
        <v>1353</v>
      </c>
      <c r="B1654" t="s">
        <v>1354</v>
      </c>
      <c r="C1654" t="s">
        <v>1353</v>
      </c>
      <c r="D1654" t="str">
        <f>TRIM(alias[[#This Row],[Column3]])</f>
        <v>IDPR</v>
      </c>
      <c r="F1654" t="str">
        <f t="shared" si="25"/>
        <v>INSERT INTO stock_alias (stock, alias) VALUES ((SELECT id FROM stock WHERE ticker = 'IDPR'), 'IDPR') ON CONFLICT DO NOTHING;</v>
      </c>
    </row>
    <row r="1655" spans="1:6" x14ac:dyDescent="0.2">
      <c r="A1655" t="s">
        <v>1353</v>
      </c>
      <c r="B1655" t="s">
        <v>1354</v>
      </c>
      <c r="C1655" t="s">
        <v>6113</v>
      </c>
      <c r="D1655" t="str">
        <f>TRIM(alias[[#This Row],[Column3]])</f>
        <v>Indonesia Pondasi Raya</v>
      </c>
      <c r="F1655" t="str">
        <f t="shared" si="25"/>
        <v>INSERT INTO stock_alias (stock, alias) VALUES ((SELECT id FROM stock WHERE ticker = 'IDPR'), 'Indonesia Pondasi Raya') ON CONFLICT DO NOTHING;</v>
      </c>
    </row>
    <row r="1656" spans="1:6" x14ac:dyDescent="0.2">
      <c r="A1656" t="s">
        <v>1353</v>
      </c>
      <c r="B1656" t="s">
        <v>1354</v>
      </c>
      <c r="C1656" t="s">
        <v>6114</v>
      </c>
      <c r="D1656" t="str">
        <f>TRIM(alias[[#This Row],[Column3]])</f>
        <v>Indonesia Pondasi Raya Tbk</v>
      </c>
      <c r="F1656" t="str">
        <f t="shared" si="25"/>
        <v>INSERT INTO stock_alias (stock, alias) VALUES ((SELECT id FROM stock WHERE ticker = 'IDPR'), 'Indonesia Pondasi Raya Tbk') ON CONFLICT DO NOTHING;</v>
      </c>
    </row>
    <row r="1657" spans="1:6" x14ac:dyDescent="0.2">
      <c r="A1657" t="s">
        <v>1353</v>
      </c>
      <c r="B1657" t="s">
        <v>1354</v>
      </c>
      <c r="C1657" t="s">
        <v>6115</v>
      </c>
      <c r="D1657" t="str">
        <f>TRIM(alias[[#This Row],[Column3]])</f>
        <v>PT Indonesia Pondasi Raya</v>
      </c>
      <c r="F1657" t="str">
        <f t="shared" si="25"/>
        <v>INSERT INTO stock_alias (stock, alias) VALUES ((SELECT id FROM stock WHERE ticker = 'IDPR'), 'PT Indonesia Pondasi Raya') ON CONFLICT DO NOTHING;</v>
      </c>
    </row>
    <row r="1658" spans="1:6" x14ac:dyDescent="0.2">
      <c r="A1658" t="s">
        <v>1782</v>
      </c>
      <c r="B1658" t="s">
        <v>3579</v>
      </c>
      <c r="C1658" t="s">
        <v>1782</v>
      </c>
      <c r="D1658" t="str">
        <f>TRIM(alias[[#This Row],[Column3]])</f>
        <v>IFII</v>
      </c>
      <c r="F1658" t="str">
        <f t="shared" si="25"/>
        <v>INSERT INTO stock_alias (stock, alias) VALUES ((SELECT id FROM stock WHERE ticker = 'IFII'), 'IFII') ON CONFLICT DO NOTHING;</v>
      </c>
    </row>
    <row r="1659" spans="1:6" x14ac:dyDescent="0.2">
      <c r="A1659" t="s">
        <v>1782</v>
      </c>
      <c r="B1659" t="s">
        <v>3579</v>
      </c>
      <c r="C1659" t="s">
        <v>6116</v>
      </c>
      <c r="D1659" t="str">
        <f>TRIM(alias[[#This Row],[Column3]])</f>
        <v>Indonesia Fibreboard Industry</v>
      </c>
      <c r="F1659" t="str">
        <f t="shared" si="25"/>
        <v>INSERT INTO stock_alias (stock, alias) VALUES ((SELECT id FROM stock WHERE ticker = 'IFII'), 'Indonesia Fibreboard Industry') ON CONFLICT DO NOTHING;</v>
      </c>
    </row>
    <row r="1660" spans="1:6" x14ac:dyDescent="0.2">
      <c r="A1660" t="s">
        <v>1782</v>
      </c>
      <c r="B1660" t="s">
        <v>3579</v>
      </c>
      <c r="C1660" t="s">
        <v>6117</v>
      </c>
      <c r="D1660" t="str">
        <f>TRIM(alias[[#This Row],[Column3]])</f>
        <v>Indonesia Fibreboard Industry Tbk</v>
      </c>
      <c r="F1660" t="str">
        <f t="shared" si="25"/>
        <v>INSERT INTO stock_alias (stock, alias) VALUES ((SELECT id FROM stock WHERE ticker = 'IFII'), 'Indonesia Fibreboard Industry Tbk') ON CONFLICT DO NOTHING;</v>
      </c>
    </row>
    <row r="1661" spans="1:6" x14ac:dyDescent="0.2">
      <c r="A1661" t="s">
        <v>1782</v>
      </c>
      <c r="B1661" t="s">
        <v>3579</v>
      </c>
      <c r="C1661" t="s">
        <v>6118</v>
      </c>
      <c r="D1661" t="str">
        <f>TRIM(alias[[#This Row],[Column3]])</f>
        <v>PT Indonesia Fibreboard Industry</v>
      </c>
      <c r="F1661" t="str">
        <f t="shared" si="25"/>
        <v>INSERT INTO stock_alias (stock, alias) VALUES ((SELECT id FROM stock WHERE ticker = 'IFII'), 'PT Indonesia Fibreboard Industry') ON CONFLICT DO NOTHING;</v>
      </c>
    </row>
    <row r="1662" spans="1:6" x14ac:dyDescent="0.2">
      <c r="A1662" t="s">
        <v>1776</v>
      </c>
      <c r="B1662" t="s">
        <v>1777</v>
      </c>
      <c r="C1662" t="s">
        <v>6119</v>
      </c>
      <c r="D1662" t="str">
        <f>TRIM(alias[[#This Row],[Column3]])</f>
        <v>IFSH Tbk</v>
      </c>
      <c r="F1662" t="str">
        <f t="shared" si="25"/>
        <v>INSERT INTO stock_alias (stock, alias) VALUES ((SELECT id FROM stock WHERE ticker = 'IFSH'), 'IFSH Tbk') ON CONFLICT DO NOTHING;</v>
      </c>
    </row>
    <row r="1663" spans="1:6" x14ac:dyDescent="0.2">
      <c r="A1663" t="s">
        <v>1776</v>
      </c>
      <c r="B1663" t="s">
        <v>1777</v>
      </c>
      <c r="C1663" t="s">
        <v>6120</v>
      </c>
      <c r="D1663" t="str">
        <f>TRIM(alias[[#This Row],[Column3]])</f>
        <v>PT Ifishdeco</v>
      </c>
      <c r="F1663" t="str">
        <f t="shared" si="25"/>
        <v>INSERT INTO stock_alias (stock, alias) VALUES ((SELECT id FROM stock WHERE ticker = 'IFSH'), 'PT Ifishdeco') ON CONFLICT DO NOTHING;</v>
      </c>
    </row>
    <row r="1664" spans="1:6" x14ac:dyDescent="0.2">
      <c r="A1664" t="s">
        <v>592</v>
      </c>
      <c r="B1664" t="s">
        <v>3580</v>
      </c>
      <c r="C1664" t="s">
        <v>592</v>
      </c>
      <c r="D1664" t="str">
        <f>TRIM(alias[[#This Row],[Column3]])</f>
        <v>IGAR</v>
      </c>
      <c r="F1664" t="str">
        <f t="shared" si="25"/>
        <v>INSERT INTO stock_alias (stock, alias) VALUES ((SELECT id FROM stock WHERE ticker = 'IGAR'), 'IGAR') ON CONFLICT DO NOTHING;</v>
      </c>
    </row>
    <row r="1665" spans="1:6" x14ac:dyDescent="0.2">
      <c r="A1665" t="s">
        <v>592</v>
      </c>
      <c r="B1665" t="s">
        <v>3580</v>
      </c>
      <c r="C1665" t="s">
        <v>6121</v>
      </c>
      <c r="D1665" t="str">
        <f>TRIM(alias[[#This Row],[Column3]])</f>
        <v>Champion Pacific Indonesia</v>
      </c>
      <c r="F1665" t="str">
        <f t="shared" si="25"/>
        <v>INSERT INTO stock_alias (stock, alias) VALUES ((SELECT id FROM stock WHERE ticker = 'IGAR'), 'Champion Pacific Indonesia') ON CONFLICT DO NOTHING;</v>
      </c>
    </row>
    <row r="1666" spans="1:6" x14ac:dyDescent="0.2">
      <c r="A1666" t="s">
        <v>592</v>
      </c>
      <c r="B1666" t="s">
        <v>3580</v>
      </c>
      <c r="C1666" t="s">
        <v>6122</v>
      </c>
      <c r="D1666" t="str">
        <f>TRIM(alias[[#This Row],[Column3]])</f>
        <v>Champion Pacific Indonesia Tbk</v>
      </c>
      <c r="F1666" t="str">
        <f t="shared" si="25"/>
        <v>INSERT INTO stock_alias (stock, alias) VALUES ((SELECT id FROM stock WHERE ticker = 'IGAR'), 'Champion Pacific Indonesia Tbk') ON CONFLICT DO NOTHING;</v>
      </c>
    </row>
    <row r="1667" spans="1:6" x14ac:dyDescent="0.2">
      <c r="A1667" t="s">
        <v>592</v>
      </c>
      <c r="B1667" t="s">
        <v>3580</v>
      </c>
      <c r="C1667" t="s">
        <v>6123</v>
      </c>
      <c r="D1667" t="str">
        <f>TRIM(alias[[#This Row],[Column3]])</f>
        <v>PT Champion Pacific Indonesia</v>
      </c>
      <c r="F1667" t="str">
        <f t="shared" ref="F1667:F1730" si="26">_xlfn.CONCAT($F$1, _xlfn.CONCAT($G$1, A1667, "'), '", D1667, "') ON CONFLICT DO NOTHING;"))</f>
        <v>INSERT INTO stock_alias (stock, alias) VALUES ((SELECT id FROM stock WHERE ticker = 'IGAR'), 'PT Champion Pacific Indonesia') ON CONFLICT DO NOTHING;</v>
      </c>
    </row>
    <row r="1668" spans="1:6" x14ac:dyDescent="0.2">
      <c r="A1668" t="s">
        <v>595</v>
      </c>
      <c r="B1668" t="s">
        <v>3581</v>
      </c>
      <c r="C1668" t="s">
        <v>595</v>
      </c>
      <c r="D1668" t="str">
        <f>TRIM(alias[[#This Row],[Column3]])</f>
        <v>IIKP</v>
      </c>
      <c r="F1668" t="str">
        <f t="shared" si="26"/>
        <v>INSERT INTO stock_alias (stock, alias) VALUES ((SELECT id FROM stock WHERE ticker = 'IIKP'), 'IIKP') ON CONFLICT DO NOTHING;</v>
      </c>
    </row>
    <row r="1669" spans="1:6" x14ac:dyDescent="0.2">
      <c r="A1669" t="s">
        <v>595</v>
      </c>
      <c r="B1669" t="s">
        <v>3581</v>
      </c>
      <c r="C1669" t="s">
        <v>6124</v>
      </c>
      <c r="D1669" t="str">
        <f>TRIM(alias[[#This Row],[Column3]])</f>
        <v>Inti Agri Resources</v>
      </c>
      <c r="F1669" t="str">
        <f t="shared" si="26"/>
        <v>INSERT INTO stock_alias (stock, alias) VALUES ((SELECT id FROM stock WHERE ticker = 'IIKP'), 'Inti Agri Resources') ON CONFLICT DO NOTHING;</v>
      </c>
    </row>
    <row r="1670" spans="1:6" x14ac:dyDescent="0.2">
      <c r="A1670" t="s">
        <v>595</v>
      </c>
      <c r="B1670" t="s">
        <v>3581</v>
      </c>
      <c r="C1670" t="s">
        <v>6125</v>
      </c>
      <c r="D1670" t="str">
        <f>TRIM(alias[[#This Row],[Column3]])</f>
        <v>Inti Agri Resources Tbk</v>
      </c>
      <c r="F1670" t="str">
        <f t="shared" si="26"/>
        <v>INSERT INTO stock_alias (stock, alias) VALUES ((SELECT id FROM stock WHERE ticker = 'IIKP'), 'Inti Agri Resources Tbk') ON CONFLICT DO NOTHING;</v>
      </c>
    </row>
    <row r="1671" spans="1:6" x14ac:dyDescent="0.2">
      <c r="A1671" t="s">
        <v>595</v>
      </c>
      <c r="B1671" t="s">
        <v>3581</v>
      </c>
      <c r="C1671" t="s">
        <v>6126</v>
      </c>
      <c r="D1671" t="str">
        <f>TRIM(alias[[#This Row],[Column3]])</f>
        <v>PT Inti Agri Resources</v>
      </c>
      <c r="F1671" t="str">
        <f t="shared" si="26"/>
        <v>INSERT INTO stock_alias (stock, alias) VALUES ((SELECT id FROM stock WHERE ticker = 'IIKP'), 'PT Inti Agri Resources') ON CONFLICT DO NOTHING;</v>
      </c>
    </row>
    <row r="1672" spans="1:6" x14ac:dyDescent="0.2">
      <c r="A1672" t="s">
        <v>598</v>
      </c>
      <c r="B1672" t="s">
        <v>3582</v>
      </c>
      <c r="C1672" t="s">
        <v>598</v>
      </c>
      <c r="D1672" t="str">
        <f>TRIM(alias[[#This Row],[Column3]])</f>
        <v>IKAI</v>
      </c>
      <c r="F1672" t="str">
        <f t="shared" si="26"/>
        <v>INSERT INTO stock_alias (stock, alias) VALUES ((SELECT id FROM stock WHERE ticker = 'IKAI'), 'IKAI') ON CONFLICT DO NOTHING;</v>
      </c>
    </row>
    <row r="1673" spans="1:6" x14ac:dyDescent="0.2">
      <c r="A1673" t="s">
        <v>598</v>
      </c>
      <c r="B1673" t="s">
        <v>3582</v>
      </c>
      <c r="C1673" t="s">
        <v>6127</v>
      </c>
      <c r="D1673" t="str">
        <f>TRIM(alias[[#This Row],[Column3]])</f>
        <v>Intikeramik Alamasri Industri</v>
      </c>
      <c r="F1673" t="str">
        <f t="shared" si="26"/>
        <v>INSERT INTO stock_alias (stock, alias) VALUES ((SELECT id FROM stock WHERE ticker = 'IKAI'), 'Intikeramik Alamasri Industri') ON CONFLICT DO NOTHING;</v>
      </c>
    </row>
    <row r="1674" spans="1:6" x14ac:dyDescent="0.2">
      <c r="A1674" t="s">
        <v>598</v>
      </c>
      <c r="B1674" t="s">
        <v>3582</v>
      </c>
      <c r="C1674" t="s">
        <v>6128</v>
      </c>
      <c r="D1674" t="str">
        <f>TRIM(alias[[#This Row],[Column3]])</f>
        <v>Intikeramik Alamasri Industri Tbk</v>
      </c>
      <c r="F1674" t="str">
        <f t="shared" si="26"/>
        <v>INSERT INTO stock_alias (stock, alias) VALUES ((SELECT id FROM stock WHERE ticker = 'IKAI'), 'Intikeramik Alamasri Industri Tbk') ON CONFLICT DO NOTHING;</v>
      </c>
    </row>
    <row r="1675" spans="1:6" x14ac:dyDescent="0.2">
      <c r="A1675" t="s">
        <v>598</v>
      </c>
      <c r="B1675" t="s">
        <v>3582</v>
      </c>
      <c r="C1675" t="s">
        <v>6129</v>
      </c>
      <c r="D1675" t="str">
        <f>TRIM(alias[[#This Row],[Column3]])</f>
        <v>PT Intikeramik Alamasri Industri</v>
      </c>
      <c r="F1675" t="str">
        <f t="shared" si="26"/>
        <v>INSERT INTO stock_alias (stock, alias) VALUES ((SELECT id FROM stock WHERE ticker = 'IKAI'), 'PT Intikeramik Alamasri Industri') ON CONFLICT DO NOTHING;</v>
      </c>
    </row>
    <row r="1676" spans="1:6" x14ac:dyDescent="0.2">
      <c r="A1676" t="s">
        <v>1822</v>
      </c>
      <c r="B1676" t="s">
        <v>1823</v>
      </c>
      <c r="C1676" t="s">
        <v>1822</v>
      </c>
      <c r="D1676" t="str">
        <f>TRIM(alias[[#This Row],[Column3]])</f>
        <v>IKAN</v>
      </c>
      <c r="F1676" t="str">
        <f t="shared" si="26"/>
        <v>INSERT INTO stock_alias (stock, alias) VALUES ((SELECT id FROM stock WHERE ticker = 'IKAN'), 'IKAN') ON CONFLICT DO NOTHING;</v>
      </c>
    </row>
    <row r="1677" spans="1:6" x14ac:dyDescent="0.2">
      <c r="A1677" t="s">
        <v>1822</v>
      </c>
      <c r="B1677" t="s">
        <v>1823</v>
      </c>
      <c r="C1677" t="s">
        <v>6130</v>
      </c>
      <c r="D1677" t="str">
        <f>TRIM(alias[[#This Row],[Column3]])</f>
        <v>Era Mandiri Cemerlang</v>
      </c>
      <c r="F1677" t="str">
        <f t="shared" si="26"/>
        <v>INSERT INTO stock_alias (stock, alias) VALUES ((SELECT id FROM stock WHERE ticker = 'IKAN'), 'Era Mandiri Cemerlang') ON CONFLICT DO NOTHING;</v>
      </c>
    </row>
    <row r="1678" spans="1:6" x14ac:dyDescent="0.2">
      <c r="A1678" t="s">
        <v>1822</v>
      </c>
      <c r="B1678" t="s">
        <v>1823</v>
      </c>
      <c r="C1678" t="s">
        <v>6131</v>
      </c>
      <c r="D1678" t="str">
        <f>TRIM(alias[[#This Row],[Column3]])</f>
        <v>Era Mandiri Cemerlang Tbk</v>
      </c>
      <c r="F1678" t="str">
        <f t="shared" si="26"/>
        <v>INSERT INTO stock_alias (stock, alias) VALUES ((SELECT id FROM stock WHERE ticker = 'IKAN'), 'Era Mandiri Cemerlang Tbk') ON CONFLICT DO NOTHING;</v>
      </c>
    </row>
    <row r="1679" spans="1:6" x14ac:dyDescent="0.2">
      <c r="A1679" t="s">
        <v>1822</v>
      </c>
      <c r="B1679" t="s">
        <v>1823</v>
      </c>
      <c r="C1679" t="s">
        <v>6132</v>
      </c>
      <c r="D1679" t="str">
        <f>TRIM(alias[[#This Row],[Column3]])</f>
        <v>PT Era Mandiri Cemerlang</v>
      </c>
      <c r="F1679" t="str">
        <f t="shared" si="26"/>
        <v>INSERT INTO stock_alias (stock, alias) VALUES ((SELECT id FROM stock WHERE ticker = 'IKAN'), 'PT Era Mandiri Cemerlang') ON CONFLICT DO NOTHING;</v>
      </c>
    </row>
    <row r="1680" spans="1:6" x14ac:dyDescent="0.2">
      <c r="A1680" t="s">
        <v>600</v>
      </c>
      <c r="B1680" t="s">
        <v>601</v>
      </c>
      <c r="C1680" t="s">
        <v>600</v>
      </c>
      <c r="D1680" t="str">
        <f>TRIM(alias[[#This Row],[Column3]])</f>
        <v>IKBI</v>
      </c>
      <c r="F1680" t="str">
        <f t="shared" si="26"/>
        <v>INSERT INTO stock_alias (stock, alias) VALUES ((SELECT id FROM stock WHERE ticker = 'IKBI'), 'IKBI') ON CONFLICT DO NOTHING;</v>
      </c>
    </row>
    <row r="1681" spans="1:6" x14ac:dyDescent="0.2">
      <c r="A1681" t="s">
        <v>600</v>
      </c>
      <c r="B1681" t="s">
        <v>601</v>
      </c>
      <c r="C1681" t="s">
        <v>6133</v>
      </c>
      <c r="D1681" t="str">
        <f>TRIM(alias[[#This Row],[Column3]])</f>
        <v>PT Sumi Indo Kabel</v>
      </c>
      <c r="F1681" t="str">
        <f t="shared" si="26"/>
        <v>INSERT INTO stock_alias (stock, alias) VALUES ((SELECT id FROM stock WHERE ticker = 'IKBI'), 'PT Sumi Indo Kabel') ON CONFLICT DO NOTHING;</v>
      </c>
    </row>
    <row r="1682" spans="1:6" x14ac:dyDescent="0.2">
      <c r="A1682" t="s">
        <v>600</v>
      </c>
      <c r="B1682" t="s">
        <v>601</v>
      </c>
      <c r="C1682" t="s">
        <v>6134</v>
      </c>
      <c r="D1682" t="str">
        <f>TRIM(alias[[#This Row],[Column3]])</f>
        <v>Sumi Indo Kabel</v>
      </c>
      <c r="F1682" t="str">
        <f t="shared" si="26"/>
        <v>INSERT INTO stock_alias (stock, alias) VALUES ((SELECT id FROM stock WHERE ticker = 'IKBI'), 'Sumi Indo Kabel') ON CONFLICT DO NOTHING;</v>
      </c>
    </row>
    <row r="1683" spans="1:6" x14ac:dyDescent="0.2">
      <c r="A1683" t="s">
        <v>600</v>
      </c>
      <c r="B1683" t="s">
        <v>601</v>
      </c>
      <c r="C1683" t="s">
        <v>6135</v>
      </c>
      <c r="D1683" t="str">
        <f>TRIM(alias[[#This Row],[Column3]])</f>
        <v>Sumi Indo Kabel Tbk</v>
      </c>
      <c r="F1683" t="str">
        <f t="shared" si="26"/>
        <v>INSERT INTO stock_alias (stock, alias) VALUES ((SELECT id FROM stock WHERE ticker = 'IKBI'), 'Sumi Indo Kabel Tbk') ON CONFLICT DO NOTHING;</v>
      </c>
    </row>
    <row r="1684" spans="1:6" x14ac:dyDescent="0.2">
      <c r="A1684" t="s">
        <v>2407</v>
      </c>
      <c r="B1684" t="s">
        <v>2408</v>
      </c>
      <c r="C1684" t="s">
        <v>2407</v>
      </c>
      <c r="D1684" t="str">
        <f>TRIM(alias[[#This Row],[Column3]])</f>
        <v>IKPM</v>
      </c>
      <c r="F1684" t="str">
        <f t="shared" si="26"/>
        <v>INSERT INTO stock_alias (stock, alias) VALUES ((SELECT id FROM stock WHERE ticker = 'IKPM'), 'IKPM') ON CONFLICT DO NOTHING;</v>
      </c>
    </row>
    <row r="1685" spans="1:6" x14ac:dyDescent="0.2">
      <c r="A1685" t="s">
        <v>2407</v>
      </c>
      <c r="B1685" t="s">
        <v>2408</v>
      </c>
      <c r="C1685" t="s">
        <v>6136</v>
      </c>
      <c r="D1685" t="str">
        <f>TRIM(alias[[#This Row],[Column3]])</f>
        <v>Ikapharmindo Putramas</v>
      </c>
      <c r="F1685" t="str">
        <f t="shared" si="26"/>
        <v>INSERT INTO stock_alias (stock, alias) VALUES ((SELECT id FROM stock WHERE ticker = 'IKPM'), 'Ikapharmindo Putramas') ON CONFLICT DO NOTHING;</v>
      </c>
    </row>
    <row r="1686" spans="1:6" x14ac:dyDescent="0.2">
      <c r="A1686" t="s">
        <v>2407</v>
      </c>
      <c r="B1686" t="s">
        <v>2408</v>
      </c>
      <c r="C1686" t="s">
        <v>6137</v>
      </c>
      <c r="D1686" t="str">
        <f>TRIM(alias[[#This Row],[Column3]])</f>
        <v>Ikapharmindo Putramas Tbk</v>
      </c>
      <c r="F1686" t="str">
        <f t="shared" si="26"/>
        <v>INSERT INTO stock_alias (stock, alias) VALUES ((SELECT id FROM stock WHERE ticker = 'IKPM'), 'Ikapharmindo Putramas Tbk') ON CONFLICT DO NOTHING;</v>
      </c>
    </row>
    <row r="1687" spans="1:6" x14ac:dyDescent="0.2">
      <c r="A1687" t="s">
        <v>2407</v>
      </c>
      <c r="B1687" t="s">
        <v>2408</v>
      </c>
      <c r="C1687" t="s">
        <v>6138</v>
      </c>
      <c r="D1687" t="str">
        <f>TRIM(alias[[#This Row],[Column3]])</f>
        <v>PT Ikapharmindo Putramas</v>
      </c>
      <c r="F1687" t="str">
        <f t="shared" si="26"/>
        <v>INSERT INTO stock_alias (stock, alias) VALUES ((SELECT id FROM stock WHERE ticker = 'IKPM'), 'PT Ikapharmindo Putramas') ON CONFLICT DO NOTHING;</v>
      </c>
    </row>
    <row r="1688" spans="1:6" x14ac:dyDescent="0.2">
      <c r="A1688" t="s">
        <v>603</v>
      </c>
      <c r="B1688" t="s">
        <v>3583</v>
      </c>
      <c r="C1688" t="s">
        <v>603</v>
      </c>
      <c r="D1688" t="str">
        <f>TRIM(alias[[#This Row],[Column3]])</f>
        <v>IMAS</v>
      </c>
      <c r="F1688" t="str">
        <f t="shared" si="26"/>
        <v>INSERT INTO stock_alias (stock, alias) VALUES ((SELECT id FROM stock WHERE ticker = 'IMAS'), 'IMAS') ON CONFLICT DO NOTHING;</v>
      </c>
    </row>
    <row r="1689" spans="1:6" x14ac:dyDescent="0.2">
      <c r="A1689" t="s">
        <v>603</v>
      </c>
      <c r="B1689" t="s">
        <v>3583</v>
      </c>
      <c r="C1689" t="s">
        <v>6139</v>
      </c>
      <c r="D1689" t="str">
        <f>TRIM(alias[[#This Row],[Column3]])</f>
        <v>Indomobil Sukses Internasional</v>
      </c>
      <c r="F1689" t="str">
        <f t="shared" si="26"/>
        <v>INSERT INTO stock_alias (stock, alias) VALUES ((SELECT id FROM stock WHERE ticker = 'IMAS'), 'Indomobil Sukses Internasional') ON CONFLICT DO NOTHING;</v>
      </c>
    </row>
    <row r="1690" spans="1:6" x14ac:dyDescent="0.2">
      <c r="A1690" t="s">
        <v>603</v>
      </c>
      <c r="B1690" t="s">
        <v>3583</v>
      </c>
      <c r="C1690" t="s">
        <v>6140</v>
      </c>
      <c r="D1690" t="str">
        <f>TRIM(alias[[#This Row],[Column3]])</f>
        <v>Indomobil Sukses Internasional Tbk</v>
      </c>
      <c r="F1690" t="str">
        <f t="shared" si="26"/>
        <v>INSERT INTO stock_alias (stock, alias) VALUES ((SELECT id FROM stock WHERE ticker = 'IMAS'), 'Indomobil Sukses Internasional Tbk') ON CONFLICT DO NOTHING;</v>
      </c>
    </row>
    <row r="1691" spans="1:6" x14ac:dyDescent="0.2">
      <c r="A1691" t="s">
        <v>603</v>
      </c>
      <c r="B1691" t="s">
        <v>3583</v>
      </c>
      <c r="C1691" t="s">
        <v>6141</v>
      </c>
      <c r="D1691" t="str">
        <f>TRIM(alias[[#This Row],[Column3]])</f>
        <v>PT Indomobil Sukses Internasional</v>
      </c>
      <c r="F1691" t="str">
        <f t="shared" si="26"/>
        <v>INSERT INTO stock_alias (stock, alias) VALUES ((SELECT id FROM stock WHERE ticker = 'IMAS'), 'PT Indomobil Sukses Internasional') ON CONFLICT DO NOTHING;</v>
      </c>
    </row>
    <row r="1692" spans="1:6" x14ac:dyDescent="0.2">
      <c r="A1692" t="s">
        <v>605</v>
      </c>
      <c r="B1692" t="s">
        <v>606</v>
      </c>
      <c r="C1692" t="s">
        <v>605</v>
      </c>
      <c r="D1692" t="str">
        <f>TRIM(alias[[#This Row],[Column3]])</f>
        <v>IMJS</v>
      </c>
      <c r="F1692" t="str">
        <f t="shared" si="26"/>
        <v>INSERT INTO stock_alias (stock, alias) VALUES ((SELECT id FROM stock WHERE ticker = 'IMJS'), 'IMJS') ON CONFLICT DO NOTHING;</v>
      </c>
    </row>
    <row r="1693" spans="1:6" x14ac:dyDescent="0.2">
      <c r="A1693" t="s">
        <v>605</v>
      </c>
      <c r="B1693" t="s">
        <v>606</v>
      </c>
      <c r="C1693" t="s">
        <v>6142</v>
      </c>
      <c r="D1693" t="str">
        <f>TRIM(alias[[#This Row],[Column3]])</f>
        <v>Indomobil Multi Jasa</v>
      </c>
      <c r="F1693" t="str">
        <f t="shared" si="26"/>
        <v>INSERT INTO stock_alias (stock, alias) VALUES ((SELECT id FROM stock WHERE ticker = 'IMJS'), 'Indomobil Multi Jasa') ON CONFLICT DO NOTHING;</v>
      </c>
    </row>
    <row r="1694" spans="1:6" x14ac:dyDescent="0.2">
      <c r="A1694" t="s">
        <v>605</v>
      </c>
      <c r="B1694" t="s">
        <v>606</v>
      </c>
      <c r="C1694" t="s">
        <v>6143</v>
      </c>
      <c r="D1694" t="str">
        <f>TRIM(alias[[#This Row],[Column3]])</f>
        <v>Indomobil Multi Jasa Tbk</v>
      </c>
      <c r="F1694" t="str">
        <f t="shared" si="26"/>
        <v>INSERT INTO stock_alias (stock, alias) VALUES ((SELECT id FROM stock WHERE ticker = 'IMJS'), 'Indomobil Multi Jasa Tbk') ON CONFLICT DO NOTHING;</v>
      </c>
    </row>
    <row r="1695" spans="1:6" x14ac:dyDescent="0.2">
      <c r="A1695" t="s">
        <v>605</v>
      </c>
      <c r="B1695" t="s">
        <v>606</v>
      </c>
      <c r="C1695" t="s">
        <v>6144</v>
      </c>
      <c r="D1695" t="str">
        <f>TRIM(alias[[#This Row],[Column3]])</f>
        <v>PT Indomobil Multi Jasa</v>
      </c>
      <c r="F1695" t="str">
        <f t="shared" si="26"/>
        <v>INSERT INTO stock_alias (stock, alias) VALUES ((SELECT id FROM stock WHERE ticker = 'IMJS'), 'PT Indomobil Multi Jasa') ON CONFLICT DO NOTHING;</v>
      </c>
    </row>
    <row r="1696" spans="1:6" x14ac:dyDescent="0.2">
      <c r="A1696" t="s">
        <v>608</v>
      </c>
      <c r="B1696" t="s">
        <v>609</v>
      </c>
      <c r="C1696" t="s">
        <v>608</v>
      </c>
      <c r="D1696" t="str">
        <f>TRIM(alias[[#This Row],[Column3]])</f>
        <v>IMPC</v>
      </c>
      <c r="F1696" t="str">
        <f t="shared" si="26"/>
        <v>INSERT INTO stock_alias (stock, alias) VALUES ((SELECT id FROM stock WHERE ticker = 'IMPC'), 'IMPC') ON CONFLICT DO NOTHING;</v>
      </c>
    </row>
    <row r="1697" spans="1:6" x14ac:dyDescent="0.2">
      <c r="A1697" t="s">
        <v>608</v>
      </c>
      <c r="B1697" t="s">
        <v>609</v>
      </c>
      <c r="C1697" t="s">
        <v>6145</v>
      </c>
      <c r="D1697" t="str">
        <f>TRIM(alias[[#This Row],[Column3]])</f>
        <v>Impack Pratama Industri</v>
      </c>
      <c r="F1697" t="str">
        <f t="shared" si="26"/>
        <v>INSERT INTO stock_alias (stock, alias) VALUES ((SELECT id FROM stock WHERE ticker = 'IMPC'), 'Impack Pratama Industri') ON CONFLICT DO NOTHING;</v>
      </c>
    </row>
    <row r="1698" spans="1:6" x14ac:dyDescent="0.2">
      <c r="A1698" t="s">
        <v>608</v>
      </c>
      <c r="B1698" t="s">
        <v>609</v>
      </c>
      <c r="C1698" t="s">
        <v>6146</v>
      </c>
      <c r="D1698" t="str">
        <f>TRIM(alias[[#This Row],[Column3]])</f>
        <v>Impack Pratama Industri Tbk</v>
      </c>
      <c r="F1698" t="str">
        <f t="shared" si="26"/>
        <v>INSERT INTO stock_alias (stock, alias) VALUES ((SELECT id FROM stock WHERE ticker = 'IMPC'), 'Impack Pratama Industri Tbk') ON CONFLICT DO NOTHING;</v>
      </c>
    </row>
    <row r="1699" spans="1:6" x14ac:dyDescent="0.2">
      <c r="A1699" t="s">
        <v>608</v>
      </c>
      <c r="B1699" t="s">
        <v>609</v>
      </c>
      <c r="C1699" t="s">
        <v>6147</v>
      </c>
      <c r="D1699" t="str">
        <f>TRIM(alias[[#This Row],[Column3]])</f>
        <v>PT Impack Pratama Industri</v>
      </c>
      <c r="F1699" t="str">
        <f t="shared" si="26"/>
        <v>INSERT INTO stock_alias (stock, alias) VALUES ((SELECT id FROM stock WHERE ticker = 'IMPC'), 'PT Impack Pratama Industri') ON CONFLICT DO NOTHING;</v>
      </c>
    </row>
    <row r="1700" spans="1:6" x14ac:dyDescent="0.2">
      <c r="A1700" t="s">
        <v>611</v>
      </c>
      <c r="B1700" t="s">
        <v>612</v>
      </c>
      <c r="C1700" t="s">
        <v>6148</v>
      </c>
      <c r="D1700" t="str">
        <f>TRIM(alias[[#This Row],[Column3]])</f>
        <v>INAF Tbk</v>
      </c>
      <c r="F1700" t="str">
        <f t="shared" si="26"/>
        <v>INSERT INTO stock_alias (stock, alias) VALUES ((SELECT id FROM stock WHERE ticker = 'INAF'), 'INAF Tbk') ON CONFLICT DO NOTHING;</v>
      </c>
    </row>
    <row r="1701" spans="1:6" x14ac:dyDescent="0.2">
      <c r="A1701" t="s">
        <v>611</v>
      </c>
      <c r="B1701" t="s">
        <v>612</v>
      </c>
      <c r="C1701" t="s">
        <v>6149</v>
      </c>
      <c r="D1701" t="str">
        <f>TRIM(alias[[#This Row],[Column3]])</f>
        <v>PT Indofarma</v>
      </c>
      <c r="F1701" t="str">
        <f t="shared" si="26"/>
        <v>INSERT INTO stock_alias (stock, alias) VALUES ((SELECT id FROM stock WHERE ticker = 'INAF'), 'PT Indofarma') ON CONFLICT DO NOTHING;</v>
      </c>
    </row>
    <row r="1702" spans="1:6" x14ac:dyDescent="0.2">
      <c r="A1702" t="s">
        <v>614</v>
      </c>
      <c r="B1702" t="s">
        <v>615</v>
      </c>
      <c r="C1702" t="s">
        <v>614</v>
      </c>
      <c r="D1702" t="str">
        <f>TRIM(alias[[#This Row],[Column3]])</f>
        <v>INAI</v>
      </c>
      <c r="F1702" t="str">
        <f t="shared" si="26"/>
        <v>INSERT INTO stock_alias (stock, alias) VALUES ((SELECT id FROM stock WHERE ticker = 'INAI'), 'INAI') ON CONFLICT DO NOTHING;</v>
      </c>
    </row>
    <row r="1703" spans="1:6" x14ac:dyDescent="0.2">
      <c r="A1703" t="s">
        <v>614</v>
      </c>
      <c r="B1703" t="s">
        <v>615</v>
      </c>
      <c r="C1703" t="s">
        <v>6150</v>
      </c>
      <c r="D1703" t="str">
        <f>TRIM(alias[[#This Row],[Column3]])</f>
        <v>Indal Aluminium Industry</v>
      </c>
      <c r="F1703" t="str">
        <f t="shared" si="26"/>
        <v>INSERT INTO stock_alias (stock, alias) VALUES ((SELECT id FROM stock WHERE ticker = 'INAI'), 'Indal Aluminium Industry') ON CONFLICT DO NOTHING;</v>
      </c>
    </row>
    <row r="1704" spans="1:6" x14ac:dyDescent="0.2">
      <c r="A1704" t="s">
        <v>614</v>
      </c>
      <c r="B1704" t="s">
        <v>615</v>
      </c>
      <c r="C1704" t="s">
        <v>6151</v>
      </c>
      <c r="D1704" t="str">
        <f>TRIM(alias[[#This Row],[Column3]])</f>
        <v>Indal Aluminium Industry Tbk</v>
      </c>
      <c r="F1704" t="str">
        <f t="shared" si="26"/>
        <v>INSERT INTO stock_alias (stock, alias) VALUES ((SELECT id FROM stock WHERE ticker = 'INAI'), 'Indal Aluminium Industry Tbk') ON CONFLICT DO NOTHING;</v>
      </c>
    </row>
    <row r="1705" spans="1:6" x14ac:dyDescent="0.2">
      <c r="A1705" t="s">
        <v>614</v>
      </c>
      <c r="B1705" t="s">
        <v>615</v>
      </c>
      <c r="C1705" t="s">
        <v>6152</v>
      </c>
      <c r="D1705" t="str">
        <f>TRIM(alias[[#This Row],[Column3]])</f>
        <v>PT Indal Aluminium Industry</v>
      </c>
      <c r="F1705" t="str">
        <f t="shared" si="26"/>
        <v>INSERT INTO stock_alias (stock, alias) VALUES ((SELECT id FROM stock WHERE ticker = 'INAI'), 'PT Indal Aluminium Industry') ON CONFLICT DO NOTHING;</v>
      </c>
    </row>
    <row r="1706" spans="1:6" x14ac:dyDescent="0.2">
      <c r="A1706" t="s">
        <v>1375</v>
      </c>
      <c r="B1706" t="s">
        <v>1376</v>
      </c>
      <c r="C1706" t="s">
        <v>1375</v>
      </c>
      <c r="D1706" t="str">
        <f>TRIM(alias[[#This Row],[Column3]])</f>
        <v>INCF</v>
      </c>
      <c r="F1706" t="str">
        <f t="shared" si="26"/>
        <v>INSERT INTO stock_alias (stock, alias) VALUES ((SELECT id FROM stock WHERE ticker = 'INCF'), 'INCF') ON CONFLICT DO NOTHING;</v>
      </c>
    </row>
    <row r="1707" spans="1:6" x14ac:dyDescent="0.2">
      <c r="A1707" t="s">
        <v>1375</v>
      </c>
      <c r="B1707" t="s">
        <v>1376</v>
      </c>
      <c r="C1707" t="s">
        <v>6153</v>
      </c>
      <c r="D1707" t="str">
        <f>TRIM(alias[[#This Row],[Column3]])</f>
        <v>Indo Komoditi Korpora</v>
      </c>
      <c r="F1707" t="str">
        <f t="shared" si="26"/>
        <v>INSERT INTO stock_alias (stock, alias) VALUES ((SELECT id FROM stock WHERE ticker = 'INCF'), 'Indo Komoditi Korpora') ON CONFLICT DO NOTHING;</v>
      </c>
    </row>
    <row r="1708" spans="1:6" x14ac:dyDescent="0.2">
      <c r="A1708" t="s">
        <v>1375</v>
      </c>
      <c r="B1708" t="s">
        <v>1376</v>
      </c>
      <c r="C1708" t="s">
        <v>6154</v>
      </c>
      <c r="D1708" t="str">
        <f>TRIM(alias[[#This Row],[Column3]])</f>
        <v>Indo Komoditi Korpora Tbk</v>
      </c>
      <c r="F1708" t="str">
        <f t="shared" si="26"/>
        <v>INSERT INTO stock_alias (stock, alias) VALUES ((SELECT id FROM stock WHERE ticker = 'INCF'), 'Indo Komoditi Korpora Tbk') ON CONFLICT DO NOTHING;</v>
      </c>
    </row>
    <row r="1709" spans="1:6" x14ac:dyDescent="0.2">
      <c r="A1709" t="s">
        <v>1375</v>
      </c>
      <c r="B1709" t="s">
        <v>1376</v>
      </c>
      <c r="C1709" t="s">
        <v>6155</v>
      </c>
      <c r="D1709" t="str">
        <f>TRIM(alias[[#This Row],[Column3]])</f>
        <v>PT Indo Komoditi Korpora</v>
      </c>
      <c r="F1709" t="str">
        <f t="shared" si="26"/>
        <v>INSERT INTO stock_alias (stock, alias) VALUES ((SELECT id FROM stock WHERE ticker = 'INCF'), 'PT Indo Komoditi Korpora') ON CONFLICT DO NOTHING;</v>
      </c>
    </row>
    <row r="1710" spans="1:6" x14ac:dyDescent="0.2">
      <c r="A1710" t="s">
        <v>617</v>
      </c>
      <c r="B1710" t="s">
        <v>3584</v>
      </c>
      <c r="C1710" t="s">
        <v>617</v>
      </c>
      <c r="D1710" t="str">
        <f>TRIM(alias[[#This Row],[Column3]])</f>
        <v>INCI</v>
      </c>
      <c r="F1710" t="str">
        <f t="shared" si="26"/>
        <v>INSERT INTO stock_alias (stock, alias) VALUES ((SELECT id FROM stock WHERE ticker = 'INCI'), 'INCI') ON CONFLICT DO NOTHING;</v>
      </c>
    </row>
    <row r="1711" spans="1:6" x14ac:dyDescent="0.2">
      <c r="A1711" t="s">
        <v>617</v>
      </c>
      <c r="B1711" t="s">
        <v>3584</v>
      </c>
      <c r="C1711" t="s">
        <v>6156</v>
      </c>
      <c r="D1711" t="str">
        <f>TRIM(alias[[#This Row],[Column3]])</f>
        <v>Intanwijaya Internasional</v>
      </c>
      <c r="F1711" t="str">
        <f t="shared" si="26"/>
        <v>INSERT INTO stock_alias (stock, alias) VALUES ((SELECT id FROM stock WHERE ticker = 'INCI'), 'Intanwijaya Internasional') ON CONFLICT DO NOTHING;</v>
      </c>
    </row>
    <row r="1712" spans="1:6" x14ac:dyDescent="0.2">
      <c r="A1712" t="s">
        <v>617</v>
      </c>
      <c r="B1712" t="s">
        <v>3584</v>
      </c>
      <c r="C1712" t="s">
        <v>6157</v>
      </c>
      <c r="D1712" t="str">
        <f>TRIM(alias[[#This Row],[Column3]])</f>
        <v>Intanwijaya Internasional Tbk</v>
      </c>
      <c r="F1712" t="str">
        <f t="shared" si="26"/>
        <v>INSERT INTO stock_alias (stock, alias) VALUES ((SELECT id FROM stock WHERE ticker = 'INCI'), 'Intanwijaya Internasional Tbk') ON CONFLICT DO NOTHING;</v>
      </c>
    </row>
    <row r="1713" spans="1:6" x14ac:dyDescent="0.2">
      <c r="A1713" t="s">
        <v>617</v>
      </c>
      <c r="B1713" t="s">
        <v>3584</v>
      </c>
      <c r="C1713" t="s">
        <v>6158</v>
      </c>
      <c r="D1713" t="str">
        <f>TRIM(alias[[#This Row],[Column3]])</f>
        <v>PT Intanwijaya Internasional</v>
      </c>
      <c r="F1713" t="str">
        <f t="shared" si="26"/>
        <v>INSERT INTO stock_alias (stock, alias) VALUES ((SELECT id FROM stock WHERE ticker = 'INCI'), 'PT Intanwijaya Internasional') ON CONFLICT DO NOTHING;</v>
      </c>
    </row>
    <row r="1714" spans="1:6" x14ac:dyDescent="0.2">
      <c r="A1714" t="s">
        <v>620</v>
      </c>
      <c r="B1714" t="s">
        <v>621</v>
      </c>
      <c r="C1714" t="s">
        <v>620</v>
      </c>
      <c r="D1714" t="str">
        <f>TRIM(alias[[#This Row],[Column3]])</f>
        <v>INCO</v>
      </c>
      <c r="F1714" t="str">
        <f t="shared" si="26"/>
        <v>INSERT INTO stock_alias (stock, alias) VALUES ((SELECT id FROM stock WHERE ticker = 'INCO'), 'INCO') ON CONFLICT DO NOTHING;</v>
      </c>
    </row>
    <row r="1715" spans="1:6" x14ac:dyDescent="0.2">
      <c r="A1715" t="s">
        <v>620</v>
      </c>
      <c r="B1715" t="s">
        <v>621</v>
      </c>
      <c r="C1715" t="s">
        <v>6159</v>
      </c>
      <c r="D1715" t="str">
        <f>TRIM(alias[[#This Row],[Column3]])</f>
        <v>PT Vale Indonesia</v>
      </c>
      <c r="F1715" t="str">
        <f t="shared" si="26"/>
        <v>INSERT INTO stock_alias (stock, alias) VALUES ((SELECT id FROM stock WHERE ticker = 'INCO'), 'PT Vale Indonesia') ON CONFLICT DO NOTHING;</v>
      </c>
    </row>
    <row r="1716" spans="1:6" x14ac:dyDescent="0.2">
      <c r="A1716" t="s">
        <v>620</v>
      </c>
      <c r="B1716" t="s">
        <v>621</v>
      </c>
      <c r="C1716" t="s">
        <v>6160</v>
      </c>
      <c r="D1716" t="str">
        <f>TRIM(alias[[#This Row],[Column3]])</f>
        <v>Vale Indonesia</v>
      </c>
      <c r="F1716" t="str">
        <f t="shared" si="26"/>
        <v>INSERT INTO stock_alias (stock, alias) VALUES ((SELECT id FROM stock WHERE ticker = 'INCO'), 'Vale Indonesia') ON CONFLICT DO NOTHING;</v>
      </c>
    </row>
    <row r="1717" spans="1:6" x14ac:dyDescent="0.2">
      <c r="A1717" t="s">
        <v>620</v>
      </c>
      <c r="B1717" t="s">
        <v>621</v>
      </c>
      <c r="C1717" t="s">
        <v>6161</v>
      </c>
      <c r="D1717" t="str">
        <f>TRIM(alias[[#This Row],[Column3]])</f>
        <v>Vale Indonesia Tbk</v>
      </c>
      <c r="F1717" t="str">
        <f t="shared" si="26"/>
        <v>INSERT INTO stock_alias (stock, alias) VALUES ((SELECT id FROM stock WHERE ticker = 'INCO'), 'Vale Indonesia Tbk') ON CONFLICT DO NOTHING;</v>
      </c>
    </row>
    <row r="1718" spans="1:6" x14ac:dyDescent="0.2">
      <c r="A1718" t="s">
        <v>623</v>
      </c>
      <c r="B1718" t="s">
        <v>624</v>
      </c>
      <c r="C1718" t="s">
        <v>623</v>
      </c>
      <c r="D1718" t="str">
        <f>TRIM(alias[[#This Row],[Column3]])</f>
        <v>INDF</v>
      </c>
      <c r="F1718" t="str">
        <f t="shared" si="26"/>
        <v>INSERT INTO stock_alias (stock, alias) VALUES ((SELECT id FROM stock WHERE ticker = 'INDF'), 'INDF') ON CONFLICT DO NOTHING;</v>
      </c>
    </row>
    <row r="1719" spans="1:6" x14ac:dyDescent="0.2">
      <c r="A1719" t="s">
        <v>623</v>
      </c>
      <c r="B1719" t="s">
        <v>624</v>
      </c>
      <c r="C1719" t="s">
        <v>6162</v>
      </c>
      <c r="D1719" t="str">
        <f>TRIM(alias[[#This Row],[Column3]])</f>
        <v>Indofood Sukses Makmur</v>
      </c>
      <c r="F1719" t="str">
        <f t="shared" si="26"/>
        <v>INSERT INTO stock_alias (stock, alias) VALUES ((SELECT id FROM stock WHERE ticker = 'INDF'), 'Indofood Sukses Makmur') ON CONFLICT DO NOTHING;</v>
      </c>
    </row>
    <row r="1720" spans="1:6" x14ac:dyDescent="0.2">
      <c r="A1720" t="s">
        <v>623</v>
      </c>
      <c r="B1720" t="s">
        <v>624</v>
      </c>
      <c r="C1720" t="s">
        <v>6163</v>
      </c>
      <c r="D1720" t="str">
        <f>TRIM(alias[[#This Row],[Column3]])</f>
        <v>Indofood Sukses Makmur Tbk</v>
      </c>
      <c r="F1720" t="str">
        <f t="shared" si="26"/>
        <v>INSERT INTO stock_alias (stock, alias) VALUES ((SELECT id FROM stock WHERE ticker = 'INDF'), 'Indofood Sukses Makmur Tbk') ON CONFLICT DO NOTHING;</v>
      </c>
    </row>
    <row r="1721" spans="1:6" x14ac:dyDescent="0.2">
      <c r="A1721" t="s">
        <v>623</v>
      </c>
      <c r="B1721" t="s">
        <v>624</v>
      </c>
      <c r="C1721" t="s">
        <v>6164</v>
      </c>
      <c r="D1721" t="str">
        <f>TRIM(alias[[#This Row],[Column3]])</f>
        <v>PT Indofood Sukses Makmur</v>
      </c>
      <c r="F1721" t="str">
        <f t="shared" si="26"/>
        <v>INSERT INTO stock_alias (stock, alias) VALUES ((SELECT id FROM stock WHERE ticker = 'INDF'), 'PT Indofood Sukses Makmur') ON CONFLICT DO NOTHING;</v>
      </c>
    </row>
    <row r="1722" spans="1:6" x14ac:dyDescent="0.2">
      <c r="A1722" t="s">
        <v>1802</v>
      </c>
      <c r="B1722" t="s">
        <v>1803</v>
      </c>
      <c r="C1722" t="s">
        <v>1802</v>
      </c>
      <c r="D1722" t="str">
        <f>TRIM(alias[[#This Row],[Column3]])</f>
        <v>INDO</v>
      </c>
      <c r="F1722" t="str">
        <f t="shared" si="26"/>
        <v>INSERT INTO stock_alias (stock, alias) VALUES ((SELECT id FROM stock WHERE ticker = 'INDO'), 'INDO') ON CONFLICT DO NOTHING;</v>
      </c>
    </row>
    <row r="1723" spans="1:6" x14ac:dyDescent="0.2">
      <c r="A1723" t="s">
        <v>1802</v>
      </c>
      <c r="B1723" t="s">
        <v>1803</v>
      </c>
      <c r="C1723" t="s">
        <v>6165</v>
      </c>
      <c r="D1723" t="str">
        <f>TRIM(alias[[#This Row],[Column3]])</f>
        <v>PT Royalindo Investa Wijaya</v>
      </c>
      <c r="F1723" t="str">
        <f t="shared" si="26"/>
        <v>INSERT INTO stock_alias (stock, alias) VALUES ((SELECT id FROM stock WHERE ticker = 'INDO'), 'PT Royalindo Investa Wijaya') ON CONFLICT DO NOTHING;</v>
      </c>
    </row>
    <row r="1724" spans="1:6" x14ac:dyDescent="0.2">
      <c r="A1724" t="s">
        <v>1802</v>
      </c>
      <c r="B1724" t="s">
        <v>1803</v>
      </c>
      <c r="C1724" t="s">
        <v>6166</v>
      </c>
      <c r="D1724" t="str">
        <f>TRIM(alias[[#This Row],[Column3]])</f>
        <v>Royalindo Investa Wijaya</v>
      </c>
      <c r="F1724" t="str">
        <f t="shared" si="26"/>
        <v>INSERT INTO stock_alias (stock, alias) VALUES ((SELECT id FROM stock WHERE ticker = 'INDO'), 'Royalindo Investa Wijaya') ON CONFLICT DO NOTHING;</v>
      </c>
    </row>
    <row r="1725" spans="1:6" x14ac:dyDescent="0.2">
      <c r="A1725" t="s">
        <v>1802</v>
      </c>
      <c r="B1725" t="s">
        <v>1803</v>
      </c>
      <c r="C1725" t="s">
        <v>6167</v>
      </c>
      <c r="D1725" t="str">
        <f>TRIM(alias[[#This Row],[Column3]])</f>
        <v>Royalindo Investa Wijaya Tbk</v>
      </c>
      <c r="F1725" t="str">
        <f t="shared" si="26"/>
        <v>INSERT INTO stock_alias (stock, alias) VALUES ((SELECT id FROM stock WHERE ticker = 'INDO'), 'Royalindo Investa Wijaya Tbk') ON CONFLICT DO NOTHING;</v>
      </c>
    </row>
    <row r="1726" spans="1:6" x14ac:dyDescent="0.2">
      <c r="A1726" t="s">
        <v>626</v>
      </c>
      <c r="B1726" t="s">
        <v>3890</v>
      </c>
      <c r="C1726" t="s">
        <v>626</v>
      </c>
      <c r="D1726" t="str">
        <f>TRIM(alias[[#This Row],[Column3]])</f>
        <v>INDR</v>
      </c>
      <c r="F1726" t="str">
        <f t="shared" si="26"/>
        <v>INSERT INTO stock_alias (stock, alias) VALUES ((SELECT id FROM stock WHERE ticker = 'INDR'), 'INDR') ON CONFLICT DO NOTHING;</v>
      </c>
    </row>
    <row r="1727" spans="1:6" x14ac:dyDescent="0.2">
      <c r="A1727" t="s">
        <v>626</v>
      </c>
      <c r="B1727" t="s">
        <v>3890</v>
      </c>
      <c r="C1727" t="s">
        <v>6168</v>
      </c>
      <c r="D1727" t="str">
        <f>TRIM(alias[[#This Row],[Column3]])</f>
        <v>Indorama Synthetics</v>
      </c>
      <c r="F1727" t="str">
        <f t="shared" si="26"/>
        <v>INSERT INTO stock_alias (stock, alias) VALUES ((SELECT id FROM stock WHERE ticker = 'INDR'), 'Indorama Synthetics') ON CONFLICT DO NOTHING;</v>
      </c>
    </row>
    <row r="1728" spans="1:6" x14ac:dyDescent="0.2">
      <c r="A1728" t="s">
        <v>626</v>
      </c>
      <c r="B1728" t="s">
        <v>3890</v>
      </c>
      <c r="C1728" t="s">
        <v>6169</v>
      </c>
      <c r="D1728" t="str">
        <f>TRIM(alias[[#This Row],[Column3]])</f>
        <v>Indorama Synthetics Tbk</v>
      </c>
      <c r="F1728" t="str">
        <f t="shared" si="26"/>
        <v>INSERT INTO stock_alias (stock, alias) VALUES ((SELECT id FROM stock WHERE ticker = 'INDR'), 'Indorama Synthetics Tbk') ON CONFLICT DO NOTHING;</v>
      </c>
    </row>
    <row r="1729" spans="1:6" x14ac:dyDescent="0.2">
      <c r="A1729" t="s">
        <v>626</v>
      </c>
      <c r="B1729" t="s">
        <v>3890</v>
      </c>
      <c r="C1729" t="s">
        <v>6170</v>
      </c>
      <c r="D1729" t="str">
        <f>TRIM(alias[[#This Row],[Column3]])</f>
        <v>PT Indorama Synthetics</v>
      </c>
      <c r="F1729" t="str">
        <f t="shared" si="26"/>
        <v>INSERT INTO stock_alias (stock, alias) VALUES ((SELECT id FROM stock WHERE ticker = 'INDR'), 'PT Indorama Synthetics') ON CONFLICT DO NOTHING;</v>
      </c>
    </row>
    <row r="1730" spans="1:6" x14ac:dyDescent="0.2">
      <c r="A1730" t="s">
        <v>628</v>
      </c>
      <c r="B1730" t="s">
        <v>629</v>
      </c>
      <c r="C1730" t="s">
        <v>6171</v>
      </c>
      <c r="D1730" t="str">
        <f>TRIM(alias[[#This Row],[Column3]])</f>
        <v>INDS Tbk</v>
      </c>
      <c r="F1730" t="str">
        <f t="shared" si="26"/>
        <v>INSERT INTO stock_alias (stock, alias) VALUES ((SELECT id FROM stock WHERE ticker = 'INDS'), 'INDS Tbk') ON CONFLICT DO NOTHING;</v>
      </c>
    </row>
    <row r="1731" spans="1:6" x14ac:dyDescent="0.2">
      <c r="A1731" t="s">
        <v>628</v>
      </c>
      <c r="B1731" t="s">
        <v>629</v>
      </c>
      <c r="C1731" t="s">
        <v>6172</v>
      </c>
      <c r="D1731" t="str">
        <f>TRIM(alias[[#This Row],[Column3]])</f>
        <v>PT Indospring</v>
      </c>
      <c r="F1731" t="str">
        <f t="shared" ref="F1731:F1794" si="27">_xlfn.CONCAT($F$1, _xlfn.CONCAT($G$1, A1731, "'), '", D1731, "') ON CONFLICT DO NOTHING;"))</f>
        <v>INSERT INTO stock_alias (stock, alias) VALUES ((SELECT id FROM stock WHERE ticker = 'INDS'), 'PT Indospring') ON CONFLICT DO NOTHING;</v>
      </c>
    </row>
    <row r="1732" spans="1:6" x14ac:dyDescent="0.2">
      <c r="A1732" t="s">
        <v>631</v>
      </c>
      <c r="B1732" t="s">
        <v>3585</v>
      </c>
      <c r="C1732" t="s">
        <v>631</v>
      </c>
      <c r="D1732" t="str">
        <f>TRIM(alias[[#This Row],[Column3]])</f>
        <v>INDX</v>
      </c>
      <c r="F1732" t="str">
        <f t="shared" si="27"/>
        <v>INSERT INTO stock_alias (stock, alias) VALUES ((SELECT id FROM stock WHERE ticker = 'INDX'), 'INDX') ON CONFLICT DO NOTHING;</v>
      </c>
    </row>
    <row r="1733" spans="1:6" x14ac:dyDescent="0.2">
      <c r="A1733" t="s">
        <v>631</v>
      </c>
      <c r="B1733" t="s">
        <v>3585</v>
      </c>
      <c r="C1733" t="s">
        <v>6173</v>
      </c>
      <c r="D1733" t="str">
        <f>TRIM(alias[[#This Row],[Column3]])</f>
        <v>PT Tanah Laut</v>
      </c>
      <c r="F1733" t="str">
        <f t="shared" si="27"/>
        <v>INSERT INTO stock_alias (stock, alias) VALUES ((SELECT id FROM stock WHERE ticker = 'INDX'), 'PT Tanah Laut') ON CONFLICT DO NOTHING;</v>
      </c>
    </row>
    <row r="1734" spans="1:6" x14ac:dyDescent="0.2">
      <c r="A1734" t="s">
        <v>631</v>
      </c>
      <c r="B1734" t="s">
        <v>3585</v>
      </c>
      <c r="C1734" t="s">
        <v>6174</v>
      </c>
      <c r="D1734" t="str">
        <f>TRIM(alias[[#This Row],[Column3]])</f>
        <v>Tanah Laut</v>
      </c>
      <c r="F1734" t="str">
        <f t="shared" si="27"/>
        <v>INSERT INTO stock_alias (stock, alias) VALUES ((SELECT id FROM stock WHERE ticker = 'INDX'), 'Tanah Laut') ON CONFLICT DO NOTHING;</v>
      </c>
    </row>
    <row r="1735" spans="1:6" x14ac:dyDescent="0.2">
      <c r="A1735" t="s">
        <v>631</v>
      </c>
      <c r="B1735" t="s">
        <v>3585</v>
      </c>
      <c r="C1735" t="s">
        <v>6175</v>
      </c>
      <c r="D1735" t="str">
        <f>TRIM(alias[[#This Row],[Column3]])</f>
        <v>Tanah Laut Tbk</v>
      </c>
      <c r="F1735" t="str">
        <f t="shared" si="27"/>
        <v>INSERT INTO stock_alias (stock, alias) VALUES ((SELECT id FROM stock WHERE ticker = 'INDX'), 'Tanah Laut Tbk') ON CONFLICT DO NOTHING;</v>
      </c>
    </row>
    <row r="1736" spans="1:6" x14ac:dyDescent="0.2">
      <c r="A1736" t="s">
        <v>634</v>
      </c>
      <c r="B1736" t="s">
        <v>635</v>
      </c>
      <c r="C1736" t="s">
        <v>634</v>
      </c>
      <c r="D1736" t="str">
        <f>TRIM(alias[[#This Row],[Column3]])</f>
        <v>INDY</v>
      </c>
      <c r="F1736" t="str">
        <f t="shared" si="27"/>
        <v>INSERT INTO stock_alias (stock, alias) VALUES ((SELECT id FROM stock WHERE ticker = 'INDY'), 'INDY') ON CONFLICT DO NOTHING;</v>
      </c>
    </row>
    <row r="1737" spans="1:6" x14ac:dyDescent="0.2">
      <c r="A1737" t="s">
        <v>634</v>
      </c>
      <c r="B1737" t="s">
        <v>635</v>
      </c>
      <c r="C1737" t="s">
        <v>6176</v>
      </c>
      <c r="D1737" t="str">
        <f>TRIM(alias[[#This Row],[Column3]])</f>
        <v>Indika Energy</v>
      </c>
      <c r="F1737" t="str">
        <f t="shared" si="27"/>
        <v>INSERT INTO stock_alias (stock, alias) VALUES ((SELECT id FROM stock WHERE ticker = 'INDY'), 'Indika Energy') ON CONFLICT DO NOTHING;</v>
      </c>
    </row>
    <row r="1738" spans="1:6" x14ac:dyDescent="0.2">
      <c r="A1738" t="s">
        <v>634</v>
      </c>
      <c r="B1738" t="s">
        <v>635</v>
      </c>
      <c r="C1738" t="s">
        <v>6177</v>
      </c>
      <c r="D1738" t="str">
        <f>TRIM(alias[[#This Row],[Column3]])</f>
        <v>Indika Energy Tbk</v>
      </c>
      <c r="F1738" t="str">
        <f t="shared" si="27"/>
        <v>INSERT INTO stock_alias (stock, alias) VALUES ((SELECT id FROM stock WHERE ticker = 'INDY'), 'Indika Energy Tbk') ON CONFLICT DO NOTHING;</v>
      </c>
    </row>
    <row r="1739" spans="1:6" x14ac:dyDescent="0.2">
      <c r="A1739" t="s">
        <v>634</v>
      </c>
      <c r="B1739" t="s">
        <v>635</v>
      </c>
      <c r="C1739" t="s">
        <v>6178</v>
      </c>
      <c r="D1739" t="str">
        <f>TRIM(alias[[#This Row],[Column3]])</f>
        <v>PT Indika Energy</v>
      </c>
      <c r="F1739" t="str">
        <f t="shared" si="27"/>
        <v>INSERT INTO stock_alias (stock, alias) VALUES ((SELECT id FROM stock WHERE ticker = 'INDY'), 'PT Indika Energy') ON CONFLICT DO NOTHING;</v>
      </c>
    </row>
    <row r="1740" spans="1:6" x14ac:dyDescent="0.2">
      <c r="A1740" t="s">
        <v>2333</v>
      </c>
      <c r="B1740" t="s">
        <v>3586</v>
      </c>
      <c r="C1740" t="s">
        <v>2333</v>
      </c>
      <c r="D1740" t="str">
        <f>TRIM(alias[[#This Row],[Column3]])</f>
        <v>INET</v>
      </c>
      <c r="F1740" t="str">
        <f t="shared" si="27"/>
        <v>INSERT INTO stock_alias (stock, alias) VALUES ((SELECT id FROM stock WHERE ticker = 'INET'), 'INET') ON CONFLICT DO NOTHING;</v>
      </c>
    </row>
    <row r="1741" spans="1:6" x14ac:dyDescent="0.2">
      <c r="A1741" t="s">
        <v>2333</v>
      </c>
      <c r="B1741" t="s">
        <v>3586</v>
      </c>
      <c r="C1741" t="s">
        <v>6179</v>
      </c>
      <c r="D1741" t="str">
        <f>TRIM(alias[[#This Row],[Column3]])</f>
        <v>PT Sinergi Inti Andalan Prima</v>
      </c>
      <c r="F1741" t="str">
        <f t="shared" si="27"/>
        <v>INSERT INTO stock_alias (stock, alias) VALUES ((SELECT id FROM stock WHERE ticker = 'INET'), 'PT Sinergi Inti Andalan Prima') ON CONFLICT DO NOTHING;</v>
      </c>
    </row>
    <row r="1742" spans="1:6" x14ac:dyDescent="0.2">
      <c r="A1742" t="s">
        <v>2333</v>
      </c>
      <c r="B1742" t="s">
        <v>3586</v>
      </c>
      <c r="C1742" t="s">
        <v>6180</v>
      </c>
      <c r="D1742" t="str">
        <f>TRIM(alias[[#This Row],[Column3]])</f>
        <v>Sinergi Inti Andalan Prima</v>
      </c>
      <c r="F1742" t="str">
        <f t="shared" si="27"/>
        <v>INSERT INTO stock_alias (stock, alias) VALUES ((SELECT id FROM stock WHERE ticker = 'INET'), 'Sinergi Inti Andalan Prima') ON CONFLICT DO NOTHING;</v>
      </c>
    </row>
    <row r="1743" spans="1:6" x14ac:dyDescent="0.2">
      <c r="A1743" t="s">
        <v>2333</v>
      </c>
      <c r="B1743" t="s">
        <v>3586</v>
      </c>
      <c r="C1743" t="s">
        <v>6181</v>
      </c>
      <c r="D1743" t="str">
        <f>TRIM(alias[[#This Row],[Column3]])</f>
        <v>Sinergi Inti Andalan Prima Tbk</v>
      </c>
      <c r="F1743" t="str">
        <f t="shared" si="27"/>
        <v>INSERT INTO stock_alias (stock, alias) VALUES ((SELECT id FROM stock WHERE ticker = 'INET'), 'Sinergi Inti Andalan Prima Tbk') ON CONFLICT DO NOTHING;</v>
      </c>
    </row>
    <row r="1744" spans="1:6" x14ac:dyDescent="0.2">
      <c r="A1744" t="s">
        <v>637</v>
      </c>
      <c r="B1744" t="s">
        <v>638</v>
      </c>
      <c r="C1744" t="s">
        <v>637</v>
      </c>
      <c r="D1744" t="str">
        <f>TRIM(alias[[#This Row],[Column3]])</f>
        <v>INKP</v>
      </c>
      <c r="F1744" t="str">
        <f t="shared" si="27"/>
        <v>INSERT INTO stock_alias (stock, alias) VALUES ((SELECT id FROM stock WHERE ticker = 'INKP'), 'INKP') ON CONFLICT DO NOTHING;</v>
      </c>
    </row>
    <row r="1745" spans="1:6" x14ac:dyDescent="0.2">
      <c r="A1745" t="s">
        <v>637</v>
      </c>
      <c r="B1745" t="s">
        <v>638</v>
      </c>
      <c r="C1745" t="s">
        <v>6182</v>
      </c>
      <c r="D1745" t="str">
        <f>TRIM(alias[[#This Row],[Column3]])</f>
        <v>Indah Kiat Pulp &amp; Paper</v>
      </c>
      <c r="F1745" t="str">
        <f t="shared" si="27"/>
        <v>INSERT INTO stock_alias (stock, alias) VALUES ((SELECT id FROM stock WHERE ticker = 'INKP'), 'Indah Kiat Pulp &amp; Paper') ON CONFLICT DO NOTHING;</v>
      </c>
    </row>
    <row r="1746" spans="1:6" x14ac:dyDescent="0.2">
      <c r="A1746" t="s">
        <v>637</v>
      </c>
      <c r="B1746" t="s">
        <v>638</v>
      </c>
      <c r="C1746" t="s">
        <v>6183</v>
      </c>
      <c r="D1746" t="str">
        <f>TRIM(alias[[#This Row],[Column3]])</f>
        <v>Indah Kiat Pulp &amp; Paper Tbk</v>
      </c>
      <c r="F1746" t="str">
        <f t="shared" si="27"/>
        <v>INSERT INTO stock_alias (stock, alias) VALUES ((SELECT id FROM stock WHERE ticker = 'INKP'), 'Indah Kiat Pulp &amp; Paper Tbk') ON CONFLICT DO NOTHING;</v>
      </c>
    </row>
    <row r="1747" spans="1:6" x14ac:dyDescent="0.2">
      <c r="A1747" t="s">
        <v>637</v>
      </c>
      <c r="B1747" t="s">
        <v>638</v>
      </c>
      <c r="C1747" t="s">
        <v>6184</v>
      </c>
      <c r="D1747" t="str">
        <f>TRIM(alias[[#This Row],[Column3]])</f>
        <v>PT Indah Kiat Pulp &amp; Paper</v>
      </c>
      <c r="F1747" t="str">
        <f t="shared" si="27"/>
        <v>INSERT INTO stock_alias (stock, alias) VALUES ((SELECT id FROM stock WHERE ticker = 'INKP'), 'PT Indah Kiat Pulp &amp; Paper') ON CONFLICT DO NOTHING;</v>
      </c>
    </row>
    <row r="1748" spans="1:6" x14ac:dyDescent="0.2">
      <c r="A1748" t="s">
        <v>1717</v>
      </c>
      <c r="B1748" t="s">
        <v>1718</v>
      </c>
      <c r="C1748" t="s">
        <v>1717</v>
      </c>
      <c r="D1748" t="str">
        <f>TRIM(alias[[#This Row],[Column3]])</f>
        <v>INOV</v>
      </c>
      <c r="F1748" t="str">
        <f t="shared" si="27"/>
        <v>INSERT INTO stock_alias (stock, alias) VALUES ((SELECT id FROM stock WHERE ticker = 'INOV'), 'INOV') ON CONFLICT DO NOTHING;</v>
      </c>
    </row>
    <row r="1749" spans="1:6" x14ac:dyDescent="0.2">
      <c r="A1749" t="s">
        <v>1717</v>
      </c>
      <c r="B1749" t="s">
        <v>1718</v>
      </c>
      <c r="C1749" t="s">
        <v>6185</v>
      </c>
      <c r="D1749" t="str">
        <f>TRIM(alias[[#This Row],[Column3]])</f>
        <v>Inocycle Technology Group</v>
      </c>
      <c r="F1749" t="str">
        <f t="shared" si="27"/>
        <v>INSERT INTO stock_alias (stock, alias) VALUES ((SELECT id FROM stock WHERE ticker = 'INOV'), 'Inocycle Technology Group') ON CONFLICT DO NOTHING;</v>
      </c>
    </row>
    <row r="1750" spans="1:6" x14ac:dyDescent="0.2">
      <c r="A1750" t="s">
        <v>1717</v>
      </c>
      <c r="B1750" t="s">
        <v>1718</v>
      </c>
      <c r="C1750" t="s">
        <v>6186</v>
      </c>
      <c r="D1750" t="str">
        <f>TRIM(alias[[#This Row],[Column3]])</f>
        <v>Inocycle Technology Group Tbk</v>
      </c>
      <c r="F1750" t="str">
        <f t="shared" si="27"/>
        <v>INSERT INTO stock_alias (stock, alias) VALUES ((SELECT id FROM stock WHERE ticker = 'INOV'), 'Inocycle Technology Group Tbk') ON CONFLICT DO NOTHING;</v>
      </c>
    </row>
    <row r="1751" spans="1:6" x14ac:dyDescent="0.2">
      <c r="A1751" t="s">
        <v>1717</v>
      </c>
      <c r="B1751" t="s">
        <v>1718</v>
      </c>
      <c r="C1751" t="s">
        <v>6187</v>
      </c>
      <c r="D1751" t="str">
        <f>TRIM(alias[[#This Row],[Column3]])</f>
        <v>PT Inocycle Technology Group</v>
      </c>
      <c r="F1751" t="str">
        <f t="shared" si="27"/>
        <v>INSERT INTO stock_alias (stock, alias) VALUES ((SELECT id FROM stock WHERE ticker = 'INOV'), 'PT Inocycle Technology Group') ON CONFLICT DO NOTHING;</v>
      </c>
    </row>
    <row r="1752" spans="1:6" x14ac:dyDescent="0.2">
      <c r="A1752" t="s">
        <v>640</v>
      </c>
      <c r="B1752" t="s">
        <v>3587</v>
      </c>
      <c r="C1752" t="s">
        <v>640</v>
      </c>
      <c r="D1752" t="str">
        <f>TRIM(alias[[#This Row],[Column3]])</f>
        <v>INPC</v>
      </c>
      <c r="F1752" t="str">
        <f t="shared" si="27"/>
        <v>INSERT INTO stock_alias (stock, alias) VALUES ((SELECT id FROM stock WHERE ticker = 'INPC'), 'INPC') ON CONFLICT DO NOTHING;</v>
      </c>
    </row>
    <row r="1753" spans="1:6" x14ac:dyDescent="0.2">
      <c r="A1753" t="s">
        <v>640</v>
      </c>
      <c r="B1753" t="s">
        <v>3587</v>
      </c>
      <c r="C1753" t="s">
        <v>6188</v>
      </c>
      <c r="D1753" t="str">
        <f>TRIM(alias[[#This Row],[Column3]])</f>
        <v>Bank Artha Graha</v>
      </c>
      <c r="F1753" t="str">
        <f t="shared" si="27"/>
        <v>INSERT INTO stock_alias (stock, alias) VALUES ((SELECT id FROM stock WHERE ticker = 'INPC'), 'Bank Artha Graha') ON CONFLICT DO NOTHING;</v>
      </c>
    </row>
    <row r="1754" spans="1:6" x14ac:dyDescent="0.2">
      <c r="A1754" t="s">
        <v>640</v>
      </c>
      <c r="B1754" t="s">
        <v>3587</v>
      </c>
      <c r="C1754" t="s">
        <v>6189</v>
      </c>
      <c r="D1754" t="str">
        <f>TRIM(alias[[#This Row],[Column3]])</f>
        <v>Bank Artha Graha Internasional</v>
      </c>
      <c r="F1754" t="str">
        <f t="shared" si="27"/>
        <v>INSERT INTO stock_alias (stock, alias) VALUES ((SELECT id FROM stock WHERE ticker = 'INPC'), 'Bank Artha Graha Internasional') ON CONFLICT DO NOTHING;</v>
      </c>
    </row>
    <row r="1755" spans="1:6" x14ac:dyDescent="0.2">
      <c r="A1755" t="s">
        <v>640</v>
      </c>
      <c r="B1755" t="s">
        <v>3587</v>
      </c>
      <c r="C1755" t="s">
        <v>6190</v>
      </c>
      <c r="D1755" t="str">
        <f>TRIM(alias[[#This Row],[Column3]])</f>
        <v>Bank Artha Graha Internasional Tbk</v>
      </c>
      <c r="F1755" t="str">
        <f t="shared" si="27"/>
        <v>INSERT INTO stock_alias (stock, alias) VALUES ((SELECT id FROM stock WHERE ticker = 'INPC'), 'Bank Artha Graha Internasional Tbk') ON CONFLICT DO NOTHING;</v>
      </c>
    </row>
    <row r="1756" spans="1:6" x14ac:dyDescent="0.2">
      <c r="A1756" t="s">
        <v>640</v>
      </c>
      <c r="B1756" t="s">
        <v>3587</v>
      </c>
      <c r="C1756" t="s">
        <v>5119</v>
      </c>
      <c r="D1756" t="str">
        <f>TRIM(alias[[#This Row],[Column3]])</f>
        <v>Bank Internasional</v>
      </c>
      <c r="F1756" t="str">
        <f t="shared" si="27"/>
        <v>INSERT INTO stock_alias (stock, alias) VALUES ((SELECT id FROM stock WHERE ticker = 'INPC'), 'Bank Internasional') ON CONFLICT DO NOTHING;</v>
      </c>
    </row>
    <row r="1757" spans="1:6" x14ac:dyDescent="0.2">
      <c r="A1757" t="s">
        <v>640</v>
      </c>
      <c r="B1757" t="s">
        <v>3587</v>
      </c>
      <c r="C1757" t="s">
        <v>5122</v>
      </c>
      <c r="D1757" t="str">
        <f>TRIM(alias[[#This Row],[Column3]])</f>
        <v>Internasional</v>
      </c>
      <c r="F1757" t="str">
        <f t="shared" si="27"/>
        <v>INSERT INTO stock_alias (stock, alias) VALUES ((SELECT id FROM stock WHERE ticker = 'INPC'), 'Internasional') ON CONFLICT DO NOTHING;</v>
      </c>
    </row>
    <row r="1758" spans="1:6" x14ac:dyDescent="0.2">
      <c r="A1758" t="s">
        <v>640</v>
      </c>
      <c r="B1758" t="s">
        <v>3587</v>
      </c>
      <c r="C1758" t="s">
        <v>6191</v>
      </c>
      <c r="D1758" t="str">
        <f>TRIM(alias[[#This Row],[Column3]])</f>
        <v>PT Bank Artha Graha Internasional</v>
      </c>
      <c r="F1758" t="str">
        <f t="shared" si="27"/>
        <v>INSERT INTO stock_alias (stock, alias) VALUES ((SELECT id FROM stock WHERE ticker = 'INPC'), 'PT Bank Artha Graha Internasional') ON CONFLICT DO NOTHING;</v>
      </c>
    </row>
    <row r="1759" spans="1:6" x14ac:dyDescent="0.2">
      <c r="A1759" t="s">
        <v>642</v>
      </c>
      <c r="B1759" t="s">
        <v>3588</v>
      </c>
      <c r="C1759" t="s">
        <v>642</v>
      </c>
      <c r="D1759" t="str">
        <f>TRIM(alias[[#This Row],[Column3]])</f>
        <v>INPP</v>
      </c>
      <c r="F1759" t="str">
        <f t="shared" si="27"/>
        <v>INSERT INTO stock_alias (stock, alias) VALUES ((SELECT id FROM stock WHERE ticker = 'INPP'), 'INPP') ON CONFLICT DO NOTHING;</v>
      </c>
    </row>
    <row r="1760" spans="1:6" x14ac:dyDescent="0.2">
      <c r="A1760" t="s">
        <v>642</v>
      </c>
      <c r="B1760" t="s">
        <v>3588</v>
      </c>
      <c r="C1760" t="s">
        <v>6192</v>
      </c>
      <c r="D1760" t="str">
        <f>TRIM(alias[[#This Row],[Column3]])</f>
        <v>Indonesian Paradise Property</v>
      </c>
      <c r="F1760" t="str">
        <f t="shared" si="27"/>
        <v>INSERT INTO stock_alias (stock, alias) VALUES ((SELECT id FROM stock WHERE ticker = 'INPP'), 'Indonesian Paradise Property') ON CONFLICT DO NOTHING;</v>
      </c>
    </row>
    <row r="1761" spans="1:6" x14ac:dyDescent="0.2">
      <c r="A1761" t="s">
        <v>642</v>
      </c>
      <c r="B1761" t="s">
        <v>3588</v>
      </c>
      <c r="C1761" t="s">
        <v>6193</v>
      </c>
      <c r="D1761" t="str">
        <f>TRIM(alias[[#This Row],[Column3]])</f>
        <v>Indonesian Paradise Property Tbk</v>
      </c>
      <c r="F1761" t="str">
        <f t="shared" si="27"/>
        <v>INSERT INTO stock_alias (stock, alias) VALUES ((SELECT id FROM stock WHERE ticker = 'INPP'), 'Indonesian Paradise Property Tbk') ON CONFLICT DO NOTHING;</v>
      </c>
    </row>
    <row r="1762" spans="1:6" x14ac:dyDescent="0.2">
      <c r="A1762" t="s">
        <v>642</v>
      </c>
      <c r="B1762" t="s">
        <v>3588</v>
      </c>
      <c r="C1762" t="s">
        <v>6194</v>
      </c>
      <c r="D1762" t="str">
        <f>TRIM(alias[[#This Row],[Column3]])</f>
        <v>PT Indonesian Paradise Property</v>
      </c>
      <c r="F1762" t="str">
        <f t="shared" si="27"/>
        <v>INSERT INTO stock_alias (stock, alias) VALUES ((SELECT id FROM stock WHERE ticker = 'INPP'), 'PT Indonesian Paradise Property') ON CONFLICT DO NOTHING;</v>
      </c>
    </row>
    <row r="1763" spans="1:6" x14ac:dyDescent="0.2">
      <c r="A1763" t="s">
        <v>1502</v>
      </c>
      <c r="B1763" t="s">
        <v>1503</v>
      </c>
      <c r="C1763" t="s">
        <v>1502</v>
      </c>
      <c r="D1763" t="str">
        <f>TRIM(alias[[#This Row],[Column3]])</f>
        <v>INPS</v>
      </c>
      <c r="F1763" t="str">
        <f t="shared" si="27"/>
        <v>INSERT INTO stock_alias (stock, alias) VALUES ((SELECT id FROM stock WHERE ticker = 'INPS'), 'INPS') ON CONFLICT DO NOTHING;</v>
      </c>
    </row>
    <row r="1764" spans="1:6" x14ac:dyDescent="0.2">
      <c r="A1764" t="s">
        <v>1502</v>
      </c>
      <c r="B1764" t="s">
        <v>1503</v>
      </c>
      <c r="C1764" t="s">
        <v>6195</v>
      </c>
      <c r="D1764" t="str">
        <f>TRIM(alias[[#This Row],[Column3]])</f>
        <v>Indah Prakasa Sentosa</v>
      </c>
      <c r="F1764" t="str">
        <f t="shared" si="27"/>
        <v>INSERT INTO stock_alias (stock, alias) VALUES ((SELECT id FROM stock WHERE ticker = 'INPS'), 'Indah Prakasa Sentosa') ON CONFLICT DO NOTHING;</v>
      </c>
    </row>
    <row r="1765" spans="1:6" x14ac:dyDescent="0.2">
      <c r="A1765" t="s">
        <v>1502</v>
      </c>
      <c r="B1765" t="s">
        <v>1503</v>
      </c>
      <c r="C1765" t="s">
        <v>6196</v>
      </c>
      <c r="D1765" t="str">
        <f>TRIM(alias[[#This Row],[Column3]])</f>
        <v>Indah Prakasa Sentosa Tbk</v>
      </c>
      <c r="F1765" t="str">
        <f t="shared" si="27"/>
        <v>INSERT INTO stock_alias (stock, alias) VALUES ((SELECT id FROM stock WHERE ticker = 'INPS'), 'Indah Prakasa Sentosa Tbk') ON CONFLICT DO NOTHING;</v>
      </c>
    </row>
    <row r="1766" spans="1:6" x14ac:dyDescent="0.2">
      <c r="A1766" t="s">
        <v>1502</v>
      </c>
      <c r="B1766" t="s">
        <v>1503</v>
      </c>
      <c r="C1766" t="s">
        <v>6197</v>
      </c>
      <c r="D1766" t="str">
        <f>TRIM(alias[[#This Row],[Column3]])</f>
        <v>PT Indah Prakasa Sentosa</v>
      </c>
      <c r="F1766" t="str">
        <f t="shared" si="27"/>
        <v>INSERT INTO stock_alias (stock, alias) VALUES ((SELECT id FROM stock WHERE ticker = 'INPS'), 'PT Indah Prakasa Sentosa') ON CONFLICT DO NOTHING;</v>
      </c>
    </row>
    <row r="1767" spans="1:6" x14ac:dyDescent="0.2">
      <c r="A1767" t="s">
        <v>644</v>
      </c>
      <c r="B1767" t="s">
        <v>645</v>
      </c>
      <c r="C1767" t="s">
        <v>644</v>
      </c>
      <c r="D1767" t="str">
        <f>TRIM(alias[[#This Row],[Column3]])</f>
        <v>INRU</v>
      </c>
      <c r="F1767" t="str">
        <f t="shared" si="27"/>
        <v>INSERT INTO stock_alias (stock, alias) VALUES ((SELECT id FROM stock WHERE ticker = 'INRU'), 'INRU') ON CONFLICT DO NOTHING;</v>
      </c>
    </row>
    <row r="1768" spans="1:6" x14ac:dyDescent="0.2">
      <c r="A1768" t="s">
        <v>644</v>
      </c>
      <c r="B1768" t="s">
        <v>645</v>
      </c>
      <c r="C1768" t="s">
        <v>6198</v>
      </c>
      <c r="D1768" t="str">
        <f>TRIM(alias[[#This Row],[Column3]])</f>
        <v>PT Toba Pulp Lestari</v>
      </c>
      <c r="F1768" t="str">
        <f t="shared" si="27"/>
        <v>INSERT INTO stock_alias (stock, alias) VALUES ((SELECT id FROM stock WHERE ticker = 'INRU'), 'PT Toba Pulp Lestari') ON CONFLICT DO NOTHING;</v>
      </c>
    </row>
    <row r="1769" spans="1:6" x14ac:dyDescent="0.2">
      <c r="A1769" t="s">
        <v>644</v>
      </c>
      <c r="B1769" t="s">
        <v>645</v>
      </c>
      <c r="C1769" t="s">
        <v>6199</v>
      </c>
      <c r="D1769" t="str">
        <f>TRIM(alias[[#This Row],[Column3]])</f>
        <v>Toba Pulp Lestari</v>
      </c>
      <c r="F1769" t="str">
        <f t="shared" si="27"/>
        <v>INSERT INTO stock_alias (stock, alias) VALUES ((SELECT id FROM stock WHERE ticker = 'INRU'), 'Toba Pulp Lestari') ON CONFLICT DO NOTHING;</v>
      </c>
    </row>
    <row r="1770" spans="1:6" x14ac:dyDescent="0.2">
      <c r="A1770" t="s">
        <v>644</v>
      </c>
      <c r="B1770" t="s">
        <v>645</v>
      </c>
      <c r="C1770" t="s">
        <v>6200</v>
      </c>
      <c r="D1770" t="str">
        <f>TRIM(alias[[#This Row],[Column3]])</f>
        <v>Toba Pulp Lestari Tbk</v>
      </c>
      <c r="F1770" t="str">
        <f t="shared" si="27"/>
        <v>INSERT INTO stock_alias (stock, alias) VALUES ((SELECT id FROM stock WHERE ticker = 'INRU'), 'Toba Pulp Lestari Tbk') ON CONFLICT DO NOTHING;</v>
      </c>
    </row>
    <row r="1771" spans="1:6" x14ac:dyDescent="0.2">
      <c r="A1771" t="s">
        <v>647</v>
      </c>
      <c r="B1771" t="s">
        <v>648</v>
      </c>
      <c r="C1771" t="s">
        <v>647</v>
      </c>
      <c r="D1771" t="str">
        <f>TRIM(alias[[#This Row],[Column3]])</f>
        <v>INTA</v>
      </c>
      <c r="F1771" t="str">
        <f t="shared" si="27"/>
        <v>INSERT INTO stock_alias (stock, alias) VALUES ((SELECT id FROM stock WHERE ticker = 'INTA'), 'INTA') ON CONFLICT DO NOTHING;</v>
      </c>
    </row>
    <row r="1772" spans="1:6" x14ac:dyDescent="0.2">
      <c r="A1772" t="s">
        <v>647</v>
      </c>
      <c r="B1772" t="s">
        <v>648</v>
      </c>
      <c r="C1772" t="s">
        <v>6201</v>
      </c>
      <c r="D1772" t="str">
        <f>TRIM(alias[[#This Row],[Column3]])</f>
        <v>Intraco Penta</v>
      </c>
      <c r="F1772" t="str">
        <f t="shared" si="27"/>
        <v>INSERT INTO stock_alias (stock, alias) VALUES ((SELECT id FROM stock WHERE ticker = 'INTA'), 'Intraco Penta') ON CONFLICT DO NOTHING;</v>
      </c>
    </row>
    <row r="1773" spans="1:6" x14ac:dyDescent="0.2">
      <c r="A1773" t="s">
        <v>647</v>
      </c>
      <c r="B1773" t="s">
        <v>648</v>
      </c>
      <c r="C1773" t="s">
        <v>6202</v>
      </c>
      <c r="D1773" t="str">
        <f>TRIM(alias[[#This Row],[Column3]])</f>
        <v>Intraco Penta Tbk</v>
      </c>
      <c r="F1773" t="str">
        <f t="shared" si="27"/>
        <v>INSERT INTO stock_alias (stock, alias) VALUES ((SELECT id FROM stock WHERE ticker = 'INTA'), 'Intraco Penta Tbk') ON CONFLICT DO NOTHING;</v>
      </c>
    </row>
    <row r="1774" spans="1:6" x14ac:dyDescent="0.2">
      <c r="A1774" t="s">
        <v>647</v>
      </c>
      <c r="B1774" t="s">
        <v>648</v>
      </c>
      <c r="C1774" t="s">
        <v>6203</v>
      </c>
      <c r="D1774" t="str">
        <f>TRIM(alias[[#This Row],[Column3]])</f>
        <v>PT Intraco Penta</v>
      </c>
      <c r="F1774" t="str">
        <f t="shared" si="27"/>
        <v>INSERT INTO stock_alias (stock, alias) VALUES ((SELECT id FROM stock WHERE ticker = 'INTA'), 'PT Intraco Penta') ON CONFLICT DO NOTHING;</v>
      </c>
    </row>
    <row r="1775" spans="1:6" x14ac:dyDescent="0.2">
      <c r="A1775" t="s">
        <v>650</v>
      </c>
      <c r="B1775" t="s">
        <v>3589</v>
      </c>
      <c r="C1775" t="s">
        <v>650</v>
      </c>
      <c r="D1775" t="str">
        <f>TRIM(alias[[#This Row],[Column3]])</f>
        <v>INTD</v>
      </c>
      <c r="F1775" t="str">
        <f t="shared" si="27"/>
        <v>INSERT INTO stock_alias (stock, alias) VALUES ((SELECT id FROM stock WHERE ticker = 'INTD'), 'INTD') ON CONFLICT DO NOTHING;</v>
      </c>
    </row>
    <row r="1776" spans="1:6" x14ac:dyDescent="0.2">
      <c r="A1776" t="s">
        <v>650</v>
      </c>
      <c r="B1776" t="s">
        <v>3589</v>
      </c>
      <c r="C1776" t="s">
        <v>6204</v>
      </c>
      <c r="D1776" t="str">
        <f>TRIM(alias[[#This Row],[Column3]])</f>
        <v>Inter Delta</v>
      </c>
      <c r="F1776" t="str">
        <f t="shared" si="27"/>
        <v>INSERT INTO stock_alias (stock, alias) VALUES ((SELECT id FROM stock WHERE ticker = 'INTD'), 'Inter Delta') ON CONFLICT DO NOTHING;</v>
      </c>
    </row>
    <row r="1777" spans="1:6" x14ac:dyDescent="0.2">
      <c r="A1777" t="s">
        <v>650</v>
      </c>
      <c r="B1777" t="s">
        <v>3589</v>
      </c>
      <c r="C1777" t="s">
        <v>6205</v>
      </c>
      <c r="D1777" t="str">
        <f>TRIM(alias[[#This Row],[Column3]])</f>
        <v>Inter Delta Tbk</v>
      </c>
      <c r="F1777" t="str">
        <f t="shared" si="27"/>
        <v>INSERT INTO stock_alias (stock, alias) VALUES ((SELECT id FROM stock WHERE ticker = 'INTD'), 'Inter Delta Tbk') ON CONFLICT DO NOTHING;</v>
      </c>
    </row>
    <row r="1778" spans="1:6" x14ac:dyDescent="0.2">
      <c r="A1778" t="s">
        <v>650</v>
      </c>
      <c r="B1778" t="s">
        <v>3589</v>
      </c>
      <c r="C1778" t="s">
        <v>6206</v>
      </c>
      <c r="D1778" t="str">
        <f>TRIM(alias[[#This Row],[Column3]])</f>
        <v>PT Inter Delta</v>
      </c>
      <c r="F1778" t="str">
        <f t="shared" si="27"/>
        <v>INSERT INTO stock_alias (stock, alias) VALUES ((SELECT id FROM stock WHERE ticker = 'INTD'), 'PT Inter Delta') ON CONFLICT DO NOTHING;</v>
      </c>
    </row>
    <row r="1779" spans="1:6" x14ac:dyDescent="0.2">
      <c r="A1779" t="s">
        <v>653</v>
      </c>
      <c r="B1779" t="s">
        <v>3590</v>
      </c>
      <c r="C1779" t="s">
        <v>653</v>
      </c>
      <c r="D1779" t="str">
        <f>TRIM(alias[[#This Row],[Column3]])</f>
        <v>INTP</v>
      </c>
      <c r="F1779" t="str">
        <f t="shared" si="27"/>
        <v>INSERT INTO stock_alias (stock, alias) VALUES ((SELECT id FROM stock WHERE ticker = 'INTP'), 'INTP') ON CONFLICT DO NOTHING;</v>
      </c>
    </row>
    <row r="1780" spans="1:6" x14ac:dyDescent="0.2">
      <c r="A1780" t="s">
        <v>653</v>
      </c>
      <c r="B1780" t="s">
        <v>3590</v>
      </c>
      <c r="C1780" t="s">
        <v>6207</v>
      </c>
      <c r="D1780" t="str">
        <f>TRIM(alias[[#This Row],[Column3]])</f>
        <v>Indocement Tunggal Prakarsa</v>
      </c>
      <c r="F1780" t="str">
        <f t="shared" si="27"/>
        <v>INSERT INTO stock_alias (stock, alias) VALUES ((SELECT id FROM stock WHERE ticker = 'INTP'), 'Indocement Tunggal Prakarsa') ON CONFLICT DO NOTHING;</v>
      </c>
    </row>
    <row r="1781" spans="1:6" x14ac:dyDescent="0.2">
      <c r="A1781" t="s">
        <v>653</v>
      </c>
      <c r="B1781" t="s">
        <v>3590</v>
      </c>
      <c r="C1781" t="s">
        <v>6208</v>
      </c>
      <c r="D1781" t="str">
        <f>TRIM(alias[[#This Row],[Column3]])</f>
        <v>Indocement Tunggal Prakarsa Tbk</v>
      </c>
      <c r="F1781" t="str">
        <f t="shared" si="27"/>
        <v>INSERT INTO stock_alias (stock, alias) VALUES ((SELECT id FROM stock WHERE ticker = 'INTP'), 'Indocement Tunggal Prakarsa Tbk') ON CONFLICT DO NOTHING;</v>
      </c>
    </row>
    <row r="1782" spans="1:6" x14ac:dyDescent="0.2">
      <c r="A1782" t="s">
        <v>653</v>
      </c>
      <c r="B1782" t="s">
        <v>3590</v>
      </c>
      <c r="C1782" t="s">
        <v>6209</v>
      </c>
      <c r="D1782" t="str">
        <f>TRIM(alias[[#This Row],[Column3]])</f>
        <v>PT Indocement Tunggal Prakarsa</v>
      </c>
      <c r="F1782" t="str">
        <f t="shared" si="27"/>
        <v>INSERT INTO stock_alias (stock, alias) VALUES ((SELECT id FROM stock WHERE ticker = 'INTP'), 'PT Indocement Tunggal Prakarsa') ON CONFLICT DO NOTHING;</v>
      </c>
    </row>
    <row r="1783" spans="1:6" x14ac:dyDescent="0.2">
      <c r="A1783" t="s">
        <v>2378</v>
      </c>
      <c r="B1783" t="s">
        <v>2379</v>
      </c>
      <c r="C1783" t="s">
        <v>2378</v>
      </c>
      <c r="D1783" t="str">
        <f>TRIM(alias[[#This Row],[Column3]])</f>
        <v>IOTF</v>
      </c>
      <c r="F1783" t="str">
        <f t="shared" si="27"/>
        <v>INSERT INTO stock_alias (stock, alias) VALUES ((SELECT id FROM stock WHERE ticker = 'IOTF'), 'IOTF') ON CONFLICT DO NOTHING;</v>
      </c>
    </row>
    <row r="1784" spans="1:6" x14ac:dyDescent="0.2">
      <c r="A1784" t="s">
        <v>2378</v>
      </c>
      <c r="B1784" t="s">
        <v>2379</v>
      </c>
      <c r="C1784" t="s">
        <v>6210</v>
      </c>
      <c r="D1784" t="str">
        <f>TRIM(alias[[#This Row],[Column3]])</f>
        <v>PT Sumber Sinergi Makmur</v>
      </c>
      <c r="F1784" t="str">
        <f t="shared" si="27"/>
        <v>INSERT INTO stock_alias (stock, alias) VALUES ((SELECT id FROM stock WHERE ticker = 'IOTF'), 'PT Sumber Sinergi Makmur') ON CONFLICT DO NOTHING;</v>
      </c>
    </row>
    <row r="1785" spans="1:6" x14ac:dyDescent="0.2">
      <c r="A1785" t="s">
        <v>2378</v>
      </c>
      <c r="B1785" t="s">
        <v>2379</v>
      </c>
      <c r="C1785" t="s">
        <v>6211</v>
      </c>
      <c r="D1785" t="str">
        <f>TRIM(alias[[#This Row],[Column3]])</f>
        <v>Sumber Sinergi Makmur</v>
      </c>
      <c r="F1785" t="str">
        <f t="shared" si="27"/>
        <v>INSERT INTO stock_alias (stock, alias) VALUES ((SELECT id FROM stock WHERE ticker = 'IOTF'), 'Sumber Sinergi Makmur') ON CONFLICT DO NOTHING;</v>
      </c>
    </row>
    <row r="1786" spans="1:6" x14ac:dyDescent="0.2">
      <c r="A1786" t="s">
        <v>2378</v>
      </c>
      <c r="B1786" t="s">
        <v>2379</v>
      </c>
      <c r="C1786" t="s">
        <v>6212</v>
      </c>
      <c r="D1786" t="str">
        <f>TRIM(alias[[#This Row],[Column3]])</f>
        <v>Sumber Sinergi Makmur Tbk</v>
      </c>
      <c r="F1786" t="str">
        <f t="shared" si="27"/>
        <v>INSERT INTO stock_alias (stock, alias) VALUES ((SELECT id FROM stock WHERE ticker = 'IOTF'), 'Sumber Sinergi Makmur Tbk') ON CONFLICT DO NOTHING;</v>
      </c>
    </row>
    <row r="1787" spans="1:6" x14ac:dyDescent="0.2">
      <c r="A1787" t="s">
        <v>1963</v>
      </c>
      <c r="B1787" t="s">
        <v>1964</v>
      </c>
      <c r="C1787" t="s">
        <v>1963</v>
      </c>
      <c r="D1787" t="str">
        <f>TRIM(alias[[#This Row],[Column3]])</f>
        <v>IPAC</v>
      </c>
      <c r="F1787" t="str">
        <f t="shared" si="27"/>
        <v>INSERT INTO stock_alias (stock, alias) VALUES ((SELECT id FROM stock WHERE ticker = 'IPAC'), 'IPAC') ON CONFLICT DO NOTHING;</v>
      </c>
    </row>
    <row r="1788" spans="1:6" x14ac:dyDescent="0.2">
      <c r="A1788" t="s">
        <v>1963</v>
      </c>
      <c r="B1788" t="s">
        <v>1964</v>
      </c>
      <c r="C1788" t="s">
        <v>6213</v>
      </c>
      <c r="D1788" t="str">
        <f>TRIM(alias[[#This Row],[Column3]])</f>
        <v>Era Graharealty</v>
      </c>
      <c r="F1788" t="str">
        <f t="shared" si="27"/>
        <v>INSERT INTO stock_alias (stock, alias) VALUES ((SELECT id FROM stock WHERE ticker = 'IPAC'), 'Era Graharealty') ON CONFLICT DO NOTHING;</v>
      </c>
    </row>
    <row r="1789" spans="1:6" x14ac:dyDescent="0.2">
      <c r="A1789" t="s">
        <v>1963</v>
      </c>
      <c r="B1789" t="s">
        <v>1964</v>
      </c>
      <c r="C1789" t="s">
        <v>6214</v>
      </c>
      <c r="D1789" t="str">
        <f>TRIM(alias[[#This Row],[Column3]])</f>
        <v>Era Graharealty Tbk</v>
      </c>
      <c r="F1789" t="str">
        <f t="shared" si="27"/>
        <v>INSERT INTO stock_alias (stock, alias) VALUES ((SELECT id FROM stock WHERE ticker = 'IPAC'), 'Era Graharealty Tbk') ON CONFLICT DO NOTHING;</v>
      </c>
    </row>
    <row r="1790" spans="1:6" x14ac:dyDescent="0.2">
      <c r="A1790" t="s">
        <v>1963</v>
      </c>
      <c r="B1790" t="s">
        <v>1964</v>
      </c>
      <c r="C1790" t="s">
        <v>6215</v>
      </c>
      <c r="D1790" t="str">
        <f>TRIM(alias[[#This Row],[Column3]])</f>
        <v>PT Era Graharealty</v>
      </c>
      <c r="F1790" t="str">
        <f t="shared" si="27"/>
        <v>INSERT INTO stock_alias (stock, alias) VALUES ((SELECT id FROM stock WHERE ticker = 'IPAC'), 'PT Era Graharealty') ON CONFLICT DO NOTHING;</v>
      </c>
    </row>
    <row r="1791" spans="1:6" x14ac:dyDescent="0.2">
      <c r="A1791" t="s">
        <v>1549</v>
      </c>
      <c r="B1791" t="s">
        <v>3591</v>
      </c>
      <c r="C1791" t="s">
        <v>1549</v>
      </c>
      <c r="D1791" t="str">
        <f>TRIM(alias[[#This Row],[Column3]])</f>
        <v>IPCC</v>
      </c>
      <c r="F1791" t="str">
        <f t="shared" si="27"/>
        <v>INSERT INTO stock_alias (stock, alias) VALUES ((SELECT id FROM stock WHERE ticker = 'IPCC'), 'IPCC') ON CONFLICT DO NOTHING;</v>
      </c>
    </row>
    <row r="1792" spans="1:6" x14ac:dyDescent="0.2">
      <c r="A1792" t="s">
        <v>1549</v>
      </c>
      <c r="B1792" t="s">
        <v>3591</v>
      </c>
      <c r="C1792" t="s">
        <v>6216</v>
      </c>
      <c r="D1792" t="str">
        <f>TRIM(alias[[#This Row],[Column3]])</f>
        <v>Indonesia Kendaraan Terminal</v>
      </c>
      <c r="F1792" t="str">
        <f t="shared" si="27"/>
        <v>INSERT INTO stock_alias (stock, alias) VALUES ((SELECT id FROM stock WHERE ticker = 'IPCC'), 'Indonesia Kendaraan Terminal') ON CONFLICT DO NOTHING;</v>
      </c>
    </row>
    <row r="1793" spans="1:6" x14ac:dyDescent="0.2">
      <c r="A1793" t="s">
        <v>1549</v>
      </c>
      <c r="B1793" t="s">
        <v>3591</v>
      </c>
      <c r="C1793" t="s">
        <v>6217</v>
      </c>
      <c r="D1793" t="str">
        <f>TRIM(alias[[#This Row],[Column3]])</f>
        <v>Indonesia Kendaraan Terminal Tbk</v>
      </c>
      <c r="F1793" t="str">
        <f t="shared" si="27"/>
        <v>INSERT INTO stock_alias (stock, alias) VALUES ((SELECT id FROM stock WHERE ticker = 'IPCC'), 'Indonesia Kendaraan Terminal Tbk') ON CONFLICT DO NOTHING;</v>
      </c>
    </row>
    <row r="1794" spans="1:6" x14ac:dyDescent="0.2">
      <c r="A1794" t="s">
        <v>1549</v>
      </c>
      <c r="B1794" t="s">
        <v>3591</v>
      </c>
      <c r="C1794" t="s">
        <v>6218</v>
      </c>
      <c r="D1794" t="str">
        <f>TRIM(alias[[#This Row],[Column3]])</f>
        <v>PT Indonesia Kendaraan Terminal</v>
      </c>
      <c r="F1794" t="str">
        <f t="shared" si="27"/>
        <v>INSERT INTO stock_alias (stock, alias) VALUES ((SELECT id FROM stock WHERE ticker = 'IPCC'), 'PT Indonesia Kendaraan Terminal') ON CONFLICT DO NOTHING;</v>
      </c>
    </row>
    <row r="1795" spans="1:6" x14ac:dyDescent="0.2">
      <c r="A1795" t="s">
        <v>1486</v>
      </c>
      <c r="B1795" t="s">
        <v>1487</v>
      </c>
      <c r="C1795" t="s">
        <v>1486</v>
      </c>
      <c r="D1795" t="str">
        <f>TRIM(alias[[#This Row],[Column3]])</f>
        <v>IPCM</v>
      </c>
      <c r="F1795" t="str">
        <f t="shared" ref="F1795:F1858" si="28">_xlfn.CONCAT($F$1, _xlfn.CONCAT($G$1, A1795, "'), '", D1795, "') ON CONFLICT DO NOTHING;"))</f>
        <v>INSERT INTO stock_alias (stock, alias) VALUES ((SELECT id FROM stock WHERE ticker = 'IPCM'), 'IPCM') ON CONFLICT DO NOTHING;</v>
      </c>
    </row>
    <row r="1796" spans="1:6" x14ac:dyDescent="0.2">
      <c r="A1796" t="s">
        <v>1486</v>
      </c>
      <c r="B1796" t="s">
        <v>1487</v>
      </c>
      <c r="C1796" t="s">
        <v>6219</v>
      </c>
      <c r="D1796" t="str">
        <f>TRIM(alias[[#This Row],[Column3]])</f>
        <v>Jasa Armada Indonesia</v>
      </c>
      <c r="F1796" t="str">
        <f t="shared" si="28"/>
        <v>INSERT INTO stock_alias (stock, alias) VALUES ((SELECT id FROM stock WHERE ticker = 'IPCM'), 'Jasa Armada Indonesia') ON CONFLICT DO NOTHING;</v>
      </c>
    </row>
    <row r="1797" spans="1:6" x14ac:dyDescent="0.2">
      <c r="A1797" t="s">
        <v>1486</v>
      </c>
      <c r="B1797" t="s">
        <v>1487</v>
      </c>
      <c r="C1797" t="s">
        <v>6220</v>
      </c>
      <c r="D1797" t="str">
        <f>TRIM(alias[[#This Row],[Column3]])</f>
        <v>Jasa Armada Indonesia Tbk</v>
      </c>
      <c r="F1797" t="str">
        <f t="shared" si="28"/>
        <v>INSERT INTO stock_alias (stock, alias) VALUES ((SELECT id FROM stock WHERE ticker = 'IPCM'), 'Jasa Armada Indonesia Tbk') ON CONFLICT DO NOTHING;</v>
      </c>
    </row>
    <row r="1798" spans="1:6" x14ac:dyDescent="0.2">
      <c r="A1798" t="s">
        <v>1486</v>
      </c>
      <c r="B1798" t="s">
        <v>1487</v>
      </c>
      <c r="C1798" t="s">
        <v>6221</v>
      </c>
      <c r="D1798" t="str">
        <f>TRIM(alias[[#This Row],[Column3]])</f>
        <v>PT Jasa Armada Indonesia</v>
      </c>
      <c r="F1798" t="str">
        <f t="shared" si="28"/>
        <v>INSERT INTO stock_alias (stock, alias) VALUES ((SELECT id FROM stock WHERE ticker = 'IPCM'), 'PT Jasa Armada Indonesia') ON CONFLICT DO NOTHING;</v>
      </c>
    </row>
    <row r="1799" spans="1:6" x14ac:dyDescent="0.2">
      <c r="A1799" t="s">
        <v>655</v>
      </c>
      <c r="B1799" t="s">
        <v>3592</v>
      </c>
      <c r="C1799" t="s">
        <v>655</v>
      </c>
      <c r="D1799" t="str">
        <f>TRIM(alias[[#This Row],[Column3]])</f>
        <v>IPOL</v>
      </c>
      <c r="F1799" t="str">
        <f t="shared" si="28"/>
        <v>INSERT INTO stock_alias (stock, alias) VALUES ((SELECT id FROM stock WHERE ticker = 'IPOL'), 'IPOL') ON CONFLICT DO NOTHING;</v>
      </c>
    </row>
    <row r="1800" spans="1:6" x14ac:dyDescent="0.2">
      <c r="A1800" t="s">
        <v>655</v>
      </c>
      <c r="B1800" t="s">
        <v>3592</v>
      </c>
      <c r="C1800" t="s">
        <v>6222</v>
      </c>
      <c r="D1800" t="str">
        <f>TRIM(alias[[#This Row],[Column3]])</f>
        <v>Indopoly Swakarsa Industry</v>
      </c>
      <c r="F1800" t="str">
        <f t="shared" si="28"/>
        <v>INSERT INTO stock_alias (stock, alias) VALUES ((SELECT id FROM stock WHERE ticker = 'IPOL'), 'Indopoly Swakarsa Industry') ON CONFLICT DO NOTHING;</v>
      </c>
    </row>
    <row r="1801" spans="1:6" x14ac:dyDescent="0.2">
      <c r="A1801" t="s">
        <v>655</v>
      </c>
      <c r="B1801" t="s">
        <v>3592</v>
      </c>
      <c r="C1801" t="s">
        <v>6223</v>
      </c>
      <c r="D1801" t="str">
        <f>TRIM(alias[[#This Row],[Column3]])</f>
        <v>Indopoly Swakarsa Industry Tbk</v>
      </c>
      <c r="F1801" t="str">
        <f t="shared" si="28"/>
        <v>INSERT INTO stock_alias (stock, alias) VALUES ((SELECT id FROM stock WHERE ticker = 'IPOL'), 'Indopoly Swakarsa Industry Tbk') ON CONFLICT DO NOTHING;</v>
      </c>
    </row>
    <row r="1802" spans="1:6" x14ac:dyDescent="0.2">
      <c r="A1802" t="s">
        <v>655</v>
      </c>
      <c r="B1802" t="s">
        <v>3592</v>
      </c>
      <c r="C1802" t="s">
        <v>6224</v>
      </c>
      <c r="D1802" t="str">
        <f>TRIM(alias[[#This Row],[Column3]])</f>
        <v>PT Indopoly Swakarsa Industry</v>
      </c>
      <c r="F1802" t="str">
        <f t="shared" si="28"/>
        <v>INSERT INTO stock_alias (stock, alias) VALUES ((SELECT id FROM stock WHERE ticker = 'IPOL'), 'PT Indopoly Swakarsa Industry') ON CONFLICT DO NOTHING;</v>
      </c>
    </row>
    <row r="1803" spans="1:6" x14ac:dyDescent="0.2">
      <c r="A1803" t="s">
        <v>2049</v>
      </c>
      <c r="B1803" t="s">
        <v>2050</v>
      </c>
      <c r="C1803" t="s">
        <v>2049</v>
      </c>
      <c r="D1803" t="str">
        <f>TRIM(alias[[#This Row],[Column3]])</f>
        <v>IPPE</v>
      </c>
      <c r="F1803" t="str">
        <f t="shared" si="28"/>
        <v>INSERT INTO stock_alias (stock, alias) VALUES ((SELECT id FROM stock WHERE ticker = 'IPPE'), 'IPPE') ON CONFLICT DO NOTHING;</v>
      </c>
    </row>
    <row r="1804" spans="1:6" x14ac:dyDescent="0.2">
      <c r="A1804" t="s">
        <v>2049</v>
      </c>
      <c r="B1804" t="s">
        <v>2050</v>
      </c>
      <c r="C1804" t="s">
        <v>6225</v>
      </c>
      <c r="D1804" t="str">
        <f>TRIM(alias[[#This Row],[Column3]])</f>
        <v>Indo Pureco Pratama</v>
      </c>
      <c r="F1804" t="str">
        <f t="shared" si="28"/>
        <v>INSERT INTO stock_alias (stock, alias) VALUES ((SELECT id FROM stock WHERE ticker = 'IPPE'), 'Indo Pureco Pratama') ON CONFLICT DO NOTHING;</v>
      </c>
    </row>
    <row r="1805" spans="1:6" x14ac:dyDescent="0.2">
      <c r="A1805" t="s">
        <v>2049</v>
      </c>
      <c r="B1805" t="s">
        <v>2050</v>
      </c>
      <c r="C1805" t="s">
        <v>6226</v>
      </c>
      <c r="D1805" t="str">
        <f>TRIM(alias[[#This Row],[Column3]])</f>
        <v>Indo Pureco Pratama Tbk</v>
      </c>
      <c r="F1805" t="str">
        <f t="shared" si="28"/>
        <v>INSERT INTO stock_alias (stock, alias) VALUES ((SELECT id FROM stock WHERE ticker = 'IPPE'), 'Indo Pureco Pratama Tbk') ON CONFLICT DO NOTHING;</v>
      </c>
    </row>
    <row r="1806" spans="1:6" x14ac:dyDescent="0.2">
      <c r="A1806" t="s">
        <v>2049</v>
      </c>
      <c r="B1806" t="s">
        <v>2050</v>
      </c>
      <c r="C1806" t="s">
        <v>6227</v>
      </c>
      <c r="D1806" t="str">
        <f>TRIM(alias[[#This Row],[Column3]])</f>
        <v>PT Indo Pureco Pratama</v>
      </c>
      <c r="F1806" t="str">
        <f t="shared" si="28"/>
        <v>INSERT INTO stock_alias (stock, alias) VALUES ((SELECT id FROM stock WHERE ticker = 'IPPE'), 'PT Indo Pureco Pratama') ON CONFLICT DO NOTHING;</v>
      </c>
    </row>
    <row r="1807" spans="1:6" x14ac:dyDescent="0.2">
      <c r="A1807" t="s">
        <v>1700</v>
      </c>
      <c r="B1807" t="s">
        <v>1701</v>
      </c>
      <c r="C1807" t="s">
        <v>1700</v>
      </c>
      <c r="D1807" t="str">
        <f>TRIM(alias[[#This Row],[Column3]])</f>
        <v>IPTV</v>
      </c>
      <c r="F1807" t="str">
        <f t="shared" si="28"/>
        <v>INSERT INTO stock_alias (stock, alias) VALUES ((SELECT id FROM stock WHERE ticker = 'IPTV'), 'IPTV') ON CONFLICT DO NOTHING;</v>
      </c>
    </row>
    <row r="1808" spans="1:6" x14ac:dyDescent="0.2">
      <c r="A1808" t="s">
        <v>1700</v>
      </c>
      <c r="B1808" t="s">
        <v>1701</v>
      </c>
      <c r="C1808" t="s">
        <v>6228</v>
      </c>
      <c r="D1808" t="str">
        <f>TRIM(alias[[#This Row],[Column3]])</f>
        <v>MNC Vision Networks</v>
      </c>
      <c r="F1808" t="str">
        <f t="shared" si="28"/>
        <v>INSERT INTO stock_alias (stock, alias) VALUES ((SELECT id FROM stock WHERE ticker = 'IPTV'), 'MNC Vision Networks') ON CONFLICT DO NOTHING;</v>
      </c>
    </row>
    <row r="1809" spans="1:6" x14ac:dyDescent="0.2">
      <c r="A1809" t="s">
        <v>1700</v>
      </c>
      <c r="B1809" t="s">
        <v>1701</v>
      </c>
      <c r="C1809" t="s">
        <v>6229</v>
      </c>
      <c r="D1809" t="str">
        <f>TRIM(alias[[#This Row],[Column3]])</f>
        <v>MNC Vision Networks Tbk</v>
      </c>
      <c r="F1809" t="str">
        <f t="shared" si="28"/>
        <v>INSERT INTO stock_alias (stock, alias) VALUES ((SELECT id FROM stock WHERE ticker = 'IPTV'), 'MNC Vision Networks Tbk') ON CONFLICT DO NOTHING;</v>
      </c>
    </row>
    <row r="1810" spans="1:6" x14ac:dyDescent="0.2">
      <c r="A1810" t="s">
        <v>1700</v>
      </c>
      <c r="B1810" t="s">
        <v>1701</v>
      </c>
      <c r="C1810" t="s">
        <v>6230</v>
      </c>
      <c r="D1810" t="str">
        <f>TRIM(alias[[#This Row],[Column3]])</f>
        <v>PT MNC Vision Networks</v>
      </c>
      <c r="F1810" t="str">
        <f t="shared" si="28"/>
        <v>INSERT INTO stock_alias (stock, alias) VALUES ((SELECT id FROM stock WHERE ticker = 'IPTV'), 'PT MNC Vision Networks') ON CONFLICT DO NOTHING;</v>
      </c>
    </row>
    <row r="1811" spans="1:6" x14ac:dyDescent="0.2">
      <c r="A1811" t="s">
        <v>1751</v>
      </c>
      <c r="B1811" t="s">
        <v>1752</v>
      </c>
      <c r="C1811" t="s">
        <v>1751</v>
      </c>
      <c r="D1811" t="str">
        <f>TRIM(alias[[#This Row],[Column3]])</f>
        <v>IRRA</v>
      </c>
      <c r="F1811" t="str">
        <f t="shared" si="28"/>
        <v>INSERT INTO stock_alias (stock, alias) VALUES ((SELECT id FROM stock WHERE ticker = 'IRRA'), 'IRRA') ON CONFLICT DO NOTHING;</v>
      </c>
    </row>
    <row r="1812" spans="1:6" x14ac:dyDescent="0.2">
      <c r="A1812" t="s">
        <v>1751</v>
      </c>
      <c r="B1812" t="s">
        <v>1752</v>
      </c>
      <c r="C1812" t="s">
        <v>6231</v>
      </c>
      <c r="D1812" t="str">
        <f>TRIM(alias[[#This Row],[Column3]])</f>
        <v>Itama Ranoraya</v>
      </c>
      <c r="F1812" t="str">
        <f t="shared" si="28"/>
        <v>INSERT INTO stock_alias (stock, alias) VALUES ((SELECT id FROM stock WHERE ticker = 'IRRA'), 'Itama Ranoraya') ON CONFLICT DO NOTHING;</v>
      </c>
    </row>
    <row r="1813" spans="1:6" x14ac:dyDescent="0.2">
      <c r="A1813" t="s">
        <v>1751</v>
      </c>
      <c r="B1813" t="s">
        <v>1752</v>
      </c>
      <c r="C1813" t="s">
        <v>6232</v>
      </c>
      <c r="D1813" t="str">
        <f>TRIM(alias[[#This Row],[Column3]])</f>
        <v>Itama Ranoraya Tbk</v>
      </c>
      <c r="F1813" t="str">
        <f t="shared" si="28"/>
        <v>INSERT INTO stock_alias (stock, alias) VALUES ((SELECT id FROM stock WHERE ticker = 'IRRA'), 'Itama Ranoraya Tbk') ON CONFLICT DO NOTHING;</v>
      </c>
    </row>
    <row r="1814" spans="1:6" x14ac:dyDescent="0.2">
      <c r="A1814" t="s">
        <v>1751</v>
      </c>
      <c r="B1814" t="s">
        <v>1752</v>
      </c>
      <c r="C1814" t="s">
        <v>6233</v>
      </c>
      <c r="D1814" t="str">
        <f>TRIM(alias[[#This Row],[Column3]])</f>
        <v>PT Itama Ranoraya</v>
      </c>
      <c r="F1814" t="str">
        <f t="shared" si="28"/>
        <v>INSERT INTO stock_alias (stock, alias) VALUES ((SELECT id FROM stock WHERE ticker = 'IRRA'), 'PT Itama Ranoraya') ON CONFLICT DO NOTHING;</v>
      </c>
    </row>
    <row r="1815" spans="1:6" x14ac:dyDescent="0.2">
      <c r="A1815" t="s">
        <v>2250</v>
      </c>
      <c r="B1815" t="s">
        <v>2251</v>
      </c>
      <c r="C1815" t="s">
        <v>2250</v>
      </c>
      <c r="D1815" t="str">
        <f>TRIM(alias[[#This Row],[Column3]])</f>
        <v>IRSX</v>
      </c>
      <c r="F1815" t="str">
        <f t="shared" si="28"/>
        <v>INSERT INTO stock_alias (stock, alias) VALUES ((SELECT id FROM stock WHERE ticker = 'IRSX'), 'IRSX') ON CONFLICT DO NOTHING;</v>
      </c>
    </row>
    <row r="1816" spans="1:6" x14ac:dyDescent="0.2">
      <c r="A1816" t="s">
        <v>2250</v>
      </c>
      <c r="B1816" t="s">
        <v>2251</v>
      </c>
      <c r="C1816" t="s">
        <v>6234</v>
      </c>
      <c r="D1816" t="str">
        <f>TRIM(alias[[#This Row],[Column3]])</f>
        <v>Folago Global Nusantara</v>
      </c>
      <c r="F1816" t="str">
        <f t="shared" si="28"/>
        <v>INSERT INTO stock_alias (stock, alias) VALUES ((SELECT id FROM stock WHERE ticker = 'IRSX'), 'Folago Global Nusantara') ON CONFLICT DO NOTHING;</v>
      </c>
    </row>
    <row r="1817" spans="1:6" x14ac:dyDescent="0.2">
      <c r="A1817" t="s">
        <v>2250</v>
      </c>
      <c r="B1817" t="s">
        <v>2251</v>
      </c>
      <c r="C1817" t="s">
        <v>6235</v>
      </c>
      <c r="D1817" t="str">
        <f>TRIM(alias[[#This Row],[Column3]])</f>
        <v>Folago Global Nusantara Tbk</v>
      </c>
      <c r="F1817" t="str">
        <f t="shared" si="28"/>
        <v>INSERT INTO stock_alias (stock, alias) VALUES ((SELECT id FROM stock WHERE ticker = 'IRSX'), 'Folago Global Nusantara Tbk') ON CONFLICT DO NOTHING;</v>
      </c>
    </row>
    <row r="1818" spans="1:6" x14ac:dyDescent="0.2">
      <c r="A1818" t="s">
        <v>2250</v>
      </c>
      <c r="B1818" t="s">
        <v>2251</v>
      </c>
      <c r="C1818" t="s">
        <v>6236</v>
      </c>
      <c r="D1818" t="str">
        <f>TRIM(alias[[#This Row],[Column3]])</f>
        <v>PT Folago Global Nusantara</v>
      </c>
      <c r="F1818" t="str">
        <f t="shared" si="28"/>
        <v>INSERT INTO stock_alias (stock, alias) VALUES ((SELECT id FROM stock WHERE ticker = 'IRSX'), 'PT Folago Global Nusantara') ON CONFLICT DO NOTHING;</v>
      </c>
    </row>
    <row r="1819" spans="1:6" x14ac:dyDescent="0.2">
      <c r="A1819" t="s">
        <v>2211</v>
      </c>
      <c r="B1819" t="s">
        <v>2212</v>
      </c>
      <c r="C1819" t="s">
        <v>2211</v>
      </c>
      <c r="D1819" t="str">
        <f>TRIM(alias[[#This Row],[Column3]])</f>
        <v>ISAP</v>
      </c>
      <c r="F1819" t="str">
        <f t="shared" si="28"/>
        <v>INSERT INTO stock_alias (stock, alias) VALUES ((SELECT id FROM stock WHERE ticker = 'ISAP'), 'ISAP') ON CONFLICT DO NOTHING;</v>
      </c>
    </row>
    <row r="1820" spans="1:6" x14ac:dyDescent="0.2">
      <c r="A1820" t="s">
        <v>2211</v>
      </c>
      <c r="B1820" t="s">
        <v>2212</v>
      </c>
      <c r="C1820" t="s">
        <v>6237</v>
      </c>
      <c r="D1820" t="str">
        <f>TRIM(alias[[#This Row],[Column3]])</f>
        <v>Isra Presisi Indonesia</v>
      </c>
      <c r="F1820" t="str">
        <f t="shared" si="28"/>
        <v>INSERT INTO stock_alias (stock, alias) VALUES ((SELECT id FROM stock WHERE ticker = 'ISAP'), 'Isra Presisi Indonesia') ON CONFLICT DO NOTHING;</v>
      </c>
    </row>
    <row r="1821" spans="1:6" x14ac:dyDescent="0.2">
      <c r="A1821" t="s">
        <v>2211</v>
      </c>
      <c r="B1821" t="s">
        <v>2212</v>
      </c>
      <c r="C1821" t="s">
        <v>6238</v>
      </c>
      <c r="D1821" t="str">
        <f>TRIM(alias[[#This Row],[Column3]])</f>
        <v>Isra Presisi Indonesia Tbk</v>
      </c>
      <c r="F1821" t="str">
        <f t="shared" si="28"/>
        <v>INSERT INTO stock_alias (stock, alias) VALUES ((SELECT id FROM stock WHERE ticker = 'ISAP'), 'Isra Presisi Indonesia Tbk') ON CONFLICT DO NOTHING;</v>
      </c>
    </row>
    <row r="1822" spans="1:6" x14ac:dyDescent="0.2">
      <c r="A1822" t="s">
        <v>2211</v>
      </c>
      <c r="B1822" t="s">
        <v>2212</v>
      </c>
      <c r="C1822" t="s">
        <v>6239</v>
      </c>
      <c r="D1822" t="str">
        <f>TRIM(alias[[#This Row],[Column3]])</f>
        <v>PT Isra Presisi Indonesia</v>
      </c>
      <c r="F1822" t="str">
        <f t="shared" si="28"/>
        <v>INSERT INTO stock_alias (stock, alias) VALUES ((SELECT id FROM stock WHERE ticker = 'ISAP'), 'PT Isra Presisi Indonesia') ON CONFLICT DO NOTHING;</v>
      </c>
    </row>
    <row r="1823" spans="1:6" x14ac:dyDescent="0.2">
      <c r="A1823" t="s">
        <v>658</v>
      </c>
      <c r="B1823" t="s">
        <v>659</v>
      </c>
      <c r="C1823" t="s">
        <v>6240</v>
      </c>
      <c r="D1823" t="str">
        <f>TRIM(alias[[#This Row],[Column3]])</f>
        <v>ISAT Tbk</v>
      </c>
      <c r="F1823" t="str">
        <f t="shared" si="28"/>
        <v>INSERT INTO stock_alias (stock, alias) VALUES ((SELECT id FROM stock WHERE ticker = 'ISAT'), 'ISAT Tbk') ON CONFLICT DO NOTHING;</v>
      </c>
    </row>
    <row r="1824" spans="1:6" x14ac:dyDescent="0.2">
      <c r="A1824" t="s">
        <v>658</v>
      </c>
      <c r="B1824" t="s">
        <v>659</v>
      </c>
      <c r="C1824" t="s">
        <v>6241</v>
      </c>
      <c r="D1824" t="str">
        <f>TRIM(alias[[#This Row],[Column3]])</f>
        <v>PT Indosat</v>
      </c>
      <c r="F1824" t="str">
        <f t="shared" si="28"/>
        <v>INSERT INTO stock_alias (stock, alias) VALUES ((SELECT id FROM stock WHERE ticker = 'ISAT'), 'PT Indosat') ON CONFLICT DO NOTHING;</v>
      </c>
    </row>
    <row r="1825" spans="1:6" x14ac:dyDescent="0.2">
      <c r="A1825" t="s">
        <v>2474</v>
      </c>
      <c r="B1825" t="s">
        <v>2475</v>
      </c>
      <c r="C1825" t="s">
        <v>2474</v>
      </c>
      <c r="D1825" t="str">
        <f>TRIM(alias[[#This Row],[Column3]])</f>
        <v>ISEA</v>
      </c>
      <c r="F1825" t="str">
        <f t="shared" si="28"/>
        <v>INSERT INTO stock_alias (stock, alias) VALUES ((SELECT id FROM stock WHERE ticker = 'ISEA'), 'ISEA') ON CONFLICT DO NOTHING;</v>
      </c>
    </row>
    <row r="1826" spans="1:6" x14ac:dyDescent="0.2">
      <c r="A1826" t="s">
        <v>2474</v>
      </c>
      <c r="B1826" t="s">
        <v>2475</v>
      </c>
      <c r="C1826" t="s">
        <v>6242</v>
      </c>
      <c r="D1826" t="str">
        <f>TRIM(alias[[#This Row],[Column3]])</f>
        <v>Indo American Seafoods</v>
      </c>
      <c r="F1826" t="str">
        <f t="shared" si="28"/>
        <v>INSERT INTO stock_alias (stock, alias) VALUES ((SELECT id FROM stock WHERE ticker = 'ISEA'), 'Indo American Seafoods') ON CONFLICT DO NOTHING;</v>
      </c>
    </row>
    <row r="1827" spans="1:6" x14ac:dyDescent="0.2">
      <c r="A1827" t="s">
        <v>2474</v>
      </c>
      <c r="B1827" t="s">
        <v>2475</v>
      </c>
      <c r="C1827" t="s">
        <v>6243</v>
      </c>
      <c r="D1827" t="str">
        <f>TRIM(alias[[#This Row],[Column3]])</f>
        <v>Indo American Seafoods Tbk</v>
      </c>
      <c r="F1827" t="str">
        <f t="shared" si="28"/>
        <v>INSERT INTO stock_alias (stock, alias) VALUES ((SELECT id FROM stock WHERE ticker = 'ISEA'), 'Indo American Seafoods Tbk') ON CONFLICT DO NOTHING;</v>
      </c>
    </row>
    <row r="1828" spans="1:6" x14ac:dyDescent="0.2">
      <c r="A1828" t="s">
        <v>2474</v>
      </c>
      <c r="B1828" t="s">
        <v>2475</v>
      </c>
      <c r="C1828" t="s">
        <v>6244</v>
      </c>
      <c r="D1828" t="str">
        <f>TRIM(alias[[#This Row],[Column3]])</f>
        <v>PT Indo American Seafoods</v>
      </c>
      <c r="F1828" t="str">
        <f t="shared" si="28"/>
        <v>INSERT INTO stock_alias (stock, alias) VALUES ((SELECT id FROM stock WHERE ticker = 'ISEA'), 'PT Indo American Seafoods') ON CONFLICT DO NOTHING;</v>
      </c>
    </row>
    <row r="1829" spans="1:6" x14ac:dyDescent="0.2">
      <c r="A1829" t="s">
        <v>661</v>
      </c>
      <c r="B1829" t="s">
        <v>3593</v>
      </c>
      <c r="C1829" t="s">
        <v>661</v>
      </c>
      <c r="D1829" t="str">
        <f>TRIM(alias[[#This Row],[Column3]])</f>
        <v>ISSP</v>
      </c>
      <c r="F1829" t="str">
        <f t="shared" si="28"/>
        <v>INSERT INTO stock_alias (stock, alias) VALUES ((SELECT id FROM stock WHERE ticker = 'ISSP'), 'ISSP') ON CONFLICT DO NOTHING;</v>
      </c>
    </row>
    <row r="1830" spans="1:6" x14ac:dyDescent="0.2">
      <c r="A1830" t="s">
        <v>661</v>
      </c>
      <c r="B1830" t="s">
        <v>3593</v>
      </c>
      <c r="C1830" t="s">
        <v>6245</v>
      </c>
      <c r="D1830" t="str">
        <f>TRIM(alias[[#This Row],[Column3]])</f>
        <v>PT Steel Pipe Industry of Indonesia</v>
      </c>
      <c r="F1830" t="str">
        <f t="shared" si="28"/>
        <v>INSERT INTO stock_alias (stock, alias) VALUES ((SELECT id FROM stock WHERE ticker = 'ISSP'), 'PT Steel Pipe Industry of Indonesia') ON CONFLICT DO NOTHING;</v>
      </c>
    </row>
    <row r="1831" spans="1:6" x14ac:dyDescent="0.2">
      <c r="A1831" t="s">
        <v>661</v>
      </c>
      <c r="B1831" t="s">
        <v>3593</v>
      </c>
      <c r="C1831" t="s">
        <v>6246</v>
      </c>
      <c r="D1831" t="str">
        <f>TRIM(alias[[#This Row],[Column3]])</f>
        <v>Steel Pipe Industry of Indonesia</v>
      </c>
      <c r="F1831" t="str">
        <f t="shared" si="28"/>
        <v>INSERT INTO stock_alias (stock, alias) VALUES ((SELECT id FROM stock WHERE ticker = 'ISSP'), 'Steel Pipe Industry of Indonesia') ON CONFLICT DO NOTHING;</v>
      </c>
    </row>
    <row r="1832" spans="1:6" x14ac:dyDescent="0.2">
      <c r="A1832" t="s">
        <v>661</v>
      </c>
      <c r="B1832" t="s">
        <v>3593</v>
      </c>
      <c r="C1832" t="s">
        <v>6247</v>
      </c>
      <c r="D1832" t="str">
        <f>TRIM(alias[[#This Row],[Column3]])</f>
        <v>Steel Pipe Industry of Indonesia Tbk</v>
      </c>
      <c r="F1832" t="str">
        <f t="shared" si="28"/>
        <v>INSERT INTO stock_alias (stock, alias) VALUES ((SELECT id FROM stock WHERE ticker = 'ISSP'), 'Steel Pipe Industry of Indonesia Tbk') ON CONFLICT DO NOTHING;</v>
      </c>
    </row>
    <row r="1833" spans="1:6" x14ac:dyDescent="0.2">
      <c r="A1833" t="s">
        <v>1694</v>
      </c>
      <c r="B1833" t="s">
        <v>1695</v>
      </c>
      <c r="C1833" t="s">
        <v>1694</v>
      </c>
      <c r="D1833" t="str">
        <f>TRIM(alias[[#This Row],[Column3]])</f>
        <v>ITIC</v>
      </c>
      <c r="F1833" t="str">
        <f t="shared" si="28"/>
        <v>INSERT INTO stock_alias (stock, alias) VALUES ((SELECT id FROM stock WHERE ticker = 'ITIC'), 'ITIC') ON CONFLICT DO NOTHING;</v>
      </c>
    </row>
    <row r="1834" spans="1:6" x14ac:dyDescent="0.2">
      <c r="A1834" t="s">
        <v>1694</v>
      </c>
      <c r="B1834" t="s">
        <v>1695</v>
      </c>
      <c r="C1834" t="s">
        <v>6248</v>
      </c>
      <c r="D1834" t="str">
        <f>TRIM(alias[[#This Row],[Column3]])</f>
        <v>Indonesian Tobacco</v>
      </c>
      <c r="F1834" t="str">
        <f t="shared" si="28"/>
        <v>INSERT INTO stock_alias (stock, alias) VALUES ((SELECT id FROM stock WHERE ticker = 'ITIC'), 'Indonesian Tobacco') ON CONFLICT DO NOTHING;</v>
      </c>
    </row>
    <row r="1835" spans="1:6" x14ac:dyDescent="0.2">
      <c r="A1835" t="s">
        <v>1694</v>
      </c>
      <c r="B1835" t="s">
        <v>1695</v>
      </c>
      <c r="C1835" t="s">
        <v>6249</v>
      </c>
      <c r="D1835" t="str">
        <f>TRIM(alias[[#This Row],[Column3]])</f>
        <v>Indonesian Tobacco Tbk</v>
      </c>
      <c r="F1835" t="str">
        <f t="shared" si="28"/>
        <v>INSERT INTO stock_alias (stock, alias) VALUES ((SELECT id FROM stock WHERE ticker = 'ITIC'), 'Indonesian Tobacco Tbk') ON CONFLICT DO NOTHING;</v>
      </c>
    </row>
    <row r="1836" spans="1:6" x14ac:dyDescent="0.2">
      <c r="A1836" t="s">
        <v>1694</v>
      </c>
      <c r="B1836" t="s">
        <v>1695</v>
      </c>
      <c r="C1836" t="s">
        <v>6250</v>
      </c>
      <c r="D1836" t="str">
        <f>TRIM(alias[[#This Row],[Column3]])</f>
        <v>PT Indonesian Tobacco</v>
      </c>
      <c r="F1836" t="str">
        <f t="shared" si="28"/>
        <v>INSERT INTO stock_alias (stock, alias) VALUES ((SELECT id FROM stock WHERE ticker = 'ITIC'), 'PT Indonesian Tobacco') ON CONFLICT DO NOTHING;</v>
      </c>
    </row>
    <row r="1837" spans="1:6" x14ac:dyDescent="0.2">
      <c r="A1837" t="s">
        <v>663</v>
      </c>
      <c r="B1837" t="s">
        <v>664</v>
      </c>
      <c r="C1837" t="s">
        <v>663</v>
      </c>
      <c r="D1837" t="str">
        <f>TRIM(alias[[#This Row],[Column3]])</f>
        <v>ITMA</v>
      </c>
      <c r="F1837" t="str">
        <f t="shared" si="28"/>
        <v>INSERT INTO stock_alias (stock, alias) VALUES ((SELECT id FROM stock WHERE ticker = 'ITMA'), 'ITMA') ON CONFLICT DO NOTHING;</v>
      </c>
    </row>
    <row r="1838" spans="1:6" x14ac:dyDescent="0.2">
      <c r="A1838" t="s">
        <v>663</v>
      </c>
      <c r="B1838" t="s">
        <v>664</v>
      </c>
      <c r="C1838" t="s">
        <v>6251</v>
      </c>
      <c r="D1838" t="str">
        <f>TRIM(alias[[#This Row],[Column3]])</f>
        <v>PT Sumber Energi Andalan</v>
      </c>
      <c r="F1838" t="str">
        <f t="shared" si="28"/>
        <v>INSERT INTO stock_alias (stock, alias) VALUES ((SELECT id FROM stock WHERE ticker = 'ITMA'), 'PT Sumber Energi Andalan') ON CONFLICT DO NOTHING;</v>
      </c>
    </row>
    <row r="1839" spans="1:6" x14ac:dyDescent="0.2">
      <c r="A1839" t="s">
        <v>663</v>
      </c>
      <c r="B1839" t="s">
        <v>664</v>
      </c>
      <c r="C1839" t="s">
        <v>6252</v>
      </c>
      <c r="D1839" t="str">
        <f>TRIM(alias[[#This Row],[Column3]])</f>
        <v>Sumber Energi Andalan</v>
      </c>
      <c r="F1839" t="str">
        <f t="shared" si="28"/>
        <v>INSERT INTO stock_alias (stock, alias) VALUES ((SELECT id FROM stock WHERE ticker = 'ITMA'), 'Sumber Energi Andalan') ON CONFLICT DO NOTHING;</v>
      </c>
    </row>
    <row r="1840" spans="1:6" x14ac:dyDescent="0.2">
      <c r="A1840" t="s">
        <v>663</v>
      </c>
      <c r="B1840" t="s">
        <v>664</v>
      </c>
      <c r="C1840" t="s">
        <v>6253</v>
      </c>
      <c r="D1840" t="str">
        <f>TRIM(alias[[#This Row],[Column3]])</f>
        <v>Sumber Energi Andalan Tbk</v>
      </c>
      <c r="F1840" t="str">
        <f t="shared" si="28"/>
        <v>INSERT INTO stock_alias (stock, alias) VALUES ((SELECT id FROM stock WHERE ticker = 'ITMA'), 'Sumber Energi Andalan Tbk') ON CONFLICT DO NOTHING;</v>
      </c>
    </row>
    <row r="1841" spans="1:6" x14ac:dyDescent="0.2">
      <c r="A1841" t="s">
        <v>666</v>
      </c>
      <c r="B1841" t="s">
        <v>667</v>
      </c>
      <c r="C1841" t="s">
        <v>666</v>
      </c>
      <c r="D1841" t="str">
        <f>TRIM(alias[[#This Row],[Column3]])</f>
        <v>ITMG</v>
      </c>
      <c r="F1841" t="str">
        <f t="shared" si="28"/>
        <v>INSERT INTO stock_alias (stock, alias) VALUES ((SELECT id FROM stock WHERE ticker = 'ITMG'), 'ITMG') ON CONFLICT DO NOTHING;</v>
      </c>
    </row>
    <row r="1842" spans="1:6" x14ac:dyDescent="0.2">
      <c r="A1842" t="s">
        <v>666</v>
      </c>
      <c r="B1842" t="s">
        <v>667</v>
      </c>
      <c r="C1842" t="s">
        <v>6254</v>
      </c>
      <c r="D1842" t="str">
        <f>TRIM(alias[[#This Row],[Column3]])</f>
        <v>Indo Tambangraya Megah</v>
      </c>
      <c r="F1842" t="str">
        <f t="shared" si="28"/>
        <v>INSERT INTO stock_alias (stock, alias) VALUES ((SELECT id FROM stock WHERE ticker = 'ITMG'), 'Indo Tambangraya Megah') ON CONFLICT DO NOTHING;</v>
      </c>
    </row>
    <row r="1843" spans="1:6" x14ac:dyDescent="0.2">
      <c r="A1843" t="s">
        <v>666</v>
      </c>
      <c r="B1843" t="s">
        <v>667</v>
      </c>
      <c r="C1843" t="s">
        <v>6255</v>
      </c>
      <c r="D1843" t="str">
        <f>TRIM(alias[[#This Row],[Column3]])</f>
        <v>Indo Tambangraya Megah Tbk</v>
      </c>
      <c r="F1843" t="str">
        <f t="shared" si="28"/>
        <v>INSERT INTO stock_alias (stock, alias) VALUES ((SELECT id FROM stock WHERE ticker = 'ITMG'), 'Indo Tambangraya Megah Tbk') ON CONFLICT DO NOTHING;</v>
      </c>
    </row>
    <row r="1844" spans="1:6" x14ac:dyDescent="0.2">
      <c r="A1844" t="s">
        <v>666</v>
      </c>
      <c r="B1844" t="s">
        <v>667</v>
      </c>
      <c r="C1844" t="s">
        <v>6256</v>
      </c>
      <c r="D1844" t="str">
        <f>TRIM(alias[[#This Row],[Column3]])</f>
        <v>PT Indo Tambangraya Megah</v>
      </c>
      <c r="F1844" t="str">
        <f t="shared" si="28"/>
        <v>INSERT INTO stock_alias (stock, alias) VALUES ((SELECT id FROM stock WHERE ticker = 'ITMG'), 'PT Indo Tambangraya Megah') ON CONFLICT DO NOTHING;</v>
      </c>
    </row>
    <row r="1845" spans="1:6" x14ac:dyDescent="0.2">
      <c r="A1845" t="s">
        <v>2143</v>
      </c>
      <c r="B1845" t="s">
        <v>2144</v>
      </c>
      <c r="C1845" t="s">
        <v>2143</v>
      </c>
      <c r="D1845" t="str">
        <f>TRIM(alias[[#This Row],[Column3]])</f>
        <v>JARR</v>
      </c>
      <c r="F1845" t="str">
        <f t="shared" si="28"/>
        <v>INSERT INTO stock_alias (stock, alias) VALUES ((SELECT id FROM stock WHERE ticker = 'JARR'), 'JARR') ON CONFLICT DO NOTHING;</v>
      </c>
    </row>
    <row r="1846" spans="1:6" x14ac:dyDescent="0.2">
      <c r="A1846" t="s">
        <v>2143</v>
      </c>
      <c r="B1846" t="s">
        <v>2144</v>
      </c>
      <c r="C1846" t="s">
        <v>6257</v>
      </c>
      <c r="D1846" t="str">
        <f>TRIM(alias[[#This Row],[Column3]])</f>
        <v>Jhonlin</v>
      </c>
      <c r="F1846" t="str">
        <f t="shared" si="28"/>
        <v>INSERT INTO stock_alias (stock, alias) VALUES ((SELECT id FROM stock WHERE ticker = 'JARR'), 'Jhonlin') ON CONFLICT DO NOTHING;</v>
      </c>
    </row>
    <row r="1847" spans="1:6" x14ac:dyDescent="0.2">
      <c r="A1847" t="s">
        <v>2143</v>
      </c>
      <c r="B1847" t="s">
        <v>2144</v>
      </c>
      <c r="C1847" t="s">
        <v>6258</v>
      </c>
      <c r="D1847" t="str">
        <f>TRIM(alias[[#This Row],[Column3]])</f>
        <v>Jhonlin Agro Raya</v>
      </c>
      <c r="F1847" t="str">
        <f t="shared" si="28"/>
        <v>INSERT INTO stock_alias (stock, alias) VALUES ((SELECT id FROM stock WHERE ticker = 'JARR'), 'Jhonlin Agro Raya') ON CONFLICT DO NOTHING;</v>
      </c>
    </row>
    <row r="1848" spans="1:6" x14ac:dyDescent="0.2">
      <c r="A1848" t="s">
        <v>2143</v>
      </c>
      <c r="B1848" t="s">
        <v>2144</v>
      </c>
      <c r="C1848" t="s">
        <v>6259</v>
      </c>
      <c r="D1848" t="str">
        <f>TRIM(alias[[#This Row],[Column3]])</f>
        <v>Jhonlin Agro Raya Tbk</v>
      </c>
      <c r="F1848" t="str">
        <f t="shared" si="28"/>
        <v>INSERT INTO stock_alias (stock, alias) VALUES ((SELECT id FROM stock WHERE ticker = 'JARR'), 'Jhonlin Agro Raya Tbk') ON CONFLICT DO NOTHING;</v>
      </c>
    </row>
    <row r="1849" spans="1:6" x14ac:dyDescent="0.2">
      <c r="A1849" t="s">
        <v>2143</v>
      </c>
      <c r="B1849" t="s">
        <v>2144</v>
      </c>
      <c r="C1849" t="s">
        <v>6260</v>
      </c>
      <c r="D1849" t="str">
        <f>TRIM(alias[[#This Row],[Column3]])</f>
        <v>PT Jhonlin Agro Raya</v>
      </c>
      <c r="F1849" t="str">
        <f t="shared" si="28"/>
        <v>INSERT INTO stock_alias (stock, alias) VALUES ((SELECT id FROM stock WHERE ticker = 'JARR'), 'PT Jhonlin Agro Raya') ON CONFLICT DO NOTHING;</v>
      </c>
    </row>
    <row r="1850" spans="1:6" x14ac:dyDescent="0.2">
      <c r="A1850" t="s">
        <v>1672</v>
      </c>
      <c r="B1850" t="s">
        <v>1673</v>
      </c>
      <c r="C1850" t="s">
        <v>1672</v>
      </c>
      <c r="D1850" t="str">
        <f>TRIM(alias[[#This Row],[Column3]])</f>
        <v>JAST</v>
      </c>
      <c r="F1850" t="str">
        <f t="shared" si="28"/>
        <v>INSERT INTO stock_alias (stock, alias) VALUES ((SELECT id FROM stock WHERE ticker = 'JAST'), 'JAST') ON CONFLICT DO NOTHING;</v>
      </c>
    </row>
    <row r="1851" spans="1:6" x14ac:dyDescent="0.2">
      <c r="A1851" t="s">
        <v>1672</v>
      </c>
      <c r="B1851" t="s">
        <v>1673</v>
      </c>
      <c r="C1851" t="s">
        <v>6261</v>
      </c>
      <c r="D1851" t="str">
        <f>TRIM(alias[[#This Row],[Column3]])</f>
        <v>Jasnita Telekomindo</v>
      </c>
      <c r="F1851" t="str">
        <f t="shared" si="28"/>
        <v>INSERT INTO stock_alias (stock, alias) VALUES ((SELECT id FROM stock WHERE ticker = 'JAST'), 'Jasnita Telekomindo') ON CONFLICT DO NOTHING;</v>
      </c>
    </row>
    <row r="1852" spans="1:6" x14ac:dyDescent="0.2">
      <c r="A1852" t="s">
        <v>1672</v>
      </c>
      <c r="B1852" t="s">
        <v>1673</v>
      </c>
      <c r="C1852" t="s">
        <v>6262</v>
      </c>
      <c r="D1852" t="str">
        <f>TRIM(alias[[#This Row],[Column3]])</f>
        <v>Jasnita Telekomindo Tbk</v>
      </c>
      <c r="F1852" t="str">
        <f t="shared" si="28"/>
        <v>INSERT INTO stock_alias (stock, alias) VALUES ((SELECT id FROM stock WHERE ticker = 'JAST'), 'Jasnita Telekomindo Tbk') ON CONFLICT DO NOTHING;</v>
      </c>
    </row>
    <row r="1853" spans="1:6" x14ac:dyDescent="0.2">
      <c r="A1853" t="s">
        <v>1672</v>
      </c>
      <c r="B1853" t="s">
        <v>1673</v>
      </c>
      <c r="C1853" t="s">
        <v>6263</v>
      </c>
      <c r="D1853" t="str">
        <f>TRIM(alias[[#This Row],[Column3]])</f>
        <v>PT Jasnita Telekomindo</v>
      </c>
      <c r="F1853" t="str">
        <f t="shared" si="28"/>
        <v>INSERT INTO stock_alias (stock, alias) VALUES ((SELECT id FROM stock WHERE ticker = 'JAST'), 'PT Jasnita Telekomindo') ON CONFLICT DO NOTHING;</v>
      </c>
    </row>
    <row r="1854" spans="1:6" x14ac:dyDescent="0.2">
      <c r="A1854" t="s">
        <v>2298</v>
      </c>
      <c r="B1854" t="s">
        <v>3594</v>
      </c>
      <c r="C1854" t="s">
        <v>2298</v>
      </c>
      <c r="D1854" t="str">
        <f>TRIM(alias[[#This Row],[Column3]])</f>
        <v>JATI</v>
      </c>
      <c r="F1854" t="str">
        <f t="shared" si="28"/>
        <v>INSERT INTO stock_alias (stock, alias) VALUES ((SELECT id FROM stock WHERE ticker = 'JATI'), 'JATI') ON CONFLICT DO NOTHING;</v>
      </c>
    </row>
    <row r="1855" spans="1:6" x14ac:dyDescent="0.2">
      <c r="A1855" t="s">
        <v>2298</v>
      </c>
      <c r="B1855" t="s">
        <v>3594</v>
      </c>
      <c r="C1855" t="s">
        <v>6264</v>
      </c>
      <c r="D1855" t="str">
        <f>TRIM(alias[[#This Row],[Column3]])</f>
        <v>Informasi Teknologi Indonesia</v>
      </c>
      <c r="F1855" t="str">
        <f t="shared" si="28"/>
        <v>INSERT INTO stock_alias (stock, alias) VALUES ((SELECT id FROM stock WHERE ticker = 'JATI'), 'Informasi Teknologi Indonesia') ON CONFLICT DO NOTHING;</v>
      </c>
    </row>
    <row r="1856" spans="1:6" x14ac:dyDescent="0.2">
      <c r="A1856" t="s">
        <v>2298</v>
      </c>
      <c r="B1856" t="s">
        <v>3594</v>
      </c>
      <c r="C1856" t="s">
        <v>6265</v>
      </c>
      <c r="D1856" t="str">
        <f>TRIM(alias[[#This Row],[Column3]])</f>
        <v>Informasi Teknologi Indonesia Tbk</v>
      </c>
      <c r="F1856" t="str">
        <f t="shared" si="28"/>
        <v>INSERT INTO stock_alias (stock, alias) VALUES ((SELECT id FROM stock WHERE ticker = 'JATI'), 'Informasi Teknologi Indonesia Tbk') ON CONFLICT DO NOTHING;</v>
      </c>
    </row>
    <row r="1857" spans="1:6" x14ac:dyDescent="0.2">
      <c r="A1857" t="s">
        <v>2298</v>
      </c>
      <c r="B1857" t="s">
        <v>3594</v>
      </c>
      <c r="C1857" t="s">
        <v>6266</v>
      </c>
      <c r="D1857" t="str">
        <f>TRIM(alias[[#This Row],[Column3]])</f>
        <v>PT Informasi Teknologi Indonesia</v>
      </c>
      <c r="F1857" t="str">
        <f t="shared" si="28"/>
        <v>INSERT INTO stock_alias (stock, alias) VALUES ((SELECT id FROM stock WHERE ticker = 'JATI'), 'PT Informasi Teknologi Indonesia') ON CONFLICT DO NOTHING;</v>
      </c>
    </row>
    <row r="1858" spans="1:6" x14ac:dyDescent="0.2">
      <c r="A1858" t="s">
        <v>669</v>
      </c>
      <c r="B1858" t="s">
        <v>670</v>
      </c>
      <c r="C1858" t="s">
        <v>669</v>
      </c>
      <c r="D1858" t="str">
        <f>TRIM(alias[[#This Row],[Column3]])</f>
        <v>JAWA</v>
      </c>
      <c r="F1858" t="str">
        <f t="shared" si="28"/>
        <v>INSERT INTO stock_alias (stock, alias) VALUES ((SELECT id FROM stock WHERE ticker = 'JAWA'), 'JAWA') ON CONFLICT DO NOTHING;</v>
      </c>
    </row>
    <row r="1859" spans="1:6" x14ac:dyDescent="0.2">
      <c r="A1859" t="s">
        <v>669</v>
      </c>
      <c r="B1859" t="s">
        <v>670</v>
      </c>
      <c r="C1859" t="s">
        <v>6267</v>
      </c>
      <c r="D1859" t="str">
        <f>TRIM(alias[[#This Row],[Column3]])</f>
        <v>Jaya Agra Wattie</v>
      </c>
      <c r="F1859" t="str">
        <f t="shared" ref="F1859:F1922" si="29">_xlfn.CONCAT($F$1, _xlfn.CONCAT($G$1, A1859, "'), '", D1859, "') ON CONFLICT DO NOTHING;"))</f>
        <v>INSERT INTO stock_alias (stock, alias) VALUES ((SELECT id FROM stock WHERE ticker = 'JAWA'), 'Jaya Agra Wattie') ON CONFLICT DO NOTHING;</v>
      </c>
    </row>
    <row r="1860" spans="1:6" x14ac:dyDescent="0.2">
      <c r="A1860" t="s">
        <v>669</v>
      </c>
      <c r="B1860" t="s">
        <v>670</v>
      </c>
      <c r="C1860" t="s">
        <v>6268</v>
      </c>
      <c r="D1860" t="str">
        <f>TRIM(alias[[#This Row],[Column3]])</f>
        <v>Jaya Agra Wattie Tbk</v>
      </c>
      <c r="F1860" t="str">
        <f t="shared" si="29"/>
        <v>INSERT INTO stock_alias (stock, alias) VALUES ((SELECT id FROM stock WHERE ticker = 'JAWA'), 'Jaya Agra Wattie Tbk') ON CONFLICT DO NOTHING;</v>
      </c>
    </row>
    <row r="1861" spans="1:6" x14ac:dyDescent="0.2">
      <c r="A1861" t="s">
        <v>669</v>
      </c>
      <c r="B1861" t="s">
        <v>670</v>
      </c>
      <c r="C1861" t="s">
        <v>6269</v>
      </c>
      <c r="D1861" t="str">
        <f>TRIM(alias[[#This Row],[Column3]])</f>
        <v>PT Jaya Agra Wattie</v>
      </c>
      <c r="F1861" t="str">
        <f t="shared" si="29"/>
        <v>INSERT INTO stock_alias (stock, alias) VALUES ((SELECT id FROM stock WHERE ticker = 'JAWA'), 'PT Jaya Agra Wattie') ON CONFLICT DO NOTHING;</v>
      </c>
    </row>
    <row r="1862" spans="1:6" x14ac:dyDescent="0.2">
      <c r="A1862" t="s">
        <v>1654</v>
      </c>
      <c r="B1862" t="s">
        <v>1655</v>
      </c>
      <c r="C1862" t="s">
        <v>1654</v>
      </c>
      <c r="D1862" t="str">
        <f>TRIM(alias[[#This Row],[Column3]])</f>
        <v>JAYA</v>
      </c>
      <c r="F1862" t="str">
        <f t="shared" si="29"/>
        <v>INSERT INTO stock_alias (stock, alias) VALUES ((SELECT id FROM stock WHERE ticker = 'JAYA'), 'JAYA') ON CONFLICT DO NOTHING;</v>
      </c>
    </row>
    <row r="1863" spans="1:6" x14ac:dyDescent="0.2">
      <c r="A1863" t="s">
        <v>1654</v>
      </c>
      <c r="B1863" t="s">
        <v>1655</v>
      </c>
      <c r="C1863" t="s">
        <v>6270</v>
      </c>
      <c r="D1863" t="str">
        <f>TRIM(alias[[#This Row],[Column3]])</f>
        <v>Armada Berjaya Trans</v>
      </c>
      <c r="F1863" t="str">
        <f t="shared" si="29"/>
        <v>INSERT INTO stock_alias (stock, alias) VALUES ((SELECT id FROM stock WHERE ticker = 'JAYA'), 'Armada Berjaya Trans') ON CONFLICT DO NOTHING;</v>
      </c>
    </row>
    <row r="1864" spans="1:6" x14ac:dyDescent="0.2">
      <c r="A1864" t="s">
        <v>1654</v>
      </c>
      <c r="B1864" t="s">
        <v>1655</v>
      </c>
      <c r="C1864" t="s">
        <v>6271</v>
      </c>
      <c r="D1864" t="str">
        <f>TRIM(alias[[#This Row],[Column3]])</f>
        <v>Armada Berjaya Trans Tbk</v>
      </c>
      <c r="F1864" t="str">
        <f t="shared" si="29"/>
        <v>INSERT INTO stock_alias (stock, alias) VALUES ((SELECT id FROM stock WHERE ticker = 'JAYA'), 'Armada Berjaya Trans Tbk') ON CONFLICT DO NOTHING;</v>
      </c>
    </row>
    <row r="1865" spans="1:6" x14ac:dyDescent="0.2">
      <c r="A1865" t="s">
        <v>1654</v>
      </c>
      <c r="B1865" t="s">
        <v>1655</v>
      </c>
      <c r="C1865" t="s">
        <v>6272</v>
      </c>
      <c r="D1865" t="str">
        <f>TRIM(alias[[#This Row],[Column3]])</f>
        <v>PT Armada Berjaya Trans</v>
      </c>
      <c r="F1865" t="str">
        <f t="shared" si="29"/>
        <v>INSERT INTO stock_alias (stock, alias) VALUES ((SELECT id FROM stock WHERE ticker = 'JAYA'), 'PT Armada Berjaya Trans') ON CONFLICT DO NOTHING;</v>
      </c>
    </row>
    <row r="1866" spans="1:6" x14ac:dyDescent="0.2">
      <c r="A1866" t="s">
        <v>672</v>
      </c>
      <c r="B1866" t="s">
        <v>673</v>
      </c>
      <c r="C1866" t="s">
        <v>672</v>
      </c>
      <c r="D1866" t="str">
        <f>TRIM(alias[[#This Row],[Column3]])</f>
        <v>JECC</v>
      </c>
      <c r="F1866" t="str">
        <f t="shared" si="29"/>
        <v>INSERT INTO stock_alias (stock, alias) VALUES ((SELECT id FROM stock WHERE ticker = 'JECC'), 'JECC') ON CONFLICT DO NOTHING;</v>
      </c>
    </row>
    <row r="1867" spans="1:6" x14ac:dyDescent="0.2">
      <c r="A1867" t="s">
        <v>672</v>
      </c>
      <c r="B1867" t="s">
        <v>673</v>
      </c>
      <c r="C1867" t="s">
        <v>6273</v>
      </c>
      <c r="D1867" t="str">
        <f>TRIM(alias[[#This Row],[Column3]])</f>
        <v>Jembo Cable Company</v>
      </c>
      <c r="F1867" t="str">
        <f t="shared" si="29"/>
        <v>INSERT INTO stock_alias (stock, alias) VALUES ((SELECT id FROM stock WHERE ticker = 'JECC'), 'Jembo Cable Company') ON CONFLICT DO NOTHING;</v>
      </c>
    </row>
    <row r="1868" spans="1:6" x14ac:dyDescent="0.2">
      <c r="A1868" t="s">
        <v>672</v>
      </c>
      <c r="B1868" t="s">
        <v>673</v>
      </c>
      <c r="C1868" t="s">
        <v>6274</v>
      </c>
      <c r="D1868" t="str">
        <f>TRIM(alias[[#This Row],[Column3]])</f>
        <v>Jembo Cable Company Tbk</v>
      </c>
      <c r="F1868" t="str">
        <f t="shared" si="29"/>
        <v>INSERT INTO stock_alias (stock, alias) VALUES ((SELECT id FROM stock WHERE ticker = 'JECC'), 'Jembo Cable Company Tbk') ON CONFLICT DO NOTHING;</v>
      </c>
    </row>
    <row r="1869" spans="1:6" x14ac:dyDescent="0.2">
      <c r="A1869" t="s">
        <v>672</v>
      </c>
      <c r="B1869" t="s">
        <v>673</v>
      </c>
      <c r="C1869" t="s">
        <v>6275</v>
      </c>
      <c r="D1869" t="str">
        <f>TRIM(alias[[#This Row],[Column3]])</f>
        <v>PT Jembo Cable Company</v>
      </c>
      <c r="F1869" t="str">
        <f t="shared" si="29"/>
        <v>INSERT INTO stock_alias (stock, alias) VALUES ((SELECT id FROM stock WHERE ticker = 'JECC'), 'PT Jembo Cable Company') ON CONFLICT DO NOTHING;</v>
      </c>
    </row>
    <row r="1870" spans="1:6" x14ac:dyDescent="0.2">
      <c r="A1870" t="s">
        <v>1356</v>
      </c>
      <c r="B1870" t="s">
        <v>3595</v>
      </c>
      <c r="C1870" t="s">
        <v>1356</v>
      </c>
      <c r="D1870" t="str">
        <f>TRIM(alias[[#This Row],[Column3]])</f>
        <v>JGLE</v>
      </c>
      <c r="F1870" t="str">
        <f t="shared" si="29"/>
        <v>INSERT INTO stock_alias (stock, alias) VALUES ((SELECT id FROM stock WHERE ticker = 'JGLE'), 'JGLE') ON CONFLICT DO NOTHING;</v>
      </c>
    </row>
    <row r="1871" spans="1:6" x14ac:dyDescent="0.2">
      <c r="A1871" t="s">
        <v>1356</v>
      </c>
      <c r="B1871" t="s">
        <v>3595</v>
      </c>
      <c r="C1871" t="s">
        <v>6276</v>
      </c>
      <c r="D1871" t="str">
        <f>TRIM(alias[[#This Row],[Column3]])</f>
        <v>Graha Andrasentra Propertindo</v>
      </c>
      <c r="F1871" t="str">
        <f t="shared" si="29"/>
        <v>INSERT INTO stock_alias (stock, alias) VALUES ((SELECT id FROM stock WHERE ticker = 'JGLE'), 'Graha Andrasentra Propertindo') ON CONFLICT DO NOTHING;</v>
      </c>
    </row>
    <row r="1872" spans="1:6" x14ac:dyDescent="0.2">
      <c r="A1872" t="s">
        <v>1356</v>
      </c>
      <c r="B1872" t="s">
        <v>3595</v>
      </c>
      <c r="C1872" t="s">
        <v>6277</v>
      </c>
      <c r="D1872" t="str">
        <f>TRIM(alias[[#This Row],[Column3]])</f>
        <v>Graha Andrasentra Propertindo Tbk</v>
      </c>
      <c r="F1872" t="str">
        <f t="shared" si="29"/>
        <v>INSERT INTO stock_alias (stock, alias) VALUES ((SELECT id FROM stock WHERE ticker = 'JGLE'), 'Graha Andrasentra Propertindo Tbk') ON CONFLICT DO NOTHING;</v>
      </c>
    </row>
    <row r="1873" spans="1:6" x14ac:dyDescent="0.2">
      <c r="A1873" t="s">
        <v>1356</v>
      </c>
      <c r="B1873" t="s">
        <v>3595</v>
      </c>
      <c r="C1873" t="s">
        <v>6278</v>
      </c>
      <c r="D1873" t="str">
        <f>TRIM(alias[[#This Row],[Column3]])</f>
        <v>PT Graha Andrasentra Propertindo</v>
      </c>
      <c r="F1873" t="str">
        <f t="shared" si="29"/>
        <v>INSERT INTO stock_alias (stock, alias) VALUES ((SELECT id FROM stock WHERE ticker = 'JGLE'), 'PT Graha Andrasentra Propertindo') ON CONFLICT DO NOTHING;</v>
      </c>
    </row>
    <row r="1874" spans="1:6" x14ac:dyDescent="0.2">
      <c r="A1874" t="s">
        <v>675</v>
      </c>
      <c r="B1874" t="s">
        <v>3596</v>
      </c>
      <c r="C1874" t="s">
        <v>675</v>
      </c>
      <c r="D1874" t="str">
        <f>TRIM(alias[[#This Row],[Column3]])</f>
        <v>JIHD</v>
      </c>
      <c r="F1874" t="str">
        <f t="shared" si="29"/>
        <v>INSERT INTO stock_alias (stock, alias) VALUES ((SELECT id FROM stock WHERE ticker = 'JIHD'), 'JIHD') ON CONFLICT DO NOTHING;</v>
      </c>
    </row>
    <row r="1875" spans="1:6" x14ac:dyDescent="0.2">
      <c r="A1875" t="s">
        <v>675</v>
      </c>
      <c r="B1875" t="s">
        <v>3596</v>
      </c>
      <c r="C1875" t="s">
        <v>6279</v>
      </c>
      <c r="D1875" t="str">
        <f>TRIM(alias[[#This Row],[Column3]])</f>
        <v>Jakarta International Hotels &amp; Development</v>
      </c>
      <c r="F1875" t="str">
        <f t="shared" si="29"/>
        <v>INSERT INTO stock_alias (stock, alias) VALUES ((SELECT id FROM stock WHERE ticker = 'JIHD'), 'Jakarta International Hotels &amp; Development') ON CONFLICT DO NOTHING;</v>
      </c>
    </row>
    <row r="1876" spans="1:6" x14ac:dyDescent="0.2">
      <c r="A1876" t="s">
        <v>675</v>
      </c>
      <c r="B1876" t="s">
        <v>3596</v>
      </c>
      <c r="C1876" t="s">
        <v>6280</v>
      </c>
      <c r="D1876" t="str">
        <f>TRIM(alias[[#This Row],[Column3]])</f>
        <v>Jakarta International Hotels &amp; Development Tbk</v>
      </c>
      <c r="F1876" t="str">
        <f t="shared" si="29"/>
        <v>INSERT INTO stock_alias (stock, alias) VALUES ((SELECT id FROM stock WHERE ticker = 'JIHD'), 'Jakarta International Hotels &amp; Development Tbk') ON CONFLICT DO NOTHING;</v>
      </c>
    </row>
    <row r="1877" spans="1:6" x14ac:dyDescent="0.2">
      <c r="A1877" t="s">
        <v>675</v>
      </c>
      <c r="B1877" t="s">
        <v>3596</v>
      </c>
      <c r="C1877" t="s">
        <v>6281</v>
      </c>
      <c r="D1877" t="str">
        <f>TRIM(alias[[#This Row],[Column3]])</f>
        <v>PT Jakarta International Hotels &amp; Development</v>
      </c>
      <c r="F1877" t="str">
        <f t="shared" si="29"/>
        <v>INSERT INTO stock_alias (stock, alias) VALUES ((SELECT id FROM stock WHERE ticker = 'JIHD'), 'PT Jakarta International Hotels &amp; Development') ON CONFLICT DO NOTHING;</v>
      </c>
    </row>
    <row r="1878" spans="1:6" x14ac:dyDescent="0.2">
      <c r="A1878" t="s">
        <v>677</v>
      </c>
      <c r="B1878" t="s">
        <v>3597</v>
      </c>
      <c r="C1878" t="s">
        <v>677</v>
      </c>
      <c r="D1878" t="str">
        <f>TRIM(alias[[#This Row],[Column3]])</f>
        <v>JKON</v>
      </c>
      <c r="F1878" t="str">
        <f t="shared" si="29"/>
        <v>INSERT INTO stock_alias (stock, alias) VALUES ((SELECT id FROM stock WHERE ticker = 'JKON'), 'JKON') ON CONFLICT DO NOTHING;</v>
      </c>
    </row>
    <row r="1879" spans="1:6" x14ac:dyDescent="0.2">
      <c r="A1879" t="s">
        <v>677</v>
      </c>
      <c r="B1879" t="s">
        <v>3597</v>
      </c>
      <c r="C1879" t="s">
        <v>6282</v>
      </c>
      <c r="D1879" t="str">
        <f>TRIM(alias[[#This Row],[Column3]])</f>
        <v>Jaya Konstruksi Manggala Pratama</v>
      </c>
      <c r="F1879" t="str">
        <f t="shared" si="29"/>
        <v>INSERT INTO stock_alias (stock, alias) VALUES ((SELECT id FROM stock WHERE ticker = 'JKON'), 'Jaya Konstruksi Manggala Pratama') ON CONFLICT DO NOTHING;</v>
      </c>
    </row>
    <row r="1880" spans="1:6" x14ac:dyDescent="0.2">
      <c r="A1880" t="s">
        <v>677</v>
      </c>
      <c r="B1880" t="s">
        <v>3597</v>
      </c>
      <c r="C1880" t="s">
        <v>6283</v>
      </c>
      <c r="D1880" t="str">
        <f>TRIM(alias[[#This Row],[Column3]])</f>
        <v>Jaya Konstruksi Manggala Pratama Tbk</v>
      </c>
      <c r="F1880" t="str">
        <f t="shared" si="29"/>
        <v>INSERT INTO stock_alias (stock, alias) VALUES ((SELECT id FROM stock WHERE ticker = 'JKON'), 'Jaya Konstruksi Manggala Pratama Tbk') ON CONFLICT DO NOTHING;</v>
      </c>
    </row>
    <row r="1881" spans="1:6" x14ac:dyDescent="0.2">
      <c r="A1881" t="s">
        <v>677</v>
      </c>
      <c r="B1881" t="s">
        <v>3597</v>
      </c>
      <c r="C1881" t="s">
        <v>6284</v>
      </c>
      <c r="D1881" t="str">
        <f>TRIM(alias[[#This Row],[Column3]])</f>
        <v>PT Jaya Konstruksi Manggala Pratama</v>
      </c>
      <c r="F1881" t="str">
        <f t="shared" si="29"/>
        <v>INSERT INTO stock_alias (stock, alias) VALUES ((SELECT id FROM stock WHERE ticker = 'JKON'), 'PT Jaya Konstruksi Manggala Pratama') ON CONFLICT DO NOTHING;</v>
      </c>
    </row>
    <row r="1882" spans="1:6" x14ac:dyDescent="0.2">
      <c r="A1882" t="s">
        <v>1482</v>
      </c>
      <c r="B1882" t="s">
        <v>3598</v>
      </c>
      <c r="C1882" t="s">
        <v>1482</v>
      </c>
      <c r="D1882" t="str">
        <f>TRIM(alias[[#This Row],[Column3]])</f>
        <v>JMAS</v>
      </c>
      <c r="F1882" t="str">
        <f t="shared" si="29"/>
        <v>INSERT INTO stock_alias (stock, alias) VALUES ((SELECT id FROM stock WHERE ticker = 'JMAS'), 'JMAS') ON CONFLICT DO NOTHING;</v>
      </c>
    </row>
    <row r="1883" spans="1:6" x14ac:dyDescent="0.2">
      <c r="A1883" t="s">
        <v>1482</v>
      </c>
      <c r="B1883" t="s">
        <v>3598</v>
      </c>
      <c r="C1883" t="s">
        <v>6285</v>
      </c>
      <c r="D1883" t="str">
        <f>TRIM(alias[[#This Row],[Column3]])</f>
        <v>Asuransi Jiwa Syariah Jasa Mitra Abadi</v>
      </c>
      <c r="F1883" t="str">
        <f t="shared" si="29"/>
        <v>INSERT INTO stock_alias (stock, alias) VALUES ((SELECT id FROM stock WHERE ticker = 'JMAS'), 'Asuransi Jiwa Syariah Jasa Mitra Abadi') ON CONFLICT DO NOTHING;</v>
      </c>
    </row>
    <row r="1884" spans="1:6" x14ac:dyDescent="0.2">
      <c r="A1884" t="s">
        <v>1482</v>
      </c>
      <c r="B1884" t="s">
        <v>3598</v>
      </c>
      <c r="C1884" t="s">
        <v>6286</v>
      </c>
      <c r="D1884" t="str">
        <f>TRIM(alias[[#This Row],[Column3]])</f>
        <v>Asuransi Jiwa Syariah Jasa Mitra Abadi Tbk</v>
      </c>
      <c r="F1884" t="str">
        <f t="shared" si="29"/>
        <v>INSERT INTO stock_alias (stock, alias) VALUES ((SELECT id FROM stock WHERE ticker = 'JMAS'), 'Asuransi Jiwa Syariah Jasa Mitra Abadi Tbk') ON CONFLICT DO NOTHING;</v>
      </c>
    </row>
    <row r="1885" spans="1:6" x14ac:dyDescent="0.2">
      <c r="A1885" t="s">
        <v>1482</v>
      </c>
      <c r="B1885" t="s">
        <v>3598</v>
      </c>
      <c r="C1885" t="s">
        <v>6287</v>
      </c>
      <c r="D1885" t="str">
        <f>TRIM(alias[[#This Row],[Column3]])</f>
        <v>PT Asuransi Jiwa Syariah Jasa Mitra Abadi</v>
      </c>
      <c r="F1885" t="str">
        <f t="shared" si="29"/>
        <v>INSERT INTO stock_alias (stock, alias) VALUES ((SELECT id FROM stock WHERE ticker = 'JMAS'), 'PT Asuransi Jiwa Syariah Jasa Mitra Abadi') ON CONFLICT DO NOTHING;</v>
      </c>
    </row>
    <row r="1886" spans="1:6" x14ac:dyDescent="0.2">
      <c r="A1886" t="s">
        <v>679</v>
      </c>
      <c r="B1886" t="s">
        <v>680</v>
      </c>
      <c r="C1886" t="s">
        <v>679</v>
      </c>
      <c r="D1886" t="str">
        <f>TRIM(alias[[#This Row],[Column3]])</f>
        <v>JPFA</v>
      </c>
      <c r="F1886" t="str">
        <f t="shared" si="29"/>
        <v>INSERT INTO stock_alias (stock, alias) VALUES ((SELECT id FROM stock WHERE ticker = 'JPFA'), 'JPFA') ON CONFLICT DO NOTHING;</v>
      </c>
    </row>
    <row r="1887" spans="1:6" x14ac:dyDescent="0.2">
      <c r="A1887" t="s">
        <v>679</v>
      </c>
      <c r="B1887" t="s">
        <v>680</v>
      </c>
      <c r="C1887" t="s">
        <v>6288</v>
      </c>
      <c r="D1887" t="str">
        <f>TRIM(alias[[#This Row],[Column3]])</f>
        <v>Japfa</v>
      </c>
      <c r="F1887" t="str">
        <f t="shared" si="29"/>
        <v>INSERT INTO stock_alias (stock, alias) VALUES ((SELECT id FROM stock WHERE ticker = 'JPFA'), 'Japfa') ON CONFLICT DO NOTHING;</v>
      </c>
    </row>
    <row r="1888" spans="1:6" x14ac:dyDescent="0.2">
      <c r="A1888" t="s">
        <v>679</v>
      </c>
      <c r="B1888" t="s">
        <v>680</v>
      </c>
      <c r="C1888" t="s">
        <v>6289</v>
      </c>
      <c r="D1888" t="str">
        <f>TRIM(alias[[#This Row],[Column3]])</f>
        <v>Japfa Comfeed Indonesia</v>
      </c>
      <c r="F1888" t="str">
        <f t="shared" si="29"/>
        <v>INSERT INTO stock_alias (stock, alias) VALUES ((SELECT id FROM stock WHERE ticker = 'JPFA'), 'Japfa Comfeed Indonesia') ON CONFLICT DO NOTHING;</v>
      </c>
    </row>
    <row r="1889" spans="1:6" x14ac:dyDescent="0.2">
      <c r="A1889" t="s">
        <v>679</v>
      </c>
      <c r="B1889" t="s">
        <v>680</v>
      </c>
      <c r="C1889" t="s">
        <v>6290</v>
      </c>
      <c r="D1889" t="str">
        <f>TRIM(alias[[#This Row],[Column3]])</f>
        <v>Japfa Comfeed Indonesia Tbk</v>
      </c>
      <c r="F1889" t="str">
        <f t="shared" si="29"/>
        <v>INSERT INTO stock_alias (stock, alias) VALUES ((SELECT id FROM stock WHERE ticker = 'JPFA'), 'Japfa Comfeed Indonesia Tbk') ON CONFLICT DO NOTHING;</v>
      </c>
    </row>
    <row r="1890" spans="1:6" x14ac:dyDescent="0.2">
      <c r="A1890" t="s">
        <v>679</v>
      </c>
      <c r="B1890" t="s">
        <v>680</v>
      </c>
      <c r="C1890" t="s">
        <v>6291</v>
      </c>
      <c r="D1890" t="str">
        <f>TRIM(alias[[#This Row],[Column3]])</f>
        <v>PT Japfa Comfeed Indonesia</v>
      </c>
      <c r="F1890" t="str">
        <f t="shared" si="29"/>
        <v>INSERT INTO stock_alias (stock, alias) VALUES ((SELECT id FROM stock WHERE ticker = 'JPFA'), 'PT Japfa Comfeed Indonesia') ON CONFLICT DO NOTHING;</v>
      </c>
    </row>
    <row r="1891" spans="1:6" x14ac:dyDescent="0.2">
      <c r="A1891" t="s">
        <v>682</v>
      </c>
      <c r="B1891" t="s">
        <v>683</v>
      </c>
      <c r="C1891" t="s">
        <v>682</v>
      </c>
      <c r="D1891" t="str">
        <f>TRIM(alias[[#This Row],[Column3]])</f>
        <v>JRPT</v>
      </c>
      <c r="F1891" t="str">
        <f t="shared" si="29"/>
        <v>INSERT INTO stock_alias (stock, alias) VALUES ((SELECT id FROM stock WHERE ticker = 'JRPT'), 'JRPT') ON CONFLICT DO NOTHING;</v>
      </c>
    </row>
    <row r="1892" spans="1:6" x14ac:dyDescent="0.2">
      <c r="A1892" t="s">
        <v>682</v>
      </c>
      <c r="B1892" t="s">
        <v>683</v>
      </c>
      <c r="C1892" t="s">
        <v>6292</v>
      </c>
      <c r="D1892" t="str">
        <f>TRIM(alias[[#This Row],[Column3]])</f>
        <v>Jaya Real Property</v>
      </c>
      <c r="F1892" t="str">
        <f t="shared" si="29"/>
        <v>INSERT INTO stock_alias (stock, alias) VALUES ((SELECT id FROM stock WHERE ticker = 'JRPT'), 'Jaya Real Property') ON CONFLICT DO NOTHING;</v>
      </c>
    </row>
    <row r="1893" spans="1:6" x14ac:dyDescent="0.2">
      <c r="A1893" t="s">
        <v>682</v>
      </c>
      <c r="B1893" t="s">
        <v>683</v>
      </c>
      <c r="C1893" t="s">
        <v>6293</v>
      </c>
      <c r="D1893" t="str">
        <f>TRIM(alias[[#This Row],[Column3]])</f>
        <v>Jaya Real Property Tbk</v>
      </c>
      <c r="F1893" t="str">
        <f t="shared" si="29"/>
        <v>INSERT INTO stock_alias (stock, alias) VALUES ((SELECT id FROM stock WHERE ticker = 'JRPT'), 'Jaya Real Property Tbk') ON CONFLICT DO NOTHING;</v>
      </c>
    </row>
    <row r="1894" spans="1:6" x14ac:dyDescent="0.2">
      <c r="A1894" t="s">
        <v>682</v>
      </c>
      <c r="B1894" t="s">
        <v>683</v>
      </c>
      <c r="C1894" t="s">
        <v>6294</v>
      </c>
      <c r="D1894" t="str">
        <f>TRIM(alias[[#This Row],[Column3]])</f>
        <v>PT Jaya Real Property</v>
      </c>
      <c r="F1894" t="str">
        <f t="shared" si="29"/>
        <v>INSERT INTO stock_alias (stock, alias) VALUES ((SELECT id FROM stock WHERE ticker = 'JRPT'), 'PT Jaya Real Property') ON CONFLICT DO NOTHING;</v>
      </c>
    </row>
    <row r="1895" spans="1:6" x14ac:dyDescent="0.2">
      <c r="A1895" t="s">
        <v>1499</v>
      </c>
      <c r="B1895" t="s">
        <v>1500</v>
      </c>
      <c r="C1895" t="s">
        <v>1499</v>
      </c>
      <c r="D1895" t="str">
        <f>TRIM(alias[[#This Row],[Column3]])</f>
        <v>JSKY</v>
      </c>
      <c r="F1895" t="str">
        <f t="shared" si="29"/>
        <v>INSERT INTO stock_alias (stock, alias) VALUES ((SELECT id FROM stock WHERE ticker = 'JSKY'), 'JSKY') ON CONFLICT DO NOTHING;</v>
      </c>
    </row>
    <row r="1896" spans="1:6" x14ac:dyDescent="0.2">
      <c r="A1896" t="s">
        <v>1499</v>
      </c>
      <c r="B1896" t="s">
        <v>1500</v>
      </c>
      <c r="C1896" t="s">
        <v>6295</v>
      </c>
      <c r="D1896" t="str">
        <f>TRIM(alias[[#This Row],[Column3]])</f>
        <v>PT Sky Energy Indonesia</v>
      </c>
      <c r="F1896" t="str">
        <f t="shared" si="29"/>
        <v>INSERT INTO stock_alias (stock, alias) VALUES ((SELECT id FROM stock WHERE ticker = 'JSKY'), 'PT Sky Energy Indonesia') ON CONFLICT DO NOTHING;</v>
      </c>
    </row>
    <row r="1897" spans="1:6" x14ac:dyDescent="0.2">
      <c r="A1897" t="s">
        <v>1499</v>
      </c>
      <c r="B1897" t="s">
        <v>1500</v>
      </c>
      <c r="C1897" t="s">
        <v>6296</v>
      </c>
      <c r="D1897" t="str">
        <f>TRIM(alias[[#This Row],[Column3]])</f>
        <v>Sky Energy Indonesia</v>
      </c>
      <c r="F1897" t="str">
        <f t="shared" si="29"/>
        <v>INSERT INTO stock_alias (stock, alias) VALUES ((SELECT id FROM stock WHERE ticker = 'JSKY'), 'Sky Energy Indonesia') ON CONFLICT DO NOTHING;</v>
      </c>
    </row>
    <row r="1898" spans="1:6" x14ac:dyDescent="0.2">
      <c r="A1898" t="s">
        <v>1499</v>
      </c>
      <c r="B1898" t="s">
        <v>1500</v>
      </c>
      <c r="C1898" t="s">
        <v>6297</v>
      </c>
      <c r="D1898" t="str">
        <f>TRIM(alias[[#This Row],[Column3]])</f>
        <v>Sky Energy Indonesia Tbk</v>
      </c>
      <c r="F1898" t="str">
        <f t="shared" si="29"/>
        <v>INSERT INTO stock_alias (stock, alias) VALUES ((SELECT id FROM stock WHERE ticker = 'JSKY'), 'Sky Energy Indonesia Tbk') ON CONFLICT DO NOTHING;</v>
      </c>
    </row>
    <row r="1899" spans="1:6" x14ac:dyDescent="0.2">
      <c r="A1899" t="s">
        <v>685</v>
      </c>
      <c r="B1899" t="s">
        <v>686</v>
      </c>
      <c r="C1899" t="s">
        <v>685</v>
      </c>
      <c r="D1899" t="str">
        <f>TRIM(alias[[#This Row],[Column3]])</f>
        <v>JSMR</v>
      </c>
      <c r="F1899" t="str">
        <f t="shared" si="29"/>
        <v>INSERT INTO stock_alias (stock, alias) VALUES ((SELECT id FROM stock WHERE ticker = 'JSMR'), 'JSMR') ON CONFLICT DO NOTHING;</v>
      </c>
    </row>
    <row r="1900" spans="1:6" x14ac:dyDescent="0.2">
      <c r="A1900" t="s">
        <v>685</v>
      </c>
      <c r="B1900" t="s">
        <v>686</v>
      </c>
      <c r="C1900" t="s">
        <v>6298</v>
      </c>
      <c r="D1900" t="str">
        <f>TRIM(alias[[#This Row],[Column3]])</f>
        <v>Jasa Marga (Persero)</v>
      </c>
      <c r="F1900" t="str">
        <f t="shared" si="29"/>
        <v>INSERT INTO stock_alias (stock, alias) VALUES ((SELECT id FROM stock WHERE ticker = 'JSMR'), 'Jasa Marga (Persero)') ON CONFLICT DO NOTHING;</v>
      </c>
    </row>
    <row r="1901" spans="1:6" x14ac:dyDescent="0.2">
      <c r="A1901" t="s">
        <v>685</v>
      </c>
      <c r="B1901" t="s">
        <v>686</v>
      </c>
      <c r="C1901" t="s">
        <v>6299</v>
      </c>
      <c r="D1901" t="str">
        <f>TRIM(alias[[#This Row],[Column3]])</f>
        <v>Jasa Marga (Persero) Tbk</v>
      </c>
      <c r="F1901" t="str">
        <f t="shared" si="29"/>
        <v>INSERT INTO stock_alias (stock, alias) VALUES ((SELECT id FROM stock WHERE ticker = 'JSMR'), 'Jasa Marga (Persero) Tbk') ON CONFLICT DO NOTHING;</v>
      </c>
    </row>
    <row r="1902" spans="1:6" x14ac:dyDescent="0.2">
      <c r="A1902" t="s">
        <v>685</v>
      </c>
      <c r="B1902" t="s">
        <v>686</v>
      </c>
      <c r="C1902" t="s">
        <v>6300</v>
      </c>
      <c r="D1902" t="str">
        <f>TRIM(alias[[#This Row],[Column3]])</f>
        <v>PT Jasa Marga (Persero)</v>
      </c>
      <c r="F1902" t="str">
        <f t="shared" si="29"/>
        <v>INSERT INTO stock_alias (stock, alias) VALUES ((SELECT id FROM stock WHERE ticker = 'JSMR'), 'PT Jasa Marga (Persero)') ON CONFLICT DO NOTHING;</v>
      </c>
    </row>
    <row r="1903" spans="1:6" x14ac:dyDescent="0.2">
      <c r="A1903" t="s">
        <v>688</v>
      </c>
      <c r="B1903" t="s">
        <v>3599</v>
      </c>
      <c r="C1903" t="s">
        <v>688</v>
      </c>
      <c r="D1903" t="str">
        <f>TRIM(alias[[#This Row],[Column3]])</f>
        <v>JSPT</v>
      </c>
      <c r="F1903" t="str">
        <f t="shared" si="29"/>
        <v>INSERT INTO stock_alias (stock, alias) VALUES ((SELECT id FROM stock WHERE ticker = 'JSPT'), 'JSPT') ON CONFLICT DO NOTHING;</v>
      </c>
    </row>
    <row r="1904" spans="1:6" x14ac:dyDescent="0.2">
      <c r="A1904" t="s">
        <v>688</v>
      </c>
      <c r="B1904" t="s">
        <v>3599</v>
      </c>
      <c r="C1904" t="s">
        <v>6301</v>
      </c>
      <c r="D1904" t="str">
        <f>TRIM(alias[[#This Row],[Column3]])</f>
        <v>Jakarta Setiabudi Internasional</v>
      </c>
      <c r="F1904" t="str">
        <f t="shared" si="29"/>
        <v>INSERT INTO stock_alias (stock, alias) VALUES ((SELECT id FROM stock WHERE ticker = 'JSPT'), 'Jakarta Setiabudi Internasional') ON CONFLICT DO NOTHING;</v>
      </c>
    </row>
    <row r="1905" spans="1:6" x14ac:dyDescent="0.2">
      <c r="A1905" t="s">
        <v>688</v>
      </c>
      <c r="B1905" t="s">
        <v>3599</v>
      </c>
      <c r="C1905" t="s">
        <v>6302</v>
      </c>
      <c r="D1905" t="str">
        <f>TRIM(alias[[#This Row],[Column3]])</f>
        <v>Jakarta Setiabudi Internasional Tbk</v>
      </c>
      <c r="F1905" t="str">
        <f t="shared" si="29"/>
        <v>INSERT INTO stock_alias (stock, alias) VALUES ((SELECT id FROM stock WHERE ticker = 'JSPT'), 'Jakarta Setiabudi Internasional Tbk') ON CONFLICT DO NOTHING;</v>
      </c>
    </row>
    <row r="1906" spans="1:6" x14ac:dyDescent="0.2">
      <c r="A1906" t="s">
        <v>688</v>
      </c>
      <c r="B1906" t="s">
        <v>3599</v>
      </c>
      <c r="C1906" t="s">
        <v>6303</v>
      </c>
      <c r="D1906" t="str">
        <f>TRIM(alias[[#This Row],[Column3]])</f>
        <v>PT Jakarta Setiabudi Internasional</v>
      </c>
      <c r="F1906" t="str">
        <f t="shared" si="29"/>
        <v>INSERT INTO stock_alias (stock, alias) VALUES ((SELECT id FROM stock WHERE ticker = 'JSPT'), 'PT Jakarta Setiabudi Internasional') ON CONFLICT DO NOTHING;</v>
      </c>
    </row>
    <row r="1907" spans="1:6" x14ac:dyDescent="0.2">
      <c r="A1907" t="s">
        <v>690</v>
      </c>
      <c r="B1907" t="s">
        <v>691</v>
      </c>
      <c r="C1907" t="s">
        <v>690</v>
      </c>
      <c r="D1907" t="str">
        <f>TRIM(alias[[#This Row],[Column3]])</f>
        <v>JTPE</v>
      </c>
      <c r="F1907" t="str">
        <f t="shared" si="29"/>
        <v>INSERT INTO stock_alias (stock, alias) VALUES ((SELECT id FROM stock WHERE ticker = 'JTPE'), 'JTPE') ON CONFLICT DO NOTHING;</v>
      </c>
    </row>
    <row r="1908" spans="1:6" x14ac:dyDescent="0.2">
      <c r="A1908" t="s">
        <v>690</v>
      </c>
      <c r="B1908" t="s">
        <v>691</v>
      </c>
      <c r="C1908" t="s">
        <v>6304</v>
      </c>
      <c r="D1908" t="str">
        <f>TRIM(alias[[#This Row],[Column3]])</f>
        <v>Jasuindo Tiga Perkasa</v>
      </c>
      <c r="F1908" t="str">
        <f t="shared" si="29"/>
        <v>INSERT INTO stock_alias (stock, alias) VALUES ((SELECT id FROM stock WHERE ticker = 'JTPE'), 'Jasuindo Tiga Perkasa') ON CONFLICT DO NOTHING;</v>
      </c>
    </row>
    <row r="1909" spans="1:6" x14ac:dyDescent="0.2">
      <c r="A1909" t="s">
        <v>690</v>
      </c>
      <c r="B1909" t="s">
        <v>691</v>
      </c>
      <c r="C1909" t="s">
        <v>6305</v>
      </c>
      <c r="D1909" t="str">
        <f>TRIM(alias[[#This Row],[Column3]])</f>
        <v>Jasuindo Tiga Perkasa Tbk</v>
      </c>
      <c r="F1909" t="str">
        <f t="shared" si="29"/>
        <v>INSERT INTO stock_alias (stock, alias) VALUES ((SELECT id FROM stock WHERE ticker = 'JTPE'), 'Jasuindo Tiga Perkasa Tbk') ON CONFLICT DO NOTHING;</v>
      </c>
    </row>
    <row r="1910" spans="1:6" x14ac:dyDescent="0.2">
      <c r="A1910" t="s">
        <v>690</v>
      </c>
      <c r="B1910" t="s">
        <v>691</v>
      </c>
      <c r="C1910" t="s">
        <v>6306</v>
      </c>
      <c r="D1910" t="str">
        <f>TRIM(alias[[#This Row],[Column3]])</f>
        <v>PT Jasuindo Tiga Perkasa</v>
      </c>
      <c r="F1910" t="str">
        <f t="shared" si="29"/>
        <v>INSERT INTO stock_alias (stock, alias) VALUES ((SELECT id FROM stock WHERE ticker = 'JTPE'), 'PT Jasuindo Tiga Perkasa') ON CONFLICT DO NOTHING;</v>
      </c>
    </row>
    <row r="1911" spans="1:6" x14ac:dyDescent="0.2">
      <c r="A1911" t="s">
        <v>693</v>
      </c>
      <c r="B1911" t="s">
        <v>694</v>
      </c>
      <c r="C1911" t="s">
        <v>693</v>
      </c>
      <c r="D1911" t="str">
        <f>TRIM(alias[[#This Row],[Column3]])</f>
        <v>KAEF</v>
      </c>
      <c r="F1911" t="str">
        <f t="shared" si="29"/>
        <v>INSERT INTO stock_alias (stock, alias) VALUES ((SELECT id FROM stock WHERE ticker = 'KAEF'), 'KAEF') ON CONFLICT DO NOTHING;</v>
      </c>
    </row>
    <row r="1912" spans="1:6" x14ac:dyDescent="0.2">
      <c r="A1912" t="s">
        <v>693</v>
      </c>
      <c r="B1912" t="s">
        <v>694</v>
      </c>
      <c r="C1912" t="s">
        <v>6307</v>
      </c>
      <c r="D1912" t="str">
        <f>TRIM(alias[[#This Row],[Column3]])</f>
        <v>Kimia Farma</v>
      </c>
      <c r="F1912" t="str">
        <f t="shared" si="29"/>
        <v>INSERT INTO stock_alias (stock, alias) VALUES ((SELECT id FROM stock WHERE ticker = 'KAEF'), 'Kimia Farma') ON CONFLICT DO NOTHING;</v>
      </c>
    </row>
    <row r="1913" spans="1:6" x14ac:dyDescent="0.2">
      <c r="A1913" t="s">
        <v>693</v>
      </c>
      <c r="B1913" t="s">
        <v>694</v>
      </c>
      <c r="C1913" t="s">
        <v>6308</v>
      </c>
      <c r="D1913" t="str">
        <f>TRIM(alias[[#This Row],[Column3]])</f>
        <v>Kimia Farma Tbk</v>
      </c>
      <c r="F1913" t="str">
        <f t="shared" si="29"/>
        <v>INSERT INTO stock_alias (stock, alias) VALUES ((SELECT id FROM stock WHERE ticker = 'KAEF'), 'Kimia Farma Tbk') ON CONFLICT DO NOTHING;</v>
      </c>
    </row>
    <row r="1914" spans="1:6" x14ac:dyDescent="0.2">
      <c r="A1914" t="s">
        <v>693</v>
      </c>
      <c r="B1914" t="s">
        <v>694</v>
      </c>
      <c r="C1914" t="s">
        <v>6309</v>
      </c>
      <c r="D1914" t="str">
        <f>TRIM(alias[[#This Row],[Column3]])</f>
        <v>PT Kimia Farma</v>
      </c>
      <c r="F1914" t="str">
        <f t="shared" si="29"/>
        <v>INSERT INTO stock_alias (stock, alias) VALUES ((SELECT id FROM stock WHERE ticker = 'KAEF'), 'PT Kimia Farma') ON CONFLICT DO NOTHING;</v>
      </c>
    </row>
    <row r="1915" spans="1:6" x14ac:dyDescent="0.2">
      <c r="A1915" t="s">
        <v>2569</v>
      </c>
      <c r="B1915" t="s">
        <v>2570</v>
      </c>
      <c r="C1915" t="s">
        <v>2569</v>
      </c>
      <c r="D1915" t="str">
        <f>TRIM(alias[[#This Row],[Column3]])</f>
        <v>KAQI</v>
      </c>
      <c r="F1915" t="str">
        <f t="shared" si="29"/>
        <v>INSERT INTO stock_alias (stock, alias) VALUES ((SELECT id FROM stock WHERE ticker = 'KAQI'), 'KAQI') ON CONFLICT DO NOTHING;</v>
      </c>
    </row>
    <row r="1916" spans="1:6" x14ac:dyDescent="0.2">
      <c r="A1916" t="s">
        <v>2569</v>
      </c>
      <c r="B1916" t="s">
        <v>2570</v>
      </c>
      <c r="C1916" t="s">
        <v>6310</v>
      </c>
      <c r="D1916" t="str">
        <f>TRIM(alias[[#This Row],[Column3]])</f>
        <v>Jantra Grupo Indonesia</v>
      </c>
      <c r="F1916" t="str">
        <f t="shared" si="29"/>
        <v>INSERT INTO stock_alias (stock, alias) VALUES ((SELECT id FROM stock WHERE ticker = 'KAQI'), 'Jantra Grupo Indonesia') ON CONFLICT DO NOTHING;</v>
      </c>
    </row>
    <row r="1917" spans="1:6" x14ac:dyDescent="0.2">
      <c r="A1917" t="s">
        <v>2569</v>
      </c>
      <c r="B1917" t="s">
        <v>2570</v>
      </c>
      <c r="C1917" t="s">
        <v>6311</v>
      </c>
      <c r="D1917" t="str">
        <f>TRIM(alias[[#This Row],[Column3]])</f>
        <v>Jantra Grupo Indonesia Tbk</v>
      </c>
      <c r="F1917" t="str">
        <f t="shared" si="29"/>
        <v>INSERT INTO stock_alias (stock, alias) VALUES ((SELECT id FROM stock WHERE ticker = 'KAQI'), 'Jantra Grupo Indonesia Tbk') ON CONFLICT DO NOTHING;</v>
      </c>
    </row>
    <row r="1918" spans="1:6" x14ac:dyDescent="0.2">
      <c r="A1918" t="s">
        <v>2569</v>
      </c>
      <c r="B1918" t="s">
        <v>2570</v>
      </c>
      <c r="C1918" t="s">
        <v>6312</v>
      </c>
      <c r="D1918" t="str">
        <f>TRIM(alias[[#This Row],[Column3]])</f>
        <v>PT Jantra Grupo Indonesia</v>
      </c>
      <c r="F1918" t="str">
        <f t="shared" si="29"/>
        <v>INSERT INTO stock_alias (stock, alias) VALUES ((SELECT id FROM stock WHERE ticker = 'KAQI'), 'PT Jantra Grupo Indonesia') ON CONFLICT DO NOTHING;</v>
      </c>
    </row>
    <row r="1919" spans="1:6" x14ac:dyDescent="0.2">
      <c r="A1919" t="s">
        <v>696</v>
      </c>
      <c r="B1919" t="s">
        <v>697</v>
      </c>
      <c r="C1919" t="s">
        <v>696</v>
      </c>
      <c r="D1919" t="str">
        <f>TRIM(alias[[#This Row],[Column3]])</f>
        <v>KARW</v>
      </c>
      <c r="F1919" t="str">
        <f t="shared" si="29"/>
        <v>INSERT INTO stock_alias (stock, alias) VALUES ((SELECT id FROM stock WHERE ticker = 'KARW'), 'KARW') ON CONFLICT DO NOTHING;</v>
      </c>
    </row>
    <row r="1920" spans="1:6" x14ac:dyDescent="0.2">
      <c r="A1920" t="s">
        <v>696</v>
      </c>
      <c r="B1920" t="s">
        <v>697</v>
      </c>
      <c r="C1920" t="s">
        <v>6313</v>
      </c>
      <c r="D1920" t="str">
        <f>TRIM(alias[[#This Row],[Column3]])</f>
        <v>Meratus Jasa Prima</v>
      </c>
      <c r="F1920" t="str">
        <f t="shared" si="29"/>
        <v>INSERT INTO stock_alias (stock, alias) VALUES ((SELECT id FROM stock WHERE ticker = 'KARW'), 'Meratus Jasa Prima') ON CONFLICT DO NOTHING;</v>
      </c>
    </row>
    <row r="1921" spans="1:6" x14ac:dyDescent="0.2">
      <c r="A1921" t="s">
        <v>696</v>
      </c>
      <c r="B1921" t="s">
        <v>697</v>
      </c>
      <c r="C1921" t="s">
        <v>6314</v>
      </c>
      <c r="D1921" t="str">
        <f>TRIM(alias[[#This Row],[Column3]])</f>
        <v>Meratus Jasa Prima Tbk</v>
      </c>
      <c r="F1921" t="str">
        <f t="shared" si="29"/>
        <v>INSERT INTO stock_alias (stock, alias) VALUES ((SELECT id FROM stock WHERE ticker = 'KARW'), 'Meratus Jasa Prima Tbk') ON CONFLICT DO NOTHING;</v>
      </c>
    </row>
    <row r="1922" spans="1:6" x14ac:dyDescent="0.2">
      <c r="A1922" t="s">
        <v>696</v>
      </c>
      <c r="B1922" t="s">
        <v>697</v>
      </c>
      <c r="C1922" t="s">
        <v>6315</v>
      </c>
      <c r="D1922" t="str">
        <f>TRIM(alias[[#This Row],[Column3]])</f>
        <v>PT Meratus Jasa Prima</v>
      </c>
      <c r="F1922" t="str">
        <f t="shared" si="29"/>
        <v>INSERT INTO stock_alias (stock, alias) VALUES ((SELECT id FROM stock WHERE ticker = 'KARW'), 'PT Meratus Jasa Prima') ON CONFLICT DO NOTHING;</v>
      </c>
    </row>
    <row r="1923" spans="1:6" x14ac:dyDescent="0.2">
      <c r="A1923" t="s">
        <v>1691</v>
      </c>
      <c r="B1923" t="s">
        <v>1692</v>
      </c>
      <c r="C1923" t="s">
        <v>1691</v>
      </c>
      <c r="D1923" t="str">
        <f>TRIM(alias[[#This Row],[Column3]])</f>
        <v>KAYU</v>
      </c>
      <c r="F1923" t="str">
        <f t="shared" ref="F1923:F1986" si="30">_xlfn.CONCAT($F$1, _xlfn.CONCAT($G$1, A1923, "'), '", D1923, "') ON CONFLICT DO NOTHING;"))</f>
        <v>INSERT INTO stock_alias (stock, alias) VALUES ((SELECT id FROM stock WHERE ticker = 'KAYU'), 'KAYU') ON CONFLICT DO NOTHING;</v>
      </c>
    </row>
    <row r="1924" spans="1:6" x14ac:dyDescent="0.2">
      <c r="A1924" t="s">
        <v>1691</v>
      </c>
      <c r="B1924" t="s">
        <v>1692</v>
      </c>
      <c r="C1924" t="s">
        <v>6316</v>
      </c>
      <c r="D1924" t="str">
        <f>TRIM(alias[[#This Row],[Column3]])</f>
        <v>Darmi Bersaudara</v>
      </c>
      <c r="F1924" t="str">
        <f t="shared" si="30"/>
        <v>INSERT INTO stock_alias (stock, alias) VALUES ((SELECT id FROM stock WHERE ticker = 'KAYU'), 'Darmi Bersaudara') ON CONFLICT DO NOTHING;</v>
      </c>
    </row>
    <row r="1925" spans="1:6" x14ac:dyDescent="0.2">
      <c r="A1925" t="s">
        <v>1691</v>
      </c>
      <c r="B1925" t="s">
        <v>1692</v>
      </c>
      <c r="C1925" t="s">
        <v>6317</v>
      </c>
      <c r="D1925" t="str">
        <f>TRIM(alias[[#This Row],[Column3]])</f>
        <v>Darmi Bersaudara Tbk</v>
      </c>
      <c r="F1925" t="str">
        <f t="shared" si="30"/>
        <v>INSERT INTO stock_alias (stock, alias) VALUES ((SELECT id FROM stock WHERE ticker = 'KAYU'), 'Darmi Bersaudara Tbk') ON CONFLICT DO NOTHING;</v>
      </c>
    </row>
    <row r="1926" spans="1:6" x14ac:dyDescent="0.2">
      <c r="A1926" t="s">
        <v>1691</v>
      </c>
      <c r="B1926" t="s">
        <v>1692</v>
      </c>
      <c r="C1926" t="s">
        <v>6318</v>
      </c>
      <c r="D1926" t="str">
        <f>TRIM(alias[[#This Row],[Column3]])</f>
        <v>PT Darmi Bersaudara</v>
      </c>
      <c r="F1926" t="str">
        <f t="shared" si="30"/>
        <v>INSERT INTO stock_alias (stock, alias) VALUES ((SELECT id FROM stock WHERE ticker = 'KAYU'), 'PT Darmi Bersaudara') ON CONFLICT DO NOTHING;</v>
      </c>
    </row>
    <row r="1927" spans="1:6" x14ac:dyDescent="0.2">
      <c r="A1927" t="s">
        <v>1830</v>
      </c>
      <c r="B1927" t="s">
        <v>1831</v>
      </c>
      <c r="C1927" t="s">
        <v>1830</v>
      </c>
      <c r="D1927" t="str">
        <f>TRIM(alias[[#This Row],[Column3]])</f>
        <v>KBAG</v>
      </c>
      <c r="F1927" t="str">
        <f t="shared" si="30"/>
        <v>INSERT INTO stock_alias (stock, alias) VALUES ((SELECT id FROM stock WHERE ticker = 'KBAG'), 'KBAG') ON CONFLICT DO NOTHING;</v>
      </c>
    </row>
    <row r="1928" spans="1:6" x14ac:dyDescent="0.2">
      <c r="A1928" t="s">
        <v>1830</v>
      </c>
      <c r="B1928" t="s">
        <v>1831</v>
      </c>
      <c r="C1928" t="s">
        <v>6319</v>
      </c>
      <c r="D1928" t="str">
        <f>TRIM(alias[[#This Row],[Column3]])</f>
        <v>Karya Bersama Anugerah</v>
      </c>
      <c r="F1928" t="str">
        <f t="shared" si="30"/>
        <v>INSERT INTO stock_alias (stock, alias) VALUES ((SELECT id FROM stock WHERE ticker = 'KBAG'), 'Karya Bersama Anugerah') ON CONFLICT DO NOTHING;</v>
      </c>
    </row>
    <row r="1929" spans="1:6" x14ac:dyDescent="0.2">
      <c r="A1929" t="s">
        <v>1830</v>
      </c>
      <c r="B1929" t="s">
        <v>1831</v>
      </c>
      <c r="C1929" t="s">
        <v>6320</v>
      </c>
      <c r="D1929" t="str">
        <f>TRIM(alias[[#This Row],[Column3]])</f>
        <v>Karya Bersama Anugerah Tbk</v>
      </c>
      <c r="F1929" t="str">
        <f t="shared" si="30"/>
        <v>INSERT INTO stock_alias (stock, alias) VALUES ((SELECT id FROM stock WHERE ticker = 'KBAG'), 'Karya Bersama Anugerah Tbk') ON CONFLICT DO NOTHING;</v>
      </c>
    </row>
    <row r="1930" spans="1:6" x14ac:dyDescent="0.2">
      <c r="A1930" t="s">
        <v>1830</v>
      </c>
      <c r="B1930" t="s">
        <v>1831</v>
      </c>
      <c r="C1930" t="s">
        <v>6321</v>
      </c>
      <c r="D1930" t="str">
        <f>TRIM(alias[[#This Row],[Column3]])</f>
        <v>PT Karya Bersama Anugerah</v>
      </c>
      <c r="F1930" t="str">
        <f t="shared" si="30"/>
        <v>INSERT INTO stock_alias (stock, alias) VALUES ((SELECT id FROM stock WHERE ticker = 'KBAG'), 'PT Karya Bersama Anugerah') ON CONFLICT DO NOTHING;</v>
      </c>
    </row>
    <row r="1931" spans="1:6" x14ac:dyDescent="0.2">
      <c r="A1931" t="s">
        <v>699</v>
      </c>
      <c r="B1931" t="s">
        <v>700</v>
      </c>
      <c r="C1931" t="s">
        <v>699</v>
      </c>
      <c r="D1931" t="str">
        <f>TRIM(alias[[#This Row],[Column3]])</f>
        <v>KBLI</v>
      </c>
      <c r="F1931" t="str">
        <f t="shared" si="30"/>
        <v>INSERT INTO stock_alias (stock, alias) VALUES ((SELECT id FROM stock WHERE ticker = 'KBLI'), 'KBLI') ON CONFLICT DO NOTHING;</v>
      </c>
    </row>
    <row r="1932" spans="1:6" x14ac:dyDescent="0.2">
      <c r="A1932" t="s">
        <v>699</v>
      </c>
      <c r="B1932" t="s">
        <v>700</v>
      </c>
      <c r="C1932" t="s">
        <v>6322</v>
      </c>
      <c r="D1932" t="str">
        <f>TRIM(alias[[#This Row],[Column3]])</f>
        <v>KMI Wire &amp; Cable</v>
      </c>
      <c r="F1932" t="str">
        <f t="shared" si="30"/>
        <v>INSERT INTO stock_alias (stock, alias) VALUES ((SELECT id FROM stock WHERE ticker = 'KBLI'), 'KMI Wire &amp; Cable') ON CONFLICT DO NOTHING;</v>
      </c>
    </row>
    <row r="1933" spans="1:6" x14ac:dyDescent="0.2">
      <c r="A1933" t="s">
        <v>699</v>
      </c>
      <c r="B1933" t="s">
        <v>700</v>
      </c>
      <c r="C1933" t="s">
        <v>6323</v>
      </c>
      <c r="D1933" t="str">
        <f>TRIM(alias[[#This Row],[Column3]])</f>
        <v>KMI Wire &amp; Cable Tbk</v>
      </c>
      <c r="F1933" t="str">
        <f t="shared" si="30"/>
        <v>INSERT INTO stock_alias (stock, alias) VALUES ((SELECT id FROM stock WHERE ticker = 'KBLI'), 'KMI Wire &amp; Cable Tbk') ON CONFLICT DO NOTHING;</v>
      </c>
    </row>
    <row r="1934" spans="1:6" x14ac:dyDescent="0.2">
      <c r="A1934" t="s">
        <v>699</v>
      </c>
      <c r="B1934" t="s">
        <v>700</v>
      </c>
      <c r="C1934" t="s">
        <v>6324</v>
      </c>
      <c r="D1934" t="str">
        <f>TRIM(alias[[#This Row],[Column3]])</f>
        <v>PT KMI Wire &amp; Cable</v>
      </c>
      <c r="F1934" t="str">
        <f t="shared" si="30"/>
        <v>INSERT INTO stock_alias (stock, alias) VALUES ((SELECT id FROM stock WHERE ticker = 'KBLI'), 'PT KMI Wire &amp; Cable') ON CONFLICT DO NOTHING;</v>
      </c>
    </row>
    <row r="1935" spans="1:6" x14ac:dyDescent="0.2">
      <c r="A1935" t="s">
        <v>702</v>
      </c>
      <c r="B1935" t="s">
        <v>703</v>
      </c>
      <c r="C1935" t="s">
        <v>702</v>
      </c>
      <c r="D1935" t="str">
        <f>TRIM(alias[[#This Row],[Column3]])</f>
        <v>KBLM</v>
      </c>
      <c r="F1935" t="str">
        <f t="shared" si="30"/>
        <v>INSERT INTO stock_alias (stock, alias) VALUES ((SELECT id FROM stock WHERE ticker = 'KBLM'), 'KBLM') ON CONFLICT DO NOTHING;</v>
      </c>
    </row>
    <row r="1936" spans="1:6" x14ac:dyDescent="0.2">
      <c r="A1936" t="s">
        <v>702</v>
      </c>
      <c r="B1936" t="s">
        <v>703</v>
      </c>
      <c r="C1936" t="s">
        <v>6325</v>
      </c>
      <c r="D1936" t="str">
        <f>TRIM(alias[[#This Row],[Column3]])</f>
        <v>Kabelindo Murni</v>
      </c>
      <c r="F1936" t="str">
        <f t="shared" si="30"/>
        <v>INSERT INTO stock_alias (stock, alias) VALUES ((SELECT id FROM stock WHERE ticker = 'KBLM'), 'Kabelindo Murni') ON CONFLICT DO NOTHING;</v>
      </c>
    </row>
    <row r="1937" spans="1:6" x14ac:dyDescent="0.2">
      <c r="A1937" t="s">
        <v>702</v>
      </c>
      <c r="B1937" t="s">
        <v>703</v>
      </c>
      <c r="C1937" t="s">
        <v>6326</v>
      </c>
      <c r="D1937" t="str">
        <f>TRIM(alias[[#This Row],[Column3]])</f>
        <v>Kabelindo Murni Tbk</v>
      </c>
      <c r="F1937" t="str">
        <f t="shared" si="30"/>
        <v>INSERT INTO stock_alias (stock, alias) VALUES ((SELECT id FROM stock WHERE ticker = 'KBLM'), 'Kabelindo Murni Tbk') ON CONFLICT DO NOTHING;</v>
      </c>
    </row>
    <row r="1938" spans="1:6" x14ac:dyDescent="0.2">
      <c r="A1938" t="s">
        <v>702</v>
      </c>
      <c r="B1938" t="s">
        <v>703</v>
      </c>
      <c r="C1938" t="s">
        <v>6327</v>
      </c>
      <c r="D1938" t="str">
        <f>TRIM(alias[[#This Row],[Column3]])</f>
        <v>PT Kabelindo Murni</v>
      </c>
      <c r="F1938" t="str">
        <f t="shared" si="30"/>
        <v>INSERT INTO stock_alias (stock, alias) VALUES ((SELECT id FROM stock WHERE ticker = 'KBLM'), 'PT Kabelindo Murni') ON CONFLICT DO NOTHING;</v>
      </c>
    </row>
    <row r="1939" spans="1:6" x14ac:dyDescent="0.2">
      <c r="A1939" t="s">
        <v>704</v>
      </c>
      <c r="B1939" t="s">
        <v>705</v>
      </c>
      <c r="C1939" t="s">
        <v>704</v>
      </c>
      <c r="D1939" t="str">
        <f>TRIM(alias[[#This Row],[Column3]])</f>
        <v>KBLV</v>
      </c>
      <c r="F1939" t="str">
        <f t="shared" si="30"/>
        <v>INSERT INTO stock_alias (stock, alias) VALUES ((SELECT id FROM stock WHERE ticker = 'KBLV'), 'KBLV') ON CONFLICT DO NOTHING;</v>
      </c>
    </row>
    <row r="1940" spans="1:6" x14ac:dyDescent="0.2">
      <c r="A1940" t="s">
        <v>704</v>
      </c>
      <c r="B1940" t="s">
        <v>705</v>
      </c>
      <c r="C1940" t="s">
        <v>6328</v>
      </c>
      <c r="D1940" t="str">
        <f>TRIM(alias[[#This Row],[Column3]])</f>
        <v>First Media</v>
      </c>
      <c r="F1940" t="str">
        <f t="shared" si="30"/>
        <v>INSERT INTO stock_alias (stock, alias) VALUES ((SELECT id FROM stock WHERE ticker = 'KBLV'), 'First Media') ON CONFLICT DO NOTHING;</v>
      </c>
    </row>
    <row r="1941" spans="1:6" x14ac:dyDescent="0.2">
      <c r="A1941" t="s">
        <v>704</v>
      </c>
      <c r="B1941" t="s">
        <v>705</v>
      </c>
      <c r="C1941" t="s">
        <v>6329</v>
      </c>
      <c r="D1941" t="str">
        <f>TRIM(alias[[#This Row],[Column3]])</f>
        <v>First Media Tbk</v>
      </c>
      <c r="F1941" t="str">
        <f t="shared" si="30"/>
        <v>INSERT INTO stock_alias (stock, alias) VALUES ((SELECT id FROM stock WHERE ticker = 'KBLV'), 'First Media Tbk') ON CONFLICT DO NOTHING;</v>
      </c>
    </row>
    <row r="1942" spans="1:6" x14ac:dyDescent="0.2">
      <c r="A1942" t="s">
        <v>704</v>
      </c>
      <c r="B1942" t="s">
        <v>705</v>
      </c>
      <c r="C1942" t="s">
        <v>6330</v>
      </c>
      <c r="D1942" t="str">
        <f>TRIM(alias[[#This Row],[Column3]])</f>
        <v>PT First Media</v>
      </c>
      <c r="F1942" t="str">
        <f t="shared" si="30"/>
        <v>INSERT INTO stock_alias (stock, alias) VALUES ((SELECT id FROM stock WHERE ticker = 'KBLV'), 'PT First Media') ON CONFLICT DO NOTHING;</v>
      </c>
    </row>
    <row r="1943" spans="1:6" x14ac:dyDescent="0.2">
      <c r="A1943" t="s">
        <v>707</v>
      </c>
      <c r="B1943" t="s">
        <v>3600</v>
      </c>
      <c r="C1943" t="s">
        <v>707</v>
      </c>
      <c r="D1943" t="str">
        <f>TRIM(alias[[#This Row],[Column3]])</f>
        <v>KBRI</v>
      </c>
      <c r="F1943" t="str">
        <f t="shared" si="30"/>
        <v>INSERT INTO stock_alias (stock, alias) VALUES ((SELECT id FROM stock WHERE ticker = 'KBRI'), 'KBRI') ON CONFLICT DO NOTHING;</v>
      </c>
    </row>
    <row r="1944" spans="1:6" x14ac:dyDescent="0.2">
      <c r="A1944" t="s">
        <v>707</v>
      </c>
      <c r="B1944" t="s">
        <v>3600</v>
      </c>
      <c r="C1944" t="s">
        <v>6331</v>
      </c>
      <c r="D1944" t="str">
        <f>TRIM(alias[[#This Row],[Column3]])</f>
        <v>Kertas Basuki Rachmat Indonesia</v>
      </c>
      <c r="F1944" t="str">
        <f t="shared" si="30"/>
        <v>INSERT INTO stock_alias (stock, alias) VALUES ((SELECT id FROM stock WHERE ticker = 'KBRI'), 'Kertas Basuki Rachmat Indonesia') ON CONFLICT DO NOTHING;</v>
      </c>
    </row>
    <row r="1945" spans="1:6" x14ac:dyDescent="0.2">
      <c r="A1945" t="s">
        <v>707</v>
      </c>
      <c r="B1945" t="s">
        <v>3600</v>
      </c>
      <c r="C1945" t="s">
        <v>6332</v>
      </c>
      <c r="D1945" t="str">
        <f>TRIM(alias[[#This Row],[Column3]])</f>
        <v>Kertas Basuki Rachmat Indonesia Tbk</v>
      </c>
      <c r="F1945" t="str">
        <f t="shared" si="30"/>
        <v>INSERT INTO stock_alias (stock, alias) VALUES ((SELECT id FROM stock WHERE ticker = 'KBRI'), 'Kertas Basuki Rachmat Indonesia Tbk') ON CONFLICT DO NOTHING;</v>
      </c>
    </row>
    <row r="1946" spans="1:6" x14ac:dyDescent="0.2">
      <c r="A1946" t="s">
        <v>707</v>
      </c>
      <c r="B1946" t="s">
        <v>3600</v>
      </c>
      <c r="C1946" t="s">
        <v>6333</v>
      </c>
      <c r="D1946" t="str">
        <f>TRIM(alias[[#This Row],[Column3]])</f>
        <v>PT Kertas Basuki Rachmat Indonesia</v>
      </c>
      <c r="F1946" t="str">
        <f t="shared" si="30"/>
        <v>INSERT INTO stock_alias (stock, alias) VALUES ((SELECT id FROM stock WHERE ticker = 'KBRI'), 'PT Kertas Basuki Rachmat Indonesia') ON CONFLICT DO NOTHING;</v>
      </c>
    </row>
    <row r="1947" spans="1:6" x14ac:dyDescent="0.2">
      <c r="A1947" t="s">
        <v>709</v>
      </c>
      <c r="B1947" t="s">
        <v>710</v>
      </c>
      <c r="C1947" t="s">
        <v>709</v>
      </c>
      <c r="D1947" t="str">
        <f>TRIM(alias[[#This Row],[Column3]])</f>
        <v>KDSI</v>
      </c>
      <c r="F1947" t="str">
        <f t="shared" si="30"/>
        <v>INSERT INTO stock_alias (stock, alias) VALUES ((SELECT id FROM stock WHERE ticker = 'KDSI'), 'KDSI') ON CONFLICT DO NOTHING;</v>
      </c>
    </row>
    <row r="1948" spans="1:6" x14ac:dyDescent="0.2">
      <c r="A1948" t="s">
        <v>709</v>
      </c>
      <c r="B1948" t="s">
        <v>710</v>
      </c>
      <c r="C1948" t="s">
        <v>6334</v>
      </c>
      <c r="D1948" t="str">
        <f>TRIM(alias[[#This Row],[Column3]])</f>
        <v>Kedawung Setia Industrial</v>
      </c>
      <c r="F1948" t="str">
        <f t="shared" si="30"/>
        <v>INSERT INTO stock_alias (stock, alias) VALUES ((SELECT id FROM stock WHERE ticker = 'KDSI'), 'Kedawung Setia Industrial') ON CONFLICT DO NOTHING;</v>
      </c>
    </row>
    <row r="1949" spans="1:6" x14ac:dyDescent="0.2">
      <c r="A1949" t="s">
        <v>709</v>
      </c>
      <c r="B1949" t="s">
        <v>710</v>
      </c>
      <c r="C1949" t="s">
        <v>6335</v>
      </c>
      <c r="D1949" t="str">
        <f>TRIM(alias[[#This Row],[Column3]])</f>
        <v>Kedawung Setia Industrial Tbk</v>
      </c>
      <c r="F1949" t="str">
        <f t="shared" si="30"/>
        <v>INSERT INTO stock_alias (stock, alias) VALUES ((SELECT id FROM stock WHERE ticker = 'KDSI'), 'Kedawung Setia Industrial Tbk') ON CONFLICT DO NOTHING;</v>
      </c>
    </row>
    <row r="1950" spans="1:6" x14ac:dyDescent="0.2">
      <c r="A1950" t="s">
        <v>709</v>
      </c>
      <c r="B1950" t="s">
        <v>710</v>
      </c>
      <c r="C1950" t="s">
        <v>6336</v>
      </c>
      <c r="D1950" t="str">
        <f>TRIM(alias[[#This Row],[Column3]])</f>
        <v>PT Kedawung Setia Industrial</v>
      </c>
      <c r="F1950" t="str">
        <f t="shared" si="30"/>
        <v>INSERT INTO stock_alias (stock, alias) VALUES ((SELECT id FROM stock WHERE ticker = 'KDSI'), 'PT Kedawung Setia Industrial') ON CONFLICT DO NOTHING;</v>
      </c>
    </row>
    <row r="1951" spans="1:6" x14ac:dyDescent="0.2">
      <c r="A1951" t="s">
        <v>2196</v>
      </c>
      <c r="B1951" t="s">
        <v>2197</v>
      </c>
      <c r="C1951" t="s">
        <v>2196</v>
      </c>
      <c r="D1951" t="str">
        <f>TRIM(alias[[#This Row],[Column3]])</f>
        <v>KDTN</v>
      </c>
      <c r="F1951" t="str">
        <f t="shared" si="30"/>
        <v>INSERT INTO stock_alias (stock, alias) VALUES ((SELECT id FROM stock WHERE ticker = 'KDTN'), 'KDTN') ON CONFLICT DO NOTHING;</v>
      </c>
    </row>
    <row r="1952" spans="1:6" x14ac:dyDescent="0.2">
      <c r="A1952" t="s">
        <v>2196</v>
      </c>
      <c r="B1952" t="s">
        <v>2197</v>
      </c>
      <c r="C1952" t="s">
        <v>6337</v>
      </c>
      <c r="D1952" t="str">
        <f>TRIM(alias[[#This Row],[Column3]])</f>
        <v>PT Puri Sentul Permai</v>
      </c>
      <c r="F1952" t="str">
        <f t="shared" si="30"/>
        <v>INSERT INTO stock_alias (stock, alias) VALUES ((SELECT id FROM stock WHERE ticker = 'KDTN'), 'PT Puri Sentul Permai') ON CONFLICT DO NOTHING;</v>
      </c>
    </row>
    <row r="1953" spans="1:6" x14ac:dyDescent="0.2">
      <c r="A1953" t="s">
        <v>2196</v>
      </c>
      <c r="B1953" t="s">
        <v>2197</v>
      </c>
      <c r="C1953" t="s">
        <v>6338</v>
      </c>
      <c r="D1953" t="str">
        <f>TRIM(alias[[#This Row],[Column3]])</f>
        <v>Puri Sentul Permai</v>
      </c>
      <c r="F1953" t="str">
        <f t="shared" si="30"/>
        <v>INSERT INTO stock_alias (stock, alias) VALUES ((SELECT id FROM stock WHERE ticker = 'KDTN'), 'Puri Sentul Permai') ON CONFLICT DO NOTHING;</v>
      </c>
    </row>
    <row r="1954" spans="1:6" x14ac:dyDescent="0.2">
      <c r="A1954" t="s">
        <v>2196</v>
      </c>
      <c r="B1954" t="s">
        <v>2197</v>
      </c>
      <c r="C1954" t="s">
        <v>6339</v>
      </c>
      <c r="D1954" t="str">
        <f>TRIM(alias[[#This Row],[Column3]])</f>
        <v>Puri Sentul Permai Tbk</v>
      </c>
      <c r="F1954" t="str">
        <f t="shared" si="30"/>
        <v>INSERT INTO stock_alias (stock, alias) VALUES ((SELECT id FROM stock WHERE ticker = 'KDTN'), 'Puri Sentul Permai Tbk') ON CONFLICT DO NOTHING;</v>
      </c>
    </row>
    <row r="1955" spans="1:6" x14ac:dyDescent="0.2">
      <c r="A1955" t="s">
        <v>1729</v>
      </c>
      <c r="B1955" t="s">
        <v>1730</v>
      </c>
      <c r="C1955" t="s">
        <v>1729</v>
      </c>
      <c r="D1955" t="str">
        <f>TRIM(alias[[#This Row],[Column3]])</f>
        <v>KEEN</v>
      </c>
      <c r="F1955" t="str">
        <f t="shared" si="30"/>
        <v>INSERT INTO stock_alias (stock, alias) VALUES ((SELECT id FROM stock WHERE ticker = 'KEEN'), 'KEEN') ON CONFLICT DO NOTHING;</v>
      </c>
    </row>
    <row r="1956" spans="1:6" x14ac:dyDescent="0.2">
      <c r="A1956" t="s">
        <v>1729</v>
      </c>
      <c r="B1956" t="s">
        <v>1730</v>
      </c>
      <c r="C1956" t="s">
        <v>6340</v>
      </c>
      <c r="D1956" t="str">
        <f>TRIM(alias[[#This Row],[Column3]])</f>
        <v>Kencana Energi Lestari</v>
      </c>
      <c r="F1956" t="str">
        <f t="shared" si="30"/>
        <v>INSERT INTO stock_alias (stock, alias) VALUES ((SELECT id FROM stock WHERE ticker = 'KEEN'), 'Kencana Energi Lestari') ON CONFLICT DO NOTHING;</v>
      </c>
    </row>
    <row r="1957" spans="1:6" x14ac:dyDescent="0.2">
      <c r="A1957" t="s">
        <v>1729</v>
      </c>
      <c r="B1957" t="s">
        <v>1730</v>
      </c>
      <c r="C1957" t="s">
        <v>6341</v>
      </c>
      <c r="D1957" t="str">
        <f>TRIM(alias[[#This Row],[Column3]])</f>
        <v>Kencana Energi Lestari Tbk</v>
      </c>
      <c r="F1957" t="str">
        <f t="shared" si="30"/>
        <v>INSERT INTO stock_alias (stock, alias) VALUES ((SELECT id FROM stock WHERE ticker = 'KEEN'), 'Kencana Energi Lestari Tbk') ON CONFLICT DO NOTHING;</v>
      </c>
    </row>
    <row r="1958" spans="1:6" x14ac:dyDescent="0.2">
      <c r="A1958" t="s">
        <v>1729</v>
      </c>
      <c r="B1958" t="s">
        <v>1730</v>
      </c>
      <c r="C1958" t="s">
        <v>6342</v>
      </c>
      <c r="D1958" t="str">
        <f>TRIM(alias[[#This Row],[Column3]])</f>
        <v>PT Kencana Energi Lestari</v>
      </c>
      <c r="F1958" t="str">
        <f t="shared" si="30"/>
        <v>INSERT INTO stock_alias (stock, alias) VALUES ((SELECT id FROM stock WHERE ticker = 'KEEN'), 'PT Kencana Energi Lestari') ON CONFLICT DO NOTHING;</v>
      </c>
    </row>
    <row r="1959" spans="1:6" x14ac:dyDescent="0.2">
      <c r="A1959" t="s">
        <v>1768</v>
      </c>
      <c r="B1959" t="s">
        <v>1769</v>
      </c>
      <c r="C1959" t="s">
        <v>1768</v>
      </c>
      <c r="D1959" t="str">
        <f>TRIM(alias[[#This Row],[Column3]])</f>
        <v>KEJU</v>
      </c>
      <c r="F1959" t="str">
        <f t="shared" si="30"/>
        <v>INSERT INTO stock_alias (stock, alias) VALUES ((SELECT id FROM stock WHERE ticker = 'KEJU'), 'KEJU') ON CONFLICT DO NOTHING;</v>
      </c>
    </row>
    <row r="1960" spans="1:6" x14ac:dyDescent="0.2">
      <c r="A1960" t="s">
        <v>1768</v>
      </c>
      <c r="B1960" t="s">
        <v>1769</v>
      </c>
      <c r="C1960" t="s">
        <v>6343</v>
      </c>
      <c r="D1960" t="str">
        <f>TRIM(alias[[#This Row],[Column3]])</f>
        <v>Mulia Boga Raya</v>
      </c>
      <c r="F1960" t="str">
        <f t="shared" si="30"/>
        <v>INSERT INTO stock_alias (stock, alias) VALUES ((SELECT id FROM stock WHERE ticker = 'KEJU'), 'Mulia Boga Raya') ON CONFLICT DO NOTHING;</v>
      </c>
    </row>
    <row r="1961" spans="1:6" x14ac:dyDescent="0.2">
      <c r="A1961" t="s">
        <v>1768</v>
      </c>
      <c r="B1961" t="s">
        <v>1769</v>
      </c>
      <c r="C1961" t="s">
        <v>6344</v>
      </c>
      <c r="D1961" t="str">
        <f>TRIM(alias[[#This Row],[Column3]])</f>
        <v>Mulia Boga Raya Tbk</v>
      </c>
      <c r="F1961" t="str">
        <f t="shared" si="30"/>
        <v>INSERT INTO stock_alias (stock, alias) VALUES ((SELECT id FROM stock WHERE ticker = 'KEJU'), 'Mulia Boga Raya Tbk') ON CONFLICT DO NOTHING;</v>
      </c>
    </row>
    <row r="1962" spans="1:6" x14ac:dyDescent="0.2">
      <c r="A1962" t="s">
        <v>1768</v>
      </c>
      <c r="B1962" t="s">
        <v>1769</v>
      </c>
      <c r="C1962" t="s">
        <v>6345</v>
      </c>
      <c r="D1962" t="str">
        <f>TRIM(alias[[#This Row],[Column3]])</f>
        <v>PT Mulia Boga Raya</v>
      </c>
      <c r="F1962" t="str">
        <f t="shared" si="30"/>
        <v>INSERT INTO stock_alias (stock, alias) VALUES ((SELECT id FROM stock WHERE ticker = 'KEJU'), 'PT Mulia Boga Raya') ON CONFLICT DO NOTHING;</v>
      </c>
    </row>
    <row r="1963" spans="1:6" x14ac:dyDescent="0.2">
      <c r="A1963" t="s">
        <v>2652</v>
      </c>
      <c r="B1963" t="s">
        <v>2653</v>
      </c>
      <c r="C1963" t="s">
        <v>2652</v>
      </c>
      <c r="D1963" t="str">
        <f>TRIM(alias[[#This Row],[Column3]])</f>
        <v>KETR</v>
      </c>
      <c r="F1963" t="str">
        <f t="shared" si="30"/>
        <v>INSERT INTO stock_alias (stock, alias) VALUES ((SELECT id FROM stock WHERE ticker = 'KETR'), 'KETR') ON CONFLICT DO NOTHING;</v>
      </c>
    </row>
    <row r="1964" spans="1:6" x14ac:dyDescent="0.2">
      <c r="A1964" t="s">
        <v>2652</v>
      </c>
      <c r="B1964" t="s">
        <v>2653</v>
      </c>
      <c r="C1964" t="s">
        <v>6346</v>
      </c>
      <c r="D1964" t="str">
        <f>TRIM(alias[[#This Row],[Column3]])</f>
        <v>Ketrosden Triasmitra</v>
      </c>
      <c r="F1964" t="str">
        <f t="shared" si="30"/>
        <v>INSERT INTO stock_alias (stock, alias) VALUES ((SELECT id FROM stock WHERE ticker = 'KETR'), 'Ketrosden Triasmitra') ON CONFLICT DO NOTHING;</v>
      </c>
    </row>
    <row r="1965" spans="1:6" x14ac:dyDescent="0.2">
      <c r="A1965" t="s">
        <v>2652</v>
      </c>
      <c r="B1965" t="s">
        <v>2653</v>
      </c>
      <c r="C1965" t="s">
        <v>6347</v>
      </c>
      <c r="D1965" t="str">
        <f>TRIM(alias[[#This Row],[Column3]])</f>
        <v>Ketrosden Triasmitra Tbk</v>
      </c>
      <c r="F1965" t="str">
        <f t="shared" si="30"/>
        <v>INSERT INTO stock_alias (stock, alias) VALUES ((SELECT id FROM stock WHERE ticker = 'KETR'), 'Ketrosden Triasmitra Tbk') ON CONFLICT DO NOTHING;</v>
      </c>
    </row>
    <row r="1966" spans="1:6" x14ac:dyDescent="0.2">
      <c r="A1966" t="s">
        <v>2652</v>
      </c>
      <c r="B1966" t="s">
        <v>2653</v>
      </c>
      <c r="C1966" t="s">
        <v>6348</v>
      </c>
      <c r="D1966" t="str">
        <f>TRIM(alias[[#This Row],[Column3]])</f>
        <v>PT Ketrosden Triasmitra</v>
      </c>
      <c r="F1966" t="str">
        <f t="shared" si="30"/>
        <v>INSERT INTO stock_alias (stock, alias) VALUES ((SELECT id FROM stock WHERE ticker = 'KETR'), 'PT Ketrosden Triasmitra') ON CONFLICT DO NOTHING;</v>
      </c>
    </row>
    <row r="1967" spans="1:6" x14ac:dyDescent="0.2">
      <c r="A1967" t="s">
        <v>712</v>
      </c>
      <c r="B1967" t="s">
        <v>3601</v>
      </c>
      <c r="C1967" t="s">
        <v>712</v>
      </c>
      <c r="D1967" t="str">
        <f>TRIM(alias[[#This Row],[Column3]])</f>
        <v>KIAS</v>
      </c>
      <c r="F1967" t="str">
        <f t="shared" si="30"/>
        <v>INSERT INTO stock_alias (stock, alias) VALUES ((SELECT id FROM stock WHERE ticker = 'KIAS'), 'KIAS') ON CONFLICT DO NOTHING;</v>
      </c>
    </row>
    <row r="1968" spans="1:6" x14ac:dyDescent="0.2">
      <c r="A1968" t="s">
        <v>712</v>
      </c>
      <c r="B1968" t="s">
        <v>3601</v>
      </c>
      <c r="C1968" t="s">
        <v>6349</v>
      </c>
      <c r="D1968" t="str">
        <f>TRIM(alias[[#This Row],[Column3]])</f>
        <v>Keramika Indonesia Assosiasi</v>
      </c>
      <c r="F1968" t="str">
        <f t="shared" si="30"/>
        <v>INSERT INTO stock_alias (stock, alias) VALUES ((SELECT id FROM stock WHERE ticker = 'KIAS'), 'Keramika Indonesia Assosiasi') ON CONFLICT DO NOTHING;</v>
      </c>
    </row>
    <row r="1969" spans="1:6" x14ac:dyDescent="0.2">
      <c r="A1969" t="s">
        <v>712</v>
      </c>
      <c r="B1969" t="s">
        <v>3601</v>
      </c>
      <c r="C1969" t="s">
        <v>6350</v>
      </c>
      <c r="D1969" t="str">
        <f>TRIM(alias[[#This Row],[Column3]])</f>
        <v>Keramika Indonesia Assosiasi Tbk</v>
      </c>
      <c r="F1969" t="str">
        <f t="shared" si="30"/>
        <v>INSERT INTO stock_alias (stock, alias) VALUES ((SELECT id FROM stock WHERE ticker = 'KIAS'), 'Keramika Indonesia Assosiasi Tbk') ON CONFLICT DO NOTHING;</v>
      </c>
    </row>
    <row r="1970" spans="1:6" x14ac:dyDescent="0.2">
      <c r="A1970" t="s">
        <v>712</v>
      </c>
      <c r="B1970" t="s">
        <v>3601</v>
      </c>
      <c r="C1970" t="s">
        <v>6351</v>
      </c>
      <c r="D1970" t="str">
        <f>TRIM(alias[[#This Row],[Column3]])</f>
        <v>PT Keramika Indonesia Assosiasi</v>
      </c>
      <c r="F1970" t="str">
        <f t="shared" si="30"/>
        <v>INSERT INTO stock_alias (stock, alias) VALUES ((SELECT id FROM stock WHERE ticker = 'KIAS'), 'PT Keramika Indonesia Assosiasi') ON CONFLICT DO NOTHING;</v>
      </c>
    </row>
    <row r="1971" spans="1:6" x14ac:dyDescent="0.2">
      <c r="A1971" t="s">
        <v>714</v>
      </c>
      <c r="B1971" t="s">
        <v>3602</v>
      </c>
      <c r="C1971" t="s">
        <v>714</v>
      </c>
      <c r="D1971" t="str">
        <f>TRIM(alias[[#This Row],[Column3]])</f>
        <v>KICI</v>
      </c>
      <c r="F1971" t="str">
        <f t="shared" si="30"/>
        <v>INSERT INTO stock_alias (stock, alias) VALUES ((SELECT id FROM stock WHERE ticker = 'KICI'), 'KICI') ON CONFLICT DO NOTHING;</v>
      </c>
    </row>
    <row r="1972" spans="1:6" x14ac:dyDescent="0.2">
      <c r="A1972" t="s">
        <v>714</v>
      </c>
      <c r="B1972" t="s">
        <v>3602</v>
      </c>
      <c r="C1972" t="s">
        <v>6352</v>
      </c>
      <c r="D1972" t="str">
        <f>TRIM(alias[[#This Row],[Column3]])</f>
        <v>Kedaung Indah Can</v>
      </c>
      <c r="F1972" t="str">
        <f t="shared" si="30"/>
        <v>INSERT INTO stock_alias (stock, alias) VALUES ((SELECT id FROM stock WHERE ticker = 'KICI'), 'Kedaung Indah Can') ON CONFLICT DO NOTHING;</v>
      </c>
    </row>
    <row r="1973" spans="1:6" x14ac:dyDescent="0.2">
      <c r="A1973" t="s">
        <v>714</v>
      </c>
      <c r="B1973" t="s">
        <v>3602</v>
      </c>
      <c r="C1973" t="s">
        <v>6353</v>
      </c>
      <c r="D1973" t="str">
        <f>TRIM(alias[[#This Row],[Column3]])</f>
        <v>Kedaung Indah Can Tbk</v>
      </c>
      <c r="F1973" t="str">
        <f t="shared" si="30"/>
        <v>INSERT INTO stock_alias (stock, alias) VALUES ((SELECT id FROM stock WHERE ticker = 'KICI'), 'Kedaung Indah Can Tbk') ON CONFLICT DO NOTHING;</v>
      </c>
    </row>
    <row r="1974" spans="1:6" x14ac:dyDescent="0.2">
      <c r="A1974" t="s">
        <v>714</v>
      </c>
      <c r="B1974" t="s">
        <v>3602</v>
      </c>
      <c r="C1974" t="s">
        <v>6354</v>
      </c>
      <c r="D1974" t="str">
        <f>TRIM(alias[[#This Row],[Column3]])</f>
        <v>PT Kedaung Indah Can</v>
      </c>
      <c r="F1974" t="str">
        <f t="shared" si="30"/>
        <v>INSERT INTO stock_alias (stock, alias) VALUES ((SELECT id FROM stock WHERE ticker = 'KICI'), 'PT Kedaung Indah Can') ON CONFLICT DO NOTHING;</v>
      </c>
    </row>
    <row r="1975" spans="1:6" x14ac:dyDescent="0.2">
      <c r="A1975" t="s">
        <v>717</v>
      </c>
      <c r="B1975" t="s">
        <v>718</v>
      </c>
      <c r="C1975" t="s">
        <v>717</v>
      </c>
      <c r="D1975" t="str">
        <f>TRIM(alias[[#This Row],[Column3]])</f>
        <v>KIJA</v>
      </c>
      <c r="F1975" t="str">
        <f t="shared" si="30"/>
        <v>INSERT INTO stock_alias (stock, alias) VALUES ((SELECT id FROM stock WHERE ticker = 'KIJA'), 'KIJA') ON CONFLICT DO NOTHING;</v>
      </c>
    </row>
    <row r="1976" spans="1:6" x14ac:dyDescent="0.2">
      <c r="A1976" t="s">
        <v>717</v>
      </c>
      <c r="B1976" t="s">
        <v>718</v>
      </c>
      <c r="C1976" t="s">
        <v>6355</v>
      </c>
      <c r="D1976" t="str">
        <f>TRIM(alias[[#This Row],[Column3]])</f>
        <v>Kawasan Industri Jababeka</v>
      </c>
      <c r="F1976" t="str">
        <f t="shared" si="30"/>
        <v>INSERT INTO stock_alias (stock, alias) VALUES ((SELECT id FROM stock WHERE ticker = 'KIJA'), 'Kawasan Industri Jababeka') ON CONFLICT DO NOTHING;</v>
      </c>
    </row>
    <row r="1977" spans="1:6" x14ac:dyDescent="0.2">
      <c r="A1977" t="s">
        <v>717</v>
      </c>
      <c r="B1977" t="s">
        <v>718</v>
      </c>
      <c r="C1977" t="s">
        <v>6356</v>
      </c>
      <c r="D1977" t="str">
        <f>TRIM(alias[[#This Row],[Column3]])</f>
        <v>Kawasan Industri Jababeka Tbk</v>
      </c>
      <c r="F1977" t="str">
        <f t="shared" si="30"/>
        <v>INSERT INTO stock_alias (stock, alias) VALUES ((SELECT id FROM stock WHERE ticker = 'KIJA'), 'Kawasan Industri Jababeka Tbk') ON CONFLICT DO NOTHING;</v>
      </c>
    </row>
    <row r="1978" spans="1:6" x14ac:dyDescent="0.2">
      <c r="A1978" t="s">
        <v>717</v>
      </c>
      <c r="B1978" t="s">
        <v>718</v>
      </c>
      <c r="C1978" t="s">
        <v>6357</v>
      </c>
      <c r="D1978" t="str">
        <f>TRIM(alias[[#This Row],[Column3]])</f>
        <v>PT Kawasan Industri Jababeka</v>
      </c>
      <c r="F1978" t="str">
        <f t="shared" si="30"/>
        <v>INSERT INTO stock_alias (stock, alias) VALUES ((SELECT id FROM stock WHERE ticker = 'KIJA'), 'PT Kawasan Industri Jababeka') ON CONFLICT DO NOTHING;</v>
      </c>
    </row>
    <row r="1979" spans="1:6" x14ac:dyDescent="0.2">
      <c r="A1979" t="s">
        <v>2264</v>
      </c>
      <c r="B1979" t="s">
        <v>2265</v>
      </c>
      <c r="C1979" t="s">
        <v>2264</v>
      </c>
      <c r="D1979" t="str">
        <f>TRIM(alias[[#This Row],[Column3]])</f>
        <v>KING</v>
      </c>
      <c r="F1979" t="str">
        <f t="shared" si="30"/>
        <v>INSERT INTO stock_alias (stock, alias) VALUES ((SELECT id FROM stock WHERE ticker = 'KING'), 'KING') ON CONFLICT DO NOTHING;</v>
      </c>
    </row>
    <row r="1980" spans="1:6" x14ac:dyDescent="0.2">
      <c r="A1980" t="s">
        <v>2264</v>
      </c>
      <c r="B1980" t="s">
        <v>2265</v>
      </c>
      <c r="C1980" t="s">
        <v>6358</v>
      </c>
      <c r="D1980" t="str">
        <f>TRIM(alias[[#This Row],[Column3]])</f>
        <v>Hoffmen Cleanindo</v>
      </c>
      <c r="F1980" t="str">
        <f t="shared" si="30"/>
        <v>INSERT INTO stock_alias (stock, alias) VALUES ((SELECT id FROM stock WHERE ticker = 'KING'), 'Hoffmen Cleanindo') ON CONFLICT DO NOTHING;</v>
      </c>
    </row>
    <row r="1981" spans="1:6" x14ac:dyDescent="0.2">
      <c r="A1981" t="s">
        <v>2264</v>
      </c>
      <c r="B1981" t="s">
        <v>2265</v>
      </c>
      <c r="C1981" t="s">
        <v>6359</v>
      </c>
      <c r="D1981" t="str">
        <f>TRIM(alias[[#This Row],[Column3]])</f>
        <v>Hoffmen Cleanindo Tbk</v>
      </c>
      <c r="F1981" t="str">
        <f t="shared" si="30"/>
        <v>INSERT INTO stock_alias (stock, alias) VALUES ((SELECT id FROM stock WHERE ticker = 'KING'), 'Hoffmen Cleanindo Tbk') ON CONFLICT DO NOTHING;</v>
      </c>
    </row>
    <row r="1982" spans="1:6" x14ac:dyDescent="0.2">
      <c r="A1982" t="s">
        <v>2264</v>
      </c>
      <c r="B1982" t="s">
        <v>2265</v>
      </c>
      <c r="C1982" t="s">
        <v>6360</v>
      </c>
      <c r="D1982" t="str">
        <f>TRIM(alias[[#This Row],[Column3]])</f>
        <v>PT Hoffmen Cleanindo</v>
      </c>
      <c r="F1982" t="str">
        <f t="shared" si="30"/>
        <v>INSERT INTO stock_alias (stock, alias) VALUES ((SELECT id FROM stock WHERE ticker = 'KING'), 'PT Hoffmen Cleanindo') ON CONFLICT DO NOTHING;</v>
      </c>
    </row>
    <row r="1983" spans="1:6" x14ac:dyDescent="0.2">
      <c r="A1983" t="s">
        <v>1358</v>
      </c>
      <c r="B1983" t="s">
        <v>1359</v>
      </c>
      <c r="C1983" t="s">
        <v>1358</v>
      </c>
      <c r="D1983" t="str">
        <f>TRIM(alias[[#This Row],[Column3]])</f>
        <v>KINO</v>
      </c>
      <c r="F1983" t="str">
        <f t="shared" si="30"/>
        <v>INSERT INTO stock_alias (stock, alias) VALUES ((SELECT id FROM stock WHERE ticker = 'KINO'), 'KINO') ON CONFLICT DO NOTHING;</v>
      </c>
    </row>
    <row r="1984" spans="1:6" x14ac:dyDescent="0.2">
      <c r="A1984" t="s">
        <v>1358</v>
      </c>
      <c r="B1984" t="s">
        <v>1359</v>
      </c>
      <c r="C1984" t="s">
        <v>6361</v>
      </c>
      <c r="D1984" t="str">
        <f>TRIM(alias[[#This Row],[Column3]])</f>
        <v>Kino Indonesia</v>
      </c>
      <c r="F1984" t="str">
        <f t="shared" si="30"/>
        <v>INSERT INTO stock_alias (stock, alias) VALUES ((SELECT id FROM stock WHERE ticker = 'KINO'), 'Kino Indonesia') ON CONFLICT DO NOTHING;</v>
      </c>
    </row>
    <row r="1985" spans="1:6" x14ac:dyDescent="0.2">
      <c r="A1985" t="s">
        <v>1358</v>
      </c>
      <c r="B1985" t="s">
        <v>1359</v>
      </c>
      <c r="C1985" t="s">
        <v>6362</v>
      </c>
      <c r="D1985" t="str">
        <f>TRIM(alias[[#This Row],[Column3]])</f>
        <v>Kino Indonesia Tbk</v>
      </c>
      <c r="F1985" t="str">
        <f t="shared" si="30"/>
        <v>INSERT INTO stock_alias (stock, alias) VALUES ((SELECT id FROM stock WHERE ticker = 'KINO'), 'Kino Indonesia Tbk') ON CONFLICT DO NOTHING;</v>
      </c>
    </row>
    <row r="1986" spans="1:6" x14ac:dyDescent="0.2">
      <c r="A1986" t="s">
        <v>1358</v>
      </c>
      <c r="B1986" t="s">
        <v>1359</v>
      </c>
      <c r="C1986" t="s">
        <v>6363</v>
      </c>
      <c r="D1986" t="str">
        <f>TRIM(alias[[#This Row],[Column3]])</f>
        <v>PT Kino Indonesia</v>
      </c>
      <c r="F1986" t="str">
        <f t="shared" si="30"/>
        <v>INSERT INTO stock_alias (stock, alias) VALUES ((SELECT id FROM stock WHERE ticker = 'KINO'), 'PT Kino Indonesia') ON CONFLICT DO NOTHING;</v>
      </c>
    </row>
    <row r="1987" spans="1:6" x14ac:dyDescent="0.2">
      <c r="A1987" t="s">
        <v>1452</v>
      </c>
      <c r="B1987" t="s">
        <v>3603</v>
      </c>
      <c r="C1987" t="s">
        <v>1452</v>
      </c>
      <c r="D1987" t="str">
        <f>TRIM(alias[[#This Row],[Column3]])</f>
        <v>KIOS</v>
      </c>
      <c r="F1987" t="str">
        <f t="shared" ref="F1987:F2050" si="31">_xlfn.CONCAT($F$1, _xlfn.CONCAT($G$1, A1987, "'), '", D1987, "') ON CONFLICT DO NOTHING;"))</f>
        <v>INSERT INTO stock_alias (stock, alias) VALUES ((SELECT id FROM stock WHERE ticker = 'KIOS'), 'KIOS') ON CONFLICT DO NOTHING;</v>
      </c>
    </row>
    <row r="1988" spans="1:6" x14ac:dyDescent="0.2">
      <c r="A1988" t="s">
        <v>1452</v>
      </c>
      <c r="B1988" t="s">
        <v>3603</v>
      </c>
      <c r="C1988" t="s">
        <v>6364</v>
      </c>
      <c r="D1988" t="str">
        <f>TRIM(alias[[#This Row],[Column3]])</f>
        <v>Kioson Komersial Indonesia</v>
      </c>
      <c r="F1988" t="str">
        <f t="shared" si="31"/>
        <v>INSERT INTO stock_alias (stock, alias) VALUES ((SELECT id FROM stock WHERE ticker = 'KIOS'), 'Kioson Komersial Indonesia') ON CONFLICT DO NOTHING;</v>
      </c>
    </row>
    <row r="1989" spans="1:6" x14ac:dyDescent="0.2">
      <c r="A1989" t="s">
        <v>1452</v>
      </c>
      <c r="B1989" t="s">
        <v>3603</v>
      </c>
      <c r="C1989" t="s">
        <v>6365</v>
      </c>
      <c r="D1989" t="str">
        <f>TRIM(alias[[#This Row],[Column3]])</f>
        <v>Kioson Komersial Indonesia Tbk</v>
      </c>
      <c r="F1989" t="str">
        <f t="shared" si="31"/>
        <v>INSERT INTO stock_alias (stock, alias) VALUES ((SELECT id FROM stock WHERE ticker = 'KIOS'), 'Kioson Komersial Indonesia Tbk') ON CONFLICT DO NOTHING;</v>
      </c>
    </row>
    <row r="1990" spans="1:6" x14ac:dyDescent="0.2">
      <c r="A1990" t="s">
        <v>1452</v>
      </c>
      <c r="B1990" t="s">
        <v>3603</v>
      </c>
      <c r="C1990" t="s">
        <v>6366</v>
      </c>
      <c r="D1990" t="str">
        <f>TRIM(alias[[#This Row],[Column3]])</f>
        <v>PT Kioson Komersial Indonesia</v>
      </c>
      <c r="F1990" t="str">
        <f t="shared" si="31"/>
        <v>INSERT INTO stock_alias (stock, alias) VALUES ((SELECT id FROM stock WHERE ticker = 'KIOS'), 'PT Kioson Komersial Indonesia') ON CONFLICT DO NOTHING;</v>
      </c>
    </row>
    <row r="1991" spans="1:6" x14ac:dyDescent="0.2">
      <c r="A1991" t="s">
        <v>1688</v>
      </c>
      <c r="B1991" t="s">
        <v>1689</v>
      </c>
      <c r="C1991" t="s">
        <v>1688</v>
      </c>
      <c r="D1991" t="str">
        <f>TRIM(alias[[#This Row],[Column3]])</f>
        <v>KJEN</v>
      </c>
      <c r="F1991" t="str">
        <f t="shared" si="31"/>
        <v>INSERT INTO stock_alias (stock, alias) VALUES ((SELECT id FROM stock WHERE ticker = 'KJEN'), 'KJEN') ON CONFLICT DO NOTHING;</v>
      </c>
    </row>
    <row r="1992" spans="1:6" x14ac:dyDescent="0.2">
      <c r="A1992" t="s">
        <v>1688</v>
      </c>
      <c r="B1992" t="s">
        <v>1689</v>
      </c>
      <c r="C1992" t="s">
        <v>6367</v>
      </c>
      <c r="D1992" t="str">
        <f>TRIM(alias[[#This Row],[Column3]])</f>
        <v>Krida Jaringan Nusantara</v>
      </c>
      <c r="F1992" t="str">
        <f t="shared" si="31"/>
        <v>INSERT INTO stock_alias (stock, alias) VALUES ((SELECT id FROM stock WHERE ticker = 'KJEN'), 'Krida Jaringan Nusantara') ON CONFLICT DO NOTHING;</v>
      </c>
    </row>
    <row r="1993" spans="1:6" x14ac:dyDescent="0.2">
      <c r="A1993" t="s">
        <v>1688</v>
      </c>
      <c r="B1993" t="s">
        <v>1689</v>
      </c>
      <c r="C1993" t="s">
        <v>6368</v>
      </c>
      <c r="D1993" t="str">
        <f>TRIM(alias[[#This Row],[Column3]])</f>
        <v>Krida Jaringan Nusantara Tbk</v>
      </c>
      <c r="F1993" t="str">
        <f t="shared" si="31"/>
        <v>INSERT INTO stock_alias (stock, alias) VALUES ((SELECT id FROM stock WHERE ticker = 'KJEN'), 'Krida Jaringan Nusantara Tbk') ON CONFLICT DO NOTHING;</v>
      </c>
    </row>
    <row r="1994" spans="1:6" x14ac:dyDescent="0.2">
      <c r="A1994" t="s">
        <v>1688</v>
      </c>
      <c r="B1994" t="s">
        <v>1689</v>
      </c>
      <c r="C1994" t="s">
        <v>6369</v>
      </c>
      <c r="D1994" t="str">
        <f>TRIM(alias[[#This Row],[Column3]])</f>
        <v>PT Krida Jaringan Nusantara</v>
      </c>
      <c r="F1994" t="str">
        <f t="shared" si="31"/>
        <v>INSERT INTO stock_alias (stock, alias) VALUES ((SELECT id FROM stock WHERE ticker = 'KJEN'), 'PT Krida Jaringan Nusantara') ON CONFLICT DO NOTHING;</v>
      </c>
    </row>
    <row r="1995" spans="1:6" x14ac:dyDescent="0.2">
      <c r="A1995" t="s">
        <v>2152</v>
      </c>
      <c r="B1995" t="s">
        <v>2153</v>
      </c>
      <c r="C1995" t="s">
        <v>2152</v>
      </c>
      <c r="D1995" t="str">
        <f>TRIM(alias[[#This Row],[Column3]])</f>
        <v>KKES</v>
      </c>
      <c r="F1995" t="str">
        <f t="shared" si="31"/>
        <v>INSERT INTO stock_alias (stock, alias) VALUES ((SELECT id FROM stock WHERE ticker = 'KKES'), 'KKES') ON CONFLICT DO NOTHING;</v>
      </c>
    </row>
    <row r="1996" spans="1:6" x14ac:dyDescent="0.2">
      <c r="A1996" t="s">
        <v>2152</v>
      </c>
      <c r="B1996" t="s">
        <v>2153</v>
      </c>
      <c r="C1996" t="s">
        <v>6370</v>
      </c>
      <c r="D1996" t="str">
        <f>TRIM(alias[[#This Row],[Column3]])</f>
        <v>Kusuma Kemindo Sentosa</v>
      </c>
      <c r="F1996" t="str">
        <f t="shared" si="31"/>
        <v>INSERT INTO stock_alias (stock, alias) VALUES ((SELECT id FROM stock WHERE ticker = 'KKES'), 'Kusuma Kemindo Sentosa') ON CONFLICT DO NOTHING;</v>
      </c>
    </row>
    <row r="1997" spans="1:6" x14ac:dyDescent="0.2">
      <c r="A1997" t="s">
        <v>2152</v>
      </c>
      <c r="B1997" t="s">
        <v>2153</v>
      </c>
      <c r="C1997" t="s">
        <v>6371</v>
      </c>
      <c r="D1997" t="str">
        <f>TRIM(alias[[#This Row],[Column3]])</f>
        <v>Kusuma Kemindo Sentosa Tbk</v>
      </c>
      <c r="F1997" t="str">
        <f t="shared" si="31"/>
        <v>INSERT INTO stock_alias (stock, alias) VALUES ((SELECT id FROM stock WHERE ticker = 'KKES'), 'Kusuma Kemindo Sentosa Tbk') ON CONFLICT DO NOTHING;</v>
      </c>
    </row>
    <row r="1998" spans="1:6" x14ac:dyDescent="0.2">
      <c r="A1998" t="s">
        <v>2152</v>
      </c>
      <c r="B1998" t="s">
        <v>2153</v>
      </c>
      <c r="C1998" t="s">
        <v>6372</v>
      </c>
      <c r="D1998" t="str">
        <f>TRIM(alias[[#This Row],[Column3]])</f>
        <v>PT Kusuma Kemindo Sentosa</v>
      </c>
      <c r="F1998" t="str">
        <f t="shared" si="31"/>
        <v>INSERT INTO stock_alias (stock, alias) VALUES ((SELECT id FROM stock WHERE ticker = 'KKES'), 'PT Kusuma Kemindo Sentosa') ON CONFLICT DO NOTHING;</v>
      </c>
    </row>
    <row r="1999" spans="1:6" x14ac:dyDescent="0.2">
      <c r="A1999" t="s">
        <v>720</v>
      </c>
      <c r="B1999" t="s">
        <v>721</v>
      </c>
      <c r="C1999" t="s">
        <v>720</v>
      </c>
      <c r="D1999" t="str">
        <f>TRIM(alias[[#This Row],[Column3]])</f>
        <v>KKGI</v>
      </c>
      <c r="F1999" t="str">
        <f t="shared" si="31"/>
        <v>INSERT INTO stock_alias (stock, alias) VALUES ((SELECT id FROM stock WHERE ticker = 'KKGI'), 'KKGI') ON CONFLICT DO NOTHING;</v>
      </c>
    </row>
    <row r="2000" spans="1:6" x14ac:dyDescent="0.2">
      <c r="A2000" t="s">
        <v>720</v>
      </c>
      <c r="B2000" t="s">
        <v>721</v>
      </c>
      <c r="C2000" t="s">
        <v>6373</v>
      </c>
      <c r="D2000" t="str">
        <f>TRIM(alias[[#This Row],[Column3]])</f>
        <v>PT Resource Alam Indonesia</v>
      </c>
      <c r="F2000" t="str">
        <f t="shared" si="31"/>
        <v>INSERT INTO stock_alias (stock, alias) VALUES ((SELECT id FROM stock WHERE ticker = 'KKGI'), 'PT Resource Alam Indonesia') ON CONFLICT DO NOTHING;</v>
      </c>
    </row>
    <row r="2001" spans="1:6" x14ac:dyDescent="0.2">
      <c r="A2001" t="s">
        <v>720</v>
      </c>
      <c r="B2001" t="s">
        <v>721</v>
      </c>
      <c r="C2001" t="s">
        <v>6374</v>
      </c>
      <c r="D2001" t="str">
        <f>TRIM(alias[[#This Row],[Column3]])</f>
        <v>Resource Alam Indonesia</v>
      </c>
      <c r="F2001" t="str">
        <f t="shared" si="31"/>
        <v>INSERT INTO stock_alias (stock, alias) VALUES ((SELECT id FROM stock WHERE ticker = 'KKGI'), 'Resource Alam Indonesia') ON CONFLICT DO NOTHING;</v>
      </c>
    </row>
    <row r="2002" spans="1:6" x14ac:dyDescent="0.2">
      <c r="A2002" t="s">
        <v>720</v>
      </c>
      <c r="B2002" t="s">
        <v>721</v>
      </c>
      <c r="C2002" t="s">
        <v>6375</v>
      </c>
      <c r="D2002" t="str">
        <f>TRIM(alias[[#This Row],[Column3]])</f>
        <v>Resource Alam Indonesia Tbk</v>
      </c>
      <c r="F2002" t="str">
        <f t="shared" si="31"/>
        <v>INSERT INTO stock_alias (stock, alias) VALUES ((SELECT id FROM stock WHERE ticker = 'KKGI'), 'Resource Alam Indonesia Tbk') ON CONFLICT DO NOTHING;</v>
      </c>
    </row>
    <row r="2003" spans="1:6" x14ac:dyDescent="0.2">
      <c r="A2003" t="s">
        <v>2308</v>
      </c>
      <c r="B2003" t="s">
        <v>3604</v>
      </c>
      <c r="C2003" t="s">
        <v>2308</v>
      </c>
      <c r="D2003" t="str">
        <f>TRIM(alias[[#This Row],[Column3]])</f>
        <v>KLAS</v>
      </c>
      <c r="F2003" t="str">
        <f t="shared" si="31"/>
        <v>INSERT INTO stock_alias (stock, alias) VALUES ((SELECT id FROM stock WHERE ticker = 'KLAS'), 'KLAS') ON CONFLICT DO NOTHING;</v>
      </c>
    </row>
    <row r="2004" spans="1:6" x14ac:dyDescent="0.2">
      <c r="A2004" t="s">
        <v>2308</v>
      </c>
      <c r="B2004" t="s">
        <v>3604</v>
      </c>
      <c r="C2004" t="s">
        <v>6376</v>
      </c>
      <c r="D2004" t="str">
        <f>TRIM(alias[[#This Row],[Column3]])</f>
        <v>PT Pelayaran Kurnia Lautan Semesta</v>
      </c>
      <c r="F2004" t="str">
        <f t="shared" si="31"/>
        <v>INSERT INTO stock_alias (stock, alias) VALUES ((SELECT id FROM stock WHERE ticker = 'KLAS'), 'PT Pelayaran Kurnia Lautan Semesta') ON CONFLICT DO NOTHING;</v>
      </c>
    </row>
    <row r="2005" spans="1:6" x14ac:dyDescent="0.2">
      <c r="A2005" t="s">
        <v>2308</v>
      </c>
      <c r="B2005" t="s">
        <v>3604</v>
      </c>
      <c r="C2005" t="s">
        <v>6377</v>
      </c>
      <c r="D2005" t="str">
        <f>TRIM(alias[[#This Row],[Column3]])</f>
        <v>Pelayaran Kurnia Lautan Semesta</v>
      </c>
      <c r="F2005" t="str">
        <f t="shared" si="31"/>
        <v>INSERT INTO stock_alias (stock, alias) VALUES ((SELECT id FROM stock WHERE ticker = 'KLAS'), 'Pelayaran Kurnia Lautan Semesta') ON CONFLICT DO NOTHING;</v>
      </c>
    </row>
    <row r="2006" spans="1:6" x14ac:dyDescent="0.2">
      <c r="A2006" t="s">
        <v>2308</v>
      </c>
      <c r="B2006" t="s">
        <v>3604</v>
      </c>
      <c r="C2006" t="s">
        <v>6378</v>
      </c>
      <c r="D2006" t="str">
        <f>TRIM(alias[[#This Row],[Column3]])</f>
        <v>Pelayaran Kurnia Lautan Semesta Tbk</v>
      </c>
      <c r="F2006" t="str">
        <f t="shared" si="31"/>
        <v>INSERT INTO stock_alias (stock, alias) VALUES ((SELECT id FROM stock WHERE ticker = 'KLAS'), 'Pelayaran Kurnia Lautan Semesta Tbk') ON CONFLICT DO NOTHING;</v>
      </c>
    </row>
    <row r="2007" spans="1:6" x14ac:dyDescent="0.2">
      <c r="A2007" t="s">
        <v>723</v>
      </c>
      <c r="B2007" t="s">
        <v>724</v>
      </c>
      <c r="C2007" t="s">
        <v>723</v>
      </c>
      <c r="D2007" t="str">
        <f>TRIM(alias[[#This Row],[Column3]])</f>
        <v>KLBF</v>
      </c>
      <c r="F2007" t="str">
        <f t="shared" si="31"/>
        <v>INSERT INTO stock_alias (stock, alias) VALUES ((SELECT id FROM stock WHERE ticker = 'KLBF'), 'KLBF') ON CONFLICT DO NOTHING;</v>
      </c>
    </row>
    <row r="2008" spans="1:6" x14ac:dyDescent="0.2">
      <c r="A2008" t="s">
        <v>723</v>
      </c>
      <c r="B2008" t="s">
        <v>724</v>
      </c>
      <c r="C2008" t="s">
        <v>6379</v>
      </c>
      <c r="D2008" t="str">
        <f>TRIM(alias[[#This Row],[Column3]])</f>
        <v>Kalbe Farma</v>
      </c>
      <c r="F2008" t="str">
        <f t="shared" si="31"/>
        <v>INSERT INTO stock_alias (stock, alias) VALUES ((SELECT id FROM stock WHERE ticker = 'KLBF'), 'Kalbe Farma') ON CONFLICT DO NOTHING;</v>
      </c>
    </row>
    <row r="2009" spans="1:6" x14ac:dyDescent="0.2">
      <c r="A2009" t="s">
        <v>723</v>
      </c>
      <c r="B2009" t="s">
        <v>724</v>
      </c>
      <c r="C2009" t="s">
        <v>6380</v>
      </c>
      <c r="D2009" t="str">
        <f>TRIM(alias[[#This Row],[Column3]])</f>
        <v>Kalbe Farma Tbk</v>
      </c>
      <c r="F2009" t="str">
        <f t="shared" si="31"/>
        <v>INSERT INTO stock_alias (stock, alias) VALUES ((SELECT id FROM stock WHERE ticker = 'KLBF'), 'Kalbe Farma Tbk') ON CONFLICT DO NOTHING;</v>
      </c>
    </row>
    <row r="2010" spans="1:6" x14ac:dyDescent="0.2">
      <c r="A2010" t="s">
        <v>723</v>
      </c>
      <c r="B2010" t="s">
        <v>724</v>
      </c>
      <c r="C2010" t="s">
        <v>6381</v>
      </c>
      <c r="D2010" t="str">
        <f>TRIM(alias[[#This Row],[Column3]])</f>
        <v>PT Kalbe Farma</v>
      </c>
      <c r="F2010" t="str">
        <f t="shared" si="31"/>
        <v>INSERT INTO stock_alias (stock, alias) VALUES ((SELECT id FROM stock WHERE ticker = 'KLBF'), 'PT Kalbe Farma') ON CONFLICT DO NOTHING;</v>
      </c>
    </row>
    <row r="2011" spans="1:6" x14ac:dyDescent="0.2">
      <c r="A2011" t="s">
        <v>2159</v>
      </c>
      <c r="B2011" t="s">
        <v>2160</v>
      </c>
      <c r="C2011" t="s">
        <v>2159</v>
      </c>
      <c r="D2011" t="str">
        <f>TRIM(alias[[#This Row],[Column3]])</f>
        <v>KLIN</v>
      </c>
      <c r="F2011" t="str">
        <f t="shared" si="31"/>
        <v>INSERT INTO stock_alias (stock, alias) VALUES ((SELECT id FROM stock WHERE ticker = 'KLIN'), 'KLIN') ON CONFLICT DO NOTHING;</v>
      </c>
    </row>
    <row r="2012" spans="1:6" x14ac:dyDescent="0.2">
      <c r="A2012" t="s">
        <v>2159</v>
      </c>
      <c r="B2012" t="s">
        <v>2160</v>
      </c>
      <c r="C2012" t="s">
        <v>6382</v>
      </c>
      <c r="D2012" t="str">
        <f>TRIM(alias[[#This Row],[Column3]])</f>
        <v>Klinko Karya Imaji</v>
      </c>
      <c r="F2012" t="str">
        <f t="shared" si="31"/>
        <v>INSERT INTO stock_alias (stock, alias) VALUES ((SELECT id FROM stock WHERE ticker = 'KLIN'), 'Klinko Karya Imaji') ON CONFLICT DO NOTHING;</v>
      </c>
    </row>
    <row r="2013" spans="1:6" x14ac:dyDescent="0.2">
      <c r="A2013" t="s">
        <v>2159</v>
      </c>
      <c r="B2013" t="s">
        <v>2160</v>
      </c>
      <c r="C2013" t="s">
        <v>6383</v>
      </c>
      <c r="D2013" t="str">
        <f>TRIM(alias[[#This Row],[Column3]])</f>
        <v>Klinko Karya Imaji Tbk</v>
      </c>
      <c r="F2013" t="str">
        <f t="shared" si="31"/>
        <v>INSERT INTO stock_alias (stock, alias) VALUES ((SELECT id FROM stock WHERE ticker = 'KLIN'), 'Klinko Karya Imaji Tbk') ON CONFLICT DO NOTHING;</v>
      </c>
    </row>
    <row r="2014" spans="1:6" x14ac:dyDescent="0.2">
      <c r="A2014" t="s">
        <v>2159</v>
      </c>
      <c r="B2014" t="s">
        <v>2160</v>
      </c>
      <c r="C2014" t="s">
        <v>6384</v>
      </c>
      <c r="D2014" t="str">
        <f>TRIM(alias[[#This Row],[Column3]])</f>
        <v>PT Klinko Karya Imaji</v>
      </c>
      <c r="F2014" t="str">
        <f t="shared" si="31"/>
        <v>INSERT INTO stock_alias (stock, alias) VALUES ((SELECT id FROM stock WHERE ticker = 'KLIN'), 'PT Klinko Karya Imaji') ON CONFLICT DO NOTHING;</v>
      </c>
    </row>
    <row r="2015" spans="1:6" x14ac:dyDescent="0.2">
      <c r="A2015" t="s">
        <v>1881</v>
      </c>
      <c r="B2015" t="s">
        <v>1882</v>
      </c>
      <c r="C2015" t="s">
        <v>1881</v>
      </c>
      <c r="D2015" t="str">
        <f>TRIM(alias[[#This Row],[Column3]])</f>
        <v>KMDS</v>
      </c>
      <c r="F2015" t="str">
        <f t="shared" si="31"/>
        <v>INSERT INTO stock_alias (stock, alias) VALUES ((SELECT id FROM stock WHERE ticker = 'KMDS'), 'KMDS') ON CONFLICT DO NOTHING;</v>
      </c>
    </row>
    <row r="2016" spans="1:6" x14ac:dyDescent="0.2">
      <c r="A2016" t="s">
        <v>1881</v>
      </c>
      <c r="B2016" t="s">
        <v>1882</v>
      </c>
      <c r="C2016" t="s">
        <v>6385</v>
      </c>
      <c r="D2016" t="str">
        <f>TRIM(alias[[#This Row],[Column3]])</f>
        <v>Kurniamitra Duta Sentosa</v>
      </c>
      <c r="F2016" t="str">
        <f t="shared" si="31"/>
        <v>INSERT INTO stock_alias (stock, alias) VALUES ((SELECT id FROM stock WHERE ticker = 'KMDS'), 'Kurniamitra Duta Sentosa') ON CONFLICT DO NOTHING;</v>
      </c>
    </row>
    <row r="2017" spans="1:6" x14ac:dyDescent="0.2">
      <c r="A2017" t="s">
        <v>1881</v>
      </c>
      <c r="B2017" t="s">
        <v>1882</v>
      </c>
      <c r="C2017" t="s">
        <v>6386</v>
      </c>
      <c r="D2017" t="str">
        <f>TRIM(alias[[#This Row],[Column3]])</f>
        <v>Kurniamitra Duta Sentosa Tbk</v>
      </c>
      <c r="F2017" t="str">
        <f t="shared" si="31"/>
        <v>INSERT INTO stock_alias (stock, alias) VALUES ((SELECT id FROM stock WHERE ticker = 'KMDS'), 'Kurniamitra Duta Sentosa Tbk') ON CONFLICT DO NOTHING;</v>
      </c>
    </row>
    <row r="2018" spans="1:6" x14ac:dyDescent="0.2">
      <c r="A2018" t="s">
        <v>1881</v>
      </c>
      <c r="B2018" t="s">
        <v>1882</v>
      </c>
      <c r="C2018" t="s">
        <v>6387</v>
      </c>
      <c r="D2018" t="str">
        <f>TRIM(alias[[#This Row],[Column3]])</f>
        <v>PT Kurniamitra Duta Sentosa</v>
      </c>
      <c r="F2018" t="str">
        <f t="shared" si="31"/>
        <v>INSERT INTO stock_alias (stock, alias) VALUES ((SELECT id FROM stock WHERE ticker = 'KMDS'), 'PT Kurniamitra Duta Sentosa') ON CONFLICT DO NOTHING;</v>
      </c>
    </row>
    <row r="2019" spans="1:6" x14ac:dyDescent="0.2">
      <c r="A2019" t="s">
        <v>1416</v>
      </c>
      <c r="B2019" t="s">
        <v>1417</v>
      </c>
      <c r="C2019" t="s">
        <v>1416</v>
      </c>
      <c r="D2019" t="str">
        <f>TRIM(alias[[#This Row],[Column3]])</f>
        <v>KMTR</v>
      </c>
      <c r="F2019" t="str">
        <f t="shared" si="31"/>
        <v>INSERT INTO stock_alias (stock, alias) VALUES ((SELECT id FROM stock WHERE ticker = 'KMTR'), 'KMTR') ON CONFLICT DO NOTHING;</v>
      </c>
    </row>
    <row r="2020" spans="1:6" x14ac:dyDescent="0.2">
      <c r="A2020" t="s">
        <v>1416</v>
      </c>
      <c r="B2020" t="s">
        <v>1417</v>
      </c>
      <c r="C2020" t="s">
        <v>6388</v>
      </c>
      <c r="D2020" t="str">
        <f>TRIM(alias[[#This Row],[Column3]])</f>
        <v>Kirana Megatara</v>
      </c>
      <c r="F2020" t="str">
        <f t="shared" si="31"/>
        <v>INSERT INTO stock_alias (stock, alias) VALUES ((SELECT id FROM stock WHERE ticker = 'KMTR'), 'Kirana Megatara') ON CONFLICT DO NOTHING;</v>
      </c>
    </row>
    <row r="2021" spans="1:6" x14ac:dyDescent="0.2">
      <c r="A2021" t="s">
        <v>1416</v>
      </c>
      <c r="B2021" t="s">
        <v>1417</v>
      </c>
      <c r="C2021" t="s">
        <v>6389</v>
      </c>
      <c r="D2021" t="str">
        <f>TRIM(alias[[#This Row],[Column3]])</f>
        <v>Kirana Megatara Tbk</v>
      </c>
      <c r="F2021" t="str">
        <f t="shared" si="31"/>
        <v>INSERT INTO stock_alias (stock, alias) VALUES ((SELECT id FROM stock WHERE ticker = 'KMTR'), 'Kirana Megatara Tbk') ON CONFLICT DO NOTHING;</v>
      </c>
    </row>
    <row r="2022" spans="1:6" x14ac:dyDescent="0.2">
      <c r="A2022" t="s">
        <v>1416</v>
      </c>
      <c r="B2022" t="s">
        <v>1417</v>
      </c>
      <c r="C2022" t="s">
        <v>6390</v>
      </c>
      <c r="D2022" t="str">
        <f>TRIM(alias[[#This Row],[Column3]])</f>
        <v>PT Kirana Megatara</v>
      </c>
      <c r="F2022" t="str">
        <f t="shared" si="31"/>
        <v>INSERT INTO stock_alias (stock, alias) VALUES ((SELECT id FROM stock WHERE ticker = 'KMTR'), 'PT Kirana Megatara') ON CONFLICT DO NOTHING;</v>
      </c>
    </row>
    <row r="2023" spans="1:6" x14ac:dyDescent="0.2">
      <c r="A2023" t="s">
        <v>726</v>
      </c>
      <c r="B2023" t="s">
        <v>727</v>
      </c>
      <c r="C2023" t="s">
        <v>726</v>
      </c>
      <c r="D2023" t="str">
        <f>TRIM(alias[[#This Row],[Column3]])</f>
        <v>KOBX</v>
      </c>
      <c r="F2023" t="str">
        <f t="shared" si="31"/>
        <v>INSERT INTO stock_alias (stock, alias) VALUES ((SELECT id FROM stock WHERE ticker = 'KOBX'), 'KOBX') ON CONFLICT DO NOTHING;</v>
      </c>
    </row>
    <row r="2024" spans="1:6" x14ac:dyDescent="0.2">
      <c r="A2024" t="s">
        <v>726</v>
      </c>
      <c r="B2024" t="s">
        <v>727</v>
      </c>
      <c r="C2024" t="s">
        <v>6391</v>
      </c>
      <c r="D2024" t="str">
        <f>TRIM(alias[[#This Row],[Column3]])</f>
        <v>Kobexindo Tractors</v>
      </c>
      <c r="F2024" t="str">
        <f t="shared" si="31"/>
        <v>INSERT INTO stock_alias (stock, alias) VALUES ((SELECT id FROM stock WHERE ticker = 'KOBX'), 'Kobexindo Tractors') ON CONFLICT DO NOTHING;</v>
      </c>
    </row>
    <row r="2025" spans="1:6" x14ac:dyDescent="0.2">
      <c r="A2025" t="s">
        <v>726</v>
      </c>
      <c r="B2025" t="s">
        <v>727</v>
      </c>
      <c r="C2025" t="s">
        <v>6392</v>
      </c>
      <c r="D2025" t="str">
        <f>TRIM(alias[[#This Row],[Column3]])</f>
        <v>Kobexindo Tractors Tbk</v>
      </c>
      <c r="F2025" t="str">
        <f t="shared" si="31"/>
        <v>INSERT INTO stock_alias (stock, alias) VALUES ((SELECT id FROM stock WHERE ticker = 'KOBX'), 'Kobexindo Tractors Tbk') ON CONFLICT DO NOTHING;</v>
      </c>
    </row>
    <row r="2026" spans="1:6" x14ac:dyDescent="0.2">
      <c r="A2026" t="s">
        <v>726</v>
      </c>
      <c r="B2026" t="s">
        <v>727</v>
      </c>
      <c r="C2026" t="s">
        <v>6393</v>
      </c>
      <c r="D2026" t="str">
        <f>TRIM(alias[[#This Row],[Column3]])</f>
        <v>PT Kobexindo Tractors</v>
      </c>
      <c r="F2026" t="str">
        <f t="shared" si="31"/>
        <v>INSERT INTO stock_alias (stock, alias) VALUES ((SELECT id FROM stock WHERE ticker = 'KOBX'), 'PT Kobexindo Tractors') ON CONFLICT DO NOTHING;</v>
      </c>
    </row>
    <row r="2027" spans="1:6" x14ac:dyDescent="0.2">
      <c r="A2027" t="s">
        <v>2381</v>
      </c>
      <c r="B2027" t="s">
        <v>2382</v>
      </c>
      <c r="C2027" t="s">
        <v>2381</v>
      </c>
      <c r="D2027" t="str">
        <f>TRIM(alias[[#This Row],[Column3]])</f>
        <v>KOCI</v>
      </c>
      <c r="F2027" t="str">
        <f t="shared" si="31"/>
        <v>INSERT INTO stock_alias (stock, alias) VALUES ((SELECT id FROM stock WHERE ticker = 'KOCI'), 'KOCI') ON CONFLICT DO NOTHING;</v>
      </c>
    </row>
    <row r="2028" spans="1:6" x14ac:dyDescent="0.2">
      <c r="A2028" t="s">
        <v>2381</v>
      </c>
      <c r="B2028" t="s">
        <v>2382</v>
      </c>
      <c r="C2028" t="s">
        <v>6394</v>
      </c>
      <c r="D2028" t="str">
        <f>TRIM(alias[[#This Row],[Column3]])</f>
        <v>Kokoh Exa Nusantara</v>
      </c>
      <c r="F2028" t="str">
        <f t="shared" si="31"/>
        <v>INSERT INTO stock_alias (stock, alias) VALUES ((SELECT id FROM stock WHERE ticker = 'KOCI'), 'Kokoh Exa Nusantara') ON CONFLICT DO NOTHING;</v>
      </c>
    </row>
    <row r="2029" spans="1:6" x14ac:dyDescent="0.2">
      <c r="A2029" t="s">
        <v>2381</v>
      </c>
      <c r="B2029" t="s">
        <v>2382</v>
      </c>
      <c r="C2029" t="s">
        <v>6395</v>
      </c>
      <c r="D2029" t="str">
        <f>TRIM(alias[[#This Row],[Column3]])</f>
        <v>Kokoh Exa Nusantara Tbk</v>
      </c>
      <c r="F2029" t="str">
        <f t="shared" si="31"/>
        <v>INSERT INTO stock_alias (stock, alias) VALUES ((SELECT id FROM stock WHERE ticker = 'KOCI'), 'Kokoh Exa Nusantara Tbk') ON CONFLICT DO NOTHING;</v>
      </c>
    </row>
    <row r="2030" spans="1:6" x14ac:dyDescent="0.2">
      <c r="A2030" t="s">
        <v>2381</v>
      </c>
      <c r="B2030" t="s">
        <v>2382</v>
      </c>
      <c r="C2030" t="s">
        <v>6396</v>
      </c>
      <c r="D2030" t="str">
        <f>TRIM(alias[[#This Row],[Column3]])</f>
        <v>PT Kokoh Exa Nusantara</v>
      </c>
      <c r="F2030" t="str">
        <f t="shared" si="31"/>
        <v>INSERT INTO stock_alias (stock, alias) VALUES ((SELECT id FROM stock WHERE ticker = 'KOCI'), 'PT Kokoh Exa Nusantara') ON CONFLICT DO NOTHING;</v>
      </c>
    </row>
    <row r="2031" spans="1:6" x14ac:dyDescent="0.2">
      <c r="A2031" t="s">
        <v>729</v>
      </c>
      <c r="B2031" t="s">
        <v>3605</v>
      </c>
      <c r="C2031" t="s">
        <v>729</v>
      </c>
      <c r="D2031" t="str">
        <f>TRIM(alias[[#This Row],[Column3]])</f>
        <v>KOIN</v>
      </c>
      <c r="F2031" t="str">
        <f t="shared" si="31"/>
        <v>INSERT INTO stock_alias (stock, alias) VALUES ((SELECT id FROM stock WHERE ticker = 'KOIN'), 'KOIN') ON CONFLICT DO NOTHING;</v>
      </c>
    </row>
    <row r="2032" spans="1:6" x14ac:dyDescent="0.2">
      <c r="A2032" t="s">
        <v>729</v>
      </c>
      <c r="B2032" t="s">
        <v>3605</v>
      </c>
      <c r="C2032" t="s">
        <v>6397</v>
      </c>
      <c r="D2032" t="str">
        <f>TRIM(alias[[#This Row],[Column3]])</f>
        <v>Kokoh Inti Arebama</v>
      </c>
      <c r="F2032" t="str">
        <f t="shared" si="31"/>
        <v>INSERT INTO stock_alias (stock, alias) VALUES ((SELECT id FROM stock WHERE ticker = 'KOIN'), 'Kokoh Inti Arebama') ON CONFLICT DO NOTHING;</v>
      </c>
    </row>
    <row r="2033" spans="1:6" x14ac:dyDescent="0.2">
      <c r="A2033" t="s">
        <v>729</v>
      </c>
      <c r="B2033" t="s">
        <v>3605</v>
      </c>
      <c r="C2033" t="s">
        <v>6398</v>
      </c>
      <c r="D2033" t="str">
        <f>TRIM(alias[[#This Row],[Column3]])</f>
        <v>Kokoh Inti Arebama Tbk</v>
      </c>
      <c r="F2033" t="str">
        <f t="shared" si="31"/>
        <v>INSERT INTO stock_alias (stock, alias) VALUES ((SELECT id FROM stock WHERE ticker = 'KOIN'), 'Kokoh Inti Arebama Tbk') ON CONFLICT DO NOTHING;</v>
      </c>
    </row>
    <row r="2034" spans="1:6" x14ac:dyDescent="0.2">
      <c r="A2034" t="s">
        <v>729</v>
      </c>
      <c r="B2034" t="s">
        <v>3605</v>
      </c>
      <c r="C2034" t="s">
        <v>6399</v>
      </c>
      <c r="D2034" t="str">
        <f>TRIM(alias[[#This Row],[Column3]])</f>
        <v>PT Kokoh Inti Arebama</v>
      </c>
      <c r="F2034" t="str">
        <f t="shared" si="31"/>
        <v>INSERT INTO stock_alias (stock, alias) VALUES ((SELECT id FROM stock WHERE ticker = 'KOIN'), 'PT Kokoh Inti Arebama') ON CONFLICT DO NOTHING;</v>
      </c>
    </row>
    <row r="2035" spans="1:6" x14ac:dyDescent="0.2">
      <c r="A2035" t="s">
        <v>2393</v>
      </c>
      <c r="B2035" t="s">
        <v>2394</v>
      </c>
      <c r="C2035" t="s">
        <v>2393</v>
      </c>
      <c r="D2035" t="str">
        <f>TRIM(alias[[#This Row],[Column3]])</f>
        <v>KOKA</v>
      </c>
      <c r="F2035" t="str">
        <f t="shared" si="31"/>
        <v>INSERT INTO stock_alias (stock, alias) VALUES ((SELECT id FROM stock WHERE ticker = 'KOKA'), 'KOKA') ON CONFLICT DO NOTHING;</v>
      </c>
    </row>
    <row r="2036" spans="1:6" x14ac:dyDescent="0.2">
      <c r="A2036" t="s">
        <v>2393</v>
      </c>
      <c r="B2036" t="s">
        <v>2394</v>
      </c>
      <c r="C2036" t="s">
        <v>6400</v>
      </c>
      <c r="D2036" t="str">
        <f>TRIM(alias[[#This Row],[Column3]])</f>
        <v>Koka Indonesia</v>
      </c>
      <c r="F2036" t="str">
        <f t="shared" si="31"/>
        <v>INSERT INTO stock_alias (stock, alias) VALUES ((SELECT id FROM stock WHERE ticker = 'KOKA'), 'Koka Indonesia') ON CONFLICT DO NOTHING;</v>
      </c>
    </row>
    <row r="2037" spans="1:6" x14ac:dyDescent="0.2">
      <c r="A2037" t="s">
        <v>2393</v>
      </c>
      <c r="B2037" t="s">
        <v>2394</v>
      </c>
      <c r="C2037" t="s">
        <v>6401</v>
      </c>
      <c r="D2037" t="str">
        <f>TRIM(alias[[#This Row],[Column3]])</f>
        <v>Koka Indonesia Tbk</v>
      </c>
      <c r="F2037" t="str">
        <f t="shared" si="31"/>
        <v>INSERT INTO stock_alias (stock, alias) VALUES ((SELECT id FROM stock WHERE ticker = 'KOKA'), 'Koka Indonesia Tbk') ON CONFLICT DO NOTHING;</v>
      </c>
    </row>
    <row r="2038" spans="1:6" x14ac:dyDescent="0.2">
      <c r="A2038" t="s">
        <v>2393</v>
      </c>
      <c r="B2038" t="s">
        <v>2394</v>
      </c>
      <c r="C2038" t="s">
        <v>6402</v>
      </c>
      <c r="D2038" t="str">
        <f>TRIM(alias[[#This Row],[Column3]])</f>
        <v>PT Koka Indonesia</v>
      </c>
      <c r="F2038" t="str">
        <f t="shared" si="31"/>
        <v>INSERT INTO stock_alias (stock, alias) VALUES ((SELECT id FROM stock WHERE ticker = 'KOKA'), 'PT Koka Indonesia') ON CONFLICT DO NOTHING;</v>
      </c>
    </row>
    <row r="2039" spans="1:6" x14ac:dyDescent="0.2">
      <c r="A2039" t="s">
        <v>732</v>
      </c>
      <c r="B2039" t="s">
        <v>3606</v>
      </c>
      <c r="C2039" t="s">
        <v>732</v>
      </c>
      <c r="D2039" t="str">
        <f>TRIM(alias[[#This Row],[Column3]])</f>
        <v>KONI</v>
      </c>
      <c r="F2039" t="str">
        <f t="shared" si="31"/>
        <v>INSERT INTO stock_alias (stock, alias) VALUES ((SELECT id FROM stock WHERE ticker = 'KONI'), 'KONI') ON CONFLICT DO NOTHING;</v>
      </c>
    </row>
    <row r="2040" spans="1:6" x14ac:dyDescent="0.2">
      <c r="A2040" t="s">
        <v>732</v>
      </c>
      <c r="B2040" t="s">
        <v>3606</v>
      </c>
      <c r="C2040" t="s">
        <v>6403</v>
      </c>
      <c r="D2040" t="str">
        <f>TRIM(alias[[#This Row],[Column3]])</f>
        <v>PT Perdana Bangun Pusaka</v>
      </c>
      <c r="F2040" t="str">
        <f t="shared" si="31"/>
        <v>INSERT INTO stock_alias (stock, alias) VALUES ((SELECT id FROM stock WHERE ticker = 'KONI'), 'PT Perdana Bangun Pusaka') ON CONFLICT DO NOTHING;</v>
      </c>
    </row>
    <row r="2041" spans="1:6" x14ac:dyDescent="0.2">
      <c r="A2041" t="s">
        <v>732</v>
      </c>
      <c r="B2041" t="s">
        <v>3606</v>
      </c>
      <c r="C2041" t="s">
        <v>6404</v>
      </c>
      <c r="D2041" t="str">
        <f>TRIM(alias[[#This Row],[Column3]])</f>
        <v>Perdana Bangun Pusaka</v>
      </c>
      <c r="F2041" t="str">
        <f t="shared" si="31"/>
        <v>INSERT INTO stock_alias (stock, alias) VALUES ((SELECT id FROM stock WHERE ticker = 'KONI'), 'Perdana Bangun Pusaka') ON CONFLICT DO NOTHING;</v>
      </c>
    </row>
    <row r="2042" spans="1:6" x14ac:dyDescent="0.2">
      <c r="A2042" t="s">
        <v>732</v>
      </c>
      <c r="B2042" t="s">
        <v>3606</v>
      </c>
      <c r="C2042" t="s">
        <v>6405</v>
      </c>
      <c r="D2042" t="str">
        <f>TRIM(alias[[#This Row],[Column3]])</f>
        <v>Perdana Bangun Pusaka Tbk</v>
      </c>
      <c r="F2042" t="str">
        <f t="shared" si="31"/>
        <v>INSERT INTO stock_alias (stock, alias) VALUES ((SELECT id FROM stock WHERE ticker = 'KONI'), 'Perdana Bangun Pusaka Tbk') ON CONFLICT DO NOTHING;</v>
      </c>
    </row>
    <row r="2043" spans="1:6" x14ac:dyDescent="0.2">
      <c r="A2043" t="s">
        <v>735</v>
      </c>
      <c r="B2043" t="s">
        <v>736</v>
      </c>
      <c r="C2043" t="s">
        <v>735</v>
      </c>
      <c r="D2043" t="str">
        <f>TRIM(alias[[#This Row],[Column3]])</f>
        <v>KOPI</v>
      </c>
      <c r="F2043" t="str">
        <f t="shared" si="31"/>
        <v>INSERT INTO stock_alias (stock, alias) VALUES ((SELECT id FROM stock WHERE ticker = 'KOPI'), 'KOPI') ON CONFLICT DO NOTHING;</v>
      </c>
    </row>
    <row r="2044" spans="1:6" x14ac:dyDescent="0.2">
      <c r="A2044" t="s">
        <v>735</v>
      </c>
      <c r="B2044" t="s">
        <v>736</v>
      </c>
      <c r="C2044" t="s">
        <v>6406</v>
      </c>
      <c r="D2044" t="str">
        <f>TRIM(alias[[#This Row],[Column3]])</f>
        <v>Mitra Energi Persada</v>
      </c>
      <c r="F2044" t="str">
        <f t="shared" si="31"/>
        <v>INSERT INTO stock_alias (stock, alias) VALUES ((SELECT id FROM stock WHERE ticker = 'KOPI'), 'Mitra Energi Persada') ON CONFLICT DO NOTHING;</v>
      </c>
    </row>
    <row r="2045" spans="1:6" x14ac:dyDescent="0.2">
      <c r="A2045" t="s">
        <v>735</v>
      </c>
      <c r="B2045" t="s">
        <v>736</v>
      </c>
      <c r="C2045" t="s">
        <v>6407</v>
      </c>
      <c r="D2045" t="str">
        <f>TRIM(alias[[#This Row],[Column3]])</f>
        <v>Mitra Energi Persada Tbk</v>
      </c>
      <c r="F2045" t="str">
        <f t="shared" si="31"/>
        <v>INSERT INTO stock_alias (stock, alias) VALUES ((SELECT id FROM stock WHERE ticker = 'KOPI'), 'Mitra Energi Persada Tbk') ON CONFLICT DO NOTHING;</v>
      </c>
    </row>
    <row r="2046" spans="1:6" x14ac:dyDescent="0.2">
      <c r="A2046" t="s">
        <v>735</v>
      </c>
      <c r="B2046" t="s">
        <v>736</v>
      </c>
      <c r="C2046" t="s">
        <v>6408</v>
      </c>
      <c r="D2046" t="str">
        <f>TRIM(alias[[#This Row],[Column3]])</f>
        <v>PT Mitra Energi Persada</v>
      </c>
      <c r="F2046" t="str">
        <f t="shared" si="31"/>
        <v>INSERT INTO stock_alias (stock, alias) VALUES ((SELECT id FROM stock WHERE ticker = 'KOPI'), 'PT Mitra Energi Persada') ON CONFLICT DO NOTHING;</v>
      </c>
    </row>
    <row r="2047" spans="1:6" x14ac:dyDescent="0.2">
      <c r="A2047" t="s">
        <v>1714</v>
      </c>
      <c r="B2047" t="s">
        <v>1715</v>
      </c>
      <c r="C2047" t="s">
        <v>1714</v>
      </c>
      <c r="D2047" t="str">
        <f>TRIM(alias[[#This Row],[Column3]])</f>
        <v>KOTA</v>
      </c>
      <c r="F2047" t="str">
        <f t="shared" si="31"/>
        <v>INSERT INTO stock_alias (stock, alias) VALUES ((SELECT id FROM stock WHERE ticker = 'KOTA'), 'KOTA') ON CONFLICT DO NOTHING;</v>
      </c>
    </row>
    <row r="2048" spans="1:6" x14ac:dyDescent="0.2">
      <c r="A2048" t="s">
        <v>1714</v>
      </c>
      <c r="B2048" t="s">
        <v>1715</v>
      </c>
      <c r="C2048" t="s">
        <v>6409</v>
      </c>
      <c r="D2048" t="str">
        <f>TRIM(alias[[#This Row],[Column3]])</f>
        <v>DMS Propertindo</v>
      </c>
      <c r="F2048" t="str">
        <f t="shared" si="31"/>
        <v>INSERT INTO stock_alias (stock, alias) VALUES ((SELECT id FROM stock WHERE ticker = 'KOTA'), 'DMS Propertindo') ON CONFLICT DO NOTHING;</v>
      </c>
    </row>
    <row r="2049" spans="1:6" x14ac:dyDescent="0.2">
      <c r="A2049" t="s">
        <v>1714</v>
      </c>
      <c r="B2049" t="s">
        <v>1715</v>
      </c>
      <c r="C2049" t="s">
        <v>6410</v>
      </c>
      <c r="D2049" t="str">
        <f>TRIM(alias[[#This Row],[Column3]])</f>
        <v>DMS Propertindo Tbk</v>
      </c>
      <c r="F2049" t="str">
        <f t="shared" si="31"/>
        <v>INSERT INTO stock_alias (stock, alias) VALUES ((SELECT id FROM stock WHERE ticker = 'KOTA'), 'DMS Propertindo Tbk') ON CONFLICT DO NOTHING;</v>
      </c>
    </row>
    <row r="2050" spans="1:6" x14ac:dyDescent="0.2">
      <c r="A2050" t="s">
        <v>1714</v>
      </c>
      <c r="B2050" t="s">
        <v>1715</v>
      </c>
      <c r="C2050" t="s">
        <v>6411</v>
      </c>
      <c r="D2050" t="str">
        <f>TRIM(alias[[#This Row],[Column3]])</f>
        <v>PT DMS Propertindo</v>
      </c>
      <c r="F2050" t="str">
        <f t="shared" si="31"/>
        <v>INSERT INTO stock_alias (stock, alias) VALUES ((SELECT id FROM stock WHERE ticker = 'KOTA'), 'PT DMS Propertindo') ON CONFLICT DO NOTHING;</v>
      </c>
    </row>
    <row r="2051" spans="1:6" x14ac:dyDescent="0.2">
      <c r="A2051" t="s">
        <v>738</v>
      </c>
      <c r="B2051" t="s">
        <v>739</v>
      </c>
      <c r="C2051" t="s">
        <v>738</v>
      </c>
      <c r="D2051" t="str">
        <f>TRIM(alias[[#This Row],[Column3]])</f>
        <v>KPIG</v>
      </c>
      <c r="F2051" t="str">
        <f t="shared" ref="F2051:F2114" si="32">_xlfn.CONCAT($F$1, _xlfn.CONCAT($G$1, A2051, "'), '", D2051, "') ON CONFLICT DO NOTHING;"))</f>
        <v>INSERT INTO stock_alias (stock, alias) VALUES ((SELECT id FROM stock WHERE ticker = 'KPIG'), 'KPIG') ON CONFLICT DO NOTHING;</v>
      </c>
    </row>
    <row r="2052" spans="1:6" x14ac:dyDescent="0.2">
      <c r="A2052" t="s">
        <v>738</v>
      </c>
      <c r="B2052" t="s">
        <v>739</v>
      </c>
      <c r="C2052" t="s">
        <v>6412</v>
      </c>
      <c r="D2052" t="str">
        <f>TRIM(alias[[#This Row],[Column3]])</f>
        <v>MNC Tourism Indonesia</v>
      </c>
      <c r="F2052" t="str">
        <f t="shared" si="32"/>
        <v>INSERT INTO stock_alias (stock, alias) VALUES ((SELECT id FROM stock WHERE ticker = 'KPIG'), 'MNC Tourism Indonesia') ON CONFLICT DO NOTHING;</v>
      </c>
    </row>
    <row r="2053" spans="1:6" x14ac:dyDescent="0.2">
      <c r="A2053" t="s">
        <v>738</v>
      </c>
      <c r="B2053" t="s">
        <v>739</v>
      </c>
      <c r="C2053" t="s">
        <v>6413</v>
      </c>
      <c r="D2053" t="str">
        <f>TRIM(alias[[#This Row],[Column3]])</f>
        <v>MNC Tourism Indonesia Tbk</v>
      </c>
      <c r="F2053" t="str">
        <f t="shared" si="32"/>
        <v>INSERT INTO stock_alias (stock, alias) VALUES ((SELECT id FROM stock WHERE ticker = 'KPIG'), 'MNC Tourism Indonesia Tbk') ON CONFLICT DO NOTHING;</v>
      </c>
    </row>
    <row r="2054" spans="1:6" x14ac:dyDescent="0.2">
      <c r="A2054" t="s">
        <v>738</v>
      </c>
      <c r="B2054" t="s">
        <v>739</v>
      </c>
      <c r="C2054" t="s">
        <v>6414</v>
      </c>
      <c r="D2054" t="str">
        <f>TRIM(alias[[#This Row],[Column3]])</f>
        <v>PT MNC Tourism Indonesia</v>
      </c>
      <c r="F2054" t="str">
        <f t="shared" si="32"/>
        <v>INSERT INTO stock_alias (stock, alias) VALUES ((SELECT id FROM stock WHERE ticker = 'KPIG'), 'PT MNC Tourism Indonesia') ON CONFLICT DO NOTHING;</v>
      </c>
    </row>
    <row r="2055" spans="1:6" x14ac:dyDescent="0.2">
      <c r="A2055" t="s">
        <v>741</v>
      </c>
      <c r="B2055" t="s">
        <v>742</v>
      </c>
      <c r="C2055" t="s">
        <v>741</v>
      </c>
      <c r="D2055" t="str">
        <f>TRIM(alias[[#This Row],[Column3]])</f>
        <v>KRAS</v>
      </c>
      <c r="F2055" t="str">
        <f t="shared" si="32"/>
        <v>INSERT INTO stock_alias (stock, alias) VALUES ((SELECT id FROM stock WHERE ticker = 'KRAS'), 'KRAS') ON CONFLICT DO NOTHING;</v>
      </c>
    </row>
    <row r="2056" spans="1:6" x14ac:dyDescent="0.2">
      <c r="A2056" t="s">
        <v>741</v>
      </c>
      <c r="B2056" t="s">
        <v>742</v>
      </c>
      <c r="C2056" t="s">
        <v>6415</v>
      </c>
      <c r="D2056" t="str">
        <f>TRIM(alias[[#This Row],[Column3]])</f>
        <v>Krakatau Steel (Persero)</v>
      </c>
      <c r="F2056" t="str">
        <f t="shared" si="32"/>
        <v>INSERT INTO stock_alias (stock, alias) VALUES ((SELECT id FROM stock WHERE ticker = 'KRAS'), 'Krakatau Steel (Persero)') ON CONFLICT DO NOTHING;</v>
      </c>
    </row>
    <row r="2057" spans="1:6" x14ac:dyDescent="0.2">
      <c r="A2057" t="s">
        <v>741</v>
      </c>
      <c r="B2057" t="s">
        <v>742</v>
      </c>
      <c r="C2057" t="s">
        <v>6416</v>
      </c>
      <c r="D2057" t="str">
        <f>TRIM(alias[[#This Row],[Column3]])</f>
        <v>Krakatau Steel (Persero) Tbk</v>
      </c>
      <c r="F2057" t="str">
        <f t="shared" si="32"/>
        <v>INSERT INTO stock_alias (stock, alias) VALUES ((SELECT id FROM stock WHERE ticker = 'KRAS'), 'Krakatau Steel (Persero) Tbk') ON CONFLICT DO NOTHING;</v>
      </c>
    </row>
    <row r="2058" spans="1:6" x14ac:dyDescent="0.2">
      <c r="A2058" t="s">
        <v>741</v>
      </c>
      <c r="B2058" t="s">
        <v>742</v>
      </c>
      <c r="C2058" t="s">
        <v>6417</v>
      </c>
      <c r="D2058" t="str">
        <f>TRIM(alias[[#This Row],[Column3]])</f>
        <v>PT Krakatau Steel (Persero)</v>
      </c>
      <c r="F2058" t="str">
        <f t="shared" si="32"/>
        <v>INSERT INTO stock_alias (stock, alias) VALUES ((SELECT id FROM stock WHERE ticker = 'KRAS'), 'PT Krakatau Steel (Persero)') ON CONFLICT DO NOTHING;</v>
      </c>
    </row>
    <row r="2059" spans="1:6" x14ac:dyDescent="0.2">
      <c r="A2059" t="s">
        <v>744</v>
      </c>
      <c r="B2059" t="s">
        <v>745</v>
      </c>
      <c r="C2059" t="s">
        <v>744</v>
      </c>
      <c r="D2059" t="str">
        <f>TRIM(alias[[#This Row],[Column3]])</f>
        <v>KREN</v>
      </c>
      <c r="F2059" t="str">
        <f t="shared" si="32"/>
        <v>INSERT INTO stock_alias (stock, alias) VALUES ((SELECT id FROM stock WHERE ticker = 'KREN'), 'KREN') ON CONFLICT DO NOTHING;</v>
      </c>
    </row>
    <row r="2060" spans="1:6" x14ac:dyDescent="0.2">
      <c r="A2060" t="s">
        <v>744</v>
      </c>
      <c r="B2060" t="s">
        <v>745</v>
      </c>
      <c r="C2060" t="s">
        <v>6418</v>
      </c>
      <c r="D2060" t="str">
        <f>TRIM(alias[[#This Row],[Column3]])</f>
        <v>PT Quantum Clovera Investama</v>
      </c>
      <c r="F2060" t="str">
        <f t="shared" si="32"/>
        <v>INSERT INTO stock_alias (stock, alias) VALUES ((SELECT id FROM stock WHERE ticker = 'KREN'), 'PT Quantum Clovera Investama') ON CONFLICT DO NOTHING;</v>
      </c>
    </row>
    <row r="2061" spans="1:6" x14ac:dyDescent="0.2">
      <c r="A2061" t="s">
        <v>744</v>
      </c>
      <c r="B2061" t="s">
        <v>745</v>
      </c>
      <c r="C2061" t="s">
        <v>6419</v>
      </c>
      <c r="D2061" t="str">
        <f>TRIM(alias[[#This Row],[Column3]])</f>
        <v>Quantum Clovera Investama</v>
      </c>
      <c r="F2061" t="str">
        <f t="shared" si="32"/>
        <v>INSERT INTO stock_alias (stock, alias) VALUES ((SELECT id FROM stock WHERE ticker = 'KREN'), 'Quantum Clovera Investama') ON CONFLICT DO NOTHING;</v>
      </c>
    </row>
    <row r="2062" spans="1:6" x14ac:dyDescent="0.2">
      <c r="A2062" t="s">
        <v>744</v>
      </c>
      <c r="B2062" t="s">
        <v>745</v>
      </c>
      <c r="C2062" t="s">
        <v>6420</v>
      </c>
      <c r="D2062" t="str">
        <f>TRIM(alias[[#This Row],[Column3]])</f>
        <v>Quantum Clovera Investama Tbk</v>
      </c>
      <c r="F2062" t="str">
        <f t="shared" si="32"/>
        <v>INSERT INTO stock_alias (stock, alias) VALUES ((SELECT id FROM stock WHERE ticker = 'KREN'), 'Quantum Clovera Investama Tbk') ON CONFLICT DO NOTHING;</v>
      </c>
    </row>
    <row r="2063" spans="1:6" x14ac:dyDescent="0.2">
      <c r="A2063" t="s">
        <v>2131</v>
      </c>
      <c r="B2063" t="s">
        <v>2132</v>
      </c>
      <c r="C2063" t="s">
        <v>2131</v>
      </c>
      <c r="D2063" t="str">
        <f>TRIM(alias[[#This Row],[Column3]])</f>
        <v>KRYA</v>
      </c>
      <c r="F2063" t="str">
        <f t="shared" si="32"/>
        <v>INSERT INTO stock_alias (stock, alias) VALUES ((SELECT id FROM stock WHERE ticker = 'KRYA'), 'KRYA') ON CONFLICT DO NOTHING;</v>
      </c>
    </row>
    <row r="2064" spans="1:6" x14ac:dyDescent="0.2">
      <c r="A2064" t="s">
        <v>2131</v>
      </c>
      <c r="B2064" t="s">
        <v>2132</v>
      </c>
      <c r="C2064" t="s">
        <v>6421</v>
      </c>
      <c r="D2064" t="str">
        <f>TRIM(alias[[#This Row],[Column3]])</f>
        <v>Bangun Karya Perkasa Jaya</v>
      </c>
      <c r="F2064" t="str">
        <f t="shared" si="32"/>
        <v>INSERT INTO stock_alias (stock, alias) VALUES ((SELECT id FROM stock WHERE ticker = 'KRYA'), 'Bangun Karya Perkasa Jaya') ON CONFLICT DO NOTHING;</v>
      </c>
    </row>
    <row r="2065" spans="1:6" x14ac:dyDescent="0.2">
      <c r="A2065" t="s">
        <v>2131</v>
      </c>
      <c r="B2065" t="s">
        <v>2132</v>
      </c>
      <c r="C2065" t="s">
        <v>6422</v>
      </c>
      <c r="D2065" t="str">
        <f>TRIM(alias[[#This Row],[Column3]])</f>
        <v>Bangun Karya Perkasa Jaya Tbk</v>
      </c>
      <c r="F2065" t="str">
        <f t="shared" si="32"/>
        <v>INSERT INTO stock_alias (stock, alias) VALUES ((SELECT id FROM stock WHERE ticker = 'KRYA'), 'Bangun Karya Perkasa Jaya Tbk') ON CONFLICT DO NOTHING;</v>
      </c>
    </row>
    <row r="2066" spans="1:6" x14ac:dyDescent="0.2">
      <c r="A2066" t="s">
        <v>2131</v>
      </c>
      <c r="B2066" t="s">
        <v>2132</v>
      </c>
      <c r="C2066" t="s">
        <v>6423</v>
      </c>
      <c r="D2066" t="str">
        <f>TRIM(alias[[#This Row],[Column3]])</f>
        <v>PT Bangun Karya Perkasa Jaya</v>
      </c>
      <c r="F2066" t="str">
        <f t="shared" si="32"/>
        <v>INSERT INTO stock_alias (stock, alias) VALUES ((SELECT id FROM stock WHERE ticker = 'KRYA'), 'PT Bangun Karya Perkasa Jaya') ON CONFLICT DO NOTHING;</v>
      </c>
    </row>
    <row r="2067" spans="1:6" x14ac:dyDescent="0.2">
      <c r="A2067" t="s">
        <v>2512</v>
      </c>
      <c r="B2067" t="s">
        <v>3607</v>
      </c>
      <c r="C2067" t="s">
        <v>2512</v>
      </c>
      <c r="D2067" t="str">
        <f>TRIM(alias[[#This Row],[Column3]])</f>
        <v>KSIX</v>
      </c>
      <c r="F2067" t="str">
        <f t="shared" si="32"/>
        <v>INSERT INTO stock_alias (stock, alias) VALUES ((SELECT id FROM stock WHERE ticker = 'KSIX'), 'KSIX') ON CONFLICT DO NOTHING;</v>
      </c>
    </row>
    <row r="2068" spans="1:6" x14ac:dyDescent="0.2">
      <c r="A2068" t="s">
        <v>2512</v>
      </c>
      <c r="B2068" t="s">
        <v>3607</v>
      </c>
      <c r="C2068" t="s">
        <v>6424</v>
      </c>
      <c r="D2068" t="str">
        <f>TRIM(alias[[#This Row],[Column3]])</f>
        <v>Kentanix Supra International</v>
      </c>
      <c r="F2068" t="str">
        <f t="shared" si="32"/>
        <v>INSERT INTO stock_alias (stock, alias) VALUES ((SELECT id FROM stock WHERE ticker = 'KSIX'), 'Kentanix Supra International') ON CONFLICT DO NOTHING;</v>
      </c>
    </row>
    <row r="2069" spans="1:6" x14ac:dyDescent="0.2">
      <c r="A2069" t="s">
        <v>2512</v>
      </c>
      <c r="B2069" t="s">
        <v>3607</v>
      </c>
      <c r="C2069" t="s">
        <v>6425</v>
      </c>
      <c r="D2069" t="str">
        <f>TRIM(alias[[#This Row],[Column3]])</f>
        <v>Kentanix Supra International Tbk</v>
      </c>
      <c r="F2069" t="str">
        <f t="shared" si="32"/>
        <v>INSERT INTO stock_alias (stock, alias) VALUES ((SELECT id FROM stock WHERE ticker = 'KSIX'), 'Kentanix Supra International Tbk') ON CONFLICT DO NOTHING;</v>
      </c>
    </row>
    <row r="2070" spans="1:6" x14ac:dyDescent="0.2">
      <c r="A2070" t="s">
        <v>2512</v>
      </c>
      <c r="B2070" t="s">
        <v>3607</v>
      </c>
      <c r="C2070" t="s">
        <v>6426</v>
      </c>
      <c r="D2070" t="str">
        <f>TRIM(alias[[#This Row],[Column3]])</f>
        <v>PT Kentanix Supra International</v>
      </c>
      <c r="F2070" t="str">
        <f t="shared" si="32"/>
        <v>INSERT INTO stock_alias (stock, alias) VALUES ((SELECT id FROM stock WHERE ticker = 'KSIX'), 'PT Kentanix Supra International') ON CONFLICT DO NOTHING;</v>
      </c>
    </row>
    <row r="2071" spans="1:6" x14ac:dyDescent="0.2">
      <c r="A2071" t="s">
        <v>2013</v>
      </c>
      <c r="B2071" t="s">
        <v>2014</v>
      </c>
      <c r="C2071" t="s">
        <v>2013</v>
      </c>
      <c r="D2071" t="str">
        <f>TRIM(alias[[#This Row],[Column3]])</f>
        <v>KUAS</v>
      </c>
      <c r="F2071" t="str">
        <f t="shared" si="32"/>
        <v>INSERT INTO stock_alias (stock, alias) VALUES ((SELECT id FROM stock WHERE ticker = 'KUAS'), 'KUAS') ON CONFLICT DO NOTHING;</v>
      </c>
    </row>
    <row r="2072" spans="1:6" x14ac:dyDescent="0.2">
      <c r="A2072" t="s">
        <v>2013</v>
      </c>
      <c r="B2072" t="s">
        <v>2014</v>
      </c>
      <c r="C2072" t="s">
        <v>6427</v>
      </c>
      <c r="D2072" t="str">
        <f>TRIM(alias[[#This Row],[Column3]])</f>
        <v>Ace Oldfields</v>
      </c>
      <c r="F2072" t="str">
        <f t="shared" si="32"/>
        <v>INSERT INTO stock_alias (stock, alias) VALUES ((SELECT id FROM stock WHERE ticker = 'KUAS'), 'Ace Oldfields') ON CONFLICT DO NOTHING;</v>
      </c>
    </row>
    <row r="2073" spans="1:6" x14ac:dyDescent="0.2">
      <c r="A2073" t="s">
        <v>2013</v>
      </c>
      <c r="B2073" t="s">
        <v>2014</v>
      </c>
      <c r="C2073" t="s">
        <v>6428</v>
      </c>
      <c r="D2073" t="str">
        <f>TRIM(alias[[#This Row],[Column3]])</f>
        <v>Ace Oldfields Tbk</v>
      </c>
      <c r="F2073" t="str">
        <f t="shared" si="32"/>
        <v>INSERT INTO stock_alias (stock, alias) VALUES ((SELECT id FROM stock WHERE ticker = 'KUAS'), 'Ace Oldfields Tbk') ON CONFLICT DO NOTHING;</v>
      </c>
    </row>
    <row r="2074" spans="1:6" x14ac:dyDescent="0.2">
      <c r="A2074" t="s">
        <v>2013</v>
      </c>
      <c r="B2074" t="s">
        <v>2014</v>
      </c>
      <c r="C2074" t="s">
        <v>6429</v>
      </c>
      <c r="D2074" t="str">
        <f>TRIM(alias[[#This Row],[Column3]])</f>
        <v>PT Ace Oldfields</v>
      </c>
      <c r="F2074" t="str">
        <f t="shared" si="32"/>
        <v>INSERT INTO stock_alias (stock, alias) VALUES ((SELECT id FROM stock WHERE ticker = 'KUAS'), 'PT Ace Oldfields') ON CONFLICT DO NOTHING;</v>
      </c>
    </row>
    <row r="2075" spans="1:6" x14ac:dyDescent="0.2">
      <c r="A2075" t="s">
        <v>1957</v>
      </c>
      <c r="B2075" t="s">
        <v>1958</v>
      </c>
      <c r="C2075" t="s">
        <v>1957</v>
      </c>
      <c r="D2075" t="str">
        <f>TRIM(alias[[#This Row],[Column3]])</f>
        <v>LABA</v>
      </c>
      <c r="F2075" t="str">
        <f t="shared" si="32"/>
        <v>INSERT INTO stock_alias (stock, alias) VALUES ((SELECT id FROM stock WHERE ticker = 'LABA'), 'LABA') ON CONFLICT DO NOTHING;</v>
      </c>
    </row>
    <row r="2076" spans="1:6" x14ac:dyDescent="0.2">
      <c r="A2076" t="s">
        <v>1957</v>
      </c>
      <c r="B2076" t="s">
        <v>1958</v>
      </c>
      <c r="C2076" t="s">
        <v>6430</v>
      </c>
      <c r="D2076" t="str">
        <f>TRIM(alias[[#This Row],[Column3]])</f>
        <v>Green Power Group</v>
      </c>
      <c r="F2076" t="str">
        <f t="shared" si="32"/>
        <v>INSERT INTO stock_alias (stock, alias) VALUES ((SELECT id FROM stock WHERE ticker = 'LABA'), 'Green Power Group') ON CONFLICT DO NOTHING;</v>
      </c>
    </row>
    <row r="2077" spans="1:6" x14ac:dyDescent="0.2">
      <c r="A2077" t="s">
        <v>1957</v>
      </c>
      <c r="B2077" t="s">
        <v>1958</v>
      </c>
      <c r="C2077" t="s">
        <v>6431</v>
      </c>
      <c r="D2077" t="str">
        <f>TRIM(alias[[#This Row],[Column3]])</f>
        <v>Green Power Group Tbk</v>
      </c>
      <c r="F2077" t="str">
        <f t="shared" si="32"/>
        <v>INSERT INTO stock_alias (stock, alias) VALUES ((SELECT id FROM stock WHERE ticker = 'LABA'), 'Green Power Group Tbk') ON CONFLICT DO NOTHING;</v>
      </c>
    </row>
    <row r="2078" spans="1:6" x14ac:dyDescent="0.2">
      <c r="A2078" t="s">
        <v>1957</v>
      </c>
      <c r="B2078" t="s">
        <v>1958</v>
      </c>
      <c r="C2078" t="s">
        <v>6432</v>
      </c>
      <c r="D2078" t="str">
        <f>TRIM(alias[[#This Row],[Column3]])</f>
        <v>PT Green Power Group</v>
      </c>
      <c r="F2078" t="str">
        <f t="shared" si="32"/>
        <v>INSERT INTO stock_alias (stock, alias) VALUES ((SELECT id FROM stock WHERE ticker = 'LABA'), 'PT Green Power Group') ON CONFLICT DO NOTHING;</v>
      </c>
    </row>
    <row r="2079" spans="1:6" x14ac:dyDescent="0.2">
      <c r="A2079" t="s">
        <v>2482</v>
      </c>
      <c r="B2079" t="s">
        <v>2483</v>
      </c>
      <c r="C2079" t="s">
        <v>2482</v>
      </c>
      <c r="D2079" t="str">
        <f>TRIM(alias[[#This Row],[Column3]])</f>
        <v>LABS</v>
      </c>
      <c r="F2079" t="str">
        <f t="shared" si="32"/>
        <v>INSERT INTO stock_alias (stock, alias) VALUES ((SELECT id FROM stock WHERE ticker = 'LABS'), 'LABS') ON CONFLICT DO NOTHING;</v>
      </c>
    </row>
    <row r="2080" spans="1:6" x14ac:dyDescent="0.2">
      <c r="A2080" t="s">
        <v>2482</v>
      </c>
      <c r="B2080" t="s">
        <v>2483</v>
      </c>
      <c r="C2080" t="s">
        <v>6433</v>
      </c>
      <c r="D2080" t="str">
        <f>TRIM(alias[[#This Row],[Column3]])</f>
        <v>PT UBC Medical Indonesia</v>
      </c>
      <c r="F2080" t="str">
        <f t="shared" si="32"/>
        <v>INSERT INTO stock_alias (stock, alias) VALUES ((SELECT id FROM stock WHERE ticker = 'LABS'), 'PT UBC Medical Indonesia') ON CONFLICT DO NOTHING;</v>
      </c>
    </row>
    <row r="2081" spans="1:6" x14ac:dyDescent="0.2">
      <c r="A2081" t="s">
        <v>2482</v>
      </c>
      <c r="B2081" t="s">
        <v>2483</v>
      </c>
      <c r="C2081" t="s">
        <v>6434</v>
      </c>
      <c r="D2081" t="str">
        <f>TRIM(alias[[#This Row],[Column3]])</f>
        <v>UBC Medical Indonesia</v>
      </c>
      <c r="F2081" t="str">
        <f t="shared" si="32"/>
        <v>INSERT INTO stock_alias (stock, alias) VALUES ((SELECT id FROM stock WHERE ticker = 'LABS'), 'UBC Medical Indonesia') ON CONFLICT DO NOTHING;</v>
      </c>
    </row>
    <row r="2082" spans="1:6" x14ac:dyDescent="0.2">
      <c r="A2082" t="s">
        <v>2482</v>
      </c>
      <c r="B2082" t="s">
        <v>2483</v>
      </c>
      <c r="C2082" t="s">
        <v>6435</v>
      </c>
      <c r="D2082" t="str">
        <f>TRIM(alias[[#This Row],[Column3]])</f>
        <v>UBC Medical Indonesia Tbk</v>
      </c>
      <c r="F2082" t="str">
        <f t="shared" si="32"/>
        <v>INSERT INTO stock_alias (stock, alias) VALUES ((SELECT id FROM stock WHERE ticker = 'LABS'), 'UBC Medical Indonesia Tbk') ON CONFLICT DO NOTHING;</v>
      </c>
    </row>
    <row r="2083" spans="1:6" x14ac:dyDescent="0.2">
      <c r="A2083" t="s">
        <v>2241</v>
      </c>
      <c r="B2083" t="s">
        <v>2242</v>
      </c>
      <c r="C2083" t="s">
        <v>2241</v>
      </c>
      <c r="D2083" t="str">
        <f>TRIM(alias[[#This Row],[Column3]])</f>
        <v>LAJU</v>
      </c>
      <c r="F2083" t="str">
        <f t="shared" si="32"/>
        <v>INSERT INTO stock_alias (stock, alias) VALUES ((SELECT id FROM stock WHERE ticker = 'LAJU'), 'LAJU') ON CONFLICT DO NOTHING;</v>
      </c>
    </row>
    <row r="2084" spans="1:6" x14ac:dyDescent="0.2">
      <c r="A2084" t="s">
        <v>2241</v>
      </c>
      <c r="B2084" t="s">
        <v>2242</v>
      </c>
      <c r="C2084" t="s">
        <v>6436</v>
      </c>
      <c r="D2084" t="str">
        <f>TRIM(alias[[#This Row],[Column3]])</f>
        <v>Jasa Berdikari Logistics</v>
      </c>
      <c r="F2084" t="str">
        <f t="shared" si="32"/>
        <v>INSERT INTO stock_alias (stock, alias) VALUES ((SELECT id FROM stock WHERE ticker = 'LAJU'), 'Jasa Berdikari Logistics') ON CONFLICT DO NOTHING;</v>
      </c>
    </row>
    <row r="2085" spans="1:6" x14ac:dyDescent="0.2">
      <c r="A2085" t="s">
        <v>2241</v>
      </c>
      <c r="B2085" t="s">
        <v>2242</v>
      </c>
      <c r="C2085" t="s">
        <v>6437</v>
      </c>
      <c r="D2085" t="str">
        <f>TRIM(alias[[#This Row],[Column3]])</f>
        <v>Jasa Berdikari Logistics Tbk</v>
      </c>
      <c r="F2085" t="str">
        <f t="shared" si="32"/>
        <v>INSERT INTO stock_alias (stock, alias) VALUES ((SELECT id FROM stock WHERE ticker = 'LAJU'), 'Jasa Berdikari Logistics Tbk') ON CONFLICT DO NOTHING;</v>
      </c>
    </row>
    <row r="2086" spans="1:6" x14ac:dyDescent="0.2">
      <c r="A2086" t="s">
        <v>2241</v>
      </c>
      <c r="B2086" t="s">
        <v>2242</v>
      </c>
      <c r="C2086" t="s">
        <v>6438</v>
      </c>
      <c r="D2086" t="str">
        <f>TRIM(alias[[#This Row],[Column3]])</f>
        <v>PT Jasa Berdikari Logistics</v>
      </c>
      <c r="F2086" t="str">
        <f t="shared" si="32"/>
        <v>INSERT INTO stock_alias (stock, alias) VALUES ((SELECT id FROM stock WHERE ticker = 'LAJU'), 'PT Jasa Berdikari Logistics') ON CONFLICT DO NOTHING;</v>
      </c>
    </row>
    <row r="2087" spans="1:6" x14ac:dyDescent="0.2">
      <c r="A2087" t="s">
        <v>1574</v>
      </c>
      <c r="B2087" t="s">
        <v>1575</v>
      </c>
      <c r="C2087" t="s">
        <v>1574</v>
      </c>
      <c r="D2087" t="str">
        <f>TRIM(alias[[#This Row],[Column3]])</f>
        <v>LAND</v>
      </c>
      <c r="F2087" t="str">
        <f t="shared" si="32"/>
        <v>INSERT INTO stock_alias (stock, alias) VALUES ((SELECT id FROM stock WHERE ticker = 'LAND'), 'LAND') ON CONFLICT DO NOTHING;</v>
      </c>
    </row>
    <row r="2088" spans="1:6" x14ac:dyDescent="0.2">
      <c r="A2088" t="s">
        <v>1574</v>
      </c>
      <c r="B2088" t="s">
        <v>1575</v>
      </c>
      <c r="C2088" t="s">
        <v>6439</v>
      </c>
      <c r="D2088" t="str">
        <f>TRIM(alias[[#This Row],[Column3]])</f>
        <v>PT Trimitra Propertindo</v>
      </c>
      <c r="F2088" t="str">
        <f t="shared" si="32"/>
        <v>INSERT INTO stock_alias (stock, alias) VALUES ((SELECT id FROM stock WHERE ticker = 'LAND'), 'PT Trimitra Propertindo') ON CONFLICT DO NOTHING;</v>
      </c>
    </row>
    <row r="2089" spans="1:6" x14ac:dyDescent="0.2">
      <c r="A2089" t="s">
        <v>1574</v>
      </c>
      <c r="B2089" t="s">
        <v>1575</v>
      </c>
      <c r="C2089" t="s">
        <v>6440</v>
      </c>
      <c r="D2089" t="str">
        <f>TRIM(alias[[#This Row],[Column3]])</f>
        <v>Trimitra Propertindo</v>
      </c>
      <c r="F2089" t="str">
        <f t="shared" si="32"/>
        <v>INSERT INTO stock_alias (stock, alias) VALUES ((SELECT id FROM stock WHERE ticker = 'LAND'), 'Trimitra Propertindo') ON CONFLICT DO NOTHING;</v>
      </c>
    </row>
    <row r="2090" spans="1:6" x14ac:dyDescent="0.2">
      <c r="A2090" t="s">
        <v>1574</v>
      </c>
      <c r="B2090" t="s">
        <v>1575</v>
      </c>
      <c r="C2090" t="s">
        <v>6441</v>
      </c>
      <c r="D2090" t="str">
        <f>TRIM(alias[[#This Row],[Column3]])</f>
        <v>Trimitra Propertindo Tbk</v>
      </c>
      <c r="F2090" t="str">
        <f t="shared" si="32"/>
        <v>INSERT INTO stock_alias (stock, alias) VALUES ((SELECT id FROM stock WHERE ticker = 'LAND'), 'Trimitra Propertindo Tbk') ON CONFLICT DO NOTHING;</v>
      </c>
    </row>
    <row r="2091" spans="1:6" x14ac:dyDescent="0.2">
      <c r="A2091" t="s">
        <v>747</v>
      </c>
      <c r="B2091" t="s">
        <v>748</v>
      </c>
      <c r="C2091" t="s">
        <v>747</v>
      </c>
      <c r="D2091" t="str">
        <f>TRIM(alias[[#This Row],[Column3]])</f>
        <v>LAPD</v>
      </c>
      <c r="F2091" t="str">
        <f t="shared" si="32"/>
        <v>INSERT INTO stock_alias (stock, alias) VALUES ((SELECT id FROM stock WHERE ticker = 'LAPD'), 'LAPD') ON CONFLICT DO NOTHING;</v>
      </c>
    </row>
    <row r="2092" spans="1:6" x14ac:dyDescent="0.2">
      <c r="A2092" t="s">
        <v>747</v>
      </c>
      <c r="B2092" t="s">
        <v>748</v>
      </c>
      <c r="C2092" t="s">
        <v>6442</v>
      </c>
      <c r="D2092" t="str">
        <f>TRIM(alias[[#This Row],[Column3]])</f>
        <v>Leyand International</v>
      </c>
      <c r="F2092" t="str">
        <f t="shared" si="32"/>
        <v>INSERT INTO stock_alias (stock, alias) VALUES ((SELECT id FROM stock WHERE ticker = 'LAPD'), 'Leyand International') ON CONFLICT DO NOTHING;</v>
      </c>
    </row>
    <row r="2093" spans="1:6" x14ac:dyDescent="0.2">
      <c r="A2093" t="s">
        <v>747</v>
      </c>
      <c r="B2093" t="s">
        <v>748</v>
      </c>
      <c r="C2093" t="s">
        <v>6443</v>
      </c>
      <c r="D2093" t="str">
        <f>TRIM(alias[[#This Row],[Column3]])</f>
        <v>Leyand International Tbk</v>
      </c>
      <c r="F2093" t="str">
        <f t="shared" si="32"/>
        <v>INSERT INTO stock_alias (stock, alias) VALUES ((SELECT id FROM stock WHERE ticker = 'LAPD'), 'Leyand International Tbk') ON CONFLICT DO NOTHING;</v>
      </c>
    </row>
    <row r="2094" spans="1:6" x14ac:dyDescent="0.2">
      <c r="A2094" t="s">
        <v>747</v>
      </c>
      <c r="B2094" t="s">
        <v>748</v>
      </c>
      <c r="C2094" t="s">
        <v>6444</v>
      </c>
      <c r="D2094" t="str">
        <f>TRIM(alias[[#This Row],[Column3]])</f>
        <v>PT Leyand International</v>
      </c>
      <c r="F2094" t="str">
        <f t="shared" si="32"/>
        <v>INSERT INTO stock_alias (stock, alias) VALUES ((SELECT id FROM stock WHERE ticker = 'LAPD'), 'PT Leyand International') ON CONFLICT DO NOTHING;</v>
      </c>
    </row>
    <row r="2095" spans="1:6" x14ac:dyDescent="0.2">
      <c r="A2095" t="s">
        <v>750</v>
      </c>
      <c r="B2095" t="s">
        <v>751</v>
      </c>
      <c r="C2095" t="s">
        <v>750</v>
      </c>
      <c r="D2095" t="str">
        <f>TRIM(alias[[#This Row],[Column3]])</f>
        <v>LCGP</v>
      </c>
      <c r="F2095" t="str">
        <f t="shared" si="32"/>
        <v>INSERT INTO stock_alias (stock, alias) VALUES ((SELECT id FROM stock WHERE ticker = 'LCGP'), 'LCGP') ON CONFLICT DO NOTHING;</v>
      </c>
    </row>
    <row r="2096" spans="1:6" x14ac:dyDescent="0.2">
      <c r="A2096" t="s">
        <v>750</v>
      </c>
      <c r="B2096" t="s">
        <v>751</v>
      </c>
      <c r="C2096" t="s">
        <v>6445</v>
      </c>
      <c r="D2096" t="str">
        <f>TRIM(alias[[#This Row],[Column3]])</f>
        <v>Eureka Prima Jakarta</v>
      </c>
      <c r="F2096" t="str">
        <f t="shared" si="32"/>
        <v>INSERT INTO stock_alias (stock, alias) VALUES ((SELECT id FROM stock WHERE ticker = 'LCGP'), 'Eureka Prima Jakarta') ON CONFLICT DO NOTHING;</v>
      </c>
    </row>
    <row r="2097" spans="1:6" x14ac:dyDescent="0.2">
      <c r="A2097" t="s">
        <v>750</v>
      </c>
      <c r="B2097" t="s">
        <v>751</v>
      </c>
      <c r="C2097" t="s">
        <v>6446</v>
      </c>
      <c r="D2097" t="str">
        <f>TRIM(alias[[#This Row],[Column3]])</f>
        <v>Eureka Prima Jakarta Tbk</v>
      </c>
      <c r="F2097" t="str">
        <f t="shared" si="32"/>
        <v>INSERT INTO stock_alias (stock, alias) VALUES ((SELECT id FROM stock WHERE ticker = 'LCGP'), 'Eureka Prima Jakarta Tbk') ON CONFLICT DO NOTHING;</v>
      </c>
    </row>
    <row r="2098" spans="1:6" x14ac:dyDescent="0.2">
      <c r="A2098" t="s">
        <v>750</v>
      </c>
      <c r="B2098" t="s">
        <v>751</v>
      </c>
      <c r="C2098" t="s">
        <v>6447</v>
      </c>
      <c r="D2098" t="str">
        <f>TRIM(alias[[#This Row],[Column3]])</f>
        <v>PT Eureka Prima Jakarta</v>
      </c>
      <c r="F2098" t="str">
        <f t="shared" si="32"/>
        <v>INSERT INTO stock_alias (stock, alias) VALUES ((SELECT id FROM stock WHERE ticker = 'LCGP'), 'PT Eureka Prima Jakarta') ON CONFLICT DO NOTHING;</v>
      </c>
    </row>
    <row r="2099" spans="1:6" x14ac:dyDescent="0.2">
      <c r="A2099" t="s">
        <v>1492</v>
      </c>
      <c r="B2099" t="s">
        <v>1493</v>
      </c>
      <c r="C2099" t="s">
        <v>1492</v>
      </c>
      <c r="D2099" t="str">
        <f>TRIM(alias[[#This Row],[Column3]])</f>
        <v>LCKM</v>
      </c>
      <c r="F2099" t="str">
        <f t="shared" si="32"/>
        <v>INSERT INTO stock_alias (stock, alias) VALUES ((SELECT id FROM stock WHERE ticker = 'LCKM'), 'LCKM') ON CONFLICT DO NOTHING;</v>
      </c>
    </row>
    <row r="2100" spans="1:6" x14ac:dyDescent="0.2">
      <c r="A2100" t="s">
        <v>1492</v>
      </c>
      <c r="B2100" t="s">
        <v>1493</v>
      </c>
      <c r="C2100" t="s">
        <v>6448</v>
      </c>
      <c r="D2100" t="str">
        <f>TRIM(alias[[#This Row],[Column3]])</f>
        <v>LCK Global Kedaton</v>
      </c>
      <c r="F2100" t="str">
        <f t="shared" si="32"/>
        <v>INSERT INTO stock_alias (stock, alias) VALUES ((SELECT id FROM stock WHERE ticker = 'LCKM'), 'LCK Global Kedaton') ON CONFLICT DO NOTHING;</v>
      </c>
    </row>
    <row r="2101" spans="1:6" x14ac:dyDescent="0.2">
      <c r="A2101" t="s">
        <v>1492</v>
      </c>
      <c r="B2101" t="s">
        <v>1493</v>
      </c>
      <c r="C2101" t="s">
        <v>6449</v>
      </c>
      <c r="D2101" t="str">
        <f>TRIM(alias[[#This Row],[Column3]])</f>
        <v>LCK Global Kedaton Tbk</v>
      </c>
      <c r="F2101" t="str">
        <f t="shared" si="32"/>
        <v>INSERT INTO stock_alias (stock, alias) VALUES ((SELECT id FROM stock WHERE ticker = 'LCKM'), 'LCK Global Kedaton Tbk') ON CONFLICT DO NOTHING;</v>
      </c>
    </row>
    <row r="2102" spans="1:6" x14ac:dyDescent="0.2">
      <c r="A2102" t="s">
        <v>1492</v>
      </c>
      <c r="B2102" t="s">
        <v>1493</v>
      </c>
      <c r="C2102" t="s">
        <v>6450</v>
      </c>
      <c r="D2102" t="str">
        <f>TRIM(alias[[#This Row],[Column3]])</f>
        <v>PT LCK Global Kedaton</v>
      </c>
      <c r="F2102" t="str">
        <f t="shared" si="32"/>
        <v>INSERT INTO stock_alias (stock, alias) VALUES ((SELECT id FROM stock WHERE ticker = 'LCKM'), 'PT LCK Global Kedaton') ON CONFLICT DO NOTHING;</v>
      </c>
    </row>
    <row r="2103" spans="1:6" x14ac:dyDescent="0.2">
      <c r="A2103" t="s">
        <v>753</v>
      </c>
      <c r="B2103" t="s">
        <v>754</v>
      </c>
      <c r="C2103" t="s">
        <v>753</v>
      </c>
      <c r="D2103" t="str">
        <f>TRIM(alias[[#This Row],[Column3]])</f>
        <v>LEAD</v>
      </c>
      <c r="F2103" t="str">
        <f t="shared" si="32"/>
        <v>INSERT INTO stock_alias (stock, alias) VALUES ((SELECT id FROM stock WHERE ticker = 'LEAD'), 'LEAD') ON CONFLICT DO NOTHING;</v>
      </c>
    </row>
    <row r="2104" spans="1:6" x14ac:dyDescent="0.2">
      <c r="A2104" t="s">
        <v>753</v>
      </c>
      <c r="B2104" t="s">
        <v>754</v>
      </c>
      <c r="C2104" t="s">
        <v>6451</v>
      </c>
      <c r="D2104" t="str">
        <f>TRIM(alias[[#This Row],[Column3]])</f>
        <v>Logindo Samudramakmur</v>
      </c>
      <c r="F2104" t="str">
        <f t="shared" si="32"/>
        <v>INSERT INTO stock_alias (stock, alias) VALUES ((SELECT id FROM stock WHERE ticker = 'LEAD'), 'Logindo Samudramakmur') ON CONFLICT DO NOTHING;</v>
      </c>
    </row>
    <row r="2105" spans="1:6" x14ac:dyDescent="0.2">
      <c r="A2105" t="s">
        <v>753</v>
      </c>
      <c r="B2105" t="s">
        <v>754</v>
      </c>
      <c r="C2105" t="s">
        <v>6452</v>
      </c>
      <c r="D2105" t="str">
        <f>TRIM(alias[[#This Row],[Column3]])</f>
        <v>Logindo Samudramakmur Tbk</v>
      </c>
      <c r="F2105" t="str">
        <f t="shared" si="32"/>
        <v>INSERT INTO stock_alias (stock, alias) VALUES ((SELECT id FROM stock WHERE ticker = 'LEAD'), 'Logindo Samudramakmur Tbk') ON CONFLICT DO NOTHING;</v>
      </c>
    </row>
    <row r="2106" spans="1:6" x14ac:dyDescent="0.2">
      <c r="A2106" t="s">
        <v>753</v>
      </c>
      <c r="B2106" t="s">
        <v>754</v>
      </c>
      <c r="C2106" t="s">
        <v>6453</v>
      </c>
      <c r="D2106" t="str">
        <f>TRIM(alias[[#This Row],[Column3]])</f>
        <v>PT Logindo Samudramakmur</v>
      </c>
      <c r="F2106" t="str">
        <f t="shared" si="32"/>
        <v>INSERT INTO stock_alias (stock, alias) VALUES ((SELECT id FROM stock WHERE ticker = 'LEAD'), 'PT Logindo Samudramakmur') ON CONFLICT DO NOTHING;</v>
      </c>
    </row>
    <row r="2107" spans="1:6" x14ac:dyDescent="0.2">
      <c r="A2107" t="s">
        <v>1930</v>
      </c>
      <c r="B2107" t="s">
        <v>1931</v>
      </c>
      <c r="C2107" t="s">
        <v>1930</v>
      </c>
      <c r="D2107" t="str">
        <f>TRIM(alias[[#This Row],[Column3]])</f>
        <v>LFLO</v>
      </c>
      <c r="F2107" t="str">
        <f t="shared" si="32"/>
        <v>INSERT INTO stock_alias (stock, alias) VALUES ((SELECT id FROM stock WHERE ticker = 'LFLO'), 'LFLO') ON CONFLICT DO NOTHING;</v>
      </c>
    </row>
    <row r="2108" spans="1:6" x14ac:dyDescent="0.2">
      <c r="A2108" t="s">
        <v>1930</v>
      </c>
      <c r="B2108" t="s">
        <v>1931</v>
      </c>
      <c r="C2108" t="s">
        <v>6454</v>
      </c>
      <c r="D2108" t="str">
        <f>TRIM(alias[[#This Row],[Column3]])</f>
        <v>Imago Mulia Persada</v>
      </c>
      <c r="F2108" t="str">
        <f t="shared" si="32"/>
        <v>INSERT INTO stock_alias (stock, alias) VALUES ((SELECT id FROM stock WHERE ticker = 'LFLO'), 'Imago Mulia Persada') ON CONFLICT DO NOTHING;</v>
      </c>
    </row>
    <row r="2109" spans="1:6" x14ac:dyDescent="0.2">
      <c r="A2109" t="s">
        <v>1930</v>
      </c>
      <c r="B2109" t="s">
        <v>1931</v>
      </c>
      <c r="C2109" t="s">
        <v>6455</v>
      </c>
      <c r="D2109" t="str">
        <f>TRIM(alias[[#This Row],[Column3]])</f>
        <v>Imago Mulia Persada Tbk</v>
      </c>
      <c r="F2109" t="str">
        <f t="shared" si="32"/>
        <v>INSERT INTO stock_alias (stock, alias) VALUES ((SELECT id FROM stock WHERE ticker = 'LFLO'), 'Imago Mulia Persada Tbk') ON CONFLICT DO NOTHING;</v>
      </c>
    </row>
    <row r="2110" spans="1:6" x14ac:dyDescent="0.2">
      <c r="A2110" t="s">
        <v>1930</v>
      </c>
      <c r="B2110" t="s">
        <v>1931</v>
      </c>
      <c r="C2110" t="s">
        <v>6456</v>
      </c>
      <c r="D2110" t="str">
        <f>TRIM(alias[[#This Row],[Column3]])</f>
        <v>PT Imago Mulia Persada</v>
      </c>
      <c r="F2110" t="str">
        <f t="shared" si="32"/>
        <v>INSERT INTO stock_alias (stock, alias) VALUES ((SELECT id FROM stock WHERE ticker = 'LFLO'), 'PT Imago Mulia Persada') ON CONFLICT DO NOTHING;</v>
      </c>
    </row>
    <row r="2111" spans="1:6" x14ac:dyDescent="0.2">
      <c r="A2111" t="s">
        <v>1710</v>
      </c>
      <c r="B2111" t="s">
        <v>3608</v>
      </c>
      <c r="C2111" t="s">
        <v>1710</v>
      </c>
      <c r="D2111" t="str">
        <f>TRIM(alias[[#This Row],[Column3]])</f>
        <v>LIFE</v>
      </c>
      <c r="F2111" t="str">
        <f t="shared" si="32"/>
        <v>INSERT INTO stock_alias (stock, alias) VALUES ((SELECT id FROM stock WHERE ticker = 'LIFE'), 'LIFE') ON CONFLICT DO NOTHING;</v>
      </c>
    </row>
    <row r="2112" spans="1:6" x14ac:dyDescent="0.2">
      <c r="A2112" t="s">
        <v>1710</v>
      </c>
      <c r="B2112" t="s">
        <v>3608</v>
      </c>
      <c r="C2112" t="s">
        <v>6457</v>
      </c>
      <c r="D2112" t="str">
        <f>TRIM(alias[[#This Row],[Column3]])</f>
        <v>Asuransi Jiwa Sinarmas MSIG</v>
      </c>
      <c r="F2112" t="str">
        <f t="shared" si="32"/>
        <v>INSERT INTO stock_alias (stock, alias) VALUES ((SELECT id FROM stock WHERE ticker = 'LIFE'), 'Asuransi Jiwa Sinarmas MSIG') ON CONFLICT DO NOTHING;</v>
      </c>
    </row>
    <row r="2113" spans="1:6" x14ac:dyDescent="0.2">
      <c r="A2113" t="s">
        <v>1710</v>
      </c>
      <c r="B2113" t="s">
        <v>3608</v>
      </c>
      <c r="C2113" t="s">
        <v>6458</v>
      </c>
      <c r="D2113" t="str">
        <f>TRIM(alias[[#This Row],[Column3]])</f>
        <v>Asuransi Jiwa Sinarmas MSIG Tbk</v>
      </c>
      <c r="F2113" t="str">
        <f t="shared" si="32"/>
        <v>INSERT INTO stock_alias (stock, alias) VALUES ((SELECT id FROM stock WHERE ticker = 'LIFE'), 'Asuransi Jiwa Sinarmas MSIG Tbk') ON CONFLICT DO NOTHING;</v>
      </c>
    </row>
    <row r="2114" spans="1:6" x14ac:dyDescent="0.2">
      <c r="A2114" t="s">
        <v>1710</v>
      </c>
      <c r="B2114" t="s">
        <v>3608</v>
      </c>
      <c r="C2114" t="s">
        <v>6459</v>
      </c>
      <c r="D2114" t="str">
        <f>TRIM(alias[[#This Row],[Column3]])</f>
        <v>PT Asuransi Jiwa Sinarmas MSIG</v>
      </c>
      <c r="F2114" t="str">
        <f t="shared" si="32"/>
        <v>INSERT INTO stock_alias (stock, alias) VALUES ((SELECT id FROM stock WHERE ticker = 'LIFE'), 'PT Asuransi Jiwa Sinarmas MSIG') ON CONFLICT DO NOTHING;</v>
      </c>
    </row>
    <row r="2115" spans="1:6" x14ac:dyDescent="0.2">
      <c r="A2115" t="s">
        <v>756</v>
      </c>
      <c r="B2115" t="s">
        <v>757</v>
      </c>
      <c r="C2115" t="s">
        <v>756</v>
      </c>
      <c r="D2115" t="str">
        <f>TRIM(alias[[#This Row],[Column3]])</f>
        <v>LINK</v>
      </c>
      <c r="F2115" t="str">
        <f t="shared" ref="F2115:F2178" si="33">_xlfn.CONCAT($F$1, _xlfn.CONCAT($G$1, A2115, "'), '", D2115, "') ON CONFLICT DO NOTHING;"))</f>
        <v>INSERT INTO stock_alias (stock, alias) VALUES ((SELECT id FROM stock WHERE ticker = 'LINK'), 'LINK') ON CONFLICT DO NOTHING;</v>
      </c>
    </row>
    <row r="2116" spans="1:6" x14ac:dyDescent="0.2">
      <c r="A2116" t="s">
        <v>756</v>
      </c>
      <c r="B2116" t="s">
        <v>757</v>
      </c>
      <c r="C2116" t="s">
        <v>6460</v>
      </c>
      <c r="D2116" t="str">
        <f>TRIM(alias[[#This Row],[Column3]])</f>
        <v>Link Net</v>
      </c>
      <c r="F2116" t="str">
        <f t="shared" si="33"/>
        <v>INSERT INTO stock_alias (stock, alias) VALUES ((SELECT id FROM stock WHERE ticker = 'LINK'), 'Link Net') ON CONFLICT DO NOTHING;</v>
      </c>
    </row>
    <row r="2117" spans="1:6" x14ac:dyDescent="0.2">
      <c r="A2117" t="s">
        <v>756</v>
      </c>
      <c r="B2117" t="s">
        <v>757</v>
      </c>
      <c r="C2117" t="s">
        <v>6461</v>
      </c>
      <c r="D2117" t="str">
        <f>TRIM(alias[[#This Row],[Column3]])</f>
        <v>Link Net Tbk</v>
      </c>
      <c r="F2117" t="str">
        <f t="shared" si="33"/>
        <v>INSERT INTO stock_alias (stock, alias) VALUES ((SELECT id FROM stock WHERE ticker = 'LINK'), 'Link Net Tbk') ON CONFLICT DO NOTHING;</v>
      </c>
    </row>
    <row r="2118" spans="1:6" x14ac:dyDescent="0.2">
      <c r="A2118" t="s">
        <v>756</v>
      </c>
      <c r="B2118" t="s">
        <v>757</v>
      </c>
      <c r="C2118" t="s">
        <v>6462</v>
      </c>
      <c r="D2118" t="str">
        <f>TRIM(alias[[#This Row],[Column3]])</f>
        <v>PT Link Net</v>
      </c>
      <c r="F2118" t="str">
        <f t="shared" si="33"/>
        <v>INSERT INTO stock_alias (stock, alias) VALUES ((SELECT id FROM stock WHERE ticker = 'LINK'), 'PT Link Net') ON CONFLICT DO NOTHING;</v>
      </c>
    </row>
    <row r="2119" spans="1:6" x14ac:dyDescent="0.2">
      <c r="A2119" t="s">
        <v>759</v>
      </c>
      <c r="B2119" t="s">
        <v>760</v>
      </c>
      <c r="C2119" t="s">
        <v>759</v>
      </c>
      <c r="D2119" t="str">
        <f>TRIM(alias[[#This Row],[Column3]])</f>
        <v>LION</v>
      </c>
      <c r="F2119" t="str">
        <f t="shared" si="33"/>
        <v>INSERT INTO stock_alias (stock, alias) VALUES ((SELECT id FROM stock WHERE ticker = 'LION'), 'LION') ON CONFLICT DO NOTHING;</v>
      </c>
    </row>
    <row r="2120" spans="1:6" x14ac:dyDescent="0.2">
      <c r="A2120" t="s">
        <v>759</v>
      </c>
      <c r="B2120" t="s">
        <v>760</v>
      </c>
      <c r="C2120" t="s">
        <v>6463</v>
      </c>
      <c r="D2120" t="str">
        <f>TRIM(alias[[#This Row],[Column3]])</f>
        <v>Lion Metal Works</v>
      </c>
      <c r="F2120" t="str">
        <f t="shared" si="33"/>
        <v>INSERT INTO stock_alias (stock, alias) VALUES ((SELECT id FROM stock WHERE ticker = 'LION'), 'Lion Metal Works') ON CONFLICT DO NOTHING;</v>
      </c>
    </row>
    <row r="2121" spans="1:6" x14ac:dyDescent="0.2">
      <c r="A2121" t="s">
        <v>759</v>
      </c>
      <c r="B2121" t="s">
        <v>760</v>
      </c>
      <c r="C2121" t="s">
        <v>6464</v>
      </c>
      <c r="D2121" t="str">
        <f>TRIM(alias[[#This Row],[Column3]])</f>
        <v>Lion Metal Works Tbk</v>
      </c>
      <c r="F2121" t="str">
        <f t="shared" si="33"/>
        <v>INSERT INTO stock_alias (stock, alias) VALUES ((SELECT id FROM stock WHERE ticker = 'LION'), 'Lion Metal Works Tbk') ON CONFLICT DO NOTHING;</v>
      </c>
    </row>
    <row r="2122" spans="1:6" x14ac:dyDescent="0.2">
      <c r="A2122" t="s">
        <v>759</v>
      </c>
      <c r="B2122" t="s">
        <v>760</v>
      </c>
      <c r="C2122" t="s">
        <v>6465</v>
      </c>
      <c r="D2122" t="str">
        <f>TRIM(alias[[#This Row],[Column3]])</f>
        <v>PT Lion Metal Works</v>
      </c>
      <c r="F2122" t="str">
        <f t="shared" si="33"/>
        <v>INSERT INTO stock_alias (stock, alias) VALUES ((SELECT id FROM stock WHERE ticker = 'LION'), 'PT Lion Metal Works') ON CONFLICT DO NOTHING;</v>
      </c>
    </row>
    <row r="2123" spans="1:6" x14ac:dyDescent="0.2">
      <c r="A2123" t="s">
        <v>2438</v>
      </c>
      <c r="B2123" t="s">
        <v>2439</v>
      </c>
      <c r="C2123" t="s">
        <v>2438</v>
      </c>
      <c r="D2123" t="str">
        <f>TRIM(alias[[#This Row],[Column3]])</f>
        <v>LIVE</v>
      </c>
      <c r="F2123" t="str">
        <f t="shared" si="33"/>
        <v>INSERT INTO stock_alias (stock, alias) VALUES ((SELECT id FROM stock WHERE ticker = 'LIVE'), 'LIVE') ON CONFLICT DO NOTHING;</v>
      </c>
    </row>
    <row r="2124" spans="1:6" x14ac:dyDescent="0.2">
      <c r="A2124" t="s">
        <v>2438</v>
      </c>
      <c r="B2124" t="s">
        <v>2439</v>
      </c>
      <c r="C2124" t="s">
        <v>6466</v>
      </c>
      <c r="D2124" t="str">
        <f>TRIM(alias[[#This Row],[Column3]])</f>
        <v>Homeco Victoria Makmur</v>
      </c>
      <c r="F2124" t="str">
        <f t="shared" si="33"/>
        <v>INSERT INTO stock_alias (stock, alias) VALUES ((SELECT id FROM stock WHERE ticker = 'LIVE'), 'Homeco Victoria Makmur') ON CONFLICT DO NOTHING;</v>
      </c>
    </row>
    <row r="2125" spans="1:6" x14ac:dyDescent="0.2">
      <c r="A2125" t="s">
        <v>2438</v>
      </c>
      <c r="B2125" t="s">
        <v>2439</v>
      </c>
      <c r="C2125" t="s">
        <v>6467</v>
      </c>
      <c r="D2125" t="str">
        <f>TRIM(alias[[#This Row],[Column3]])</f>
        <v>Homeco Victoria Makmur Tbk</v>
      </c>
      <c r="F2125" t="str">
        <f t="shared" si="33"/>
        <v>INSERT INTO stock_alias (stock, alias) VALUES ((SELECT id FROM stock WHERE ticker = 'LIVE'), 'Homeco Victoria Makmur Tbk') ON CONFLICT DO NOTHING;</v>
      </c>
    </row>
    <row r="2126" spans="1:6" x14ac:dyDescent="0.2">
      <c r="A2126" t="s">
        <v>2438</v>
      </c>
      <c r="B2126" t="s">
        <v>2439</v>
      </c>
      <c r="C2126" t="s">
        <v>6468</v>
      </c>
      <c r="D2126" t="str">
        <f>TRIM(alias[[#This Row],[Column3]])</f>
        <v>PT Homeco Victoria Makmur</v>
      </c>
      <c r="F2126" t="str">
        <f t="shared" si="33"/>
        <v>INSERT INTO stock_alias (stock, alias) VALUES ((SELECT id FROM stock WHERE ticker = 'LIVE'), 'PT Homeco Victoria Makmur') ON CONFLICT DO NOTHING;</v>
      </c>
    </row>
    <row r="2127" spans="1:6" x14ac:dyDescent="0.2">
      <c r="A2127" t="s">
        <v>762</v>
      </c>
      <c r="B2127" t="s">
        <v>3609</v>
      </c>
      <c r="C2127" t="s">
        <v>762</v>
      </c>
      <c r="D2127" t="str">
        <f>TRIM(alias[[#This Row],[Column3]])</f>
        <v>LMAS</v>
      </c>
      <c r="F2127" t="str">
        <f t="shared" si="33"/>
        <v>INSERT INTO stock_alias (stock, alias) VALUES ((SELECT id FROM stock WHERE ticker = 'LMAS'), 'LMAS') ON CONFLICT DO NOTHING;</v>
      </c>
    </row>
    <row r="2128" spans="1:6" x14ac:dyDescent="0.2">
      <c r="A2128" t="s">
        <v>762</v>
      </c>
      <c r="B2128" t="s">
        <v>3609</v>
      </c>
      <c r="C2128" t="s">
        <v>6469</v>
      </c>
      <c r="D2128" t="str">
        <f>TRIM(alias[[#This Row],[Column3]])</f>
        <v>Limas Indonesia Makmur</v>
      </c>
      <c r="F2128" t="str">
        <f t="shared" si="33"/>
        <v>INSERT INTO stock_alias (stock, alias) VALUES ((SELECT id FROM stock WHERE ticker = 'LMAS'), 'Limas Indonesia Makmur') ON CONFLICT DO NOTHING;</v>
      </c>
    </row>
    <row r="2129" spans="1:6" x14ac:dyDescent="0.2">
      <c r="A2129" t="s">
        <v>762</v>
      </c>
      <c r="B2129" t="s">
        <v>3609</v>
      </c>
      <c r="C2129" t="s">
        <v>6470</v>
      </c>
      <c r="D2129" t="str">
        <f>TRIM(alias[[#This Row],[Column3]])</f>
        <v>Limas Indonesia Makmur Tbk</v>
      </c>
      <c r="F2129" t="str">
        <f t="shared" si="33"/>
        <v>INSERT INTO stock_alias (stock, alias) VALUES ((SELECT id FROM stock WHERE ticker = 'LMAS'), 'Limas Indonesia Makmur Tbk') ON CONFLICT DO NOTHING;</v>
      </c>
    </row>
    <row r="2130" spans="1:6" x14ac:dyDescent="0.2">
      <c r="A2130" t="s">
        <v>762</v>
      </c>
      <c r="B2130" t="s">
        <v>3609</v>
      </c>
      <c r="C2130" t="s">
        <v>6471</v>
      </c>
      <c r="D2130" t="str">
        <f>TRIM(alias[[#This Row],[Column3]])</f>
        <v>PT Limas Indonesia Makmur</v>
      </c>
      <c r="F2130" t="str">
        <f t="shared" si="33"/>
        <v>INSERT INTO stock_alias (stock, alias) VALUES ((SELECT id FROM stock WHERE ticker = 'LMAS'), 'PT Limas Indonesia Makmur') ON CONFLICT DO NOTHING;</v>
      </c>
    </row>
    <row r="2131" spans="1:6" x14ac:dyDescent="0.2">
      <c r="A2131" t="s">
        <v>2363</v>
      </c>
      <c r="B2131" t="s">
        <v>3610</v>
      </c>
      <c r="C2131" t="s">
        <v>2363</v>
      </c>
      <c r="D2131" t="str">
        <f>TRIM(alias[[#This Row],[Column3]])</f>
        <v>LMAX</v>
      </c>
      <c r="F2131" t="str">
        <f t="shared" si="33"/>
        <v>INSERT INTO stock_alias (stock, alias) VALUES ((SELECT id FROM stock WHERE ticker = 'LMAX'), 'LMAX') ON CONFLICT DO NOTHING;</v>
      </c>
    </row>
    <row r="2132" spans="1:6" x14ac:dyDescent="0.2">
      <c r="A2132" t="s">
        <v>2363</v>
      </c>
      <c r="B2132" t="s">
        <v>3610</v>
      </c>
      <c r="C2132" t="s">
        <v>6472</v>
      </c>
      <c r="D2132" t="str">
        <f>TRIM(alias[[#This Row],[Column3]])</f>
        <v>Lupromax Pelumas Indonesia</v>
      </c>
      <c r="F2132" t="str">
        <f t="shared" si="33"/>
        <v>INSERT INTO stock_alias (stock, alias) VALUES ((SELECT id FROM stock WHERE ticker = 'LMAX'), 'Lupromax Pelumas Indonesia') ON CONFLICT DO NOTHING;</v>
      </c>
    </row>
    <row r="2133" spans="1:6" x14ac:dyDescent="0.2">
      <c r="A2133" t="s">
        <v>2363</v>
      </c>
      <c r="B2133" t="s">
        <v>3610</v>
      </c>
      <c r="C2133" t="s">
        <v>6473</v>
      </c>
      <c r="D2133" t="str">
        <f>TRIM(alias[[#This Row],[Column3]])</f>
        <v>Lupromax Pelumas Indonesia Tbk</v>
      </c>
      <c r="F2133" t="str">
        <f t="shared" si="33"/>
        <v>INSERT INTO stock_alias (stock, alias) VALUES ((SELECT id FROM stock WHERE ticker = 'LMAX'), 'Lupromax Pelumas Indonesia Tbk') ON CONFLICT DO NOTHING;</v>
      </c>
    </row>
    <row r="2134" spans="1:6" x14ac:dyDescent="0.2">
      <c r="A2134" t="s">
        <v>2363</v>
      </c>
      <c r="B2134" t="s">
        <v>3610</v>
      </c>
      <c r="C2134" t="s">
        <v>6474</v>
      </c>
      <c r="D2134" t="str">
        <f>TRIM(alias[[#This Row],[Column3]])</f>
        <v>PT Lupromax Pelumas Indonesia</v>
      </c>
      <c r="F2134" t="str">
        <f t="shared" si="33"/>
        <v>INSERT INTO stock_alias (stock, alias) VALUES ((SELECT id FROM stock WHERE ticker = 'LMAX'), 'PT Lupromax Pelumas Indonesia') ON CONFLICT DO NOTHING;</v>
      </c>
    </row>
    <row r="2135" spans="1:6" x14ac:dyDescent="0.2">
      <c r="A2135" t="s">
        <v>765</v>
      </c>
      <c r="B2135" t="s">
        <v>766</v>
      </c>
      <c r="C2135" t="s">
        <v>765</v>
      </c>
      <c r="D2135" t="str">
        <f>TRIM(alias[[#This Row],[Column3]])</f>
        <v>LMPI</v>
      </c>
      <c r="F2135" t="str">
        <f t="shared" si="33"/>
        <v>INSERT INTO stock_alias (stock, alias) VALUES ((SELECT id FROM stock WHERE ticker = 'LMPI'), 'LMPI') ON CONFLICT DO NOTHING;</v>
      </c>
    </row>
    <row r="2136" spans="1:6" x14ac:dyDescent="0.2">
      <c r="A2136" t="s">
        <v>765</v>
      </c>
      <c r="B2136" t="s">
        <v>766</v>
      </c>
      <c r="C2136" t="s">
        <v>6475</v>
      </c>
      <c r="D2136" t="str">
        <f>TRIM(alias[[#This Row],[Column3]])</f>
        <v>Langgeng Makmur Industri</v>
      </c>
      <c r="F2136" t="str">
        <f t="shared" si="33"/>
        <v>INSERT INTO stock_alias (stock, alias) VALUES ((SELECT id FROM stock WHERE ticker = 'LMPI'), 'Langgeng Makmur Industri') ON CONFLICT DO NOTHING;</v>
      </c>
    </row>
    <row r="2137" spans="1:6" x14ac:dyDescent="0.2">
      <c r="A2137" t="s">
        <v>765</v>
      </c>
      <c r="B2137" t="s">
        <v>766</v>
      </c>
      <c r="C2137" t="s">
        <v>6476</v>
      </c>
      <c r="D2137" t="str">
        <f>TRIM(alias[[#This Row],[Column3]])</f>
        <v>Langgeng Makmur Industri Tbk</v>
      </c>
      <c r="F2137" t="str">
        <f t="shared" si="33"/>
        <v>INSERT INTO stock_alias (stock, alias) VALUES ((SELECT id FROM stock WHERE ticker = 'LMPI'), 'Langgeng Makmur Industri Tbk') ON CONFLICT DO NOTHING;</v>
      </c>
    </row>
    <row r="2138" spans="1:6" x14ac:dyDescent="0.2">
      <c r="A2138" t="s">
        <v>765</v>
      </c>
      <c r="B2138" t="s">
        <v>766</v>
      </c>
      <c r="C2138" t="s">
        <v>6477</v>
      </c>
      <c r="D2138" t="str">
        <f>TRIM(alias[[#This Row],[Column3]])</f>
        <v>PT Langgeng Makmur Industri</v>
      </c>
      <c r="F2138" t="str">
        <f t="shared" si="33"/>
        <v>INSERT INTO stock_alias (stock, alias) VALUES ((SELECT id FROM stock WHERE ticker = 'LMPI'), 'PT Langgeng Makmur Industri') ON CONFLICT DO NOTHING;</v>
      </c>
    </row>
    <row r="2139" spans="1:6" x14ac:dyDescent="0.2">
      <c r="A2139" t="s">
        <v>768</v>
      </c>
      <c r="B2139" t="s">
        <v>769</v>
      </c>
      <c r="C2139" t="s">
        <v>768</v>
      </c>
      <c r="D2139" t="str">
        <f>TRIM(alias[[#This Row],[Column3]])</f>
        <v>LMSH</v>
      </c>
      <c r="F2139" t="str">
        <f t="shared" si="33"/>
        <v>INSERT INTO stock_alias (stock, alias) VALUES ((SELECT id FROM stock WHERE ticker = 'LMSH'), 'LMSH') ON CONFLICT DO NOTHING;</v>
      </c>
    </row>
    <row r="2140" spans="1:6" x14ac:dyDescent="0.2">
      <c r="A2140" t="s">
        <v>768</v>
      </c>
      <c r="B2140" t="s">
        <v>769</v>
      </c>
      <c r="C2140" t="s">
        <v>6478</v>
      </c>
      <c r="D2140" t="str">
        <f>TRIM(alias[[#This Row],[Column3]])</f>
        <v>Lionmesh Prima</v>
      </c>
      <c r="F2140" t="str">
        <f t="shared" si="33"/>
        <v>INSERT INTO stock_alias (stock, alias) VALUES ((SELECT id FROM stock WHERE ticker = 'LMSH'), 'Lionmesh Prima') ON CONFLICT DO NOTHING;</v>
      </c>
    </row>
    <row r="2141" spans="1:6" x14ac:dyDescent="0.2">
      <c r="A2141" t="s">
        <v>768</v>
      </c>
      <c r="B2141" t="s">
        <v>769</v>
      </c>
      <c r="C2141" t="s">
        <v>6479</v>
      </c>
      <c r="D2141" t="str">
        <f>TRIM(alias[[#This Row],[Column3]])</f>
        <v>Lionmesh Prima Tbk</v>
      </c>
      <c r="F2141" t="str">
        <f t="shared" si="33"/>
        <v>INSERT INTO stock_alias (stock, alias) VALUES ((SELECT id FROM stock WHERE ticker = 'LMSH'), 'Lionmesh Prima Tbk') ON CONFLICT DO NOTHING;</v>
      </c>
    </row>
    <row r="2142" spans="1:6" x14ac:dyDescent="0.2">
      <c r="A2142" t="s">
        <v>768</v>
      </c>
      <c r="B2142" t="s">
        <v>769</v>
      </c>
      <c r="C2142" t="s">
        <v>6480</v>
      </c>
      <c r="D2142" t="str">
        <f>TRIM(alias[[#This Row],[Column3]])</f>
        <v>PT Lionmesh Prima</v>
      </c>
      <c r="F2142" t="str">
        <f t="shared" si="33"/>
        <v>INSERT INTO stock_alias (stock, alias) VALUES ((SELECT id FROM stock WHERE ticker = 'LMSH'), 'PT Lionmesh Prima') ON CONFLICT DO NOTHING;</v>
      </c>
    </row>
    <row r="2143" spans="1:6" x14ac:dyDescent="0.2">
      <c r="A2143" t="s">
        <v>2396</v>
      </c>
      <c r="B2143" t="s">
        <v>3611</v>
      </c>
      <c r="C2143" t="s">
        <v>2396</v>
      </c>
      <c r="D2143" t="str">
        <f>TRIM(alias[[#This Row],[Column3]])</f>
        <v>LOPI</v>
      </c>
      <c r="F2143" t="str">
        <f t="shared" si="33"/>
        <v>INSERT INTO stock_alias (stock, alias) VALUES ((SELECT id FROM stock WHERE ticker = 'LOPI'), 'LOPI') ON CONFLICT DO NOTHING;</v>
      </c>
    </row>
    <row r="2144" spans="1:6" x14ac:dyDescent="0.2">
      <c r="A2144" t="s">
        <v>2396</v>
      </c>
      <c r="B2144" t="s">
        <v>3611</v>
      </c>
      <c r="C2144" t="s">
        <v>6481</v>
      </c>
      <c r="D2144" t="str">
        <f>TRIM(alias[[#This Row],[Column3]])</f>
        <v>Logisticsplus International</v>
      </c>
      <c r="F2144" t="str">
        <f t="shared" si="33"/>
        <v>INSERT INTO stock_alias (stock, alias) VALUES ((SELECT id FROM stock WHERE ticker = 'LOPI'), 'Logisticsplus International') ON CONFLICT DO NOTHING;</v>
      </c>
    </row>
    <row r="2145" spans="1:6" x14ac:dyDescent="0.2">
      <c r="A2145" t="s">
        <v>2396</v>
      </c>
      <c r="B2145" t="s">
        <v>3611</v>
      </c>
      <c r="C2145" t="s">
        <v>6482</v>
      </c>
      <c r="D2145" t="str">
        <f>TRIM(alias[[#This Row],[Column3]])</f>
        <v>Logisticsplus International Tbk</v>
      </c>
      <c r="F2145" t="str">
        <f t="shared" si="33"/>
        <v>INSERT INTO stock_alias (stock, alias) VALUES ((SELECT id FROM stock WHERE ticker = 'LOPI'), 'Logisticsplus International Tbk') ON CONFLICT DO NOTHING;</v>
      </c>
    </row>
    <row r="2146" spans="1:6" x14ac:dyDescent="0.2">
      <c r="A2146" t="s">
        <v>2396</v>
      </c>
      <c r="B2146" t="s">
        <v>3611</v>
      </c>
      <c r="C2146" t="s">
        <v>6483</v>
      </c>
      <c r="D2146" t="str">
        <f>TRIM(alias[[#This Row],[Column3]])</f>
        <v>PT Logisticsplus International</v>
      </c>
      <c r="F2146" t="str">
        <f t="shared" si="33"/>
        <v>INSERT INTO stock_alias (stock, alias) VALUES ((SELECT id FROM stock WHERE ticker = 'LOPI'), 'PT Logisticsplus International') ON CONFLICT DO NOTHING;</v>
      </c>
    </row>
    <row r="2147" spans="1:6" x14ac:dyDescent="0.2">
      <c r="A2147" t="s">
        <v>771</v>
      </c>
      <c r="B2147" t="s">
        <v>3612</v>
      </c>
      <c r="C2147" t="s">
        <v>771</v>
      </c>
      <c r="D2147" t="str">
        <f>TRIM(alias[[#This Row],[Column3]])</f>
        <v>LPCK</v>
      </c>
      <c r="F2147" t="str">
        <f t="shared" si="33"/>
        <v>INSERT INTO stock_alias (stock, alias) VALUES ((SELECT id FROM stock WHERE ticker = 'LPCK'), 'LPCK') ON CONFLICT DO NOTHING;</v>
      </c>
    </row>
    <row r="2148" spans="1:6" x14ac:dyDescent="0.2">
      <c r="A2148" t="s">
        <v>771</v>
      </c>
      <c r="B2148" t="s">
        <v>3612</v>
      </c>
      <c r="C2148" t="s">
        <v>6484</v>
      </c>
      <c r="D2148" t="str">
        <f>TRIM(alias[[#This Row],[Column3]])</f>
        <v>Lippo Cikarang</v>
      </c>
      <c r="F2148" t="str">
        <f t="shared" si="33"/>
        <v>INSERT INTO stock_alias (stock, alias) VALUES ((SELECT id FROM stock WHERE ticker = 'LPCK'), 'Lippo Cikarang') ON CONFLICT DO NOTHING;</v>
      </c>
    </row>
    <row r="2149" spans="1:6" x14ac:dyDescent="0.2">
      <c r="A2149" t="s">
        <v>771</v>
      </c>
      <c r="B2149" t="s">
        <v>3612</v>
      </c>
      <c r="C2149" t="s">
        <v>6485</v>
      </c>
      <c r="D2149" t="str">
        <f>TRIM(alias[[#This Row],[Column3]])</f>
        <v>Lippo Cikarang Tbk</v>
      </c>
      <c r="F2149" t="str">
        <f t="shared" si="33"/>
        <v>INSERT INTO stock_alias (stock, alias) VALUES ((SELECT id FROM stock WHERE ticker = 'LPCK'), 'Lippo Cikarang Tbk') ON CONFLICT DO NOTHING;</v>
      </c>
    </row>
    <row r="2150" spans="1:6" x14ac:dyDescent="0.2">
      <c r="A2150" t="s">
        <v>771</v>
      </c>
      <c r="B2150" t="s">
        <v>3612</v>
      </c>
      <c r="C2150" t="s">
        <v>6486</v>
      </c>
      <c r="D2150" t="str">
        <f>TRIM(alias[[#This Row],[Column3]])</f>
        <v>PT Lippo Cikarang</v>
      </c>
      <c r="F2150" t="str">
        <f t="shared" si="33"/>
        <v>INSERT INTO stock_alias (stock, alias) VALUES ((SELECT id FROM stock WHERE ticker = 'LPCK'), 'PT Lippo Cikarang') ON CONFLICT DO NOTHING;</v>
      </c>
    </row>
    <row r="2151" spans="1:6" x14ac:dyDescent="0.2">
      <c r="A2151" t="s">
        <v>774</v>
      </c>
      <c r="B2151" t="s">
        <v>775</v>
      </c>
      <c r="C2151" t="s">
        <v>774</v>
      </c>
      <c r="D2151" t="str">
        <f>TRIM(alias[[#This Row],[Column3]])</f>
        <v>LPGI</v>
      </c>
      <c r="F2151" t="str">
        <f t="shared" si="33"/>
        <v>INSERT INTO stock_alias (stock, alias) VALUES ((SELECT id FROM stock WHERE ticker = 'LPGI'), 'LPGI') ON CONFLICT DO NOTHING;</v>
      </c>
    </row>
    <row r="2152" spans="1:6" x14ac:dyDescent="0.2">
      <c r="A2152" t="s">
        <v>774</v>
      </c>
      <c r="B2152" t="s">
        <v>775</v>
      </c>
      <c r="C2152" t="s">
        <v>6487</v>
      </c>
      <c r="D2152" t="str">
        <f>TRIM(alias[[#This Row],[Column3]])</f>
        <v>Lippo General Insurance</v>
      </c>
      <c r="F2152" t="str">
        <f t="shared" si="33"/>
        <v>INSERT INTO stock_alias (stock, alias) VALUES ((SELECT id FROM stock WHERE ticker = 'LPGI'), 'Lippo General Insurance') ON CONFLICT DO NOTHING;</v>
      </c>
    </row>
    <row r="2153" spans="1:6" x14ac:dyDescent="0.2">
      <c r="A2153" t="s">
        <v>774</v>
      </c>
      <c r="B2153" t="s">
        <v>775</v>
      </c>
      <c r="C2153" t="s">
        <v>6488</v>
      </c>
      <c r="D2153" t="str">
        <f>TRIM(alias[[#This Row],[Column3]])</f>
        <v>Lippo General Insurance Tbk</v>
      </c>
      <c r="F2153" t="str">
        <f t="shared" si="33"/>
        <v>INSERT INTO stock_alias (stock, alias) VALUES ((SELECT id FROM stock WHERE ticker = 'LPGI'), 'Lippo General Insurance Tbk') ON CONFLICT DO NOTHING;</v>
      </c>
    </row>
    <row r="2154" spans="1:6" x14ac:dyDescent="0.2">
      <c r="A2154" t="s">
        <v>774</v>
      </c>
      <c r="B2154" t="s">
        <v>775</v>
      </c>
      <c r="C2154" t="s">
        <v>6489</v>
      </c>
      <c r="D2154" t="str">
        <f>TRIM(alias[[#This Row],[Column3]])</f>
        <v>PT Lippo General Insurance</v>
      </c>
      <c r="F2154" t="str">
        <f t="shared" si="33"/>
        <v>INSERT INTO stock_alias (stock, alias) VALUES ((SELECT id FROM stock WHERE ticker = 'LPGI'), 'PT Lippo General Insurance') ON CONFLICT DO NOTHING;</v>
      </c>
    </row>
    <row r="2155" spans="1:6" x14ac:dyDescent="0.2">
      <c r="A2155" t="s">
        <v>776</v>
      </c>
      <c r="B2155" t="s">
        <v>3613</v>
      </c>
      <c r="C2155" t="s">
        <v>776</v>
      </c>
      <c r="D2155" t="str">
        <f>TRIM(alias[[#This Row],[Column3]])</f>
        <v>LPIN</v>
      </c>
      <c r="F2155" t="str">
        <f t="shared" si="33"/>
        <v>INSERT INTO stock_alias (stock, alias) VALUES ((SELECT id FROM stock WHERE ticker = 'LPIN'), 'LPIN') ON CONFLICT DO NOTHING;</v>
      </c>
    </row>
    <row r="2156" spans="1:6" x14ac:dyDescent="0.2">
      <c r="A2156" t="s">
        <v>776</v>
      </c>
      <c r="B2156" t="s">
        <v>3613</v>
      </c>
      <c r="C2156" t="s">
        <v>6490</v>
      </c>
      <c r="D2156" t="str">
        <f>TRIM(alias[[#This Row],[Column3]])</f>
        <v>Multi Prima Sejahtera</v>
      </c>
      <c r="F2156" t="str">
        <f t="shared" si="33"/>
        <v>INSERT INTO stock_alias (stock, alias) VALUES ((SELECT id FROM stock WHERE ticker = 'LPIN'), 'Multi Prima Sejahtera') ON CONFLICT DO NOTHING;</v>
      </c>
    </row>
    <row r="2157" spans="1:6" x14ac:dyDescent="0.2">
      <c r="A2157" t="s">
        <v>776</v>
      </c>
      <c r="B2157" t="s">
        <v>3613</v>
      </c>
      <c r="C2157" t="s">
        <v>6491</v>
      </c>
      <c r="D2157" t="str">
        <f>TRIM(alias[[#This Row],[Column3]])</f>
        <v>Multi Prima Sejahtera Tbk</v>
      </c>
      <c r="F2157" t="str">
        <f t="shared" si="33"/>
        <v>INSERT INTO stock_alias (stock, alias) VALUES ((SELECT id FROM stock WHERE ticker = 'LPIN'), 'Multi Prima Sejahtera Tbk') ON CONFLICT DO NOTHING;</v>
      </c>
    </row>
    <row r="2158" spans="1:6" x14ac:dyDescent="0.2">
      <c r="A2158" t="s">
        <v>776</v>
      </c>
      <c r="B2158" t="s">
        <v>3613</v>
      </c>
      <c r="C2158" t="s">
        <v>6492</v>
      </c>
      <c r="D2158" t="str">
        <f>TRIM(alias[[#This Row],[Column3]])</f>
        <v>PT Multi Prima Sejahtera</v>
      </c>
      <c r="F2158" t="str">
        <f t="shared" si="33"/>
        <v>INSERT INTO stock_alias (stock, alias) VALUES ((SELECT id FROM stock WHERE ticker = 'LPIN'), 'PT Multi Prima Sejahtera') ON CONFLICT DO NOTHING;</v>
      </c>
    </row>
    <row r="2159" spans="1:6" x14ac:dyDescent="0.2">
      <c r="A2159" t="s">
        <v>779</v>
      </c>
      <c r="B2159" t="s">
        <v>780</v>
      </c>
      <c r="C2159" t="s">
        <v>779</v>
      </c>
      <c r="D2159" t="str">
        <f>TRIM(alias[[#This Row],[Column3]])</f>
        <v>LPKR</v>
      </c>
      <c r="F2159" t="str">
        <f t="shared" si="33"/>
        <v>INSERT INTO stock_alias (stock, alias) VALUES ((SELECT id FROM stock WHERE ticker = 'LPKR'), 'LPKR') ON CONFLICT DO NOTHING;</v>
      </c>
    </row>
    <row r="2160" spans="1:6" x14ac:dyDescent="0.2">
      <c r="A2160" t="s">
        <v>779</v>
      </c>
      <c r="B2160" t="s">
        <v>780</v>
      </c>
      <c r="C2160" t="s">
        <v>6493</v>
      </c>
      <c r="D2160" t="str">
        <f>TRIM(alias[[#This Row],[Column3]])</f>
        <v>Lippo Karawaci</v>
      </c>
      <c r="F2160" t="str">
        <f t="shared" si="33"/>
        <v>INSERT INTO stock_alias (stock, alias) VALUES ((SELECT id FROM stock WHERE ticker = 'LPKR'), 'Lippo Karawaci') ON CONFLICT DO NOTHING;</v>
      </c>
    </row>
    <row r="2161" spans="1:6" x14ac:dyDescent="0.2">
      <c r="A2161" t="s">
        <v>779</v>
      </c>
      <c r="B2161" t="s">
        <v>780</v>
      </c>
      <c r="C2161" t="s">
        <v>6494</v>
      </c>
      <c r="D2161" t="str">
        <f>TRIM(alias[[#This Row],[Column3]])</f>
        <v>Lippo Karawaci Tbk</v>
      </c>
      <c r="F2161" t="str">
        <f t="shared" si="33"/>
        <v>INSERT INTO stock_alias (stock, alias) VALUES ((SELECT id FROM stock WHERE ticker = 'LPKR'), 'Lippo Karawaci Tbk') ON CONFLICT DO NOTHING;</v>
      </c>
    </row>
    <row r="2162" spans="1:6" x14ac:dyDescent="0.2">
      <c r="A2162" t="s">
        <v>779</v>
      </c>
      <c r="B2162" t="s">
        <v>780</v>
      </c>
      <c r="C2162" t="s">
        <v>6495</v>
      </c>
      <c r="D2162" t="str">
        <f>TRIM(alias[[#This Row],[Column3]])</f>
        <v>PT Lippo Karawaci</v>
      </c>
      <c r="F2162" t="str">
        <f t="shared" si="33"/>
        <v>INSERT INTO stock_alias (stock, alias) VALUES ((SELECT id FROM stock WHERE ticker = 'LPKR'), 'PT Lippo Karawaci') ON CONFLICT DO NOTHING;</v>
      </c>
    </row>
    <row r="2163" spans="1:6" x14ac:dyDescent="0.2">
      <c r="A2163" t="s">
        <v>782</v>
      </c>
      <c r="B2163" t="s">
        <v>3614</v>
      </c>
      <c r="C2163" t="s">
        <v>782</v>
      </c>
      <c r="D2163" t="str">
        <f>TRIM(alias[[#This Row],[Column3]])</f>
        <v>LPLI</v>
      </c>
      <c r="F2163" t="str">
        <f t="shared" si="33"/>
        <v>INSERT INTO stock_alias (stock, alias) VALUES ((SELECT id FROM stock WHERE ticker = 'LPLI'), 'LPLI') ON CONFLICT DO NOTHING;</v>
      </c>
    </row>
    <row r="2164" spans="1:6" x14ac:dyDescent="0.2">
      <c r="A2164" t="s">
        <v>782</v>
      </c>
      <c r="B2164" t="s">
        <v>3614</v>
      </c>
      <c r="C2164" t="s">
        <v>6496</v>
      </c>
      <c r="D2164" t="str">
        <f>TRIM(alias[[#This Row],[Column3]])</f>
        <v>PT Star Pacific</v>
      </c>
      <c r="F2164" t="str">
        <f t="shared" si="33"/>
        <v>INSERT INTO stock_alias (stock, alias) VALUES ((SELECT id FROM stock WHERE ticker = 'LPLI'), 'PT Star Pacific') ON CONFLICT DO NOTHING;</v>
      </c>
    </row>
    <row r="2165" spans="1:6" x14ac:dyDescent="0.2">
      <c r="A2165" t="s">
        <v>782</v>
      </c>
      <c r="B2165" t="s">
        <v>3614</v>
      </c>
      <c r="C2165" t="s">
        <v>6497</v>
      </c>
      <c r="D2165" t="str">
        <f>TRIM(alias[[#This Row],[Column3]])</f>
        <v>Star Pacific</v>
      </c>
      <c r="F2165" t="str">
        <f t="shared" si="33"/>
        <v>INSERT INTO stock_alias (stock, alias) VALUES ((SELECT id FROM stock WHERE ticker = 'LPLI'), 'Star Pacific') ON CONFLICT DO NOTHING;</v>
      </c>
    </row>
    <row r="2166" spans="1:6" x14ac:dyDescent="0.2">
      <c r="A2166" t="s">
        <v>782</v>
      </c>
      <c r="B2166" t="s">
        <v>3614</v>
      </c>
      <c r="C2166" t="s">
        <v>6498</v>
      </c>
      <c r="D2166" t="str">
        <f>TRIM(alias[[#This Row],[Column3]])</f>
        <v>Star Pacific Tbk</v>
      </c>
      <c r="F2166" t="str">
        <f t="shared" si="33"/>
        <v>INSERT INTO stock_alias (stock, alias) VALUES ((SELECT id FROM stock WHERE ticker = 'LPLI'), 'Star Pacific Tbk') ON CONFLICT DO NOTHING;</v>
      </c>
    </row>
    <row r="2167" spans="1:6" x14ac:dyDescent="0.2">
      <c r="A2167" t="s">
        <v>785</v>
      </c>
      <c r="B2167" t="s">
        <v>786</v>
      </c>
      <c r="C2167" t="s">
        <v>785</v>
      </c>
      <c r="D2167" t="str">
        <f>TRIM(alias[[#This Row],[Column3]])</f>
        <v>LPPF</v>
      </c>
      <c r="F2167" t="str">
        <f t="shared" si="33"/>
        <v>INSERT INTO stock_alias (stock, alias) VALUES ((SELECT id FROM stock WHERE ticker = 'LPPF'), 'LPPF') ON CONFLICT DO NOTHING;</v>
      </c>
    </row>
    <row r="2168" spans="1:6" x14ac:dyDescent="0.2">
      <c r="A2168" t="s">
        <v>785</v>
      </c>
      <c r="B2168" t="s">
        <v>786</v>
      </c>
      <c r="C2168" t="s">
        <v>6499</v>
      </c>
      <c r="D2168" t="str">
        <f>TRIM(alias[[#This Row],[Column3]])</f>
        <v>Matahari Department Store</v>
      </c>
      <c r="F2168" t="str">
        <f t="shared" si="33"/>
        <v>INSERT INTO stock_alias (stock, alias) VALUES ((SELECT id FROM stock WHERE ticker = 'LPPF'), 'Matahari Department Store') ON CONFLICT DO NOTHING;</v>
      </c>
    </row>
    <row r="2169" spans="1:6" x14ac:dyDescent="0.2">
      <c r="A2169" t="s">
        <v>785</v>
      </c>
      <c r="B2169" t="s">
        <v>786</v>
      </c>
      <c r="C2169" t="s">
        <v>6500</v>
      </c>
      <c r="D2169" t="str">
        <f>TRIM(alias[[#This Row],[Column3]])</f>
        <v>Matahari Department Store Tbk</v>
      </c>
      <c r="F2169" t="str">
        <f t="shared" si="33"/>
        <v>INSERT INTO stock_alias (stock, alias) VALUES ((SELECT id FROM stock WHERE ticker = 'LPPF'), 'Matahari Department Store Tbk') ON CONFLICT DO NOTHING;</v>
      </c>
    </row>
    <row r="2170" spans="1:6" x14ac:dyDescent="0.2">
      <c r="A2170" t="s">
        <v>785</v>
      </c>
      <c r="B2170" t="s">
        <v>786</v>
      </c>
      <c r="C2170" t="s">
        <v>6501</v>
      </c>
      <c r="D2170" t="str">
        <f>TRIM(alias[[#This Row],[Column3]])</f>
        <v>PT Matahari Department Store</v>
      </c>
      <c r="F2170" t="str">
        <f t="shared" si="33"/>
        <v>INSERT INTO stock_alias (stock, alias) VALUES ((SELECT id FROM stock WHERE ticker = 'LPPF'), 'PT Matahari Department Store') ON CONFLICT DO NOTHING;</v>
      </c>
    </row>
    <row r="2171" spans="1:6" x14ac:dyDescent="0.2">
      <c r="A2171" t="s">
        <v>788</v>
      </c>
      <c r="B2171" t="s">
        <v>789</v>
      </c>
      <c r="C2171" t="s">
        <v>788</v>
      </c>
      <c r="D2171" t="str">
        <f>TRIM(alias[[#This Row],[Column3]])</f>
        <v>LPPS</v>
      </c>
      <c r="F2171" t="str">
        <f t="shared" si="33"/>
        <v>INSERT INTO stock_alias (stock, alias) VALUES ((SELECT id FROM stock WHERE ticker = 'LPPS'), 'LPPS') ON CONFLICT DO NOTHING;</v>
      </c>
    </row>
    <row r="2172" spans="1:6" x14ac:dyDescent="0.2">
      <c r="A2172" t="s">
        <v>788</v>
      </c>
      <c r="B2172" t="s">
        <v>789</v>
      </c>
      <c r="C2172" t="s">
        <v>6502</v>
      </c>
      <c r="D2172" t="str">
        <f>TRIM(alias[[#This Row],[Column3]])</f>
        <v>Lenox Pasifik Investama</v>
      </c>
      <c r="F2172" t="str">
        <f t="shared" si="33"/>
        <v>INSERT INTO stock_alias (stock, alias) VALUES ((SELECT id FROM stock WHERE ticker = 'LPPS'), 'Lenox Pasifik Investama') ON CONFLICT DO NOTHING;</v>
      </c>
    </row>
    <row r="2173" spans="1:6" x14ac:dyDescent="0.2">
      <c r="A2173" t="s">
        <v>788</v>
      </c>
      <c r="B2173" t="s">
        <v>789</v>
      </c>
      <c r="C2173" t="s">
        <v>6503</v>
      </c>
      <c r="D2173" t="str">
        <f>TRIM(alias[[#This Row],[Column3]])</f>
        <v>Lenox Pasifik Investama Tbk</v>
      </c>
      <c r="F2173" t="str">
        <f t="shared" si="33"/>
        <v>INSERT INTO stock_alias (stock, alias) VALUES ((SELECT id FROM stock WHERE ticker = 'LPPS'), 'Lenox Pasifik Investama Tbk') ON CONFLICT DO NOTHING;</v>
      </c>
    </row>
    <row r="2174" spans="1:6" x14ac:dyDescent="0.2">
      <c r="A2174" t="s">
        <v>788</v>
      </c>
      <c r="B2174" t="s">
        <v>789</v>
      </c>
      <c r="C2174" t="s">
        <v>6504</v>
      </c>
      <c r="D2174" t="str">
        <f>TRIM(alias[[#This Row],[Column3]])</f>
        <v>PT Lenox Pasifik Investama</v>
      </c>
      <c r="F2174" t="str">
        <f t="shared" si="33"/>
        <v>INSERT INTO stock_alias (stock, alias) VALUES ((SELECT id FROM stock WHERE ticker = 'LPPS'), 'PT Lenox Pasifik Investama') ON CONFLICT DO NOTHING;</v>
      </c>
    </row>
    <row r="2175" spans="1:6" x14ac:dyDescent="0.2">
      <c r="A2175" t="s">
        <v>791</v>
      </c>
      <c r="B2175" t="s">
        <v>792</v>
      </c>
      <c r="C2175" t="s">
        <v>791</v>
      </c>
      <c r="D2175" t="str">
        <f>TRIM(alias[[#This Row],[Column3]])</f>
        <v>LRNA</v>
      </c>
      <c r="F2175" t="str">
        <f t="shared" si="33"/>
        <v>INSERT INTO stock_alias (stock, alias) VALUES ((SELECT id FROM stock WHERE ticker = 'LRNA'), 'LRNA') ON CONFLICT DO NOTHING;</v>
      </c>
    </row>
    <row r="2176" spans="1:6" x14ac:dyDescent="0.2">
      <c r="A2176" t="s">
        <v>791</v>
      </c>
      <c r="B2176" t="s">
        <v>792</v>
      </c>
      <c r="C2176" t="s">
        <v>6505</v>
      </c>
      <c r="D2176" t="str">
        <f>TRIM(alias[[#This Row],[Column3]])</f>
        <v>Eka Sari Lorena Transport</v>
      </c>
      <c r="F2176" t="str">
        <f t="shared" si="33"/>
        <v>INSERT INTO stock_alias (stock, alias) VALUES ((SELECT id FROM stock WHERE ticker = 'LRNA'), 'Eka Sari Lorena Transport') ON CONFLICT DO NOTHING;</v>
      </c>
    </row>
    <row r="2177" spans="1:6" x14ac:dyDescent="0.2">
      <c r="A2177" t="s">
        <v>791</v>
      </c>
      <c r="B2177" t="s">
        <v>792</v>
      </c>
      <c r="C2177" t="s">
        <v>6506</v>
      </c>
      <c r="D2177" t="str">
        <f>TRIM(alias[[#This Row],[Column3]])</f>
        <v>Eka Sari Lorena Transport Tbk</v>
      </c>
      <c r="F2177" t="str">
        <f t="shared" si="33"/>
        <v>INSERT INTO stock_alias (stock, alias) VALUES ((SELECT id FROM stock WHERE ticker = 'LRNA'), 'Eka Sari Lorena Transport Tbk') ON CONFLICT DO NOTHING;</v>
      </c>
    </row>
    <row r="2178" spans="1:6" x14ac:dyDescent="0.2">
      <c r="A2178" t="s">
        <v>791</v>
      </c>
      <c r="B2178" t="s">
        <v>792</v>
      </c>
      <c r="C2178" t="s">
        <v>6507</v>
      </c>
      <c r="D2178" t="str">
        <f>TRIM(alias[[#This Row],[Column3]])</f>
        <v>PT Eka Sari Lorena Transport</v>
      </c>
      <c r="F2178" t="str">
        <f t="shared" si="33"/>
        <v>INSERT INTO stock_alias (stock, alias) VALUES ((SELECT id FROM stock WHERE ticker = 'LRNA'), 'PT Eka Sari Lorena Transport') ON CONFLICT DO NOTHING;</v>
      </c>
    </row>
    <row r="2179" spans="1:6" x14ac:dyDescent="0.2">
      <c r="A2179" t="s">
        <v>794</v>
      </c>
      <c r="B2179" t="s">
        <v>3615</v>
      </c>
      <c r="C2179" t="s">
        <v>794</v>
      </c>
      <c r="D2179" t="str">
        <f>TRIM(alias[[#This Row],[Column3]])</f>
        <v>LSIP</v>
      </c>
      <c r="F2179" t="str">
        <f t="shared" ref="F2179:F2242" si="34">_xlfn.CONCAT($F$1, _xlfn.CONCAT($G$1, A2179, "'), '", D2179, "') ON CONFLICT DO NOTHING;"))</f>
        <v>INSERT INTO stock_alias (stock, alias) VALUES ((SELECT id FROM stock WHERE ticker = 'LSIP'), 'LSIP') ON CONFLICT DO NOTHING;</v>
      </c>
    </row>
    <row r="2180" spans="1:6" x14ac:dyDescent="0.2">
      <c r="A2180" t="s">
        <v>794</v>
      </c>
      <c r="B2180" t="s">
        <v>3615</v>
      </c>
      <c r="C2180" t="s">
        <v>6508</v>
      </c>
      <c r="D2180" t="str">
        <f>TRIM(alias[[#This Row],[Column3]])</f>
        <v>PP London Sumatra Indonesia</v>
      </c>
      <c r="F2180" t="str">
        <f t="shared" si="34"/>
        <v>INSERT INTO stock_alias (stock, alias) VALUES ((SELECT id FROM stock WHERE ticker = 'LSIP'), 'PP London Sumatra Indonesia') ON CONFLICT DO NOTHING;</v>
      </c>
    </row>
    <row r="2181" spans="1:6" x14ac:dyDescent="0.2">
      <c r="A2181" t="s">
        <v>794</v>
      </c>
      <c r="B2181" t="s">
        <v>3615</v>
      </c>
      <c r="C2181" t="s">
        <v>6509</v>
      </c>
      <c r="D2181" t="str">
        <f>TRIM(alias[[#This Row],[Column3]])</f>
        <v>PP London Sumatra Indonesia Tbk</v>
      </c>
      <c r="F2181" t="str">
        <f t="shared" si="34"/>
        <v>INSERT INTO stock_alias (stock, alias) VALUES ((SELECT id FROM stock WHERE ticker = 'LSIP'), 'PP London Sumatra Indonesia Tbk') ON CONFLICT DO NOTHING;</v>
      </c>
    </row>
    <row r="2182" spans="1:6" x14ac:dyDescent="0.2">
      <c r="A2182" t="s">
        <v>794</v>
      </c>
      <c r="B2182" t="s">
        <v>3615</v>
      </c>
      <c r="C2182" t="s">
        <v>6510</v>
      </c>
      <c r="D2182" t="str">
        <f>TRIM(alias[[#This Row],[Column3]])</f>
        <v>PT PP London Sumatra Indonesia</v>
      </c>
      <c r="F2182" t="str">
        <f t="shared" si="34"/>
        <v>INSERT INTO stock_alias (stock, alias) VALUES ((SELECT id FROM stock WHERE ticker = 'LSIP'), 'PT PP London Sumatra Indonesia') ON CONFLICT DO NOTHING;</v>
      </c>
    </row>
    <row r="2183" spans="1:6" x14ac:dyDescent="0.2">
      <c r="A2183" t="s">
        <v>796</v>
      </c>
      <c r="B2183" t="s">
        <v>797</v>
      </c>
      <c r="C2183" t="s">
        <v>796</v>
      </c>
      <c r="D2183" t="str">
        <f>TRIM(alias[[#This Row],[Column3]])</f>
        <v>LTLS</v>
      </c>
      <c r="F2183" t="str">
        <f t="shared" si="34"/>
        <v>INSERT INTO stock_alias (stock, alias) VALUES ((SELECT id FROM stock WHERE ticker = 'LTLS'), 'LTLS') ON CONFLICT DO NOTHING;</v>
      </c>
    </row>
    <row r="2184" spans="1:6" x14ac:dyDescent="0.2">
      <c r="A2184" t="s">
        <v>796</v>
      </c>
      <c r="B2184" t="s">
        <v>797</v>
      </c>
      <c r="C2184" t="s">
        <v>6511</v>
      </c>
      <c r="D2184" t="str">
        <f>TRIM(alias[[#This Row],[Column3]])</f>
        <v>Lautan Luas</v>
      </c>
      <c r="F2184" t="str">
        <f t="shared" si="34"/>
        <v>INSERT INTO stock_alias (stock, alias) VALUES ((SELECT id FROM stock WHERE ticker = 'LTLS'), 'Lautan Luas') ON CONFLICT DO NOTHING;</v>
      </c>
    </row>
    <row r="2185" spans="1:6" x14ac:dyDescent="0.2">
      <c r="A2185" t="s">
        <v>796</v>
      </c>
      <c r="B2185" t="s">
        <v>797</v>
      </c>
      <c r="C2185" t="s">
        <v>6512</v>
      </c>
      <c r="D2185" t="str">
        <f>TRIM(alias[[#This Row],[Column3]])</f>
        <v>Lautan Luas Tbk</v>
      </c>
      <c r="F2185" t="str">
        <f t="shared" si="34"/>
        <v>INSERT INTO stock_alias (stock, alias) VALUES ((SELECT id FROM stock WHERE ticker = 'LTLS'), 'Lautan Luas Tbk') ON CONFLICT DO NOTHING;</v>
      </c>
    </row>
    <row r="2186" spans="1:6" x14ac:dyDescent="0.2">
      <c r="A2186" t="s">
        <v>796</v>
      </c>
      <c r="B2186" t="s">
        <v>797</v>
      </c>
      <c r="C2186" t="s">
        <v>6513</v>
      </c>
      <c r="D2186" t="str">
        <f>TRIM(alias[[#This Row],[Column3]])</f>
        <v>PT Lautan Luas</v>
      </c>
      <c r="F2186" t="str">
        <f t="shared" si="34"/>
        <v>INSERT INTO stock_alias (stock, alias) VALUES ((SELECT id FROM stock WHERE ticker = 'LTLS'), 'PT Lautan Luas') ON CONFLICT DO NOTHING;</v>
      </c>
    </row>
    <row r="2187" spans="1:6" x14ac:dyDescent="0.2">
      <c r="A2187" t="s">
        <v>1627</v>
      </c>
      <c r="B2187" t="s">
        <v>1628</v>
      </c>
      <c r="C2187" t="s">
        <v>1627</v>
      </c>
      <c r="D2187" t="str">
        <f>TRIM(alias[[#This Row],[Column3]])</f>
        <v>LUCK</v>
      </c>
      <c r="F2187" t="str">
        <f t="shared" si="34"/>
        <v>INSERT INTO stock_alias (stock, alias) VALUES ((SELECT id FROM stock WHERE ticker = 'LUCK'), 'LUCK') ON CONFLICT DO NOTHING;</v>
      </c>
    </row>
    <row r="2188" spans="1:6" x14ac:dyDescent="0.2">
      <c r="A2188" t="s">
        <v>1627</v>
      </c>
      <c r="B2188" t="s">
        <v>1628</v>
      </c>
      <c r="C2188" t="s">
        <v>6514</v>
      </c>
      <c r="D2188" t="str">
        <f>TRIM(alias[[#This Row],[Column3]])</f>
        <v>PT Sentral Mitra Informatika</v>
      </c>
      <c r="F2188" t="str">
        <f t="shared" si="34"/>
        <v>INSERT INTO stock_alias (stock, alias) VALUES ((SELECT id FROM stock WHERE ticker = 'LUCK'), 'PT Sentral Mitra Informatika') ON CONFLICT DO NOTHING;</v>
      </c>
    </row>
    <row r="2189" spans="1:6" x14ac:dyDescent="0.2">
      <c r="A2189" t="s">
        <v>1627</v>
      </c>
      <c r="B2189" t="s">
        <v>1628</v>
      </c>
      <c r="C2189" t="s">
        <v>6515</v>
      </c>
      <c r="D2189" t="str">
        <f>TRIM(alias[[#This Row],[Column3]])</f>
        <v>Sentral Mitra Informatika</v>
      </c>
      <c r="F2189" t="str">
        <f t="shared" si="34"/>
        <v>INSERT INTO stock_alias (stock, alias) VALUES ((SELECT id FROM stock WHERE ticker = 'LUCK'), 'Sentral Mitra Informatika') ON CONFLICT DO NOTHING;</v>
      </c>
    </row>
    <row r="2190" spans="1:6" x14ac:dyDescent="0.2">
      <c r="A2190" t="s">
        <v>1627</v>
      </c>
      <c r="B2190" t="s">
        <v>1628</v>
      </c>
      <c r="C2190" t="s">
        <v>6516</v>
      </c>
      <c r="D2190" t="str">
        <f>TRIM(alias[[#This Row],[Column3]])</f>
        <v>Sentral Mitra Informatika Tbk</v>
      </c>
      <c r="F2190" t="str">
        <f t="shared" si="34"/>
        <v>INSERT INTO stock_alias (stock, alias) VALUES ((SELECT id FROM stock WHERE ticker = 'LUCK'), 'Sentral Mitra Informatika Tbk') ON CONFLICT DO NOTHING;</v>
      </c>
    </row>
    <row r="2191" spans="1:6" x14ac:dyDescent="0.2">
      <c r="A2191" t="s">
        <v>1942</v>
      </c>
      <c r="B2191" t="s">
        <v>1943</v>
      </c>
      <c r="C2191" t="s">
        <v>1942</v>
      </c>
      <c r="D2191" t="str">
        <f>TRIM(alias[[#This Row],[Column3]])</f>
        <v>LUCY</v>
      </c>
      <c r="F2191" t="str">
        <f t="shared" si="34"/>
        <v>INSERT INTO stock_alias (stock, alias) VALUES ((SELECT id FROM stock WHERE ticker = 'LUCY'), 'LUCY') ON CONFLICT DO NOTHING;</v>
      </c>
    </row>
    <row r="2192" spans="1:6" x14ac:dyDescent="0.2">
      <c r="A2192" t="s">
        <v>1942</v>
      </c>
      <c r="B2192" t="s">
        <v>1943</v>
      </c>
      <c r="C2192" t="s">
        <v>6517</v>
      </c>
      <c r="D2192" t="str">
        <f>TRIM(alias[[#This Row],[Column3]])</f>
        <v>Lima Dua Lima Tiga</v>
      </c>
      <c r="F2192" t="str">
        <f t="shared" si="34"/>
        <v>INSERT INTO stock_alias (stock, alias) VALUES ((SELECT id FROM stock WHERE ticker = 'LUCY'), 'Lima Dua Lima Tiga') ON CONFLICT DO NOTHING;</v>
      </c>
    </row>
    <row r="2193" spans="1:6" x14ac:dyDescent="0.2">
      <c r="A2193" t="s">
        <v>1942</v>
      </c>
      <c r="B2193" t="s">
        <v>1943</v>
      </c>
      <c r="C2193" t="s">
        <v>6518</v>
      </c>
      <c r="D2193" t="str">
        <f>TRIM(alias[[#This Row],[Column3]])</f>
        <v>Lima Dua Lima Tiga Tbk</v>
      </c>
      <c r="F2193" t="str">
        <f t="shared" si="34"/>
        <v>INSERT INTO stock_alias (stock, alias) VALUES ((SELECT id FROM stock WHERE ticker = 'LUCY'), 'Lima Dua Lima Tiga Tbk') ON CONFLICT DO NOTHING;</v>
      </c>
    </row>
    <row r="2194" spans="1:6" x14ac:dyDescent="0.2">
      <c r="A2194" t="s">
        <v>1942</v>
      </c>
      <c r="B2194" t="s">
        <v>1943</v>
      </c>
      <c r="C2194" t="s">
        <v>6519</v>
      </c>
      <c r="D2194" t="str">
        <f>TRIM(alias[[#This Row],[Column3]])</f>
        <v>PT Lima Dua Lima Tiga</v>
      </c>
      <c r="F2194" t="str">
        <f t="shared" si="34"/>
        <v>INSERT INTO stock_alias (stock, alias) VALUES ((SELECT id FROM stock WHERE ticker = 'LUCY'), 'PT Lima Dua Lima Tiga') ON CONFLICT DO NOTHING;</v>
      </c>
    </row>
    <row r="2195" spans="1:6" x14ac:dyDescent="0.2">
      <c r="A2195" t="s">
        <v>1431</v>
      </c>
      <c r="B2195" t="s">
        <v>1432</v>
      </c>
      <c r="C2195" t="s">
        <v>1431</v>
      </c>
      <c r="D2195" t="str">
        <f>TRIM(alias[[#This Row],[Column3]])</f>
        <v>MABA</v>
      </c>
      <c r="F2195" t="str">
        <f t="shared" si="34"/>
        <v>INSERT INTO stock_alias (stock, alias) VALUES ((SELECT id FROM stock WHERE ticker = 'MABA'), 'MABA') ON CONFLICT DO NOTHING;</v>
      </c>
    </row>
    <row r="2196" spans="1:6" x14ac:dyDescent="0.2">
      <c r="A2196" t="s">
        <v>1431</v>
      </c>
      <c r="B2196" t="s">
        <v>1432</v>
      </c>
      <c r="C2196" t="s">
        <v>6520</v>
      </c>
      <c r="D2196" t="str">
        <f>TRIM(alias[[#This Row],[Column3]])</f>
        <v>Marga Abhinaya Abadi</v>
      </c>
      <c r="F2196" t="str">
        <f t="shared" si="34"/>
        <v>INSERT INTO stock_alias (stock, alias) VALUES ((SELECT id FROM stock WHERE ticker = 'MABA'), 'Marga Abhinaya Abadi') ON CONFLICT DO NOTHING;</v>
      </c>
    </row>
    <row r="2197" spans="1:6" x14ac:dyDescent="0.2">
      <c r="A2197" t="s">
        <v>1431</v>
      </c>
      <c r="B2197" t="s">
        <v>1432</v>
      </c>
      <c r="C2197" t="s">
        <v>6521</v>
      </c>
      <c r="D2197" t="str">
        <f>TRIM(alias[[#This Row],[Column3]])</f>
        <v>Marga Abhinaya Abadi Tbk</v>
      </c>
      <c r="F2197" t="str">
        <f t="shared" si="34"/>
        <v>INSERT INTO stock_alias (stock, alias) VALUES ((SELECT id FROM stock WHERE ticker = 'MABA'), 'Marga Abhinaya Abadi Tbk') ON CONFLICT DO NOTHING;</v>
      </c>
    </row>
    <row r="2198" spans="1:6" x14ac:dyDescent="0.2">
      <c r="A2198" t="s">
        <v>1431</v>
      </c>
      <c r="B2198" t="s">
        <v>1432</v>
      </c>
      <c r="C2198" t="s">
        <v>6522</v>
      </c>
      <c r="D2198" t="str">
        <f>TRIM(alias[[#This Row],[Column3]])</f>
        <v>PT Marga Abhinaya Abadi</v>
      </c>
      <c r="F2198" t="str">
        <f t="shared" si="34"/>
        <v>INSERT INTO stock_alias (stock, alias) VALUES ((SELECT id FROM stock WHERE ticker = 'MABA'), 'PT Marga Abhinaya Abadi') ON CONFLICT DO NOTHING;</v>
      </c>
    </row>
    <row r="2199" spans="1:6" x14ac:dyDescent="0.2">
      <c r="A2199" t="s">
        <v>799</v>
      </c>
      <c r="B2199" t="s">
        <v>3616</v>
      </c>
      <c r="C2199" t="s">
        <v>799</v>
      </c>
      <c r="D2199" t="str">
        <f>TRIM(alias[[#This Row],[Column3]])</f>
        <v>MAGP</v>
      </c>
      <c r="F2199" t="str">
        <f t="shared" si="34"/>
        <v>INSERT INTO stock_alias (stock, alias) VALUES ((SELECT id FROM stock WHERE ticker = 'MAGP'), 'MAGP') ON CONFLICT DO NOTHING;</v>
      </c>
    </row>
    <row r="2200" spans="1:6" x14ac:dyDescent="0.2">
      <c r="A2200" t="s">
        <v>799</v>
      </c>
      <c r="B2200" t="s">
        <v>3616</v>
      </c>
      <c r="C2200" t="s">
        <v>6523</v>
      </c>
      <c r="D2200" t="str">
        <f>TRIM(alias[[#This Row],[Column3]])</f>
        <v>Multi Agro Gemilang Plantation</v>
      </c>
      <c r="F2200" t="str">
        <f t="shared" si="34"/>
        <v>INSERT INTO stock_alias (stock, alias) VALUES ((SELECT id FROM stock WHERE ticker = 'MAGP'), 'Multi Agro Gemilang Plantation') ON CONFLICT DO NOTHING;</v>
      </c>
    </row>
    <row r="2201" spans="1:6" x14ac:dyDescent="0.2">
      <c r="A2201" t="s">
        <v>799</v>
      </c>
      <c r="B2201" t="s">
        <v>3616</v>
      </c>
      <c r="C2201" t="s">
        <v>6524</v>
      </c>
      <c r="D2201" t="str">
        <f>TRIM(alias[[#This Row],[Column3]])</f>
        <v>Multi Agro Gemilang Plantation Tbk</v>
      </c>
      <c r="F2201" t="str">
        <f t="shared" si="34"/>
        <v>INSERT INTO stock_alias (stock, alias) VALUES ((SELECT id FROM stock WHERE ticker = 'MAGP'), 'Multi Agro Gemilang Plantation Tbk') ON CONFLICT DO NOTHING;</v>
      </c>
    </row>
    <row r="2202" spans="1:6" x14ac:dyDescent="0.2">
      <c r="A2202" t="s">
        <v>799</v>
      </c>
      <c r="B2202" t="s">
        <v>3616</v>
      </c>
      <c r="C2202" t="s">
        <v>6525</v>
      </c>
      <c r="D2202" t="str">
        <f>TRIM(alias[[#This Row],[Column3]])</f>
        <v>PT Multi Agro Gemilang Plantation</v>
      </c>
      <c r="F2202" t="str">
        <f t="shared" si="34"/>
        <v>INSERT INTO stock_alias (stock, alias) VALUES ((SELECT id FROM stock WHERE ticker = 'MAGP'), 'PT Multi Agro Gemilang Plantation') ON CONFLICT DO NOTHING;</v>
      </c>
    </row>
    <row r="2203" spans="1:6" x14ac:dyDescent="0.2">
      <c r="A2203" t="s">
        <v>2335</v>
      </c>
      <c r="B2203" t="s">
        <v>3617</v>
      </c>
      <c r="C2203" t="s">
        <v>2335</v>
      </c>
      <c r="D2203" t="str">
        <f>TRIM(alias[[#This Row],[Column3]])</f>
        <v>MAHA</v>
      </c>
      <c r="F2203" t="str">
        <f t="shared" si="34"/>
        <v>INSERT INTO stock_alias (stock, alias) VALUES ((SELECT id FROM stock WHERE ticker = 'MAHA'), 'MAHA') ON CONFLICT DO NOTHING;</v>
      </c>
    </row>
    <row r="2204" spans="1:6" x14ac:dyDescent="0.2">
      <c r="A2204" t="s">
        <v>2335</v>
      </c>
      <c r="B2204" t="s">
        <v>3617</v>
      </c>
      <c r="C2204" t="s">
        <v>6526</v>
      </c>
      <c r="D2204" t="str">
        <f>TRIM(alias[[#This Row],[Column3]])</f>
        <v>Mandiri Herindo Adiperkasa</v>
      </c>
      <c r="F2204" t="str">
        <f t="shared" si="34"/>
        <v>INSERT INTO stock_alias (stock, alias) VALUES ((SELECT id FROM stock WHERE ticker = 'MAHA'), 'Mandiri Herindo Adiperkasa') ON CONFLICT DO NOTHING;</v>
      </c>
    </row>
    <row r="2205" spans="1:6" x14ac:dyDescent="0.2">
      <c r="A2205" t="s">
        <v>2335</v>
      </c>
      <c r="B2205" t="s">
        <v>3617</v>
      </c>
      <c r="C2205" t="s">
        <v>6527</v>
      </c>
      <c r="D2205" t="str">
        <f>TRIM(alias[[#This Row],[Column3]])</f>
        <v>Mandiri Herindo Adiperkasa Tbk</v>
      </c>
      <c r="F2205" t="str">
        <f t="shared" si="34"/>
        <v>INSERT INTO stock_alias (stock, alias) VALUES ((SELECT id FROM stock WHERE ticker = 'MAHA'), 'Mandiri Herindo Adiperkasa Tbk') ON CONFLICT DO NOTHING;</v>
      </c>
    </row>
    <row r="2206" spans="1:6" x14ac:dyDescent="0.2">
      <c r="A2206" t="s">
        <v>2335</v>
      </c>
      <c r="B2206" t="s">
        <v>3617</v>
      </c>
      <c r="C2206" t="s">
        <v>6528</v>
      </c>
      <c r="D2206" t="str">
        <f>TRIM(alias[[#This Row],[Column3]])</f>
        <v>PT Mandiri Herindo Adiperkasa</v>
      </c>
      <c r="F2206" t="str">
        <f t="shared" si="34"/>
        <v>INSERT INTO stock_alias (stock, alias) VALUES ((SELECT id FROM stock WHERE ticker = 'MAHA'), 'PT Mandiri Herindo Adiperkasa') ON CONFLICT DO NOTHING;</v>
      </c>
    </row>
    <row r="2207" spans="1:6" x14ac:dyDescent="0.2">
      <c r="A2207" t="s">
        <v>801</v>
      </c>
      <c r="B2207" t="s">
        <v>802</v>
      </c>
      <c r="C2207" t="s">
        <v>801</v>
      </c>
      <c r="D2207" t="str">
        <f>TRIM(alias[[#This Row],[Column3]])</f>
        <v>MAIN</v>
      </c>
      <c r="F2207" t="str">
        <f t="shared" si="34"/>
        <v>INSERT INTO stock_alias (stock, alias) VALUES ((SELECT id FROM stock WHERE ticker = 'MAIN'), 'MAIN') ON CONFLICT DO NOTHING;</v>
      </c>
    </row>
    <row r="2208" spans="1:6" x14ac:dyDescent="0.2">
      <c r="A2208" t="s">
        <v>801</v>
      </c>
      <c r="B2208" t="s">
        <v>802</v>
      </c>
      <c r="C2208" t="s">
        <v>6529</v>
      </c>
      <c r="D2208" t="str">
        <f>TRIM(alias[[#This Row],[Column3]])</f>
        <v>Malindo Feedmill</v>
      </c>
      <c r="F2208" t="str">
        <f t="shared" si="34"/>
        <v>INSERT INTO stock_alias (stock, alias) VALUES ((SELECT id FROM stock WHERE ticker = 'MAIN'), 'Malindo Feedmill') ON CONFLICT DO NOTHING;</v>
      </c>
    </row>
    <row r="2209" spans="1:6" x14ac:dyDescent="0.2">
      <c r="A2209" t="s">
        <v>801</v>
      </c>
      <c r="B2209" t="s">
        <v>802</v>
      </c>
      <c r="C2209" t="s">
        <v>6530</v>
      </c>
      <c r="D2209" t="str">
        <f>TRIM(alias[[#This Row],[Column3]])</f>
        <v>Malindo Feedmill Tbk</v>
      </c>
      <c r="F2209" t="str">
        <f t="shared" si="34"/>
        <v>INSERT INTO stock_alias (stock, alias) VALUES ((SELECT id FROM stock WHERE ticker = 'MAIN'), 'Malindo Feedmill Tbk') ON CONFLICT DO NOTHING;</v>
      </c>
    </row>
    <row r="2210" spans="1:6" x14ac:dyDescent="0.2">
      <c r="A2210" t="s">
        <v>801</v>
      </c>
      <c r="B2210" t="s">
        <v>802</v>
      </c>
      <c r="C2210" t="s">
        <v>6531</v>
      </c>
      <c r="D2210" t="str">
        <f>TRIM(alias[[#This Row],[Column3]])</f>
        <v>PT Malindo Feedmill</v>
      </c>
      <c r="F2210" t="str">
        <f t="shared" si="34"/>
        <v>INSERT INTO stock_alias (stock, alias) VALUES ((SELECT id FROM stock WHERE ticker = 'MAIN'), 'PT Malindo Feedmill') ON CONFLICT DO NOTHING;</v>
      </c>
    </row>
    <row r="2211" spans="1:6" x14ac:dyDescent="0.2">
      <c r="A2211" t="s">
        <v>2640</v>
      </c>
      <c r="B2211" t="s">
        <v>2641</v>
      </c>
      <c r="C2211" t="s">
        <v>2640</v>
      </c>
      <c r="D2211" t="str">
        <f>TRIM(alias[[#This Row],[Column3]])</f>
        <v>MANG</v>
      </c>
      <c r="F2211" t="str">
        <f t="shared" si="34"/>
        <v>INSERT INTO stock_alias (stock, alias) VALUES ((SELECT id FROM stock WHERE ticker = 'MANG'), 'MANG') ON CONFLICT DO NOTHING;</v>
      </c>
    </row>
    <row r="2212" spans="1:6" x14ac:dyDescent="0.2">
      <c r="A2212" t="s">
        <v>2640</v>
      </c>
      <c r="B2212" t="s">
        <v>2641</v>
      </c>
      <c r="C2212" t="s">
        <v>6532</v>
      </c>
      <c r="D2212" t="str">
        <f>TRIM(alias[[#This Row],[Column3]])</f>
        <v>Manggung Polahraya</v>
      </c>
      <c r="F2212" t="str">
        <f t="shared" si="34"/>
        <v>INSERT INTO stock_alias (stock, alias) VALUES ((SELECT id FROM stock WHERE ticker = 'MANG'), 'Manggung Polahraya') ON CONFLICT DO NOTHING;</v>
      </c>
    </row>
    <row r="2213" spans="1:6" x14ac:dyDescent="0.2">
      <c r="A2213" t="s">
        <v>2640</v>
      </c>
      <c r="B2213" t="s">
        <v>2641</v>
      </c>
      <c r="C2213" t="s">
        <v>6533</v>
      </c>
      <c r="D2213" t="str">
        <f>TRIM(alias[[#This Row],[Column3]])</f>
        <v>Manggung Polahraya Tbk</v>
      </c>
      <c r="F2213" t="str">
        <f t="shared" si="34"/>
        <v>INSERT INTO stock_alias (stock, alias) VALUES ((SELECT id FROM stock WHERE ticker = 'MANG'), 'Manggung Polahraya Tbk') ON CONFLICT DO NOTHING;</v>
      </c>
    </row>
    <row r="2214" spans="1:6" x14ac:dyDescent="0.2">
      <c r="A2214" t="s">
        <v>2640</v>
      </c>
      <c r="B2214" t="s">
        <v>2641</v>
      </c>
      <c r="C2214" t="s">
        <v>6534</v>
      </c>
      <c r="D2214" t="str">
        <f>TRIM(alias[[#This Row],[Column3]])</f>
        <v>PT Manggung Polahraya</v>
      </c>
      <c r="F2214" t="str">
        <f t="shared" si="34"/>
        <v>INSERT INTO stock_alias (stock, alias) VALUES ((SELECT id FROM stock WHERE ticker = 'MANG'), 'PT Manggung Polahraya') ON CONFLICT DO NOTHING;</v>
      </c>
    </row>
    <row r="2215" spans="1:6" x14ac:dyDescent="0.2">
      <c r="A2215" t="s">
        <v>1544</v>
      </c>
      <c r="B2215" t="s">
        <v>1545</v>
      </c>
      <c r="C2215" t="s">
        <v>1544</v>
      </c>
      <c r="D2215" t="str">
        <f>TRIM(alias[[#This Row],[Column3]])</f>
        <v>MAPA</v>
      </c>
      <c r="F2215" t="str">
        <f t="shared" si="34"/>
        <v>INSERT INTO stock_alias (stock, alias) VALUES ((SELECT id FROM stock WHERE ticker = 'MAPA'), 'MAPA') ON CONFLICT DO NOTHING;</v>
      </c>
    </row>
    <row r="2216" spans="1:6" x14ac:dyDescent="0.2">
      <c r="A2216" t="s">
        <v>1544</v>
      </c>
      <c r="B2216" t="s">
        <v>1545</v>
      </c>
      <c r="C2216" t="s">
        <v>6535</v>
      </c>
      <c r="D2216" t="str">
        <f>TRIM(alias[[#This Row],[Column3]])</f>
        <v>Map Aktif Adiperkasa</v>
      </c>
      <c r="F2216" t="str">
        <f t="shared" si="34"/>
        <v>INSERT INTO stock_alias (stock, alias) VALUES ((SELECT id FROM stock WHERE ticker = 'MAPA'), 'Map Aktif Adiperkasa') ON CONFLICT DO NOTHING;</v>
      </c>
    </row>
    <row r="2217" spans="1:6" x14ac:dyDescent="0.2">
      <c r="A2217" t="s">
        <v>1544</v>
      </c>
      <c r="B2217" t="s">
        <v>1545</v>
      </c>
      <c r="C2217" t="s">
        <v>6536</v>
      </c>
      <c r="D2217" t="str">
        <f>TRIM(alias[[#This Row],[Column3]])</f>
        <v>Map Aktif Adiperkasa Tbk</v>
      </c>
      <c r="F2217" t="str">
        <f t="shared" si="34"/>
        <v>INSERT INTO stock_alias (stock, alias) VALUES ((SELECT id FROM stock WHERE ticker = 'MAPA'), 'Map Aktif Adiperkasa Tbk') ON CONFLICT DO NOTHING;</v>
      </c>
    </row>
    <row r="2218" spans="1:6" x14ac:dyDescent="0.2">
      <c r="A2218" t="s">
        <v>1544</v>
      </c>
      <c r="B2218" t="s">
        <v>1545</v>
      </c>
      <c r="C2218" t="s">
        <v>6537</v>
      </c>
      <c r="D2218" t="str">
        <f>TRIM(alias[[#This Row],[Column3]])</f>
        <v>PT Map Aktif Adiperkasa</v>
      </c>
      <c r="F2218" t="str">
        <f t="shared" si="34"/>
        <v>INSERT INTO stock_alias (stock, alias) VALUES ((SELECT id FROM stock WHERE ticker = 'MAPA'), 'PT Map Aktif Adiperkasa') ON CONFLICT DO NOTHING;</v>
      </c>
    </row>
    <row r="2219" spans="1:6" x14ac:dyDescent="0.2">
      <c r="A2219" t="s">
        <v>1422</v>
      </c>
      <c r="B2219" t="s">
        <v>1423</v>
      </c>
      <c r="C2219" t="s">
        <v>1422</v>
      </c>
      <c r="D2219" t="str">
        <f>TRIM(alias[[#This Row],[Column3]])</f>
        <v>MAPB</v>
      </c>
      <c r="F2219" t="str">
        <f t="shared" si="34"/>
        <v>INSERT INTO stock_alias (stock, alias) VALUES ((SELECT id FROM stock WHERE ticker = 'MAPB'), 'MAPB') ON CONFLICT DO NOTHING;</v>
      </c>
    </row>
    <row r="2220" spans="1:6" x14ac:dyDescent="0.2">
      <c r="A2220" t="s">
        <v>1422</v>
      </c>
      <c r="B2220" t="s">
        <v>1423</v>
      </c>
      <c r="C2220" t="s">
        <v>6538</v>
      </c>
      <c r="D2220" t="str">
        <f>TRIM(alias[[#This Row],[Column3]])</f>
        <v>MAP Boga Adiperkasa</v>
      </c>
      <c r="F2220" t="str">
        <f t="shared" si="34"/>
        <v>INSERT INTO stock_alias (stock, alias) VALUES ((SELECT id FROM stock WHERE ticker = 'MAPB'), 'MAP Boga Adiperkasa') ON CONFLICT DO NOTHING;</v>
      </c>
    </row>
    <row r="2221" spans="1:6" x14ac:dyDescent="0.2">
      <c r="A2221" t="s">
        <v>1422</v>
      </c>
      <c r="B2221" t="s">
        <v>1423</v>
      </c>
      <c r="C2221" t="s">
        <v>6539</v>
      </c>
      <c r="D2221" t="str">
        <f>TRIM(alias[[#This Row],[Column3]])</f>
        <v>MAP Boga Adiperkasa Tbk</v>
      </c>
      <c r="F2221" t="str">
        <f t="shared" si="34"/>
        <v>INSERT INTO stock_alias (stock, alias) VALUES ((SELECT id FROM stock WHERE ticker = 'MAPB'), 'MAP Boga Adiperkasa Tbk') ON CONFLICT DO NOTHING;</v>
      </c>
    </row>
    <row r="2222" spans="1:6" x14ac:dyDescent="0.2">
      <c r="A2222" t="s">
        <v>1422</v>
      </c>
      <c r="B2222" t="s">
        <v>1423</v>
      </c>
      <c r="C2222" t="s">
        <v>6540</v>
      </c>
      <c r="D2222" t="str">
        <f>TRIM(alias[[#This Row],[Column3]])</f>
        <v>PT MAP Boga Adiperkasa</v>
      </c>
      <c r="F2222" t="str">
        <f t="shared" si="34"/>
        <v>INSERT INTO stock_alias (stock, alias) VALUES ((SELECT id FROM stock WHERE ticker = 'MAPB'), 'PT MAP Boga Adiperkasa') ON CONFLICT DO NOTHING;</v>
      </c>
    </row>
    <row r="2223" spans="1:6" x14ac:dyDescent="0.2">
      <c r="A2223" t="s">
        <v>804</v>
      </c>
      <c r="B2223" t="s">
        <v>805</v>
      </c>
      <c r="C2223" t="s">
        <v>804</v>
      </c>
      <c r="D2223" t="str">
        <f>TRIM(alias[[#This Row],[Column3]])</f>
        <v>MAPI</v>
      </c>
      <c r="F2223" t="str">
        <f t="shared" si="34"/>
        <v>INSERT INTO stock_alias (stock, alias) VALUES ((SELECT id FROM stock WHERE ticker = 'MAPI'), 'MAPI') ON CONFLICT DO NOTHING;</v>
      </c>
    </row>
    <row r="2224" spans="1:6" x14ac:dyDescent="0.2">
      <c r="A2224" t="s">
        <v>804</v>
      </c>
      <c r="B2224" t="s">
        <v>805</v>
      </c>
      <c r="C2224" t="s">
        <v>6541</v>
      </c>
      <c r="D2224" t="str">
        <f>TRIM(alias[[#This Row],[Column3]])</f>
        <v>Mitra Adiperkasa</v>
      </c>
      <c r="F2224" t="str">
        <f t="shared" si="34"/>
        <v>INSERT INTO stock_alias (stock, alias) VALUES ((SELECT id FROM stock WHERE ticker = 'MAPI'), 'Mitra Adiperkasa') ON CONFLICT DO NOTHING;</v>
      </c>
    </row>
    <row r="2225" spans="1:6" x14ac:dyDescent="0.2">
      <c r="A2225" t="s">
        <v>804</v>
      </c>
      <c r="B2225" t="s">
        <v>805</v>
      </c>
      <c r="C2225" t="s">
        <v>6542</v>
      </c>
      <c r="D2225" t="str">
        <f>TRIM(alias[[#This Row],[Column3]])</f>
        <v>Mitra Adiperkasa Tbk</v>
      </c>
      <c r="F2225" t="str">
        <f t="shared" si="34"/>
        <v>INSERT INTO stock_alias (stock, alias) VALUES ((SELECT id FROM stock WHERE ticker = 'MAPI'), 'Mitra Adiperkasa Tbk') ON CONFLICT DO NOTHING;</v>
      </c>
    </row>
    <row r="2226" spans="1:6" x14ac:dyDescent="0.2">
      <c r="A2226" t="s">
        <v>804</v>
      </c>
      <c r="B2226" t="s">
        <v>805</v>
      </c>
      <c r="C2226" t="s">
        <v>6543</v>
      </c>
      <c r="D2226" t="str">
        <f>TRIM(alias[[#This Row],[Column3]])</f>
        <v>PT Mitra Adiperkasa</v>
      </c>
      <c r="F2226" t="str">
        <f t="shared" si="34"/>
        <v>INSERT INTO stock_alias (stock, alias) VALUES ((SELECT id FROM stock WHERE ticker = 'MAPI'), 'PT Mitra Adiperkasa') ON CONFLICT DO NOTHING;</v>
      </c>
    </row>
    <row r="2227" spans="1:6" x14ac:dyDescent="0.2">
      <c r="A2227" t="s">
        <v>1361</v>
      </c>
      <c r="B2227" t="s">
        <v>1362</v>
      </c>
      <c r="C2227" t="s">
        <v>1361</v>
      </c>
      <c r="D2227" t="str">
        <f>TRIM(alias[[#This Row],[Column3]])</f>
        <v>MARI</v>
      </c>
      <c r="F2227" t="str">
        <f t="shared" si="34"/>
        <v>INSERT INTO stock_alias (stock, alias) VALUES ((SELECT id FROM stock WHERE ticker = 'MARI'), 'MARI') ON CONFLICT DO NOTHING;</v>
      </c>
    </row>
    <row r="2228" spans="1:6" x14ac:dyDescent="0.2">
      <c r="A2228" t="s">
        <v>1361</v>
      </c>
      <c r="B2228" t="s">
        <v>1362</v>
      </c>
      <c r="C2228" t="s">
        <v>6544</v>
      </c>
      <c r="D2228" t="str">
        <f>TRIM(alias[[#This Row],[Column3]])</f>
        <v>Mahaka Radio Integra</v>
      </c>
      <c r="F2228" t="str">
        <f t="shared" si="34"/>
        <v>INSERT INTO stock_alias (stock, alias) VALUES ((SELECT id FROM stock WHERE ticker = 'MARI'), 'Mahaka Radio Integra') ON CONFLICT DO NOTHING;</v>
      </c>
    </row>
    <row r="2229" spans="1:6" x14ac:dyDescent="0.2">
      <c r="A2229" t="s">
        <v>1361</v>
      </c>
      <c r="B2229" t="s">
        <v>1362</v>
      </c>
      <c r="C2229" t="s">
        <v>6545</v>
      </c>
      <c r="D2229" t="str">
        <f>TRIM(alias[[#This Row],[Column3]])</f>
        <v>Mahaka Radio Integra Tbk</v>
      </c>
      <c r="F2229" t="str">
        <f t="shared" si="34"/>
        <v>INSERT INTO stock_alias (stock, alias) VALUES ((SELECT id FROM stock WHERE ticker = 'MARI'), 'Mahaka Radio Integra Tbk') ON CONFLICT DO NOTHING;</v>
      </c>
    </row>
    <row r="2230" spans="1:6" x14ac:dyDescent="0.2">
      <c r="A2230" t="s">
        <v>1361</v>
      </c>
      <c r="B2230" t="s">
        <v>1362</v>
      </c>
      <c r="C2230" t="s">
        <v>6546</v>
      </c>
      <c r="D2230" t="str">
        <f>TRIM(alias[[#This Row],[Column3]])</f>
        <v>PT Mahaka Radio Integra</v>
      </c>
      <c r="F2230" t="str">
        <f t="shared" si="34"/>
        <v>INSERT INTO stock_alias (stock, alias) VALUES ((SELECT id FROM stock WHERE ticker = 'MARI'), 'PT Mahaka Radio Integra') ON CONFLICT DO NOTHING;</v>
      </c>
    </row>
    <row r="2231" spans="1:6" x14ac:dyDescent="0.2">
      <c r="A2231" t="s">
        <v>1440</v>
      </c>
      <c r="B2231" t="s">
        <v>1441</v>
      </c>
      <c r="C2231" t="s">
        <v>1440</v>
      </c>
      <c r="D2231" t="str">
        <f>TRIM(alias[[#This Row],[Column3]])</f>
        <v>MARK</v>
      </c>
      <c r="F2231" t="str">
        <f t="shared" si="34"/>
        <v>INSERT INTO stock_alias (stock, alias) VALUES ((SELECT id FROM stock WHERE ticker = 'MARK'), 'MARK') ON CONFLICT DO NOTHING;</v>
      </c>
    </row>
    <row r="2232" spans="1:6" x14ac:dyDescent="0.2">
      <c r="A2232" t="s">
        <v>1440</v>
      </c>
      <c r="B2232" t="s">
        <v>1441</v>
      </c>
      <c r="C2232" t="s">
        <v>6547</v>
      </c>
      <c r="D2232" t="str">
        <f>TRIM(alias[[#This Row],[Column3]])</f>
        <v>Mark Dynamics Indonesia</v>
      </c>
      <c r="F2232" t="str">
        <f t="shared" si="34"/>
        <v>INSERT INTO stock_alias (stock, alias) VALUES ((SELECT id FROM stock WHERE ticker = 'MARK'), 'Mark Dynamics Indonesia') ON CONFLICT DO NOTHING;</v>
      </c>
    </row>
    <row r="2233" spans="1:6" x14ac:dyDescent="0.2">
      <c r="A2233" t="s">
        <v>1440</v>
      </c>
      <c r="B2233" t="s">
        <v>1441</v>
      </c>
      <c r="C2233" t="s">
        <v>6548</v>
      </c>
      <c r="D2233" t="str">
        <f>TRIM(alias[[#This Row],[Column3]])</f>
        <v>Mark Dynamics Indonesia Tbk</v>
      </c>
      <c r="F2233" t="str">
        <f t="shared" si="34"/>
        <v>INSERT INTO stock_alias (stock, alias) VALUES ((SELECT id FROM stock WHERE ticker = 'MARK'), 'Mark Dynamics Indonesia Tbk') ON CONFLICT DO NOTHING;</v>
      </c>
    </row>
    <row r="2234" spans="1:6" x14ac:dyDescent="0.2">
      <c r="A2234" t="s">
        <v>1440</v>
      </c>
      <c r="B2234" t="s">
        <v>1441</v>
      </c>
      <c r="C2234" t="s">
        <v>6549</v>
      </c>
      <c r="D2234" t="str">
        <f>TRIM(alias[[#This Row],[Column3]])</f>
        <v>PT Mark Dynamics Indonesia</v>
      </c>
      <c r="F2234" t="str">
        <f t="shared" si="34"/>
        <v>INSERT INTO stock_alias (stock, alias) VALUES ((SELECT id FROM stock WHERE ticker = 'MARK'), 'PT Mark Dynamics Indonesia') ON CONFLICT DO NOTHING;</v>
      </c>
    </row>
    <row r="2235" spans="1:6" x14ac:dyDescent="0.2">
      <c r="A2235" t="s">
        <v>1966</v>
      </c>
      <c r="B2235" t="s">
        <v>1967</v>
      </c>
      <c r="C2235" t="s">
        <v>1966</v>
      </c>
      <c r="D2235" t="str">
        <f>TRIM(alias[[#This Row],[Column3]])</f>
        <v>MASB</v>
      </c>
      <c r="F2235" t="str">
        <f t="shared" si="34"/>
        <v>INSERT INTO stock_alias (stock, alias) VALUES ((SELECT id FROM stock WHERE ticker = 'MASB'), 'MASB') ON CONFLICT DO NOTHING;</v>
      </c>
    </row>
    <row r="2236" spans="1:6" x14ac:dyDescent="0.2">
      <c r="A2236" t="s">
        <v>1966</v>
      </c>
      <c r="B2236" t="s">
        <v>1967</v>
      </c>
      <c r="C2236" t="s">
        <v>6550</v>
      </c>
      <c r="D2236" t="str">
        <f>TRIM(alias[[#This Row],[Column3]])</f>
        <v>Bank Multiarta Sentosa</v>
      </c>
      <c r="F2236" t="str">
        <f t="shared" si="34"/>
        <v>INSERT INTO stock_alias (stock, alias) VALUES ((SELECT id FROM stock WHERE ticker = 'MASB'), 'Bank Multiarta Sentosa') ON CONFLICT DO NOTHING;</v>
      </c>
    </row>
    <row r="2237" spans="1:6" x14ac:dyDescent="0.2">
      <c r="A2237" t="s">
        <v>1966</v>
      </c>
      <c r="B2237" t="s">
        <v>1967</v>
      </c>
      <c r="C2237" t="s">
        <v>6551</v>
      </c>
      <c r="D2237" t="str">
        <f>TRIM(alias[[#This Row],[Column3]])</f>
        <v>Bank Multiarta Sentosa Tbk</v>
      </c>
      <c r="F2237" t="str">
        <f t="shared" si="34"/>
        <v>INSERT INTO stock_alias (stock, alias) VALUES ((SELECT id FROM stock WHERE ticker = 'MASB'), 'Bank Multiarta Sentosa Tbk') ON CONFLICT DO NOTHING;</v>
      </c>
    </row>
    <row r="2238" spans="1:6" x14ac:dyDescent="0.2">
      <c r="A2238" t="s">
        <v>1966</v>
      </c>
      <c r="B2238" t="s">
        <v>1967</v>
      </c>
      <c r="C2238" t="s">
        <v>6552</v>
      </c>
      <c r="D2238" t="str">
        <f>TRIM(alias[[#This Row],[Column3]])</f>
        <v>Bank Sentosa</v>
      </c>
      <c r="F2238" t="str">
        <f t="shared" si="34"/>
        <v>INSERT INTO stock_alias (stock, alias) VALUES ((SELECT id FROM stock WHERE ticker = 'MASB'), 'Bank Sentosa') ON CONFLICT DO NOTHING;</v>
      </c>
    </row>
    <row r="2239" spans="1:6" x14ac:dyDescent="0.2">
      <c r="A2239" t="s">
        <v>1966</v>
      </c>
      <c r="B2239" t="s">
        <v>1967</v>
      </c>
      <c r="C2239" t="s">
        <v>6553</v>
      </c>
      <c r="D2239" t="str">
        <f>TRIM(alias[[#This Row],[Column3]])</f>
        <v>PT Bank Multiarta Sentosa</v>
      </c>
      <c r="F2239" t="str">
        <f t="shared" si="34"/>
        <v>INSERT INTO stock_alias (stock, alias) VALUES ((SELECT id FROM stock WHERE ticker = 'MASB'), 'PT Bank Multiarta Sentosa') ON CONFLICT DO NOTHING;</v>
      </c>
    </row>
    <row r="2240" spans="1:6" x14ac:dyDescent="0.2">
      <c r="A2240" t="s">
        <v>1966</v>
      </c>
      <c r="B2240" t="s">
        <v>1967</v>
      </c>
      <c r="C2240" t="s">
        <v>6554</v>
      </c>
      <c r="D2240" t="str">
        <f>TRIM(alias[[#This Row],[Column3]])</f>
        <v>Sentosa</v>
      </c>
      <c r="F2240" t="str">
        <f t="shared" si="34"/>
        <v>INSERT INTO stock_alias (stock, alias) VALUES ((SELECT id FROM stock WHERE ticker = 'MASB'), 'Sentosa') ON CONFLICT DO NOTHING;</v>
      </c>
    </row>
    <row r="2241" spans="1:6" x14ac:dyDescent="0.2">
      <c r="A2241" t="s">
        <v>2310</v>
      </c>
      <c r="B2241" t="s">
        <v>2311</v>
      </c>
      <c r="C2241" t="s">
        <v>2310</v>
      </c>
      <c r="D2241" t="str">
        <f>TRIM(alias[[#This Row],[Column3]])</f>
        <v>MAXI</v>
      </c>
      <c r="F2241" t="str">
        <f t="shared" si="34"/>
        <v>INSERT INTO stock_alias (stock, alias) VALUES ((SELECT id FROM stock WHERE ticker = 'MAXI'), 'MAXI') ON CONFLICT DO NOTHING;</v>
      </c>
    </row>
    <row r="2242" spans="1:6" x14ac:dyDescent="0.2">
      <c r="A2242" t="s">
        <v>2310</v>
      </c>
      <c r="B2242" t="s">
        <v>2311</v>
      </c>
      <c r="C2242" t="s">
        <v>6555</v>
      </c>
      <c r="D2242" t="str">
        <f>TRIM(alias[[#This Row],[Column3]])</f>
        <v>Maxindo Karya Anugerah</v>
      </c>
      <c r="F2242" t="str">
        <f t="shared" si="34"/>
        <v>INSERT INTO stock_alias (stock, alias) VALUES ((SELECT id FROM stock WHERE ticker = 'MAXI'), 'Maxindo Karya Anugerah') ON CONFLICT DO NOTHING;</v>
      </c>
    </row>
    <row r="2243" spans="1:6" x14ac:dyDescent="0.2">
      <c r="A2243" t="s">
        <v>2310</v>
      </c>
      <c r="B2243" t="s">
        <v>2311</v>
      </c>
      <c r="C2243" t="s">
        <v>6556</v>
      </c>
      <c r="D2243" t="str">
        <f>TRIM(alias[[#This Row],[Column3]])</f>
        <v>Maxindo Karya Anugerah Tbk</v>
      </c>
      <c r="F2243" t="str">
        <f t="shared" ref="F2243:F2306" si="35">_xlfn.CONCAT($F$1, _xlfn.CONCAT($G$1, A2243, "'), '", D2243, "') ON CONFLICT DO NOTHING;"))</f>
        <v>INSERT INTO stock_alias (stock, alias) VALUES ((SELECT id FROM stock WHERE ticker = 'MAXI'), 'Maxindo Karya Anugerah Tbk') ON CONFLICT DO NOTHING;</v>
      </c>
    </row>
    <row r="2244" spans="1:6" x14ac:dyDescent="0.2">
      <c r="A2244" t="s">
        <v>2310</v>
      </c>
      <c r="B2244" t="s">
        <v>2311</v>
      </c>
      <c r="C2244" t="s">
        <v>6557</v>
      </c>
      <c r="D2244" t="str">
        <f>TRIM(alias[[#This Row],[Column3]])</f>
        <v>PT Maxindo Karya Anugerah</v>
      </c>
      <c r="F2244" t="str">
        <f t="shared" si="35"/>
        <v>INSERT INTO stock_alias (stock, alias) VALUES ((SELECT id FROM stock WHERE ticker = 'MAXI'), 'PT Maxindo Karya Anugerah') ON CONFLICT DO NOTHING;</v>
      </c>
    </row>
    <row r="2245" spans="1:6" x14ac:dyDescent="0.2">
      <c r="A2245" t="s">
        <v>807</v>
      </c>
      <c r="B2245" t="s">
        <v>3618</v>
      </c>
      <c r="C2245" t="s">
        <v>807</v>
      </c>
      <c r="D2245" t="str">
        <f>TRIM(alias[[#This Row],[Column3]])</f>
        <v>MAYA</v>
      </c>
      <c r="F2245" t="str">
        <f t="shared" si="35"/>
        <v>INSERT INTO stock_alias (stock, alias) VALUES ((SELECT id FROM stock WHERE ticker = 'MAYA'), 'MAYA') ON CONFLICT DO NOTHING;</v>
      </c>
    </row>
    <row r="2246" spans="1:6" x14ac:dyDescent="0.2">
      <c r="A2246" t="s">
        <v>807</v>
      </c>
      <c r="B2246" t="s">
        <v>3618</v>
      </c>
      <c r="C2246" t="s">
        <v>5119</v>
      </c>
      <c r="D2246" t="str">
        <f>TRIM(alias[[#This Row],[Column3]])</f>
        <v>Bank Internasional</v>
      </c>
      <c r="F2246" t="str">
        <f t="shared" si="35"/>
        <v>INSERT INTO stock_alias (stock, alias) VALUES ((SELECT id FROM stock WHERE ticker = 'MAYA'), 'Bank Internasional') ON CONFLICT DO NOTHING;</v>
      </c>
    </row>
    <row r="2247" spans="1:6" x14ac:dyDescent="0.2">
      <c r="A2247" t="s">
        <v>807</v>
      </c>
      <c r="B2247" t="s">
        <v>3618</v>
      </c>
      <c r="C2247" t="s">
        <v>6558</v>
      </c>
      <c r="D2247" t="str">
        <f>TRIM(alias[[#This Row],[Column3]])</f>
        <v>Bank Mayapada Internasional</v>
      </c>
      <c r="F2247" t="str">
        <f t="shared" si="35"/>
        <v>INSERT INTO stock_alias (stock, alias) VALUES ((SELECT id FROM stock WHERE ticker = 'MAYA'), 'Bank Mayapada Internasional') ON CONFLICT DO NOTHING;</v>
      </c>
    </row>
    <row r="2248" spans="1:6" x14ac:dyDescent="0.2">
      <c r="A2248" t="s">
        <v>807</v>
      </c>
      <c r="B2248" t="s">
        <v>3618</v>
      </c>
      <c r="C2248" t="s">
        <v>6559</v>
      </c>
      <c r="D2248" t="str">
        <f>TRIM(alias[[#This Row],[Column3]])</f>
        <v>Bank Mayapada Internasional Tbk</v>
      </c>
      <c r="F2248" t="str">
        <f t="shared" si="35"/>
        <v>INSERT INTO stock_alias (stock, alias) VALUES ((SELECT id FROM stock WHERE ticker = 'MAYA'), 'Bank Mayapada Internasional Tbk') ON CONFLICT DO NOTHING;</v>
      </c>
    </row>
    <row r="2249" spans="1:6" x14ac:dyDescent="0.2">
      <c r="A2249" t="s">
        <v>807</v>
      </c>
      <c r="B2249" t="s">
        <v>3618</v>
      </c>
      <c r="C2249" t="s">
        <v>5122</v>
      </c>
      <c r="D2249" t="str">
        <f>TRIM(alias[[#This Row],[Column3]])</f>
        <v>Internasional</v>
      </c>
      <c r="F2249" t="str">
        <f t="shared" si="35"/>
        <v>INSERT INTO stock_alias (stock, alias) VALUES ((SELECT id FROM stock WHERE ticker = 'MAYA'), 'Internasional') ON CONFLICT DO NOTHING;</v>
      </c>
    </row>
    <row r="2250" spans="1:6" x14ac:dyDescent="0.2">
      <c r="A2250" t="s">
        <v>807</v>
      </c>
      <c r="B2250" t="s">
        <v>3618</v>
      </c>
      <c r="C2250" t="s">
        <v>6560</v>
      </c>
      <c r="D2250" t="str">
        <f>TRIM(alias[[#This Row],[Column3]])</f>
        <v>PT Bank Mayapada Internasional</v>
      </c>
      <c r="F2250" t="str">
        <f t="shared" si="35"/>
        <v>INSERT INTO stock_alias (stock, alias) VALUES ((SELECT id FROM stock WHERE ticker = 'MAYA'), 'PT Bank Mayapada Internasional') ON CONFLICT DO NOTHING;</v>
      </c>
    </row>
    <row r="2251" spans="1:6" x14ac:dyDescent="0.2">
      <c r="A2251" t="s">
        <v>809</v>
      </c>
      <c r="B2251" t="s">
        <v>810</v>
      </c>
      <c r="C2251" t="s">
        <v>809</v>
      </c>
      <c r="D2251" t="str">
        <f>TRIM(alias[[#This Row],[Column3]])</f>
        <v>MBAP</v>
      </c>
      <c r="F2251" t="str">
        <f t="shared" si="35"/>
        <v>INSERT INTO stock_alias (stock, alias) VALUES ((SELECT id FROM stock WHERE ticker = 'MBAP'), 'MBAP') ON CONFLICT DO NOTHING;</v>
      </c>
    </row>
    <row r="2252" spans="1:6" x14ac:dyDescent="0.2">
      <c r="A2252" t="s">
        <v>809</v>
      </c>
      <c r="B2252" t="s">
        <v>810</v>
      </c>
      <c r="C2252" t="s">
        <v>6561</v>
      </c>
      <c r="D2252" t="str">
        <f>TRIM(alias[[#This Row],[Column3]])</f>
        <v>Mitrabara Adiperdana</v>
      </c>
      <c r="F2252" t="str">
        <f t="shared" si="35"/>
        <v>INSERT INTO stock_alias (stock, alias) VALUES ((SELECT id FROM stock WHERE ticker = 'MBAP'), 'Mitrabara Adiperdana') ON CONFLICT DO NOTHING;</v>
      </c>
    </row>
    <row r="2253" spans="1:6" x14ac:dyDescent="0.2">
      <c r="A2253" t="s">
        <v>809</v>
      </c>
      <c r="B2253" t="s">
        <v>810</v>
      </c>
      <c r="C2253" t="s">
        <v>6562</v>
      </c>
      <c r="D2253" t="str">
        <f>TRIM(alias[[#This Row],[Column3]])</f>
        <v>Mitrabara Adiperdana Tbk</v>
      </c>
      <c r="F2253" t="str">
        <f t="shared" si="35"/>
        <v>INSERT INTO stock_alias (stock, alias) VALUES ((SELECT id FROM stock WHERE ticker = 'MBAP'), 'Mitrabara Adiperdana Tbk') ON CONFLICT DO NOTHING;</v>
      </c>
    </row>
    <row r="2254" spans="1:6" x14ac:dyDescent="0.2">
      <c r="A2254" t="s">
        <v>809</v>
      </c>
      <c r="B2254" t="s">
        <v>810</v>
      </c>
      <c r="C2254" t="s">
        <v>6563</v>
      </c>
      <c r="D2254" t="str">
        <f>TRIM(alias[[#This Row],[Column3]])</f>
        <v>PT Mitrabara Adiperdana</v>
      </c>
      <c r="F2254" t="str">
        <f t="shared" si="35"/>
        <v>INSERT INTO stock_alias (stock, alias) VALUES ((SELECT id FROM stock WHERE ticker = 'MBAP'), 'PT Mitrabara Adiperdana') ON CONFLICT DO NOTHING;</v>
      </c>
    </row>
    <row r="2255" spans="1:6" x14ac:dyDescent="0.2">
      <c r="A2255" t="s">
        <v>2616</v>
      </c>
      <c r="B2255" t="s">
        <v>2617</v>
      </c>
      <c r="C2255" t="s">
        <v>2616</v>
      </c>
      <c r="D2255" t="str">
        <f>TRIM(alias[[#This Row],[Column3]])</f>
        <v>MBMA</v>
      </c>
      <c r="F2255" t="str">
        <f t="shared" si="35"/>
        <v>INSERT INTO stock_alias (stock, alias) VALUES ((SELECT id FROM stock WHERE ticker = 'MBMA'), 'MBMA') ON CONFLICT DO NOTHING;</v>
      </c>
    </row>
    <row r="2256" spans="1:6" x14ac:dyDescent="0.2">
      <c r="A2256" t="s">
        <v>2616</v>
      </c>
      <c r="B2256" t="s">
        <v>2617</v>
      </c>
      <c r="C2256" t="s">
        <v>6564</v>
      </c>
      <c r="D2256" t="str">
        <f>TRIM(alias[[#This Row],[Column3]])</f>
        <v>Merdeka Battery Materials</v>
      </c>
      <c r="F2256" t="str">
        <f t="shared" si="35"/>
        <v>INSERT INTO stock_alias (stock, alias) VALUES ((SELECT id FROM stock WHERE ticker = 'MBMA'), 'Merdeka Battery Materials') ON CONFLICT DO NOTHING;</v>
      </c>
    </row>
    <row r="2257" spans="1:6" x14ac:dyDescent="0.2">
      <c r="A2257" t="s">
        <v>2616</v>
      </c>
      <c r="B2257" t="s">
        <v>2617</v>
      </c>
      <c r="C2257" t="s">
        <v>6565</v>
      </c>
      <c r="D2257" t="str">
        <f>TRIM(alias[[#This Row],[Column3]])</f>
        <v>Merdeka Battery Materials Tbk</v>
      </c>
      <c r="F2257" t="str">
        <f t="shared" si="35"/>
        <v>INSERT INTO stock_alias (stock, alias) VALUES ((SELECT id FROM stock WHERE ticker = 'MBMA'), 'Merdeka Battery Materials Tbk') ON CONFLICT DO NOTHING;</v>
      </c>
    </row>
    <row r="2258" spans="1:6" x14ac:dyDescent="0.2">
      <c r="A2258" t="s">
        <v>2616</v>
      </c>
      <c r="B2258" t="s">
        <v>2617</v>
      </c>
      <c r="C2258" t="s">
        <v>6566</v>
      </c>
      <c r="D2258" t="str">
        <f>TRIM(alias[[#This Row],[Column3]])</f>
        <v>PT Merdeka Battery Materials</v>
      </c>
      <c r="F2258" t="str">
        <f t="shared" si="35"/>
        <v>INSERT INTO stock_alias (stock, alias) VALUES ((SELECT id FROM stock WHERE ticker = 'MBMA'), 'PT Merdeka Battery Materials') ON CONFLICT DO NOTHING;</v>
      </c>
    </row>
    <row r="2259" spans="1:6" x14ac:dyDescent="0.2">
      <c r="A2259" t="s">
        <v>812</v>
      </c>
      <c r="B2259" t="s">
        <v>3619</v>
      </c>
      <c r="C2259" t="s">
        <v>812</v>
      </c>
      <c r="D2259" t="str">
        <f>TRIM(alias[[#This Row],[Column3]])</f>
        <v>MBSS</v>
      </c>
      <c r="F2259" t="str">
        <f t="shared" si="35"/>
        <v>INSERT INTO stock_alias (stock, alias) VALUES ((SELECT id FROM stock WHERE ticker = 'MBSS'), 'MBSS') ON CONFLICT DO NOTHING;</v>
      </c>
    </row>
    <row r="2260" spans="1:6" x14ac:dyDescent="0.2">
      <c r="A2260" t="s">
        <v>812</v>
      </c>
      <c r="B2260" t="s">
        <v>3619</v>
      </c>
      <c r="C2260" t="s">
        <v>6567</v>
      </c>
      <c r="D2260" t="str">
        <f>TRIM(alias[[#This Row],[Column3]])</f>
        <v>Mitrabahtera Segara Sejati</v>
      </c>
      <c r="F2260" t="str">
        <f t="shared" si="35"/>
        <v>INSERT INTO stock_alias (stock, alias) VALUES ((SELECT id FROM stock WHERE ticker = 'MBSS'), 'Mitrabahtera Segara Sejati') ON CONFLICT DO NOTHING;</v>
      </c>
    </row>
    <row r="2261" spans="1:6" x14ac:dyDescent="0.2">
      <c r="A2261" t="s">
        <v>812</v>
      </c>
      <c r="B2261" t="s">
        <v>3619</v>
      </c>
      <c r="C2261" t="s">
        <v>6568</v>
      </c>
      <c r="D2261" t="str">
        <f>TRIM(alias[[#This Row],[Column3]])</f>
        <v>Mitrabahtera Segara Sejati Tbk</v>
      </c>
      <c r="F2261" t="str">
        <f t="shared" si="35"/>
        <v>INSERT INTO stock_alias (stock, alias) VALUES ((SELECT id FROM stock WHERE ticker = 'MBSS'), 'Mitrabahtera Segara Sejati Tbk') ON CONFLICT DO NOTHING;</v>
      </c>
    </row>
    <row r="2262" spans="1:6" x14ac:dyDescent="0.2">
      <c r="A2262" t="s">
        <v>812</v>
      </c>
      <c r="B2262" t="s">
        <v>3619</v>
      </c>
      <c r="C2262" t="s">
        <v>6569</v>
      </c>
      <c r="D2262" t="str">
        <f>TRIM(alias[[#This Row],[Column3]])</f>
        <v>PT Mitrabahtera Segara Sejati</v>
      </c>
      <c r="F2262" t="str">
        <f t="shared" si="35"/>
        <v>INSERT INTO stock_alias (stock, alias) VALUES ((SELECT id FROM stock WHERE ticker = 'MBSS'), 'PT Mitrabahtera Segara Sejati') ON CONFLICT DO NOTHING;</v>
      </c>
    </row>
    <row r="2263" spans="1:6" x14ac:dyDescent="0.2">
      <c r="A2263" t="s">
        <v>815</v>
      </c>
      <c r="B2263" t="s">
        <v>816</v>
      </c>
      <c r="C2263" t="s">
        <v>815</v>
      </c>
      <c r="D2263" t="str">
        <f>TRIM(alias[[#This Row],[Column3]])</f>
        <v>MBTO</v>
      </c>
      <c r="F2263" t="str">
        <f t="shared" si="35"/>
        <v>INSERT INTO stock_alias (stock, alias) VALUES ((SELECT id FROM stock WHERE ticker = 'MBTO'), 'MBTO') ON CONFLICT DO NOTHING;</v>
      </c>
    </row>
    <row r="2264" spans="1:6" x14ac:dyDescent="0.2">
      <c r="A2264" t="s">
        <v>815</v>
      </c>
      <c r="B2264" t="s">
        <v>816</v>
      </c>
      <c r="C2264" t="s">
        <v>6570</v>
      </c>
      <c r="D2264" t="str">
        <f>TRIM(alias[[#This Row],[Column3]])</f>
        <v>Martina Berto</v>
      </c>
      <c r="F2264" t="str">
        <f t="shared" si="35"/>
        <v>INSERT INTO stock_alias (stock, alias) VALUES ((SELECT id FROM stock WHERE ticker = 'MBTO'), 'Martina Berto') ON CONFLICT DO NOTHING;</v>
      </c>
    </row>
    <row r="2265" spans="1:6" x14ac:dyDescent="0.2">
      <c r="A2265" t="s">
        <v>815</v>
      </c>
      <c r="B2265" t="s">
        <v>816</v>
      </c>
      <c r="C2265" t="s">
        <v>6571</v>
      </c>
      <c r="D2265" t="str">
        <f>TRIM(alias[[#This Row],[Column3]])</f>
        <v>Martina Berto Tbk</v>
      </c>
      <c r="F2265" t="str">
        <f t="shared" si="35"/>
        <v>INSERT INTO stock_alias (stock, alias) VALUES ((SELECT id FROM stock WHERE ticker = 'MBTO'), 'Martina Berto Tbk') ON CONFLICT DO NOTHING;</v>
      </c>
    </row>
    <row r="2266" spans="1:6" x14ac:dyDescent="0.2">
      <c r="A2266" t="s">
        <v>815</v>
      </c>
      <c r="B2266" t="s">
        <v>816</v>
      </c>
      <c r="C2266" t="s">
        <v>6572</v>
      </c>
      <c r="D2266" t="str">
        <f>TRIM(alias[[#This Row],[Column3]])</f>
        <v>PT Martina Berto</v>
      </c>
      <c r="F2266" t="str">
        <f t="shared" si="35"/>
        <v>INSERT INTO stock_alias (stock, alias) VALUES ((SELECT id FROM stock WHERE ticker = 'MBTO'), 'PT Martina Berto') ON CONFLICT DO NOTHING;</v>
      </c>
    </row>
    <row r="2267" spans="1:6" x14ac:dyDescent="0.2">
      <c r="A2267" t="s">
        <v>1462</v>
      </c>
      <c r="B2267" t="s">
        <v>1463</v>
      </c>
      <c r="C2267" t="s">
        <v>1462</v>
      </c>
      <c r="D2267" t="str">
        <f>TRIM(alias[[#This Row],[Column3]])</f>
        <v>MCAS</v>
      </c>
      <c r="F2267" t="str">
        <f t="shared" si="35"/>
        <v>INSERT INTO stock_alias (stock, alias) VALUES ((SELECT id FROM stock WHERE ticker = 'MCAS'), 'MCAS') ON CONFLICT DO NOTHING;</v>
      </c>
    </row>
    <row r="2268" spans="1:6" x14ac:dyDescent="0.2">
      <c r="A2268" t="s">
        <v>1462</v>
      </c>
      <c r="B2268" t="s">
        <v>1463</v>
      </c>
      <c r="C2268" t="s">
        <v>6573</v>
      </c>
      <c r="D2268" t="str">
        <f>TRIM(alias[[#This Row],[Column3]])</f>
        <v>M Cash Integrasi</v>
      </c>
      <c r="F2268" t="str">
        <f t="shared" si="35"/>
        <v>INSERT INTO stock_alias (stock, alias) VALUES ((SELECT id FROM stock WHERE ticker = 'MCAS'), 'M Cash Integrasi') ON CONFLICT DO NOTHING;</v>
      </c>
    </row>
    <row r="2269" spans="1:6" x14ac:dyDescent="0.2">
      <c r="A2269" t="s">
        <v>1462</v>
      </c>
      <c r="B2269" t="s">
        <v>1463</v>
      </c>
      <c r="C2269" t="s">
        <v>6574</v>
      </c>
      <c r="D2269" t="str">
        <f>TRIM(alias[[#This Row],[Column3]])</f>
        <v>M Cash Integrasi Tbk</v>
      </c>
      <c r="F2269" t="str">
        <f t="shared" si="35"/>
        <v>INSERT INTO stock_alias (stock, alias) VALUES ((SELECT id FROM stock WHERE ticker = 'MCAS'), 'M Cash Integrasi Tbk') ON CONFLICT DO NOTHING;</v>
      </c>
    </row>
    <row r="2270" spans="1:6" x14ac:dyDescent="0.2">
      <c r="A2270" t="s">
        <v>1462</v>
      </c>
      <c r="B2270" t="s">
        <v>1463</v>
      </c>
      <c r="C2270" t="s">
        <v>6575</v>
      </c>
      <c r="D2270" t="str">
        <f>TRIM(alias[[#This Row],[Column3]])</f>
        <v>PT M Cash Integrasi</v>
      </c>
      <c r="F2270" t="str">
        <f t="shared" si="35"/>
        <v>INSERT INTO stock_alias (stock, alias) VALUES ((SELECT id FROM stock WHERE ticker = 'MCAS'), 'PT M Cash Integrasi') ON CONFLICT DO NOTHING;</v>
      </c>
    </row>
    <row r="2271" spans="1:6" x14ac:dyDescent="0.2">
      <c r="A2271" t="s">
        <v>1992</v>
      </c>
      <c r="B2271" t="s">
        <v>1993</v>
      </c>
      <c r="C2271" t="s">
        <v>1992</v>
      </c>
      <c r="D2271" t="str">
        <f>TRIM(alias[[#This Row],[Column3]])</f>
        <v>MCOL</v>
      </c>
      <c r="F2271" t="str">
        <f t="shared" si="35"/>
        <v>INSERT INTO stock_alias (stock, alias) VALUES ((SELECT id FROM stock WHERE ticker = 'MCOL'), 'MCOL') ON CONFLICT DO NOTHING;</v>
      </c>
    </row>
    <row r="2272" spans="1:6" x14ac:dyDescent="0.2">
      <c r="A2272" t="s">
        <v>1992</v>
      </c>
      <c r="B2272" t="s">
        <v>1993</v>
      </c>
      <c r="C2272" t="s">
        <v>6576</v>
      </c>
      <c r="D2272" t="str">
        <f>TRIM(alias[[#This Row],[Column3]])</f>
        <v>PT Prima Andalan Mandiri</v>
      </c>
      <c r="F2272" t="str">
        <f t="shared" si="35"/>
        <v>INSERT INTO stock_alias (stock, alias) VALUES ((SELECT id FROM stock WHERE ticker = 'MCOL'), 'PT Prima Andalan Mandiri') ON CONFLICT DO NOTHING;</v>
      </c>
    </row>
    <row r="2273" spans="1:6" x14ac:dyDescent="0.2">
      <c r="A2273" t="s">
        <v>1992</v>
      </c>
      <c r="B2273" t="s">
        <v>1993</v>
      </c>
      <c r="C2273" t="s">
        <v>6577</v>
      </c>
      <c r="D2273" t="str">
        <f>TRIM(alias[[#This Row],[Column3]])</f>
        <v>Prima Andalan Mandiri</v>
      </c>
      <c r="F2273" t="str">
        <f t="shared" si="35"/>
        <v>INSERT INTO stock_alias (stock, alias) VALUES ((SELECT id FROM stock WHERE ticker = 'MCOL'), 'Prima Andalan Mandiri') ON CONFLICT DO NOTHING;</v>
      </c>
    </row>
    <row r="2274" spans="1:6" x14ac:dyDescent="0.2">
      <c r="A2274" t="s">
        <v>1992</v>
      </c>
      <c r="B2274" t="s">
        <v>1993</v>
      </c>
      <c r="C2274" t="s">
        <v>6578</v>
      </c>
      <c r="D2274" t="str">
        <f>TRIM(alias[[#This Row],[Column3]])</f>
        <v>Prima Andalan Mandiri Tbk</v>
      </c>
      <c r="F2274" t="str">
        <f t="shared" si="35"/>
        <v>INSERT INTO stock_alias (stock, alias) VALUES ((SELECT id FROM stock WHERE ticker = 'MCOL'), 'Prima Andalan Mandiri Tbk') ON CONFLICT DO NOTHING;</v>
      </c>
    </row>
    <row r="2275" spans="1:6" x14ac:dyDescent="0.2">
      <c r="A2275" t="s">
        <v>818</v>
      </c>
      <c r="B2275" t="s">
        <v>3620</v>
      </c>
      <c r="C2275" t="s">
        <v>818</v>
      </c>
      <c r="D2275" t="str">
        <f>TRIM(alias[[#This Row],[Column3]])</f>
        <v>MCOR</v>
      </c>
      <c r="F2275" t="str">
        <f t="shared" si="35"/>
        <v>INSERT INTO stock_alias (stock, alias) VALUES ((SELECT id FROM stock WHERE ticker = 'MCOR'), 'MCOR') ON CONFLICT DO NOTHING;</v>
      </c>
    </row>
    <row r="2276" spans="1:6" x14ac:dyDescent="0.2">
      <c r="A2276" t="s">
        <v>818</v>
      </c>
      <c r="B2276" t="s">
        <v>3620</v>
      </c>
      <c r="C2276" t="s">
        <v>6579</v>
      </c>
      <c r="D2276" t="str">
        <f>TRIM(alias[[#This Row],[Column3]])</f>
        <v>Bank China Construction Bank Indonesia</v>
      </c>
      <c r="F2276" t="str">
        <f t="shared" si="35"/>
        <v>INSERT INTO stock_alias (stock, alias) VALUES ((SELECT id FROM stock WHERE ticker = 'MCOR'), 'Bank China Construction Bank Indonesia') ON CONFLICT DO NOTHING;</v>
      </c>
    </row>
    <row r="2277" spans="1:6" x14ac:dyDescent="0.2">
      <c r="A2277" t="s">
        <v>818</v>
      </c>
      <c r="B2277" t="s">
        <v>3620</v>
      </c>
      <c r="C2277" t="s">
        <v>6580</v>
      </c>
      <c r="D2277" t="str">
        <f>TRIM(alias[[#This Row],[Column3]])</f>
        <v>Bank China Construction Bank Indonesia Tbk</v>
      </c>
      <c r="F2277" t="str">
        <f t="shared" si="35"/>
        <v>INSERT INTO stock_alias (stock, alias) VALUES ((SELECT id FROM stock WHERE ticker = 'MCOR'), 'Bank China Construction Bank Indonesia Tbk') ON CONFLICT DO NOTHING;</v>
      </c>
    </row>
    <row r="2278" spans="1:6" x14ac:dyDescent="0.2">
      <c r="A2278" t="s">
        <v>818</v>
      </c>
      <c r="B2278" t="s">
        <v>3620</v>
      </c>
      <c r="C2278" t="s">
        <v>6581</v>
      </c>
      <c r="D2278" t="str">
        <f>TRIM(alias[[#This Row],[Column3]])</f>
        <v>PT Bank China Construction Bank Indonesia</v>
      </c>
      <c r="F2278" t="str">
        <f t="shared" si="35"/>
        <v>INSERT INTO stock_alias (stock, alias) VALUES ((SELECT id FROM stock WHERE ticker = 'MCOR'), 'PT Bank China Construction Bank Indonesia') ON CONFLICT DO NOTHING;</v>
      </c>
    </row>
    <row r="2279" spans="1:6" x14ac:dyDescent="0.2">
      <c r="A2279" t="s">
        <v>820</v>
      </c>
      <c r="B2279" t="s">
        <v>821</v>
      </c>
      <c r="C2279" t="s">
        <v>820</v>
      </c>
      <c r="D2279" t="str">
        <f>TRIM(alias[[#This Row],[Column3]])</f>
        <v>MDIA</v>
      </c>
      <c r="F2279" t="str">
        <f t="shared" si="35"/>
        <v>INSERT INTO stock_alias (stock, alias) VALUES ((SELECT id FROM stock WHERE ticker = 'MDIA'), 'MDIA') ON CONFLICT DO NOTHING;</v>
      </c>
    </row>
    <row r="2280" spans="1:6" x14ac:dyDescent="0.2">
      <c r="A2280" t="s">
        <v>820</v>
      </c>
      <c r="B2280" t="s">
        <v>821</v>
      </c>
      <c r="C2280" t="s">
        <v>6582</v>
      </c>
      <c r="D2280" t="str">
        <f>TRIM(alias[[#This Row],[Column3]])</f>
        <v>Intermedia Capital</v>
      </c>
      <c r="F2280" t="str">
        <f t="shared" si="35"/>
        <v>INSERT INTO stock_alias (stock, alias) VALUES ((SELECT id FROM stock WHERE ticker = 'MDIA'), 'Intermedia Capital') ON CONFLICT DO NOTHING;</v>
      </c>
    </row>
    <row r="2281" spans="1:6" x14ac:dyDescent="0.2">
      <c r="A2281" t="s">
        <v>820</v>
      </c>
      <c r="B2281" t="s">
        <v>821</v>
      </c>
      <c r="C2281" t="s">
        <v>6583</v>
      </c>
      <c r="D2281" t="str">
        <f>TRIM(alias[[#This Row],[Column3]])</f>
        <v>Intermedia Capital Tbk</v>
      </c>
      <c r="F2281" t="str">
        <f t="shared" si="35"/>
        <v>INSERT INTO stock_alias (stock, alias) VALUES ((SELECT id FROM stock WHERE ticker = 'MDIA'), 'Intermedia Capital Tbk') ON CONFLICT DO NOTHING;</v>
      </c>
    </row>
    <row r="2282" spans="1:6" x14ac:dyDescent="0.2">
      <c r="A2282" t="s">
        <v>820</v>
      </c>
      <c r="B2282" t="s">
        <v>821</v>
      </c>
      <c r="C2282" t="s">
        <v>6584</v>
      </c>
      <c r="D2282" t="str">
        <f>TRIM(alias[[#This Row],[Column3]])</f>
        <v>PT Intermedia Capital</v>
      </c>
      <c r="F2282" t="str">
        <f t="shared" si="35"/>
        <v>INSERT INTO stock_alias (stock, alias) VALUES ((SELECT id FROM stock WHERE ticker = 'MDIA'), 'PT Intermedia Capital') ON CONFLICT DO NOTHING;</v>
      </c>
    </row>
    <row r="2283" spans="1:6" x14ac:dyDescent="0.2">
      <c r="A2283" t="s">
        <v>2509</v>
      </c>
      <c r="B2283" t="s">
        <v>2510</v>
      </c>
      <c r="C2283" t="s">
        <v>2509</v>
      </c>
      <c r="D2283" t="str">
        <f>TRIM(alias[[#This Row],[Column3]])</f>
        <v>MDIY</v>
      </c>
      <c r="F2283" t="str">
        <f t="shared" si="35"/>
        <v>INSERT INTO stock_alias (stock, alias) VALUES ((SELECT id FROM stock WHERE ticker = 'MDIY'), 'MDIY') ON CONFLICT DO NOTHING;</v>
      </c>
    </row>
    <row r="2284" spans="1:6" x14ac:dyDescent="0.2">
      <c r="A2284" t="s">
        <v>2509</v>
      </c>
      <c r="B2284" t="s">
        <v>2510</v>
      </c>
      <c r="C2284" t="s">
        <v>6585</v>
      </c>
      <c r="D2284" t="str">
        <f>TRIM(alias[[#This Row],[Column3]])</f>
        <v>Daya Intiguna Yasa</v>
      </c>
      <c r="F2284" t="str">
        <f t="shared" si="35"/>
        <v>INSERT INTO stock_alias (stock, alias) VALUES ((SELECT id FROM stock WHERE ticker = 'MDIY'), 'Daya Intiguna Yasa') ON CONFLICT DO NOTHING;</v>
      </c>
    </row>
    <row r="2285" spans="1:6" x14ac:dyDescent="0.2">
      <c r="A2285" t="s">
        <v>2509</v>
      </c>
      <c r="B2285" t="s">
        <v>2510</v>
      </c>
      <c r="C2285" t="s">
        <v>6586</v>
      </c>
      <c r="D2285" t="str">
        <f>TRIM(alias[[#This Row],[Column3]])</f>
        <v>Daya Intiguna Yasa Tbk</v>
      </c>
      <c r="F2285" t="str">
        <f t="shared" si="35"/>
        <v>INSERT INTO stock_alias (stock, alias) VALUES ((SELECT id FROM stock WHERE ticker = 'MDIY'), 'Daya Intiguna Yasa Tbk') ON CONFLICT DO NOTHING;</v>
      </c>
    </row>
    <row r="2286" spans="1:6" x14ac:dyDescent="0.2">
      <c r="A2286" t="s">
        <v>2509</v>
      </c>
      <c r="B2286" t="s">
        <v>2510</v>
      </c>
      <c r="C2286" t="s">
        <v>6587</v>
      </c>
      <c r="D2286" t="str">
        <f>TRIM(alias[[#This Row],[Column3]])</f>
        <v>PT Daya Intiguna Yasa</v>
      </c>
      <c r="F2286" t="str">
        <f t="shared" si="35"/>
        <v>INSERT INTO stock_alias (stock, alias) VALUES ((SELECT id FROM stock WHERE ticker = 'MDIY'), 'PT Daya Intiguna Yasa') ON CONFLICT DO NOTHING;</v>
      </c>
    </row>
    <row r="2287" spans="1:6" x14ac:dyDescent="0.2">
      <c r="A2287" t="s">
        <v>823</v>
      </c>
      <c r="B2287" t="s">
        <v>824</v>
      </c>
      <c r="C2287" t="s">
        <v>823</v>
      </c>
      <c r="D2287" t="str">
        <f>TRIM(alias[[#This Row],[Column3]])</f>
        <v>MDKA</v>
      </c>
      <c r="F2287" t="str">
        <f t="shared" si="35"/>
        <v>INSERT INTO stock_alias (stock, alias) VALUES ((SELECT id FROM stock WHERE ticker = 'MDKA'), 'MDKA') ON CONFLICT DO NOTHING;</v>
      </c>
    </row>
    <row r="2288" spans="1:6" x14ac:dyDescent="0.2">
      <c r="A2288" t="s">
        <v>823</v>
      </c>
      <c r="B2288" t="s">
        <v>824</v>
      </c>
      <c r="C2288" t="s">
        <v>6588</v>
      </c>
      <c r="D2288" t="str">
        <f>TRIM(alias[[#This Row],[Column3]])</f>
        <v>Merdeka Copper Gold</v>
      </c>
      <c r="F2288" t="str">
        <f t="shared" si="35"/>
        <v>INSERT INTO stock_alias (stock, alias) VALUES ((SELECT id FROM stock WHERE ticker = 'MDKA'), 'Merdeka Copper Gold') ON CONFLICT DO NOTHING;</v>
      </c>
    </row>
    <row r="2289" spans="1:6" x14ac:dyDescent="0.2">
      <c r="A2289" t="s">
        <v>823</v>
      </c>
      <c r="B2289" t="s">
        <v>824</v>
      </c>
      <c r="C2289" t="s">
        <v>6589</v>
      </c>
      <c r="D2289" t="str">
        <f>TRIM(alias[[#This Row],[Column3]])</f>
        <v>Merdeka Copper Gold Tbk</v>
      </c>
      <c r="F2289" t="str">
        <f t="shared" si="35"/>
        <v>INSERT INTO stock_alias (stock, alias) VALUES ((SELECT id FROM stock WHERE ticker = 'MDKA'), 'Merdeka Copper Gold Tbk') ON CONFLICT DO NOTHING;</v>
      </c>
    </row>
    <row r="2290" spans="1:6" x14ac:dyDescent="0.2">
      <c r="A2290" t="s">
        <v>823</v>
      </c>
      <c r="B2290" t="s">
        <v>824</v>
      </c>
      <c r="C2290" t="s">
        <v>6590</v>
      </c>
      <c r="D2290" t="str">
        <f>TRIM(alias[[#This Row],[Column3]])</f>
        <v>PT Merdeka Copper Gold</v>
      </c>
      <c r="F2290" t="str">
        <f t="shared" si="35"/>
        <v>INSERT INTO stock_alias (stock, alias) VALUES ((SELECT id FROM stock WHERE ticker = 'MDKA'), 'PT Merdeka Copper Gold') ON CONFLICT DO NOTHING;</v>
      </c>
    </row>
    <row r="2291" spans="1:6" x14ac:dyDescent="0.2">
      <c r="A2291" t="s">
        <v>1446</v>
      </c>
      <c r="B2291" t="s">
        <v>1447</v>
      </c>
      <c r="C2291" t="s">
        <v>1446</v>
      </c>
      <c r="D2291" t="str">
        <f>TRIM(alias[[#This Row],[Column3]])</f>
        <v>MDKI</v>
      </c>
      <c r="F2291" t="str">
        <f t="shared" si="35"/>
        <v>INSERT INTO stock_alias (stock, alias) VALUES ((SELECT id FROM stock WHERE ticker = 'MDKI'), 'MDKI') ON CONFLICT DO NOTHING;</v>
      </c>
    </row>
    <row r="2292" spans="1:6" x14ac:dyDescent="0.2">
      <c r="A2292" t="s">
        <v>1446</v>
      </c>
      <c r="B2292" t="s">
        <v>1447</v>
      </c>
      <c r="C2292" t="s">
        <v>6591</v>
      </c>
      <c r="D2292" t="str">
        <f>TRIM(alias[[#This Row],[Column3]])</f>
        <v>Emdeki Utama</v>
      </c>
      <c r="F2292" t="str">
        <f t="shared" si="35"/>
        <v>INSERT INTO stock_alias (stock, alias) VALUES ((SELECT id FROM stock WHERE ticker = 'MDKI'), 'Emdeki Utama') ON CONFLICT DO NOTHING;</v>
      </c>
    </row>
    <row r="2293" spans="1:6" x14ac:dyDescent="0.2">
      <c r="A2293" t="s">
        <v>1446</v>
      </c>
      <c r="B2293" t="s">
        <v>1447</v>
      </c>
      <c r="C2293" t="s">
        <v>6592</v>
      </c>
      <c r="D2293" t="str">
        <f>TRIM(alias[[#This Row],[Column3]])</f>
        <v>Emdeki Utama Tbk</v>
      </c>
      <c r="F2293" t="str">
        <f t="shared" si="35"/>
        <v>INSERT INTO stock_alias (stock, alias) VALUES ((SELECT id FROM stock WHERE ticker = 'MDKI'), 'Emdeki Utama Tbk') ON CONFLICT DO NOTHING;</v>
      </c>
    </row>
    <row r="2294" spans="1:6" x14ac:dyDescent="0.2">
      <c r="A2294" t="s">
        <v>1446</v>
      </c>
      <c r="B2294" t="s">
        <v>1447</v>
      </c>
      <c r="C2294" t="s">
        <v>6593</v>
      </c>
      <c r="D2294" t="str">
        <f>TRIM(alias[[#This Row],[Column3]])</f>
        <v>PT Emdeki Utama</v>
      </c>
      <c r="F2294" t="str">
        <f t="shared" si="35"/>
        <v>INSERT INTO stock_alias (stock, alias) VALUES ((SELECT id FROM stock WHERE ticker = 'MDKI'), 'PT Emdeki Utama') ON CONFLICT DO NOTHING;</v>
      </c>
    </row>
    <row r="2295" spans="1:6" x14ac:dyDescent="0.2">
      <c r="A2295" t="s">
        <v>2578</v>
      </c>
      <c r="B2295" t="s">
        <v>2579</v>
      </c>
      <c r="C2295" t="s">
        <v>2578</v>
      </c>
      <c r="D2295" t="str">
        <f>TRIM(alias[[#This Row],[Column3]])</f>
        <v>MDLA</v>
      </c>
      <c r="F2295" t="str">
        <f t="shared" si="35"/>
        <v>INSERT INTO stock_alias (stock, alias) VALUES ((SELECT id FROM stock WHERE ticker = 'MDLA'), 'MDLA') ON CONFLICT DO NOTHING;</v>
      </c>
    </row>
    <row r="2296" spans="1:6" x14ac:dyDescent="0.2">
      <c r="A2296" t="s">
        <v>2578</v>
      </c>
      <c r="B2296" t="s">
        <v>2579</v>
      </c>
      <c r="C2296" t="s">
        <v>6594</v>
      </c>
      <c r="D2296" t="str">
        <f>TRIM(alias[[#This Row],[Column3]])</f>
        <v>Medela Potentia</v>
      </c>
      <c r="F2296" t="str">
        <f t="shared" si="35"/>
        <v>INSERT INTO stock_alias (stock, alias) VALUES ((SELECT id FROM stock WHERE ticker = 'MDLA'), 'Medela Potentia') ON CONFLICT DO NOTHING;</v>
      </c>
    </row>
    <row r="2297" spans="1:6" x14ac:dyDescent="0.2">
      <c r="A2297" t="s">
        <v>2578</v>
      </c>
      <c r="B2297" t="s">
        <v>2579</v>
      </c>
      <c r="C2297" t="s">
        <v>6595</v>
      </c>
      <c r="D2297" t="str">
        <f>TRIM(alias[[#This Row],[Column3]])</f>
        <v>Medela Potentia Tbk</v>
      </c>
      <c r="F2297" t="str">
        <f t="shared" si="35"/>
        <v>INSERT INTO stock_alias (stock, alias) VALUES ((SELECT id FROM stock WHERE ticker = 'MDLA'), 'Medela Potentia Tbk') ON CONFLICT DO NOTHING;</v>
      </c>
    </row>
    <row r="2298" spans="1:6" x14ac:dyDescent="0.2">
      <c r="A2298" t="s">
        <v>2578</v>
      </c>
      <c r="B2298" t="s">
        <v>2579</v>
      </c>
      <c r="C2298" t="s">
        <v>6596</v>
      </c>
      <c r="D2298" t="str">
        <f>TRIM(alias[[#This Row],[Column3]])</f>
        <v>PT Medela Potentia</v>
      </c>
      <c r="F2298" t="str">
        <f t="shared" si="35"/>
        <v>INSERT INTO stock_alias (stock, alias) VALUES ((SELECT id FROM stock WHERE ticker = 'MDLA'), 'PT Medela Potentia') ON CONFLICT DO NOTHING;</v>
      </c>
    </row>
    <row r="2299" spans="1:6" x14ac:dyDescent="0.2">
      <c r="A2299" t="s">
        <v>826</v>
      </c>
      <c r="B2299" t="s">
        <v>827</v>
      </c>
      <c r="C2299" t="s">
        <v>826</v>
      </c>
      <c r="D2299" t="str">
        <f>TRIM(alias[[#This Row],[Column3]])</f>
        <v>MDLN</v>
      </c>
      <c r="F2299" t="str">
        <f t="shared" si="35"/>
        <v>INSERT INTO stock_alias (stock, alias) VALUES ((SELECT id FROM stock WHERE ticker = 'MDLN'), 'MDLN') ON CONFLICT DO NOTHING;</v>
      </c>
    </row>
    <row r="2300" spans="1:6" x14ac:dyDescent="0.2">
      <c r="A2300" t="s">
        <v>826</v>
      </c>
      <c r="B2300" t="s">
        <v>827</v>
      </c>
      <c r="C2300" t="s">
        <v>6597</v>
      </c>
      <c r="D2300" t="str">
        <f>TRIM(alias[[#This Row],[Column3]])</f>
        <v>Modernland Realty</v>
      </c>
      <c r="F2300" t="str">
        <f t="shared" si="35"/>
        <v>INSERT INTO stock_alias (stock, alias) VALUES ((SELECT id FROM stock WHERE ticker = 'MDLN'), 'Modernland Realty') ON CONFLICT DO NOTHING;</v>
      </c>
    </row>
    <row r="2301" spans="1:6" x14ac:dyDescent="0.2">
      <c r="A2301" t="s">
        <v>826</v>
      </c>
      <c r="B2301" t="s">
        <v>827</v>
      </c>
      <c r="C2301" t="s">
        <v>6598</v>
      </c>
      <c r="D2301" t="str">
        <f>TRIM(alias[[#This Row],[Column3]])</f>
        <v>Modernland Realty Tbk</v>
      </c>
      <c r="F2301" t="str">
        <f t="shared" si="35"/>
        <v>INSERT INTO stock_alias (stock, alias) VALUES ((SELECT id FROM stock WHERE ticker = 'MDLN'), 'Modernland Realty Tbk') ON CONFLICT DO NOTHING;</v>
      </c>
    </row>
    <row r="2302" spans="1:6" x14ac:dyDescent="0.2">
      <c r="A2302" t="s">
        <v>826</v>
      </c>
      <c r="B2302" t="s">
        <v>827</v>
      </c>
      <c r="C2302" t="s">
        <v>6599</v>
      </c>
      <c r="D2302" t="str">
        <f>TRIM(alias[[#This Row],[Column3]])</f>
        <v>PT Modernland Realty</v>
      </c>
      <c r="F2302" t="str">
        <f t="shared" si="35"/>
        <v>INSERT INTO stock_alias (stock, alias) VALUES ((SELECT id FROM stock WHERE ticker = 'MDLN'), 'PT Modernland Realty') ON CONFLICT DO NOTHING;</v>
      </c>
    </row>
    <row r="2303" spans="1:6" x14ac:dyDescent="0.2">
      <c r="A2303" t="s">
        <v>829</v>
      </c>
      <c r="B2303" t="s">
        <v>830</v>
      </c>
      <c r="C2303" t="s">
        <v>829</v>
      </c>
      <c r="D2303" t="str">
        <f>TRIM(alias[[#This Row],[Column3]])</f>
        <v>MDRN</v>
      </c>
      <c r="F2303" t="str">
        <f t="shared" si="35"/>
        <v>INSERT INTO stock_alias (stock, alias) VALUES ((SELECT id FROM stock WHERE ticker = 'MDRN'), 'MDRN') ON CONFLICT DO NOTHING;</v>
      </c>
    </row>
    <row r="2304" spans="1:6" x14ac:dyDescent="0.2">
      <c r="A2304" t="s">
        <v>829</v>
      </c>
      <c r="B2304" t="s">
        <v>830</v>
      </c>
      <c r="C2304" t="s">
        <v>6600</v>
      </c>
      <c r="D2304" t="str">
        <f>TRIM(alias[[#This Row],[Column3]])</f>
        <v>MI</v>
      </c>
      <c r="F2304" t="str">
        <f t="shared" si="35"/>
        <v>INSERT INTO stock_alias (stock, alias) VALUES ((SELECT id FROM stock WHERE ticker = 'MDRN'), 'MI') ON CONFLICT DO NOTHING;</v>
      </c>
    </row>
    <row r="2305" spans="1:6" x14ac:dyDescent="0.2">
      <c r="A2305" t="s">
        <v>829</v>
      </c>
      <c r="B2305" t="s">
        <v>830</v>
      </c>
      <c r="C2305" t="s">
        <v>6601</v>
      </c>
      <c r="D2305" t="str">
        <f>TRIM(alias[[#This Row],[Column3]])</f>
        <v>Modern Internasional</v>
      </c>
      <c r="F2305" t="str">
        <f t="shared" si="35"/>
        <v>INSERT INTO stock_alias (stock, alias) VALUES ((SELECT id FROM stock WHERE ticker = 'MDRN'), 'Modern Internasional') ON CONFLICT DO NOTHING;</v>
      </c>
    </row>
    <row r="2306" spans="1:6" x14ac:dyDescent="0.2">
      <c r="A2306" t="s">
        <v>829</v>
      </c>
      <c r="B2306" t="s">
        <v>830</v>
      </c>
      <c r="C2306" t="s">
        <v>6602</v>
      </c>
      <c r="D2306" t="str">
        <f>TRIM(alias[[#This Row],[Column3]])</f>
        <v>Modern Internasional Tbk</v>
      </c>
      <c r="F2306" t="str">
        <f t="shared" si="35"/>
        <v>INSERT INTO stock_alias (stock, alias) VALUES ((SELECT id FROM stock WHERE ticker = 'MDRN'), 'Modern Internasional Tbk') ON CONFLICT DO NOTHING;</v>
      </c>
    </row>
    <row r="2307" spans="1:6" x14ac:dyDescent="0.2">
      <c r="A2307" t="s">
        <v>829</v>
      </c>
      <c r="B2307" t="s">
        <v>830</v>
      </c>
      <c r="C2307" t="s">
        <v>6603</v>
      </c>
      <c r="D2307" t="str">
        <f>TRIM(alias[[#This Row],[Column3]])</f>
        <v>PT Modern Internasional</v>
      </c>
      <c r="F2307" t="str">
        <f t="shared" ref="F2307:F2370" si="36">_xlfn.CONCAT($F$1, _xlfn.CONCAT($G$1, A2307, "'), '", D2307, "') ON CONFLICT DO NOTHING;"))</f>
        <v>INSERT INTO stock_alias (stock, alias) VALUES ((SELECT id FROM stock WHERE ticker = 'MDRN'), 'PT Modern Internasional') ON CONFLICT DO NOTHING;</v>
      </c>
    </row>
    <row r="2308" spans="1:6" x14ac:dyDescent="0.2">
      <c r="A2308" t="s">
        <v>832</v>
      </c>
      <c r="B2308" t="s">
        <v>3621</v>
      </c>
      <c r="C2308" t="s">
        <v>832</v>
      </c>
      <c r="D2308" t="str">
        <f>TRIM(alias[[#This Row],[Column3]])</f>
        <v>MEDC</v>
      </c>
      <c r="F2308" t="str">
        <f t="shared" si="36"/>
        <v>INSERT INTO stock_alias (stock, alias) VALUES ((SELECT id FROM stock WHERE ticker = 'MEDC'), 'MEDC') ON CONFLICT DO NOTHING;</v>
      </c>
    </row>
    <row r="2309" spans="1:6" x14ac:dyDescent="0.2">
      <c r="A2309" t="s">
        <v>832</v>
      </c>
      <c r="B2309" t="s">
        <v>3621</v>
      </c>
      <c r="C2309" t="s">
        <v>6604</v>
      </c>
      <c r="D2309" t="str">
        <f>TRIM(alias[[#This Row],[Column3]])</f>
        <v>Medco Energi Internasional</v>
      </c>
      <c r="F2309" t="str">
        <f t="shared" si="36"/>
        <v>INSERT INTO stock_alias (stock, alias) VALUES ((SELECT id FROM stock WHERE ticker = 'MEDC'), 'Medco Energi Internasional') ON CONFLICT DO NOTHING;</v>
      </c>
    </row>
    <row r="2310" spans="1:6" x14ac:dyDescent="0.2">
      <c r="A2310" t="s">
        <v>832</v>
      </c>
      <c r="B2310" t="s">
        <v>3621</v>
      </c>
      <c r="C2310" t="s">
        <v>6605</v>
      </c>
      <c r="D2310" t="str">
        <f>TRIM(alias[[#This Row],[Column3]])</f>
        <v>Medco Energi Internasional Tbk</v>
      </c>
      <c r="F2310" t="str">
        <f t="shared" si="36"/>
        <v>INSERT INTO stock_alias (stock, alias) VALUES ((SELECT id FROM stock WHERE ticker = 'MEDC'), 'Medco Energi Internasional Tbk') ON CONFLICT DO NOTHING;</v>
      </c>
    </row>
    <row r="2311" spans="1:6" x14ac:dyDescent="0.2">
      <c r="A2311" t="s">
        <v>832</v>
      </c>
      <c r="B2311" t="s">
        <v>3621</v>
      </c>
      <c r="C2311" t="s">
        <v>6606</v>
      </c>
      <c r="D2311" t="str">
        <f>TRIM(alias[[#This Row],[Column3]])</f>
        <v>PT Medco Energi Internasional</v>
      </c>
      <c r="F2311" t="str">
        <f t="shared" si="36"/>
        <v>INSERT INTO stock_alias (stock, alias) VALUES ((SELECT id FROM stock WHERE ticker = 'MEDC'), 'PT Medco Energi Internasional') ON CONFLICT DO NOTHING;</v>
      </c>
    </row>
    <row r="2312" spans="1:6" x14ac:dyDescent="0.2">
      <c r="A2312" t="s">
        <v>2170</v>
      </c>
      <c r="B2312" t="s">
        <v>2171</v>
      </c>
      <c r="C2312" t="s">
        <v>2170</v>
      </c>
      <c r="D2312" t="str">
        <f>TRIM(alias[[#This Row],[Column3]])</f>
        <v>MEDS</v>
      </c>
      <c r="F2312" t="str">
        <f t="shared" si="36"/>
        <v>INSERT INTO stock_alias (stock, alias) VALUES ((SELECT id FROM stock WHERE ticker = 'MEDS'), 'MEDS') ON CONFLICT DO NOTHING;</v>
      </c>
    </row>
    <row r="2313" spans="1:6" x14ac:dyDescent="0.2">
      <c r="A2313" t="s">
        <v>2170</v>
      </c>
      <c r="B2313" t="s">
        <v>2171</v>
      </c>
      <c r="C2313" t="s">
        <v>6607</v>
      </c>
      <c r="D2313" t="str">
        <f>TRIM(alias[[#This Row],[Column3]])</f>
        <v>Hetzer Medical Indonesia</v>
      </c>
      <c r="F2313" t="str">
        <f t="shared" si="36"/>
        <v>INSERT INTO stock_alias (stock, alias) VALUES ((SELECT id FROM stock WHERE ticker = 'MEDS'), 'Hetzer Medical Indonesia') ON CONFLICT DO NOTHING;</v>
      </c>
    </row>
    <row r="2314" spans="1:6" x14ac:dyDescent="0.2">
      <c r="A2314" t="s">
        <v>2170</v>
      </c>
      <c r="B2314" t="s">
        <v>2171</v>
      </c>
      <c r="C2314" t="s">
        <v>6608</v>
      </c>
      <c r="D2314" t="str">
        <f>TRIM(alias[[#This Row],[Column3]])</f>
        <v>Hetzer Medical Indonesia Tbk</v>
      </c>
      <c r="F2314" t="str">
        <f t="shared" si="36"/>
        <v>INSERT INTO stock_alias (stock, alias) VALUES ((SELECT id FROM stock WHERE ticker = 'MEDS'), 'Hetzer Medical Indonesia Tbk') ON CONFLICT DO NOTHING;</v>
      </c>
    </row>
    <row r="2315" spans="1:6" x14ac:dyDescent="0.2">
      <c r="A2315" t="s">
        <v>2170</v>
      </c>
      <c r="B2315" t="s">
        <v>2171</v>
      </c>
      <c r="C2315" t="s">
        <v>6609</v>
      </c>
      <c r="D2315" t="str">
        <f>TRIM(alias[[#This Row],[Column3]])</f>
        <v>PT Hetzer Medical Indonesia</v>
      </c>
      <c r="F2315" t="str">
        <f t="shared" si="36"/>
        <v>INSERT INTO stock_alias (stock, alias) VALUES ((SELECT id FROM stock WHERE ticker = 'MEDS'), 'PT Hetzer Medical Indonesia') ON CONFLICT DO NOTHING;</v>
      </c>
    </row>
    <row r="2316" spans="1:6" x14ac:dyDescent="0.2">
      <c r="A2316" t="s">
        <v>835</v>
      </c>
      <c r="B2316" t="s">
        <v>836</v>
      </c>
      <c r="C2316" t="s">
        <v>835</v>
      </c>
      <c r="D2316" t="str">
        <f>TRIM(alias[[#This Row],[Column3]])</f>
        <v>MEGA</v>
      </c>
      <c r="F2316" t="str">
        <f t="shared" si="36"/>
        <v>INSERT INTO stock_alias (stock, alias) VALUES ((SELECT id FROM stock WHERE ticker = 'MEGA'), 'MEGA') ON CONFLICT DO NOTHING;</v>
      </c>
    </row>
    <row r="2317" spans="1:6" x14ac:dyDescent="0.2">
      <c r="A2317" t="s">
        <v>835</v>
      </c>
      <c r="B2317" t="s">
        <v>836</v>
      </c>
      <c r="C2317" t="s">
        <v>6610</v>
      </c>
      <c r="D2317" t="str">
        <f>TRIM(alias[[#This Row],[Column3]])</f>
        <v>Bank Mega</v>
      </c>
      <c r="F2317" t="str">
        <f t="shared" si="36"/>
        <v>INSERT INTO stock_alias (stock, alias) VALUES ((SELECT id FROM stock WHERE ticker = 'MEGA'), 'Bank Mega') ON CONFLICT DO NOTHING;</v>
      </c>
    </row>
    <row r="2318" spans="1:6" x14ac:dyDescent="0.2">
      <c r="A2318" t="s">
        <v>835</v>
      </c>
      <c r="B2318" t="s">
        <v>836</v>
      </c>
      <c r="C2318" t="s">
        <v>6611</v>
      </c>
      <c r="D2318" t="str">
        <f>TRIM(alias[[#This Row],[Column3]])</f>
        <v>Bank Mega Tbk</v>
      </c>
      <c r="F2318" t="str">
        <f t="shared" si="36"/>
        <v>INSERT INTO stock_alias (stock, alias) VALUES ((SELECT id FROM stock WHERE ticker = 'MEGA'), 'Bank Mega Tbk') ON CONFLICT DO NOTHING;</v>
      </c>
    </row>
    <row r="2319" spans="1:6" x14ac:dyDescent="0.2">
      <c r="A2319" t="s">
        <v>835</v>
      </c>
      <c r="B2319" t="s">
        <v>836</v>
      </c>
      <c r="C2319" t="s">
        <v>6612</v>
      </c>
      <c r="D2319" t="str">
        <f>TRIM(alias[[#This Row],[Column3]])</f>
        <v>Mega</v>
      </c>
      <c r="F2319" t="str">
        <f t="shared" si="36"/>
        <v>INSERT INTO stock_alias (stock, alias) VALUES ((SELECT id FROM stock WHERE ticker = 'MEGA'), 'Mega') ON CONFLICT DO NOTHING;</v>
      </c>
    </row>
    <row r="2320" spans="1:6" x14ac:dyDescent="0.2">
      <c r="A2320" t="s">
        <v>835</v>
      </c>
      <c r="B2320" t="s">
        <v>836</v>
      </c>
      <c r="C2320" t="s">
        <v>6613</v>
      </c>
      <c r="D2320" t="str">
        <f>TRIM(alias[[#This Row],[Column3]])</f>
        <v>PT Bank Mega</v>
      </c>
      <c r="F2320" t="str">
        <f t="shared" si="36"/>
        <v>INSERT INTO stock_alias (stock, alias) VALUES ((SELECT id FROM stock WHERE ticker = 'MEGA'), 'PT Bank Mega') ON CONFLICT DO NOTHING;</v>
      </c>
    </row>
    <row r="2321" spans="1:6" x14ac:dyDescent="0.2">
      <c r="A2321" t="s">
        <v>2435</v>
      </c>
      <c r="B2321" t="s">
        <v>2436</v>
      </c>
      <c r="C2321" t="s">
        <v>2435</v>
      </c>
      <c r="D2321" t="str">
        <f>TRIM(alias[[#This Row],[Column3]])</f>
        <v>MEJA</v>
      </c>
      <c r="F2321" t="str">
        <f t="shared" si="36"/>
        <v>INSERT INTO stock_alias (stock, alias) VALUES ((SELECT id FROM stock WHERE ticker = 'MEJA'), 'MEJA') ON CONFLICT DO NOTHING;</v>
      </c>
    </row>
    <row r="2322" spans="1:6" x14ac:dyDescent="0.2">
      <c r="A2322" t="s">
        <v>2435</v>
      </c>
      <c r="B2322" t="s">
        <v>2436</v>
      </c>
      <c r="C2322" t="s">
        <v>6614</v>
      </c>
      <c r="D2322" t="str">
        <f>TRIM(alias[[#This Row],[Column3]])</f>
        <v>Harta Djaya Karya</v>
      </c>
      <c r="F2322" t="str">
        <f t="shared" si="36"/>
        <v>INSERT INTO stock_alias (stock, alias) VALUES ((SELECT id FROM stock WHERE ticker = 'MEJA'), 'Harta Djaya Karya') ON CONFLICT DO NOTHING;</v>
      </c>
    </row>
    <row r="2323" spans="1:6" x14ac:dyDescent="0.2">
      <c r="A2323" t="s">
        <v>2435</v>
      </c>
      <c r="B2323" t="s">
        <v>2436</v>
      </c>
      <c r="C2323" t="s">
        <v>6615</v>
      </c>
      <c r="D2323" t="str">
        <f>TRIM(alias[[#This Row],[Column3]])</f>
        <v>Harta Djaya Karya Tbk</v>
      </c>
      <c r="F2323" t="str">
        <f t="shared" si="36"/>
        <v>INSERT INTO stock_alias (stock, alias) VALUES ((SELECT id FROM stock WHERE ticker = 'MEJA'), 'Harta Djaya Karya Tbk') ON CONFLICT DO NOTHING;</v>
      </c>
    </row>
    <row r="2324" spans="1:6" x14ac:dyDescent="0.2">
      <c r="A2324" t="s">
        <v>2435</v>
      </c>
      <c r="B2324" t="s">
        <v>2436</v>
      </c>
      <c r="C2324" t="s">
        <v>6616</v>
      </c>
      <c r="D2324" t="str">
        <f>TRIM(alias[[#This Row],[Column3]])</f>
        <v>PT Harta Djaya Karya</v>
      </c>
      <c r="F2324" t="str">
        <f t="shared" si="36"/>
        <v>INSERT INTO stock_alias (stock, alias) VALUES ((SELECT id FROM stock WHERE ticker = 'MEJA'), 'PT Harta Djaya Karya') ON CONFLICT DO NOTHING;</v>
      </c>
    </row>
    <row r="2325" spans="1:6" x14ac:dyDescent="0.2">
      <c r="A2325" t="s">
        <v>2610</v>
      </c>
      <c r="B2325" t="s">
        <v>2611</v>
      </c>
      <c r="C2325" t="s">
        <v>2610</v>
      </c>
      <c r="D2325" t="str">
        <f>TRIM(alias[[#This Row],[Column3]])</f>
        <v>MENN</v>
      </c>
      <c r="F2325" t="str">
        <f t="shared" si="36"/>
        <v>INSERT INTO stock_alias (stock, alias) VALUES ((SELECT id FROM stock WHERE ticker = 'MENN'), 'MENN') ON CONFLICT DO NOTHING;</v>
      </c>
    </row>
    <row r="2326" spans="1:6" x14ac:dyDescent="0.2">
      <c r="A2326" t="s">
        <v>2610</v>
      </c>
      <c r="B2326" t="s">
        <v>2611</v>
      </c>
      <c r="C2326" t="s">
        <v>6617</v>
      </c>
      <c r="D2326" t="str">
        <f>TRIM(alias[[#This Row],[Column3]])</f>
        <v>Menn Teknologi Indonesia</v>
      </c>
      <c r="F2326" t="str">
        <f t="shared" si="36"/>
        <v>INSERT INTO stock_alias (stock, alias) VALUES ((SELECT id FROM stock WHERE ticker = 'MENN'), 'Menn Teknologi Indonesia') ON CONFLICT DO NOTHING;</v>
      </c>
    </row>
    <row r="2327" spans="1:6" x14ac:dyDescent="0.2">
      <c r="A2327" t="s">
        <v>2610</v>
      </c>
      <c r="B2327" t="s">
        <v>2611</v>
      </c>
      <c r="C2327" t="s">
        <v>6618</v>
      </c>
      <c r="D2327" t="str">
        <f>TRIM(alias[[#This Row],[Column3]])</f>
        <v>Menn Teknologi Indonesia Tbk</v>
      </c>
      <c r="F2327" t="str">
        <f t="shared" si="36"/>
        <v>INSERT INTO stock_alias (stock, alias) VALUES ((SELECT id FROM stock WHERE ticker = 'MENN'), 'Menn Teknologi Indonesia Tbk') ON CONFLICT DO NOTHING;</v>
      </c>
    </row>
    <row r="2328" spans="1:6" x14ac:dyDescent="0.2">
      <c r="A2328" t="s">
        <v>2610</v>
      </c>
      <c r="B2328" t="s">
        <v>2611</v>
      </c>
      <c r="C2328" t="s">
        <v>6619</v>
      </c>
      <c r="D2328" t="str">
        <f>TRIM(alias[[#This Row],[Column3]])</f>
        <v>PT Menn Teknologi Indonesia</v>
      </c>
      <c r="F2328" t="str">
        <f t="shared" si="36"/>
        <v>INSERT INTO stock_alias (stock, alias) VALUES ((SELECT id FROM stock WHERE ticker = 'MENN'), 'PT Menn Teknologi Indonesia') ON CONFLICT DO NOTHING;</v>
      </c>
    </row>
    <row r="2329" spans="1:6" x14ac:dyDescent="0.2">
      <c r="A2329" t="s">
        <v>2550</v>
      </c>
      <c r="B2329" t="s">
        <v>2551</v>
      </c>
      <c r="C2329" t="s">
        <v>2550</v>
      </c>
      <c r="D2329" t="str">
        <f>TRIM(alias[[#This Row],[Column3]])</f>
        <v>MERI</v>
      </c>
      <c r="F2329" t="str">
        <f t="shared" si="36"/>
        <v>INSERT INTO stock_alias (stock, alias) VALUES ((SELECT id FROM stock WHERE ticker = 'MERI'), 'MERI') ON CONFLICT DO NOTHING;</v>
      </c>
    </row>
    <row r="2330" spans="1:6" x14ac:dyDescent="0.2">
      <c r="A2330" t="s">
        <v>2550</v>
      </c>
      <c r="B2330" t="s">
        <v>2551</v>
      </c>
      <c r="C2330" t="s">
        <v>6620</v>
      </c>
      <c r="D2330" t="str">
        <f>TRIM(alias[[#This Row],[Column3]])</f>
        <v>Merry Riana Edukasi</v>
      </c>
      <c r="F2330" t="str">
        <f t="shared" si="36"/>
        <v>INSERT INTO stock_alias (stock, alias) VALUES ((SELECT id FROM stock WHERE ticker = 'MERI'), 'Merry Riana Edukasi') ON CONFLICT DO NOTHING;</v>
      </c>
    </row>
    <row r="2331" spans="1:6" x14ac:dyDescent="0.2">
      <c r="A2331" t="s">
        <v>2550</v>
      </c>
      <c r="B2331" t="s">
        <v>2551</v>
      </c>
      <c r="C2331" t="s">
        <v>6621</v>
      </c>
      <c r="D2331" t="str">
        <f>TRIM(alias[[#This Row],[Column3]])</f>
        <v>Merry Riana Edukasi Tbk</v>
      </c>
      <c r="F2331" t="str">
        <f t="shared" si="36"/>
        <v>INSERT INTO stock_alias (stock, alias) VALUES ((SELECT id FROM stock WHERE ticker = 'MERI'), 'Merry Riana Edukasi Tbk') ON CONFLICT DO NOTHING;</v>
      </c>
    </row>
    <row r="2332" spans="1:6" x14ac:dyDescent="0.2">
      <c r="A2332" t="s">
        <v>2550</v>
      </c>
      <c r="B2332" t="s">
        <v>2551</v>
      </c>
      <c r="C2332" t="s">
        <v>6622</v>
      </c>
      <c r="D2332" t="str">
        <f>TRIM(alias[[#This Row],[Column3]])</f>
        <v>PT Merry Riana Edukasi</v>
      </c>
      <c r="F2332" t="str">
        <f t="shared" si="36"/>
        <v>INSERT INTO stock_alias (stock, alias) VALUES ((SELECT id FROM stock WHERE ticker = 'MERI'), 'PT Merry Riana Edukasi') ON CONFLICT DO NOTHING;</v>
      </c>
    </row>
    <row r="2333" spans="1:6" x14ac:dyDescent="0.2">
      <c r="A2333" t="s">
        <v>838</v>
      </c>
      <c r="B2333" t="s">
        <v>839</v>
      </c>
      <c r="C2333" t="s">
        <v>6623</v>
      </c>
      <c r="D2333" t="str">
        <f>TRIM(alias[[#This Row],[Column3]])</f>
        <v>MERK Tbk</v>
      </c>
      <c r="F2333" t="str">
        <f t="shared" si="36"/>
        <v>INSERT INTO stock_alias (stock, alias) VALUES ((SELECT id FROM stock WHERE ticker = 'MERK'), 'MERK Tbk') ON CONFLICT DO NOTHING;</v>
      </c>
    </row>
    <row r="2334" spans="1:6" x14ac:dyDescent="0.2">
      <c r="A2334" t="s">
        <v>838</v>
      </c>
      <c r="B2334" t="s">
        <v>839</v>
      </c>
      <c r="C2334" t="s">
        <v>6624</v>
      </c>
      <c r="D2334" t="str">
        <f>TRIM(alias[[#This Row],[Column3]])</f>
        <v>PT Merck</v>
      </c>
      <c r="F2334" t="str">
        <f t="shared" si="36"/>
        <v>INSERT INTO stock_alias (stock, alias) VALUES ((SELECT id FROM stock WHERE ticker = 'MERK'), 'PT Merck') ON CONFLICT DO NOTHING;</v>
      </c>
    </row>
    <row r="2335" spans="1:6" x14ac:dyDescent="0.2">
      <c r="A2335" t="s">
        <v>841</v>
      </c>
      <c r="B2335" t="s">
        <v>842</v>
      </c>
      <c r="C2335" t="s">
        <v>841</v>
      </c>
      <c r="D2335" t="str">
        <f>TRIM(alias[[#This Row],[Column3]])</f>
        <v>META</v>
      </c>
      <c r="F2335" t="str">
        <f t="shared" si="36"/>
        <v>INSERT INTO stock_alias (stock, alias) VALUES ((SELECT id FROM stock WHERE ticker = 'META'), 'META') ON CONFLICT DO NOTHING;</v>
      </c>
    </row>
    <row r="2336" spans="1:6" x14ac:dyDescent="0.2">
      <c r="A2336" t="s">
        <v>841</v>
      </c>
      <c r="B2336" t="s">
        <v>842</v>
      </c>
      <c r="C2336" t="s">
        <v>6625</v>
      </c>
      <c r="D2336" t="str">
        <f>TRIM(alias[[#This Row],[Column3]])</f>
        <v>Nusantara Infrastructure</v>
      </c>
      <c r="F2336" t="str">
        <f t="shared" si="36"/>
        <v>INSERT INTO stock_alias (stock, alias) VALUES ((SELECT id FROM stock WHERE ticker = 'META'), 'Nusantara Infrastructure') ON CONFLICT DO NOTHING;</v>
      </c>
    </row>
    <row r="2337" spans="1:6" x14ac:dyDescent="0.2">
      <c r="A2337" t="s">
        <v>841</v>
      </c>
      <c r="B2337" t="s">
        <v>842</v>
      </c>
      <c r="C2337" t="s">
        <v>6626</v>
      </c>
      <c r="D2337" t="str">
        <f>TRIM(alias[[#This Row],[Column3]])</f>
        <v>Nusantara Infrastructure Tbk</v>
      </c>
      <c r="F2337" t="str">
        <f t="shared" si="36"/>
        <v>INSERT INTO stock_alias (stock, alias) VALUES ((SELECT id FROM stock WHERE ticker = 'META'), 'Nusantara Infrastructure Tbk') ON CONFLICT DO NOTHING;</v>
      </c>
    </row>
    <row r="2338" spans="1:6" x14ac:dyDescent="0.2">
      <c r="A2338" t="s">
        <v>841</v>
      </c>
      <c r="B2338" t="s">
        <v>842</v>
      </c>
      <c r="C2338" t="s">
        <v>6627</v>
      </c>
      <c r="D2338" t="str">
        <f>TRIM(alias[[#This Row],[Column3]])</f>
        <v>PT Nusantara Infrastructure</v>
      </c>
      <c r="F2338" t="str">
        <f t="shared" si="36"/>
        <v>INSERT INTO stock_alias (stock, alias) VALUES ((SELECT id FROM stock WHERE ticker = 'META'), 'PT Nusantara Infrastructure') ON CONFLICT DO NOTHING;</v>
      </c>
    </row>
    <row r="2339" spans="1:6" x14ac:dyDescent="0.2">
      <c r="A2339" t="s">
        <v>844</v>
      </c>
      <c r="B2339" t="s">
        <v>3622</v>
      </c>
      <c r="C2339" t="s">
        <v>844</v>
      </c>
      <c r="D2339" t="str">
        <f>TRIM(alias[[#This Row],[Column3]])</f>
        <v>MFMI</v>
      </c>
      <c r="F2339" t="str">
        <f t="shared" si="36"/>
        <v>INSERT INTO stock_alias (stock, alias) VALUES ((SELECT id FROM stock WHERE ticker = 'MFMI'), 'MFMI') ON CONFLICT DO NOTHING;</v>
      </c>
    </row>
    <row r="2340" spans="1:6" x14ac:dyDescent="0.2">
      <c r="A2340" t="s">
        <v>844</v>
      </c>
      <c r="B2340" t="s">
        <v>3622</v>
      </c>
      <c r="C2340" t="s">
        <v>6628</v>
      </c>
      <c r="D2340" t="str">
        <f>TRIM(alias[[#This Row],[Column3]])</f>
        <v>Multifiling Mitra Indonesia</v>
      </c>
      <c r="F2340" t="str">
        <f t="shared" si="36"/>
        <v>INSERT INTO stock_alias (stock, alias) VALUES ((SELECT id FROM stock WHERE ticker = 'MFMI'), 'Multifiling Mitra Indonesia') ON CONFLICT DO NOTHING;</v>
      </c>
    </row>
    <row r="2341" spans="1:6" x14ac:dyDescent="0.2">
      <c r="A2341" t="s">
        <v>844</v>
      </c>
      <c r="B2341" t="s">
        <v>3622</v>
      </c>
      <c r="C2341" t="s">
        <v>6629</v>
      </c>
      <c r="D2341" t="str">
        <f>TRIM(alias[[#This Row],[Column3]])</f>
        <v>Multifiling Mitra Indonesia Tbk</v>
      </c>
      <c r="F2341" t="str">
        <f t="shared" si="36"/>
        <v>INSERT INTO stock_alias (stock, alias) VALUES ((SELECT id FROM stock WHERE ticker = 'MFMI'), 'Multifiling Mitra Indonesia Tbk') ON CONFLICT DO NOTHING;</v>
      </c>
    </row>
    <row r="2342" spans="1:6" x14ac:dyDescent="0.2">
      <c r="A2342" t="s">
        <v>844</v>
      </c>
      <c r="B2342" t="s">
        <v>3622</v>
      </c>
      <c r="C2342" t="s">
        <v>6630</v>
      </c>
      <c r="D2342" t="str">
        <f>TRIM(alias[[#This Row],[Column3]])</f>
        <v>PT Multifiling Mitra Indonesia</v>
      </c>
      <c r="F2342" t="str">
        <f t="shared" si="36"/>
        <v>INSERT INTO stock_alias (stock, alias) VALUES ((SELECT id FROM stock WHERE ticker = 'MFMI'), 'PT Multifiling Mitra Indonesia') ON CONFLICT DO NOTHING;</v>
      </c>
    </row>
    <row r="2343" spans="1:6" x14ac:dyDescent="0.2">
      <c r="A2343" t="s">
        <v>1951</v>
      </c>
      <c r="B2343" t="s">
        <v>1952</v>
      </c>
      <c r="C2343" t="s">
        <v>1951</v>
      </c>
      <c r="D2343" t="str">
        <f>TRIM(alias[[#This Row],[Column3]])</f>
        <v>MGLV</v>
      </c>
      <c r="F2343" t="str">
        <f t="shared" si="36"/>
        <v>INSERT INTO stock_alias (stock, alias) VALUES ((SELECT id FROM stock WHERE ticker = 'MGLV'), 'MGLV') ON CONFLICT DO NOTHING;</v>
      </c>
    </row>
    <row r="2344" spans="1:6" x14ac:dyDescent="0.2">
      <c r="A2344" t="s">
        <v>1951</v>
      </c>
      <c r="B2344" t="s">
        <v>1952</v>
      </c>
      <c r="C2344" t="s">
        <v>6631</v>
      </c>
      <c r="D2344" t="str">
        <f>TRIM(alias[[#This Row],[Column3]])</f>
        <v>PT Panca Anugrah Wisesa</v>
      </c>
      <c r="F2344" t="str">
        <f t="shared" si="36"/>
        <v>INSERT INTO stock_alias (stock, alias) VALUES ((SELECT id FROM stock WHERE ticker = 'MGLV'), 'PT Panca Anugrah Wisesa') ON CONFLICT DO NOTHING;</v>
      </c>
    </row>
    <row r="2345" spans="1:6" x14ac:dyDescent="0.2">
      <c r="A2345" t="s">
        <v>1951</v>
      </c>
      <c r="B2345" t="s">
        <v>1952</v>
      </c>
      <c r="C2345" t="s">
        <v>6632</v>
      </c>
      <c r="D2345" t="str">
        <f>TRIM(alias[[#This Row],[Column3]])</f>
        <v>Panca Anugrah Wisesa</v>
      </c>
      <c r="F2345" t="str">
        <f t="shared" si="36"/>
        <v>INSERT INTO stock_alias (stock, alias) VALUES ((SELECT id FROM stock WHERE ticker = 'MGLV'), 'Panca Anugrah Wisesa') ON CONFLICT DO NOTHING;</v>
      </c>
    </row>
    <row r="2346" spans="1:6" x14ac:dyDescent="0.2">
      <c r="A2346" t="s">
        <v>1951</v>
      </c>
      <c r="B2346" t="s">
        <v>1952</v>
      </c>
      <c r="C2346" t="s">
        <v>6633</v>
      </c>
      <c r="D2346" t="str">
        <f>TRIM(alias[[#This Row],[Column3]])</f>
        <v>Panca Anugrah Wisesa Tbk</v>
      </c>
      <c r="F2346" t="str">
        <f t="shared" si="36"/>
        <v>INSERT INTO stock_alias (stock, alias) VALUES ((SELECT id FROM stock WHERE ticker = 'MGLV'), 'Panca Anugrah Wisesa Tbk') ON CONFLICT DO NOTHING;</v>
      </c>
    </row>
    <row r="2347" spans="1:6" x14ac:dyDescent="0.2">
      <c r="A2347" t="s">
        <v>846</v>
      </c>
      <c r="B2347" t="s">
        <v>847</v>
      </c>
      <c r="C2347" t="s">
        <v>846</v>
      </c>
      <c r="D2347" t="str">
        <f>TRIM(alias[[#This Row],[Column3]])</f>
        <v>MGNA</v>
      </c>
      <c r="F2347" t="str">
        <f t="shared" si="36"/>
        <v>INSERT INTO stock_alias (stock, alias) VALUES ((SELECT id FROM stock WHERE ticker = 'MGNA'), 'MGNA') ON CONFLICT DO NOTHING;</v>
      </c>
    </row>
    <row r="2348" spans="1:6" x14ac:dyDescent="0.2">
      <c r="A2348" t="s">
        <v>846</v>
      </c>
      <c r="B2348" t="s">
        <v>847</v>
      </c>
      <c r="C2348" t="s">
        <v>6634</v>
      </c>
      <c r="D2348" t="str">
        <f>TRIM(alias[[#This Row],[Column3]])</f>
        <v>Magna Investama Mandiri</v>
      </c>
      <c r="F2348" t="str">
        <f t="shared" si="36"/>
        <v>INSERT INTO stock_alias (stock, alias) VALUES ((SELECT id FROM stock WHERE ticker = 'MGNA'), 'Magna Investama Mandiri') ON CONFLICT DO NOTHING;</v>
      </c>
    </row>
    <row r="2349" spans="1:6" x14ac:dyDescent="0.2">
      <c r="A2349" t="s">
        <v>846</v>
      </c>
      <c r="B2349" t="s">
        <v>847</v>
      </c>
      <c r="C2349" t="s">
        <v>6635</v>
      </c>
      <c r="D2349" t="str">
        <f>TRIM(alias[[#This Row],[Column3]])</f>
        <v>Magna Investama Mandiri Tbk</v>
      </c>
      <c r="F2349" t="str">
        <f t="shared" si="36"/>
        <v>INSERT INTO stock_alias (stock, alias) VALUES ((SELECT id FROM stock WHERE ticker = 'MGNA'), 'Magna Investama Mandiri Tbk') ON CONFLICT DO NOTHING;</v>
      </c>
    </row>
    <row r="2350" spans="1:6" x14ac:dyDescent="0.2">
      <c r="A2350" t="s">
        <v>846</v>
      </c>
      <c r="B2350" t="s">
        <v>847</v>
      </c>
      <c r="C2350" t="s">
        <v>6636</v>
      </c>
      <c r="D2350" t="str">
        <f>TRIM(alias[[#This Row],[Column3]])</f>
        <v>PT Magna Investama Mandiri</v>
      </c>
      <c r="F2350" t="str">
        <f t="shared" si="36"/>
        <v>INSERT INTO stock_alias (stock, alias) VALUES ((SELECT id FROM stock WHERE ticker = 'MGNA'), 'PT Magna Investama Mandiri') ON CONFLICT DO NOTHING;</v>
      </c>
    </row>
    <row r="2351" spans="1:6" x14ac:dyDescent="0.2">
      <c r="A2351" t="s">
        <v>1562</v>
      </c>
      <c r="B2351" t="s">
        <v>1563</v>
      </c>
      <c r="C2351" t="s">
        <v>1562</v>
      </c>
      <c r="D2351" t="str">
        <f>TRIM(alias[[#This Row],[Column3]])</f>
        <v>MGRO</v>
      </c>
      <c r="F2351" t="str">
        <f t="shared" si="36"/>
        <v>INSERT INTO stock_alias (stock, alias) VALUES ((SELECT id FROM stock WHERE ticker = 'MGRO'), 'MGRO') ON CONFLICT DO NOTHING;</v>
      </c>
    </row>
    <row r="2352" spans="1:6" x14ac:dyDescent="0.2">
      <c r="A2352" t="s">
        <v>1562</v>
      </c>
      <c r="B2352" t="s">
        <v>1563</v>
      </c>
      <c r="C2352" t="s">
        <v>6637</v>
      </c>
      <c r="D2352" t="str">
        <f>TRIM(alias[[#This Row],[Column3]])</f>
        <v>Mahkota Group</v>
      </c>
      <c r="F2352" t="str">
        <f t="shared" si="36"/>
        <v>INSERT INTO stock_alias (stock, alias) VALUES ((SELECT id FROM stock WHERE ticker = 'MGRO'), 'Mahkota Group') ON CONFLICT DO NOTHING;</v>
      </c>
    </row>
    <row r="2353" spans="1:6" x14ac:dyDescent="0.2">
      <c r="A2353" t="s">
        <v>1562</v>
      </c>
      <c r="B2353" t="s">
        <v>1563</v>
      </c>
      <c r="C2353" t="s">
        <v>6638</v>
      </c>
      <c r="D2353" t="str">
        <f>TRIM(alias[[#This Row],[Column3]])</f>
        <v>Mahkota Group Tbk</v>
      </c>
      <c r="F2353" t="str">
        <f t="shared" si="36"/>
        <v>INSERT INTO stock_alias (stock, alias) VALUES ((SELECT id FROM stock WHERE ticker = 'MGRO'), 'Mahkota Group Tbk') ON CONFLICT DO NOTHING;</v>
      </c>
    </row>
    <row r="2354" spans="1:6" x14ac:dyDescent="0.2">
      <c r="A2354" t="s">
        <v>1562</v>
      </c>
      <c r="B2354" t="s">
        <v>1563</v>
      </c>
      <c r="C2354" t="s">
        <v>6639</v>
      </c>
      <c r="D2354" t="str">
        <f>TRIM(alias[[#This Row],[Column3]])</f>
        <v>PT Mahkota Group</v>
      </c>
      <c r="F2354" t="str">
        <f t="shared" si="36"/>
        <v>INSERT INTO stock_alias (stock, alias) VALUES ((SELECT id FROM stock WHERE ticker = 'MGRO'), 'PT Mahkota Group') ON CONFLICT DO NOTHING;</v>
      </c>
    </row>
    <row r="2355" spans="1:6" x14ac:dyDescent="0.2">
      <c r="A2355" t="s">
        <v>2453</v>
      </c>
      <c r="B2355" t="s">
        <v>2454</v>
      </c>
      <c r="C2355" t="s">
        <v>2453</v>
      </c>
      <c r="D2355" t="str">
        <f>TRIM(alias[[#This Row],[Column3]])</f>
        <v>MHKI</v>
      </c>
      <c r="F2355" t="str">
        <f t="shared" si="36"/>
        <v>INSERT INTO stock_alias (stock, alias) VALUES ((SELECT id FROM stock WHERE ticker = 'MHKI'), 'MHKI') ON CONFLICT DO NOTHING;</v>
      </c>
    </row>
    <row r="2356" spans="1:6" x14ac:dyDescent="0.2">
      <c r="A2356" t="s">
        <v>2453</v>
      </c>
      <c r="B2356" t="s">
        <v>2454</v>
      </c>
      <c r="C2356" t="s">
        <v>6640</v>
      </c>
      <c r="D2356" t="str">
        <f>TRIM(alias[[#This Row],[Column3]])</f>
        <v>Multi Hanna Kreasindo</v>
      </c>
      <c r="F2356" t="str">
        <f t="shared" si="36"/>
        <v>INSERT INTO stock_alias (stock, alias) VALUES ((SELECT id FROM stock WHERE ticker = 'MHKI'), 'Multi Hanna Kreasindo') ON CONFLICT DO NOTHING;</v>
      </c>
    </row>
    <row r="2357" spans="1:6" x14ac:dyDescent="0.2">
      <c r="A2357" t="s">
        <v>2453</v>
      </c>
      <c r="B2357" t="s">
        <v>2454</v>
      </c>
      <c r="C2357" t="s">
        <v>6641</v>
      </c>
      <c r="D2357" t="str">
        <f>TRIM(alias[[#This Row],[Column3]])</f>
        <v>Multi Hanna Kreasindo Tbk</v>
      </c>
      <c r="F2357" t="str">
        <f t="shared" si="36"/>
        <v>INSERT INTO stock_alias (stock, alias) VALUES ((SELECT id FROM stock WHERE ticker = 'MHKI'), 'Multi Hanna Kreasindo Tbk') ON CONFLICT DO NOTHING;</v>
      </c>
    </row>
    <row r="2358" spans="1:6" x14ac:dyDescent="0.2">
      <c r="A2358" t="s">
        <v>2453</v>
      </c>
      <c r="B2358" t="s">
        <v>2454</v>
      </c>
      <c r="C2358" t="s">
        <v>6642</v>
      </c>
      <c r="D2358" t="str">
        <f>TRIM(alias[[#This Row],[Column3]])</f>
        <v>PT Multi Hanna Kreasindo</v>
      </c>
      <c r="F2358" t="str">
        <f t="shared" si="36"/>
        <v>INSERT INTO stock_alias (stock, alias) VALUES ((SELECT id FROM stock WHERE ticker = 'MHKI'), 'PT Multi Hanna Kreasindo') ON CONFLICT DO NOTHING;</v>
      </c>
    </row>
    <row r="2359" spans="1:6" x14ac:dyDescent="0.2">
      <c r="A2359" t="s">
        <v>849</v>
      </c>
      <c r="B2359" t="s">
        <v>850</v>
      </c>
      <c r="C2359" t="s">
        <v>849</v>
      </c>
      <c r="D2359" t="str">
        <f>TRIM(alias[[#This Row],[Column3]])</f>
        <v>MICE</v>
      </c>
      <c r="F2359" t="str">
        <f t="shared" si="36"/>
        <v>INSERT INTO stock_alias (stock, alias) VALUES ((SELECT id FROM stock WHERE ticker = 'MICE'), 'MICE') ON CONFLICT DO NOTHING;</v>
      </c>
    </row>
    <row r="2360" spans="1:6" x14ac:dyDescent="0.2">
      <c r="A2360" t="s">
        <v>849</v>
      </c>
      <c r="B2360" t="s">
        <v>850</v>
      </c>
      <c r="C2360" t="s">
        <v>6643</v>
      </c>
      <c r="D2360" t="str">
        <f>TRIM(alias[[#This Row],[Column3]])</f>
        <v>Multi Indocitra</v>
      </c>
      <c r="F2360" t="str">
        <f t="shared" si="36"/>
        <v>INSERT INTO stock_alias (stock, alias) VALUES ((SELECT id FROM stock WHERE ticker = 'MICE'), 'Multi Indocitra') ON CONFLICT DO NOTHING;</v>
      </c>
    </row>
    <row r="2361" spans="1:6" x14ac:dyDescent="0.2">
      <c r="A2361" t="s">
        <v>849</v>
      </c>
      <c r="B2361" t="s">
        <v>850</v>
      </c>
      <c r="C2361" t="s">
        <v>6644</v>
      </c>
      <c r="D2361" t="str">
        <f>TRIM(alias[[#This Row],[Column3]])</f>
        <v>Multi Indocitra Tbk</v>
      </c>
      <c r="F2361" t="str">
        <f t="shared" si="36"/>
        <v>INSERT INTO stock_alias (stock, alias) VALUES ((SELECT id FROM stock WHERE ticker = 'MICE'), 'Multi Indocitra Tbk') ON CONFLICT DO NOTHING;</v>
      </c>
    </row>
    <row r="2362" spans="1:6" x14ac:dyDescent="0.2">
      <c r="A2362" t="s">
        <v>849</v>
      </c>
      <c r="B2362" t="s">
        <v>850</v>
      </c>
      <c r="C2362" t="s">
        <v>6645</v>
      </c>
      <c r="D2362" t="str">
        <f>TRIM(alias[[#This Row],[Column3]])</f>
        <v>PT Multi Indocitra</v>
      </c>
      <c r="F2362" t="str">
        <f t="shared" si="36"/>
        <v>INSERT INTO stock_alias (stock, alias) VALUES ((SELECT id FROM stock WHERE ticker = 'MICE'), 'PT Multi Indocitra') ON CONFLICT DO NOTHING;</v>
      </c>
    </row>
    <row r="2363" spans="1:6" x14ac:dyDescent="0.2">
      <c r="A2363" t="s">
        <v>852</v>
      </c>
      <c r="B2363" t="s">
        <v>853</v>
      </c>
      <c r="C2363" t="s">
        <v>852</v>
      </c>
      <c r="D2363" t="str">
        <f>TRIM(alias[[#This Row],[Column3]])</f>
        <v>MIDI</v>
      </c>
      <c r="F2363" t="str">
        <f t="shared" si="36"/>
        <v>INSERT INTO stock_alias (stock, alias) VALUES ((SELECT id FROM stock WHERE ticker = 'MIDI'), 'MIDI') ON CONFLICT DO NOTHING;</v>
      </c>
    </row>
    <row r="2364" spans="1:6" x14ac:dyDescent="0.2">
      <c r="A2364" t="s">
        <v>852</v>
      </c>
      <c r="B2364" t="s">
        <v>853</v>
      </c>
      <c r="C2364" t="s">
        <v>6646</v>
      </c>
      <c r="D2364" t="str">
        <f>TRIM(alias[[#This Row],[Column3]])</f>
        <v>Midi Utama Indonesia</v>
      </c>
      <c r="F2364" t="str">
        <f t="shared" si="36"/>
        <v>INSERT INTO stock_alias (stock, alias) VALUES ((SELECT id FROM stock WHERE ticker = 'MIDI'), 'Midi Utama Indonesia') ON CONFLICT DO NOTHING;</v>
      </c>
    </row>
    <row r="2365" spans="1:6" x14ac:dyDescent="0.2">
      <c r="A2365" t="s">
        <v>852</v>
      </c>
      <c r="B2365" t="s">
        <v>853</v>
      </c>
      <c r="C2365" t="s">
        <v>6647</v>
      </c>
      <c r="D2365" t="str">
        <f>TRIM(alias[[#This Row],[Column3]])</f>
        <v>Midi Utama Indonesia Tbk</v>
      </c>
      <c r="F2365" t="str">
        <f t="shared" si="36"/>
        <v>INSERT INTO stock_alias (stock, alias) VALUES ((SELECT id FROM stock WHERE ticker = 'MIDI'), 'Midi Utama Indonesia Tbk') ON CONFLICT DO NOTHING;</v>
      </c>
    </row>
    <row r="2366" spans="1:6" x14ac:dyDescent="0.2">
      <c r="A2366" t="s">
        <v>852</v>
      </c>
      <c r="B2366" t="s">
        <v>853</v>
      </c>
      <c r="C2366" t="s">
        <v>6648</v>
      </c>
      <c r="D2366" t="str">
        <f>TRIM(alias[[#This Row],[Column3]])</f>
        <v>PT Midi Utama Indonesia</v>
      </c>
      <c r="F2366" t="str">
        <f t="shared" si="36"/>
        <v>INSERT INTO stock_alias (stock, alias) VALUES ((SELECT id FROM stock WHERE ticker = 'MIDI'), 'PT Midi Utama Indonesia') ON CONFLICT DO NOTHING;</v>
      </c>
    </row>
    <row r="2367" spans="1:6" x14ac:dyDescent="0.2">
      <c r="A2367" t="s">
        <v>855</v>
      </c>
      <c r="B2367" t="s">
        <v>856</v>
      </c>
      <c r="C2367" t="s">
        <v>855</v>
      </c>
      <c r="D2367" t="str">
        <f>TRIM(alias[[#This Row],[Column3]])</f>
        <v>MIKA</v>
      </c>
      <c r="F2367" t="str">
        <f t="shared" si="36"/>
        <v>INSERT INTO stock_alias (stock, alias) VALUES ((SELECT id FROM stock WHERE ticker = 'MIKA'), 'MIKA') ON CONFLICT DO NOTHING;</v>
      </c>
    </row>
    <row r="2368" spans="1:6" x14ac:dyDescent="0.2">
      <c r="A2368" t="s">
        <v>855</v>
      </c>
      <c r="B2368" t="s">
        <v>856</v>
      </c>
      <c r="C2368" t="s">
        <v>6649</v>
      </c>
      <c r="D2368" t="str">
        <f>TRIM(alias[[#This Row],[Column3]])</f>
        <v>Mitra Keluarga Karyasehat</v>
      </c>
      <c r="F2368" t="str">
        <f t="shared" si="36"/>
        <v>INSERT INTO stock_alias (stock, alias) VALUES ((SELECT id FROM stock WHERE ticker = 'MIKA'), 'Mitra Keluarga Karyasehat') ON CONFLICT DO NOTHING;</v>
      </c>
    </row>
    <row r="2369" spans="1:6" x14ac:dyDescent="0.2">
      <c r="A2369" t="s">
        <v>855</v>
      </c>
      <c r="B2369" t="s">
        <v>856</v>
      </c>
      <c r="C2369" t="s">
        <v>6650</v>
      </c>
      <c r="D2369" t="str">
        <f>TRIM(alias[[#This Row],[Column3]])</f>
        <v>Mitra Keluarga Karyasehat Tbk</v>
      </c>
      <c r="F2369" t="str">
        <f t="shared" si="36"/>
        <v>INSERT INTO stock_alias (stock, alias) VALUES ((SELECT id FROM stock WHERE ticker = 'MIKA'), 'Mitra Keluarga Karyasehat Tbk') ON CONFLICT DO NOTHING;</v>
      </c>
    </row>
    <row r="2370" spans="1:6" x14ac:dyDescent="0.2">
      <c r="A2370" t="s">
        <v>855</v>
      </c>
      <c r="B2370" t="s">
        <v>856</v>
      </c>
      <c r="C2370" t="s">
        <v>6651</v>
      </c>
      <c r="D2370" t="str">
        <f>TRIM(alias[[#This Row],[Column3]])</f>
        <v>PT Mitra Keluarga Karyasehat</v>
      </c>
      <c r="F2370" t="str">
        <f t="shared" si="36"/>
        <v>INSERT INTO stock_alias (stock, alias) VALUES ((SELECT id FROM stock WHERE ticker = 'MIKA'), 'PT Mitra Keluarga Karyasehat') ON CONFLICT DO NOTHING;</v>
      </c>
    </row>
    <row r="2371" spans="1:6" x14ac:dyDescent="0.2">
      <c r="A2371" t="s">
        <v>1396</v>
      </c>
      <c r="B2371" t="s">
        <v>1397</v>
      </c>
      <c r="C2371" t="s">
        <v>1396</v>
      </c>
      <c r="D2371" t="str">
        <f>TRIM(alias[[#This Row],[Column3]])</f>
        <v>MINA</v>
      </c>
      <c r="F2371" t="str">
        <f t="shared" ref="F2371:F2434" si="37">_xlfn.CONCAT($F$1, _xlfn.CONCAT($G$1, A2371, "'), '", D2371, "') ON CONFLICT DO NOTHING;"))</f>
        <v>INSERT INTO stock_alias (stock, alias) VALUES ((SELECT id FROM stock WHERE ticker = 'MINA'), 'MINA') ON CONFLICT DO NOTHING;</v>
      </c>
    </row>
    <row r="2372" spans="1:6" x14ac:dyDescent="0.2">
      <c r="A2372" t="s">
        <v>1396</v>
      </c>
      <c r="B2372" t="s">
        <v>1397</v>
      </c>
      <c r="C2372" t="s">
        <v>6652</v>
      </c>
      <c r="D2372" t="str">
        <f>TRIM(alias[[#This Row],[Column3]])</f>
        <v>PT Sanurhasta Mitra</v>
      </c>
      <c r="F2372" t="str">
        <f t="shared" si="37"/>
        <v>INSERT INTO stock_alias (stock, alias) VALUES ((SELECT id FROM stock WHERE ticker = 'MINA'), 'PT Sanurhasta Mitra') ON CONFLICT DO NOTHING;</v>
      </c>
    </row>
    <row r="2373" spans="1:6" x14ac:dyDescent="0.2">
      <c r="A2373" t="s">
        <v>1396</v>
      </c>
      <c r="B2373" t="s">
        <v>1397</v>
      </c>
      <c r="C2373" t="s">
        <v>6653</v>
      </c>
      <c r="D2373" t="str">
        <f>TRIM(alias[[#This Row],[Column3]])</f>
        <v>Sanurhasta Mitra</v>
      </c>
      <c r="F2373" t="str">
        <f t="shared" si="37"/>
        <v>INSERT INTO stock_alias (stock, alias) VALUES ((SELECT id FROM stock WHERE ticker = 'MINA'), 'Sanurhasta Mitra') ON CONFLICT DO NOTHING;</v>
      </c>
    </row>
    <row r="2374" spans="1:6" x14ac:dyDescent="0.2">
      <c r="A2374" t="s">
        <v>1396</v>
      </c>
      <c r="B2374" t="s">
        <v>1397</v>
      </c>
      <c r="C2374" t="s">
        <v>6654</v>
      </c>
      <c r="D2374" t="str">
        <f>TRIM(alias[[#This Row],[Column3]])</f>
        <v>Sanurhasta Mitra Tbk</v>
      </c>
      <c r="F2374" t="str">
        <f t="shared" si="37"/>
        <v>INSERT INTO stock_alias (stock, alias) VALUES ((SELECT id FROM stock WHERE ticker = 'MINA'), 'Sanurhasta Mitra Tbk') ON CONFLICT DO NOTHING;</v>
      </c>
    </row>
    <row r="2375" spans="1:6" x14ac:dyDescent="0.2">
      <c r="A2375" t="s">
        <v>2533</v>
      </c>
      <c r="B2375" t="s">
        <v>2534</v>
      </c>
      <c r="C2375" t="s">
        <v>2533</v>
      </c>
      <c r="D2375" t="str">
        <f>TRIM(alias[[#This Row],[Column3]])</f>
        <v>MINE</v>
      </c>
      <c r="F2375" t="str">
        <f t="shared" si="37"/>
        <v>INSERT INTO stock_alias (stock, alias) VALUES ((SELECT id FROM stock WHERE ticker = 'MINE'), 'MINE') ON CONFLICT DO NOTHING;</v>
      </c>
    </row>
    <row r="2376" spans="1:6" x14ac:dyDescent="0.2">
      <c r="A2376" t="s">
        <v>2533</v>
      </c>
      <c r="B2376" t="s">
        <v>2534</v>
      </c>
      <c r="C2376" t="s">
        <v>6655</v>
      </c>
      <c r="D2376" t="str">
        <f>TRIM(alias[[#This Row],[Column3]])</f>
        <v>PT Sinar Terang Mandiri</v>
      </c>
      <c r="F2376" t="str">
        <f t="shared" si="37"/>
        <v>INSERT INTO stock_alias (stock, alias) VALUES ((SELECT id FROM stock WHERE ticker = 'MINE'), 'PT Sinar Terang Mandiri') ON CONFLICT DO NOTHING;</v>
      </c>
    </row>
    <row r="2377" spans="1:6" x14ac:dyDescent="0.2">
      <c r="A2377" t="s">
        <v>2533</v>
      </c>
      <c r="B2377" t="s">
        <v>2534</v>
      </c>
      <c r="C2377" t="s">
        <v>6656</v>
      </c>
      <c r="D2377" t="str">
        <f>TRIM(alias[[#This Row],[Column3]])</f>
        <v>Sinar Terang Mandiri</v>
      </c>
      <c r="F2377" t="str">
        <f t="shared" si="37"/>
        <v>INSERT INTO stock_alias (stock, alias) VALUES ((SELECT id FROM stock WHERE ticker = 'MINE'), 'Sinar Terang Mandiri') ON CONFLICT DO NOTHING;</v>
      </c>
    </row>
    <row r="2378" spans="1:6" x14ac:dyDescent="0.2">
      <c r="A2378" t="s">
        <v>2533</v>
      </c>
      <c r="B2378" t="s">
        <v>2534</v>
      </c>
      <c r="C2378" t="s">
        <v>6657</v>
      </c>
      <c r="D2378" t="str">
        <f>TRIM(alias[[#This Row],[Column3]])</f>
        <v>Sinar Terang Mandiri Tbk</v>
      </c>
      <c r="F2378" t="str">
        <f t="shared" si="37"/>
        <v>INSERT INTO stock_alias (stock, alias) VALUES ((SELECT id FROM stock WHERE ticker = 'MINE'), 'Sinar Terang Mandiri Tbk') ON CONFLICT DO NOTHING;</v>
      </c>
    </row>
    <row r="2379" spans="1:6" x14ac:dyDescent="0.2">
      <c r="A2379" t="s">
        <v>858</v>
      </c>
      <c r="B2379" t="s">
        <v>3623</v>
      </c>
      <c r="C2379" t="s">
        <v>858</v>
      </c>
      <c r="D2379" t="str">
        <f>TRIM(alias[[#This Row],[Column3]])</f>
        <v>MIRA</v>
      </c>
      <c r="F2379" t="str">
        <f t="shared" si="37"/>
        <v>INSERT INTO stock_alias (stock, alias) VALUES ((SELECT id FROM stock WHERE ticker = 'MIRA'), 'MIRA') ON CONFLICT DO NOTHING;</v>
      </c>
    </row>
    <row r="2380" spans="1:6" x14ac:dyDescent="0.2">
      <c r="A2380" t="s">
        <v>858</v>
      </c>
      <c r="B2380" t="s">
        <v>3623</v>
      </c>
      <c r="C2380" t="s">
        <v>6658</v>
      </c>
      <c r="D2380" t="str">
        <f>TRIM(alias[[#This Row],[Column3]])</f>
        <v>Mitra International Resources</v>
      </c>
      <c r="F2380" t="str">
        <f t="shared" si="37"/>
        <v>INSERT INTO stock_alias (stock, alias) VALUES ((SELECT id FROM stock WHERE ticker = 'MIRA'), 'Mitra International Resources') ON CONFLICT DO NOTHING;</v>
      </c>
    </row>
    <row r="2381" spans="1:6" x14ac:dyDescent="0.2">
      <c r="A2381" t="s">
        <v>858</v>
      </c>
      <c r="B2381" t="s">
        <v>3623</v>
      </c>
      <c r="C2381" t="s">
        <v>6659</v>
      </c>
      <c r="D2381" t="str">
        <f>TRIM(alias[[#This Row],[Column3]])</f>
        <v>Mitra International Resources Tbk</v>
      </c>
      <c r="F2381" t="str">
        <f t="shared" si="37"/>
        <v>INSERT INTO stock_alias (stock, alias) VALUES ((SELECT id FROM stock WHERE ticker = 'MIRA'), 'Mitra International Resources Tbk') ON CONFLICT DO NOTHING;</v>
      </c>
    </row>
    <row r="2382" spans="1:6" x14ac:dyDescent="0.2">
      <c r="A2382" t="s">
        <v>858</v>
      </c>
      <c r="B2382" t="s">
        <v>3623</v>
      </c>
      <c r="C2382" t="s">
        <v>6660</v>
      </c>
      <c r="D2382" t="str">
        <f>TRIM(alias[[#This Row],[Column3]])</f>
        <v>PT Mitra International Resources</v>
      </c>
      <c r="F2382" t="str">
        <f t="shared" si="37"/>
        <v>INSERT INTO stock_alias (stock, alias) VALUES ((SELECT id FROM stock WHERE ticker = 'MIRA'), 'PT Mitra International Resources') ON CONFLICT DO NOTHING;</v>
      </c>
    </row>
    <row r="2383" spans="1:6" x14ac:dyDescent="0.2">
      <c r="A2383" t="s">
        <v>860</v>
      </c>
      <c r="B2383" t="s">
        <v>861</v>
      </c>
      <c r="C2383" t="s">
        <v>860</v>
      </c>
      <c r="D2383" t="str">
        <f>TRIM(alias[[#This Row],[Column3]])</f>
        <v>MITI</v>
      </c>
      <c r="F2383" t="str">
        <f t="shared" si="37"/>
        <v>INSERT INTO stock_alias (stock, alias) VALUES ((SELECT id FROM stock WHERE ticker = 'MITI'), 'MITI') ON CONFLICT DO NOTHING;</v>
      </c>
    </row>
    <row r="2384" spans="1:6" x14ac:dyDescent="0.2">
      <c r="A2384" t="s">
        <v>860</v>
      </c>
      <c r="B2384" t="s">
        <v>861</v>
      </c>
      <c r="C2384" t="s">
        <v>6661</v>
      </c>
      <c r="D2384" t="str">
        <f>TRIM(alias[[#This Row],[Column3]])</f>
        <v>Mitra Investindo</v>
      </c>
      <c r="F2384" t="str">
        <f t="shared" si="37"/>
        <v>INSERT INTO stock_alias (stock, alias) VALUES ((SELECT id FROM stock WHERE ticker = 'MITI'), 'Mitra Investindo') ON CONFLICT DO NOTHING;</v>
      </c>
    </row>
    <row r="2385" spans="1:6" x14ac:dyDescent="0.2">
      <c r="A2385" t="s">
        <v>860</v>
      </c>
      <c r="B2385" t="s">
        <v>861</v>
      </c>
      <c r="C2385" t="s">
        <v>6662</v>
      </c>
      <c r="D2385" t="str">
        <f>TRIM(alias[[#This Row],[Column3]])</f>
        <v>Mitra Investindo Tbk</v>
      </c>
      <c r="F2385" t="str">
        <f t="shared" si="37"/>
        <v>INSERT INTO stock_alias (stock, alias) VALUES ((SELECT id FROM stock WHERE ticker = 'MITI'), 'Mitra Investindo Tbk') ON CONFLICT DO NOTHING;</v>
      </c>
    </row>
    <row r="2386" spans="1:6" x14ac:dyDescent="0.2">
      <c r="A2386" t="s">
        <v>860</v>
      </c>
      <c r="B2386" t="s">
        <v>861</v>
      </c>
      <c r="C2386" t="s">
        <v>6663</v>
      </c>
      <c r="D2386" t="str">
        <f>TRIM(alias[[#This Row],[Column3]])</f>
        <v>PT Mitra Investindo</v>
      </c>
      <c r="F2386" t="str">
        <f t="shared" si="37"/>
        <v>INSERT INTO stock_alias (stock, alias) VALUES ((SELECT id FROM stock WHERE ticker = 'MITI'), 'PT Mitra Investindo') ON CONFLICT DO NOTHING;</v>
      </c>
    </row>
    <row r="2387" spans="1:6" x14ac:dyDescent="0.2">
      <c r="A2387" t="s">
        <v>2433</v>
      </c>
      <c r="B2387" t="s">
        <v>3624</v>
      </c>
      <c r="C2387" t="s">
        <v>2433</v>
      </c>
      <c r="D2387" t="str">
        <f>TRIM(alias[[#This Row],[Column3]])</f>
        <v>MKAP</v>
      </c>
      <c r="F2387" t="str">
        <f t="shared" si="37"/>
        <v>INSERT INTO stock_alias (stock, alias) VALUES ((SELECT id FROM stock WHERE ticker = 'MKAP'), 'MKAP') ON CONFLICT DO NOTHING;</v>
      </c>
    </row>
    <row r="2388" spans="1:6" x14ac:dyDescent="0.2">
      <c r="A2388" t="s">
        <v>2433</v>
      </c>
      <c r="B2388" t="s">
        <v>3624</v>
      </c>
      <c r="C2388" t="s">
        <v>6664</v>
      </c>
      <c r="D2388" t="str">
        <f>TRIM(alias[[#This Row],[Column3]])</f>
        <v>Multikarya Asia Pasifik Raya</v>
      </c>
      <c r="F2388" t="str">
        <f t="shared" si="37"/>
        <v>INSERT INTO stock_alias (stock, alias) VALUES ((SELECT id FROM stock WHERE ticker = 'MKAP'), 'Multikarya Asia Pasifik Raya') ON CONFLICT DO NOTHING;</v>
      </c>
    </row>
    <row r="2389" spans="1:6" x14ac:dyDescent="0.2">
      <c r="A2389" t="s">
        <v>2433</v>
      </c>
      <c r="B2389" t="s">
        <v>3624</v>
      </c>
      <c r="C2389" t="s">
        <v>6665</v>
      </c>
      <c r="D2389" t="str">
        <f>TRIM(alias[[#This Row],[Column3]])</f>
        <v>Multikarya Asia Pasifik Raya Tbk</v>
      </c>
      <c r="F2389" t="str">
        <f t="shared" si="37"/>
        <v>INSERT INTO stock_alias (stock, alias) VALUES ((SELECT id FROM stock WHERE ticker = 'MKAP'), 'Multikarya Asia Pasifik Raya Tbk') ON CONFLICT DO NOTHING;</v>
      </c>
    </row>
    <row r="2390" spans="1:6" x14ac:dyDescent="0.2">
      <c r="A2390" t="s">
        <v>2433</v>
      </c>
      <c r="B2390" t="s">
        <v>3624</v>
      </c>
      <c r="C2390" t="s">
        <v>6666</v>
      </c>
      <c r="D2390" t="str">
        <f>TRIM(alias[[#This Row],[Column3]])</f>
        <v>PT Multikarya Asia Pasifik Raya</v>
      </c>
      <c r="F2390" t="str">
        <f t="shared" si="37"/>
        <v>INSERT INTO stock_alias (stock, alias) VALUES ((SELECT id FROM stock WHERE ticker = 'MKAP'), 'PT Multikarya Asia Pasifik Raya') ON CONFLICT DO NOTHING;</v>
      </c>
    </row>
    <row r="2391" spans="1:6" x14ac:dyDescent="0.2">
      <c r="A2391" t="s">
        <v>1364</v>
      </c>
      <c r="B2391" t="s">
        <v>3625</v>
      </c>
      <c r="C2391" t="s">
        <v>1364</v>
      </c>
      <c r="D2391" t="str">
        <f>TRIM(alias[[#This Row],[Column3]])</f>
        <v>MKNT</v>
      </c>
      <c r="F2391" t="str">
        <f t="shared" si="37"/>
        <v>INSERT INTO stock_alias (stock, alias) VALUES ((SELECT id FROM stock WHERE ticker = 'MKNT'), 'MKNT') ON CONFLICT DO NOTHING;</v>
      </c>
    </row>
    <row r="2392" spans="1:6" x14ac:dyDescent="0.2">
      <c r="A2392" t="s">
        <v>1364</v>
      </c>
      <c r="B2392" t="s">
        <v>3625</v>
      </c>
      <c r="C2392" t="s">
        <v>6667</v>
      </c>
      <c r="D2392" t="str">
        <f>TRIM(alias[[#This Row],[Column3]])</f>
        <v>Mitra Komunikasi Nusantara</v>
      </c>
      <c r="F2392" t="str">
        <f t="shared" si="37"/>
        <v>INSERT INTO stock_alias (stock, alias) VALUES ((SELECT id FROM stock WHERE ticker = 'MKNT'), 'Mitra Komunikasi Nusantara') ON CONFLICT DO NOTHING;</v>
      </c>
    </row>
    <row r="2393" spans="1:6" x14ac:dyDescent="0.2">
      <c r="A2393" t="s">
        <v>1364</v>
      </c>
      <c r="B2393" t="s">
        <v>3625</v>
      </c>
      <c r="C2393" t="s">
        <v>6668</v>
      </c>
      <c r="D2393" t="str">
        <f>TRIM(alias[[#This Row],[Column3]])</f>
        <v>Mitra Komunikasi Nusantara Tbk</v>
      </c>
      <c r="F2393" t="str">
        <f t="shared" si="37"/>
        <v>INSERT INTO stock_alias (stock, alias) VALUES ((SELECT id FROM stock WHERE ticker = 'MKNT'), 'Mitra Komunikasi Nusantara Tbk') ON CONFLICT DO NOTHING;</v>
      </c>
    </row>
    <row r="2394" spans="1:6" x14ac:dyDescent="0.2">
      <c r="A2394" t="s">
        <v>1364</v>
      </c>
      <c r="B2394" t="s">
        <v>3625</v>
      </c>
      <c r="C2394" t="s">
        <v>6669</v>
      </c>
      <c r="D2394" t="str">
        <f>TRIM(alias[[#This Row],[Column3]])</f>
        <v>PT Mitra Komunikasi Nusantara</v>
      </c>
      <c r="F2394" t="str">
        <f t="shared" si="37"/>
        <v>INSERT INTO stock_alias (stock, alias) VALUES ((SELECT id FROM stock WHERE ticker = 'MKNT'), 'PT Mitra Komunikasi Nusantara') ON CONFLICT DO NOTHING;</v>
      </c>
    </row>
    <row r="2395" spans="1:6" x14ac:dyDescent="0.2">
      <c r="A2395" t="s">
        <v>863</v>
      </c>
      <c r="B2395" t="s">
        <v>864</v>
      </c>
      <c r="C2395" t="s">
        <v>863</v>
      </c>
      <c r="D2395" t="str">
        <f>TRIM(alias[[#This Row],[Column3]])</f>
        <v>MKPI</v>
      </c>
      <c r="F2395" t="str">
        <f t="shared" si="37"/>
        <v>INSERT INTO stock_alias (stock, alias) VALUES ((SELECT id FROM stock WHERE ticker = 'MKPI'), 'MKPI') ON CONFLICT DO NOTHING;</v>
      </c>
    </row>
    <row r="2396" spans="1:6" x14ac:dyDescent="0.2">
      <c r="A2396" t="s">
        <v>863</v>
      </c>
      <c r="B2396" t="s">
        <v>864</v>
      </c>
      <c r="C2396" t="s">
        <v>6670</v>
      </c>
      <c r="D2396" t="str">
        <f>TRIM(alias[[#This Row],[Column3]])</f>
        <v>Metropolitan Kentjana</v>
      </c>
      <c r="F2396" t="str">
        <f t="shared" si="37"/>
        <v>INSERT INTO stock_alias (stock, alias) VALUES ((SELECT id FROM stock WHERE ticker = 'MKPI'), 'Metropolitan Kentjana') ON CONFLICT DO NOTHING;</v>
      </c>
    </row>
    <row r="2397" spans="1:6" x14ac:dyDescent="0.2">
      <c r="A2397" t="s">
        <v>863</v>
      </c>
      <c r="B2397" t="s">
        <v>864</v>
      </c>
      <c r="C2397" t="s">
        <v>6671</v>
      </c>
      <c r="D2397" t="str">
        <f>TRIM(alias[[#This Row],[Column3]])</f>
        <v>Metropolitan Kentjana Tbk</v>
      </c>
      <c r="F2397" t="str">
        <f t="shared" si="37"/>
        <v>INSERT INTO stock_alias (stock, alias) VALUES ((SELECT id FROM stock WHERE ticker = 'MKPI'), 'Metropolitan Kentjana Tbk') ON CONFLICT DO NOTHING;</v>
      </c>
    </row>
    <row r="2398" spans="1:6" x14ac:dyDescent="0.2">
      <c r="A2398" t="s">
        <v>863</v>
      </c>
      <c r="B2398" t="s">
        <v>864</v>
      </c>
      <c r="C2398" t="s">
        <v>6672</v>
      </c>
      <c r="D2398" t="str">
        <f>TRIM(alias[[#This Row],[Column3]])</f>
        <v>PT Metropolitan Kentjana</v>
      </c>
      <c r="F2398" t="str">
        <f t="shared" si="37"/>
        <v>INSERT INTO stock_alias (stock, alias) VALUES ((SELECT id FROM stock WHERE ticker = 'MKPI'), 'PT Metropolitan Kentjana') ON CONFLICT DO NOTHING;</v>
      </c>
    </row>
    <row r="2399" spans="1:6" x14ac:dyDescent="0.2">
      <c r="A2399" t="s">
        <v>2184</v>
      </c>
      <c r="B2399" t="s">
        <v>2185</v>
      </c>
      <c r="C2399" t="s">
        <v>2184</v>
      </c>
      <c r="D2399" t="str">
        <f>TRIM(alias[[#This Row],[Column3]])</f>
        <v>MKTR</v>
      </c>
      <c r="F2399" t="str">
        <f t="shared" si="37"/>
        <v>INSERT INTO stock_alias (stock, alias) VALUES ((SELECT id FROM stock WHERE ticker = 'MKTR'), 'MKTR') ON CONFLICT DO NOTHING;</v>
      </c>
    </row>
    <row r="2400" spans="1:6" x14ac:dyDescent="0.2">
      <c r="A2400" t="s">
        <v>2184</v>
      </c>
      <c r="B2400" t="s">
        <v>2185</v>
      </c>
      <c r="C2400" t="s">
        <v>6673</v>
      </c>
      <c r="D2400" t="str">
        <f>TRIM(alias[[#This Row],[Column3]])</f>
        <v>Menthobi Karyatama Raya</v>
      </c>
      <c r="F2400" t="str">
        <f t="shared" si="37"/>
        <v>INSERT INTO stock_alias (stock, alias) VALUES ((SELECT id FROM stock WHERE ticker = 'MKTR'), 'Menthobi Karyatama Raya') ON CONFLICT DO NOTHING;</v>
      </c>
    </row>
    <row r="2401" spans="1:6" x14ac:dyDescent="0.2">
      <c r="A2401" t="s">
        <v>2184</v>
      </c>
      <c r="B2401" t="s">
        <v>2185</v>
      </c>
      <c r="C2401" t="s">
        <v>6674</v>
      </c>
      <c r="D2401" t="str">
        <f>TRIM(alias[[#This Row],[Column3]])</f>
        <v>Menthobi Karyatama Raya Tbk</v>
      </c>
      <c r="F2401" t="str">
        <f t="shared" si="37"/>
        <v>INSERT INTO stock_alias (stock, alias) VALUES ((SELECT id FROM stock WHERE ticker = 'MKTR'), 'Menthobi Karyatama Raya Tbk') ON CONFLICT DO NOTHING;</v>
      </c>
    </row>
    <row r="2402" spans="1:6" x14ac:dyDescent="0.2">
      <c r="A2402" t="s">
        <v>2184</v>
      </c>
      <c r="B2402" t="s">
        <v>2185</v>
      </c>
      <c r="C2402" t="s">
        <v>6675</v>
      </c>
      <c r="D2402" t="str">
        <f>TRIM(alias[[#This Row],[Column3]])</f>
        <v>PT Menthobi Karyatama Raya</v>
      </c>
      <c r="F2402" t="str">
        <f t="shared" si="37"/>
        <v>INSERT INTO stock_alias (stock, alias) VALUES ((SELECT id FROM stock WHERE ticker = 'MKTR'), 'PT Menthobi Karyatama Raya') ON CONFLICT DO NOTHING;</v>
      </c>
    </row>
    <row r="2403" spans="1:6" x14ac:dyDescent="0.2">
      <c r="A2403" t="s">
        <v>866</v>
      </c>
      <c r="B2403" t="s">
        <v>867</v>
      </c>
      <c r="C2403" t="s">
        <v>866</v>
      </c>
      <c r="D2403" t="str">
        <f>TRIM(alias[[#This Row],[Column3]])</f>
        <v>MLBI</v>
      </c>
      <c r="F2403" t="str">
        <f t="shared" si="37"/>
        <v>INSERT INTO stock_alias (stock, alias) VALUES ((SELECT id FROM stock WHERE ticker = 'MLBI'), 'MLBI') ON CONFLICT DO NOTHING;</v>
      </c>
    </row>
    <row r="2404" spans="1:6" x14ac:dyDescent="0.2">
      <c r="A2404" t="s">
        <v>866</v>
      </c>
      <c r="B2404" t="s">
        <v>867</v>
      </c>
      <c r="C2404" t="s">
        <v>6676</v>
      </c>
      <c r="D2404" t="str">
        <f>TRIM(alias[[#This Row],[Column3]])</f>
        <v>Multi Bintang Indonesia</v>
      </c>
      <c r="F2404" t="str">
        <f t="shared" si="37"/>
        <v>INSERT INTO stock_alias (stock, alias) VALUES ((SELECT id FROM stock WHERE ticker = 'MLBI'), 'Multi Bintang Indonesia') ON CONFLICT DO NOTHING;</v>
      </c>
    </row>
    <row r="2405" spans="1:6" x14ac:dyDescent="0.2">
      <c r="A2405" t="s">
        <v>866</v>
      </c>
      <c r="B2405" t="s">
        <v>867</v>
      </c>
      <c r="C2405" t="s">
        <v>6677</v>
      </c>
      <c r="D2405" t="str">
        <f>TRIM(alias[[#This Row],[Column3]])</f>
        <v>Multi Bintang Indonesia Tbk</v>
      </c>
      <c r="F2405" t="str">
        <f t="shared" si="37"/>
        <v>INSERT INTO stock_alias (stock, alias) VALUES ((SELECT id FROM stock WHERE ticker = 'MLBI'), 'Multi Bintang Indonesia Tbk') ON CONFLICT DO NOTHING;</v>
      </c>
    </row>
    <row r="2406" spans="1:6" x14ac:dyDescent="0.2">
      <c r="A2406" t="s">
        <v>866</v>
      </c>
      <c r="B2406" t="s">
        <v>867</v>
      </c>
      <c r="C2406" t="s">
        <v>6678</v>
      </c>
      <c r="D2406" t="str">
        <f>TRIM(alias[[#This Row],[Column3]])</f>
        <v>PT Multi Bintang Indonesia</v>
      </c>
      <c r="F2406" t="str">
        <f t="shared" si="37"/>
        <v>INSERT INTO stock_alias (stock, alias) VALUES ((SELECT id FROM stock WHERE ticker = 'MLBI'), 'PT Multi Bintang Indonesia') ON CONFLICT DO NOTHING;</v>
      </c>
    </row>
    <row r="2407" spans="1:6" x14ac:dyDescent="0.2">
      <c r="A2407" t="s">
        <v>869</v>
      </c>
      <c r="B2407" t="s">
        <v>3626</v>
      </c>
      <c r="C2407" t="s">
        <v>869</v>
      </c>
      <c r="D2407" t="str">
        <f>TRIM(alias[[#This Row],[Column3]])</f>
        <v>MLIA</v>
      </c>
      <c r="F2407" t="str">
        <f t="shared" si="37"/>
        <v>INSERT INTO stock_alias (stock, alias) VALUES ((SELECT id FROM stock WHERE ticker = 'MLIA'), 'MLIA') ON CONFLICT DO NOTHING;</v>
      </c>
    </row>
    <row r="2408" spans="1:6" x14ac:dyDescent="0.2">
      <c r="A2408" t="s">
        <v>869</v>
      </c>
      <c r="B2408" t="s">
        <v>3626</v>
      </c>
      <c r="C2408" t="s">
        <v>6679</v>
      </c>
      <c r="D2408" t="str">
        <f>TRIM(alias[[#This Row],[Column3]])</f>
        <v>Mulia Industrindo</v>
      </c>
      <c r="F2408" t="str">
        <f t="shared" si="37"/>
        <v>INSERT INTO stock_alias (stock, alias) VALUES ((SELECT id FROM stock WHERE ticker = 'MLIA'), 'Mulia Industrindo') ON CONFLICT DO NOTHING;</v>
      </c>
    </row>
    <row r="2409" spans="1:6" x14ac:dyDescent="0.2">
      <c r="A2409" t="s">
        <v>869</v>
      </c>
      <c r="B2409" t="s">
        <v>3626</v>
      </c>
      <c r="C2409" t="s">
        <v>6680</v>
      </c>
      <c r="D2409" t="str">
        <f>TRIM(alias[[#This Row],[Column3]])</f>
        <v>Mulia Industrindo Tbk</v>
      </c>
      <c r="F2409" t="str">
        <f t="shared" si="37"/>
        <v>INSERT INTO stock_alias (stock, alias) VALUES ((SELECT id FROM stock WHERE ticker = 'MLIA'), 'Mulia Industrindo Tbk') ON CONFLICT DO NOTHING;</v>
      </c>
    </row>
    <row r="2410" spans="1:6" x14ac:dyDescent="0.2">
      <c r="A2410" t="s">
        <v>869</v>
      </c>
      <c r="B2410" t="s">
        <v>3626</v>
      </c>
      <c r="C2410" t="s">
        <v>6681</v>
      </c>
      <c r="D2410" t="str">
        <f>TRIM(alias[[#This Row],[Column3]])</f>
        <v>PT Mulia Industrindo</v>
      </c>
      <c r="F2410" t="str">
        <f t="shared" si="37"/>
        <v>INSERT INTO stock_alias (stock, alias) VALUES ((SELECT id FROM stock WHERE ticker = 'MLIA'), 'PT Mulia Industrindo') ON CONFLICT DO NOTHING;</v>
      </c>
    </row>
    <row r="2411" spans="1:6" x14ac:dyDescent="0.2">
      <c r="A2411" t="s">
        <v>872</v>
      </c>
      <c r="B2411" t="s">
        <v>873</v>
      </c>
      <c r="C2411" t="s">
        <v>6682</v>
      </c>
      <c r="D2411" t="str">
        <f>TRIM(alias[[#This Row],[Column3]])</f>
        <v>MLPL Tbk</v>
      </c>
      <c r="F2411" t="str">
        <f t="shared" si="37"/>
        <v>INSERT INTO stock_alias (stock, alias) VALUES ((SELECT id FROM stock WHERE ticker = 'MLPL'), 'MLPL Tbk') ON CONFLICT DO NOTHING;</v>
      </c>
    </row>
    <row r="2412" spans="1:6" x14ac:dyDescent="0.2">
      <c r="A2412" t="s">
        <v>872</v>
      </c>
      <c r="B2412" t="s">
        <v>873</v>
      </c>
      <c r="C2412" t="s">
        <v>6683</v>
      </c>
      <c r="D2412" t="str">
        <f>TRIM(alias[[#This Row],[Column3]])</f>
        <v>PT Multipolar</v>
      </c>
      <c r="F2412" t="str">
        <f t="shared" si="37"/>
        <v>INSERT INTO stock_alias (stock, alias) VALUES ((SELECT id FROM stock WHERE ticker = 'MLPL'), 'PT Multipolar') ON CONFLICT DO NOTHING;</v>
      </c>
    </row>
    <row r="2413" spans="1:6" x14ac:dyDescent="0.2">
      <c r="A2413" t="s">
        <v>875</v>
      </c>
      <c r="B2413" t="s">
        <v>876</v>
      </c>
      <c r="C2413" t="s">
        <v>875</v>
      </c>
      <c r="D2413" t="str">
        <f>TRIM(alias[[#This Row],[Column3]])</f>
        <v>MLPT</v>
      </c>
      <c r="F2413" t="str">
        <f t="shared" si="37"/>
        <v>INSERT INTO stock_alias (stock, alias) VALUES ((SELECT id FROM stock WHERE ticker = 'MLPT'), 'MLPT') ON CONFLICT DO NOTHING;</v>
      </c>
    </row>
    <row r="2414" spans="1:6" x14ac:dyDescent="0.2">
      <c r="A2414" t="s">
        <v>875</v>
      </c>
      <c r="B2414" t="s">
        <v>876</v>
      </c>
      <c r="C2414" t="s">
        <v>6684</v>
      </c>
      <c r="D2414" t="str">
        <f>TRIM(alias[[#This Row],[Column3]])</f>
        <v>Multipolar Technology</v>
      </c>
      <c r="F2414" t="str">
        <f t="shared" si="37"/>
        <v>INSERT INTO stock_alias (stock, alias) VALUES ((SELECT id FROM stock WHERE ticker = 'MLPT'), 'Multipolar Technology') ON CONFLICT DO NOTHING;</v>
      </c>
    </row>
    <row r="2415" spans="1:6" x14ac:dyDescent="0.2">
      <c r="A2415" t="s">
        <v>875</v>
      </c>
      <c r="B2415" t="s">
        <v>876</v>
      </c>
      <c r="C2415" t="s">
        <v>6685</v>
      </c>
      <c r="D2415" t="str">
        <f>TRIM(alias[[#This Row],[Column3]])</f>
        <v>Multipolar Technology Tbk</v>
      </c>
      <c r="F2415" t="str">
        <f t="shared" si="37"/>
        <v>INSERT INTO stock_alias (stock, alias) VALUES ((SELECT id FROM stock WHERE ticker = 'MLPT'), 'Multipolar Technology Tbk') ON CONFLICT DO NOTHING;</v>
      </c>
    </row>
    <row r="2416" spans="1:6" x14ac:dyDescent="0.2">
      <c r="A2416" t="s">
        <v>875</v>
      </c>
      <c r="B2416" t="s">
        <v>876</v>
      </c>
      <c r="C2416" t="s">
        <v>6686</v>
      </c>
      <c r="D2416" t="str">
        <f>TRIM(alias[[#This Row],[Column3]])</f>
        <v>PT Multipolar Technology</v>
      </c>
      <c r="F2416" t="str">
        <f t="shared" si="37"/>
        <v>INSERT INTO stock_alias (stock, alias) VALUES ((SELECT id FROM stock WHERE ticker = 'MLPT'), 'PT Multipolar Technology') ON CONFLICT DO NOTHING;</v>
      </c>
    </row>
    <row r="2417" spans="1:6" x14ac:dyDescent="0.2">
      <c r="A2417" t="s">
        <v>2205</v>
      </c>
      <c r="B2417" t="s">
        <v>3627</v>
      </c>
      <c r="C2417" t="s">
        <v>2205</v>
      </c>
      <c r="D2417" t="str">
        <f>TRIM(alias[[#This Row],[Column3]])</f>
        <v>MMIX</v>
      </c>
      <c r="F2417" t="str">
        <f t="shared" si="37"/>
        <v>INSERT INTO stock_alias (stock, alias) VALUES ((SELECT id FROM stock WHERE ticker = 'MMIX'), 'MMIX') ON CONFLICT DO NOTHING;</v>
      </c>
    </row>
    <row r="2418" spans="1:6" x14ac:dyDescent="0.2">
      <c r="A2418" t="s">
        <v>2205</v>
      </c>
      <c r="B2418" t="s">
        <v>3627</v>
      </c>
      <c r="C2418" t="s">
        <v>6687</v>
      </c>
      <c r="D2418" t="str">
        <f>TRIM(alias[[#This Row],[Column3]])</f>
        <v>Multi Medika Internasional</v>
      </c>
      <c r="F2418" t="str">
        <f t="shared" si="37"/>
        <v>INSERT INTO stock_alias (stock, alias) VALUES ((SELECT id FROM stock WHERE ticker = 'MMIX'), 'Multi Medika Internasional') ON CONFLICT DO NOTHING;</v>
      </c>
    </row>
    <row r="2419" spans="1:6" x14ac:dyDescent="0.2">
      <c r="A2419" t="s">
        <v>2205</v>
      </c>
      <c r="B2419" t="s">
        <v>3627</v>
      </c>
      <c r="C2419" t="s">
        <v>6688</v>
      </c>
      <c r="D2419" t="str">
        <f>TRIM(alias[[#This Row],[Column3]])</f>
        <v>Multi Medika Internasional Tbk</v>
      </c>
      <c r="F2419" t="str">
        <f t="shared" si="37"/>
        <v>INSERT INTO stock_alias (stock, alias) VALUES ((SELECT id FROM stock WHERE ticker = 'MMIX'), 'Multi Medika Internasional Tbk') ON CONFLICT DO NOTHING;</v>
      </c>
    </row>
    <row r="2420" spans="1:6" x14ac:dyDescent="0.2">
      <c r="A2420" t="s">
        <v>2205</v>
      </c>
      <c r="B2420" t="s">
        <v>3627</v>
      </c>
      <c r="C2420" t="s">
        <v>6689</v>
      </c>
      <c r="D2420" t="str">
        <f>TRIM(alias[[#This Row],[Column3]])</f>
        <v>PT Multi Medika Internasional</v>
      </c>
      <c r="F2420" t="str">
        <f t="shared" si="37"/>
        <v>INSERT INTO stock_alias (stock, alias) VALUES ((SELECT id FROM stock WHERE ticker = 'MMIX'), 'PT Multi Medika Internasional') ON CONFLICT DO NOTHING;</v>
      </c>
    </row>
    <row r="2421" spans="1:6" x14ac:dyDescent="0.2">
      <c r="A2421" t="s">
        <v>878</v>
      </c>
      <c r="B2421" t="s">
        <v>879</v>
      </c>
      <c r="C2421" t="s">
        <v>878</v>
      </c>
      <c r="D2421" t="str">
        <f>TRIM(alias[[#This Row],[Column3]])</f>
        <v>MMLP</v>
      </c>
      <c r="F2421" t="str">
        <f t="shared" si="37"/>
        <v>INSERT INTO stock_alias (stock, alias) VALUES ((SELECT id FROM stock WHERE ticker = 'MMLP'), 'MMLP') ON CONFLICT DO NOTHING;</v>
      </c>
    </row>
    <row r="2422" spans="1:6" x14ac:dyDescent="0.2">
      <c r="A2422" t="s">
        <v>878</v>
      </c>
      <c r="B2422" t="s">
        <v>879</v>
      </c>
      <c r="C2422" t="s">
        <v>6690</v>
      </c>
      <c r="D2422" t="str">
        <f>TRIM(alias[[#This Row],[Column3]])</f>
        <v>Mega Manunggal Property</v>
      </c>
      <c r="F2422" t="str">
        <f t="shared" si="37"/>
        <v>INSERT INTO stock_alias (stock, alias) VALUES ((SELECT id FROM stock WHERE ticker = 'MMLP'), 'Mega Manunggal Property') ON CONFLICT DO NOTHING;</v>
      </c>
    </row>
    <row r="2423" spans="1:6" x14ac:dyDescent="0.2">
      <c r="A2423" t="s">
        <v>878</v>
      </c>
      <c r="B2423" t="s">
        <v>879</v>
      </c>
      <c r="C2423" t="s">
        <v>6691</v>
      </c>
      <c r="D2423" t="str">
        <f>TRIM(alias[[#This Row],[Column3]])</f>
        <v>Mega Manunggal Property Tbk</v>
      </c>
      <c r="F2423" t="str">
        <f t="shared" si="37"/>
        <v>INSERT INTO stock_alias (stock, alias) VALUES ((SELECT id FROM stock WHERE ticker = 'MMLP'), 'Mega Manunggal Property Tbk') ON CONFLICT DO NOTHING;</v>
      </c>
    </row>
    <row r="2424" spans="1:6" x14ac:dyDescent="0.2">
      <c r="A2424" t="s">
        <v>878</v>
      </c>
      <c r="B2424" t="s">
        <v>879</v>
      </c>
      <c r="C2424" t="s">
        <v>6692</v>
      </c>
      <c r="D2424" t="str">
        <f>TRIM(alias[[#This Row],[Column3]])</f>
        <v>PT Mega Manunggal Property</v>
      </c>
      <c r="F2424" t="str">
        <f t="shared" si="37"/>
        <v>INSERT INTO stock_alias (stock, alias) VALUES ((SELECT id FROM stock WHERE ticker = 'MMLP'), 'PT Mega Manunggal Property') ON CONFLICT DO NOTHING;</v>
      </c>
    </row>
    <row r="2425" spans="1:6" x14ac:dyDescent="0.2">
      <c r="A2425" t="s">
        <v>881</v>
      </c>
      <c r="B2425" t="s">
        <v>882</v>
      </c>
      <c r="C2425" t="s">
        <v>881</v>
      </c>
      <c r="D2425" t="str">
        <f>TRIM(alias[[#This Row],[Column3]])</f>
        <v>MNCN</v>
      </c>
      <c r="F2425" t="str">
        <f t="shared" si="37"/>
        <v>INSERT INTO stock_alias (stock, alias) VALUES ((SELECT id FROM stock WHERE ticker = 'MNCN'), 'MNCN') ON CONFLICT DO NOTHING;</v>
      </c>
    </row>
    <row r="2426" spans="1:6" x14ac:dyDescent="0.2">
      <c r="A2426" t="s">
        <v>881</v>
      </c>
      <c r="B2426" t="s">
        <v>882</v>
      </c>
      <c r="C2426" t="s">
        <v>6693</v>
      </c>
      <c r="D2426" t="str">
        <f>TRIM(alias[[#This Row],[Column3]])</f>
        <v>Media Nusantara Citra</v>
      </c>
      <c r="F2426" t="str">
        <f t="shared" si="37"/>
        <v>INSERT INTO stock_alias (stock, alias) VALUES ((SELECT id FROM stock WHERE ticker = 'MNCN'), 'Media Nusantara Citra') ON CONFLICT DO NOTHING;</v>
      </c>
    </row>
    <row r="2427" spans="1:6" x14ac:dyDescent="0.2">
      <c r="A2427" t="s">
        <v>881</v>
      </c>
      <c r="B2427" t="s">
        <v>882</v>
      </c>
      <c r="C2427" t="s">
        <v>6694</v>
      </c>
      <c r="D2427" t="str">
        <f>TRIM(alias[[#This Row],[Column3]])</f>
        <v>Media Nusantara Citra Tbk</v>
      </c>
      <c r="F2427" t="str">
        <f t="shared" si="37"/>
        <v>INSERT INTO stock_alias (stock, alias) VALUES ((SELECT id FROM stock WHERE ticker = 'MNCN'), 'Media Nusantara Citra Tbk') ON CONFLICT DO NOTHING;</v>
      </c>
    </row>
    <row r="2428" spans="1:6" x14ac:dyDescent="0.2">
      <c r="A2428" t="s">
        <v>881</v>
      </c>
      <c r="B2428" t="s">
        <v>882</v>
      </c>
      <c r="C2428" t="s">
        <v>6695</v>
      </c>
      <c r="D2428" t="str">
        <f>TRIM(alias[[#This Row],[Column3]])</f>
        <v>PT Media Nusantara Citra</v>
      </c>
      <c r="F2428" t="str">
        <f t="shared" si="37"/>
        <v>INSERT INTO stock_alias (stock, alias) VALUES ((SELECT id FROM stock WHERE ticker = 'MNCN'), 'PT Media Nusantara Citra') ON CONFLICT DO NOTHING;</v>
      </c>
    </row>
    <row r="2429" spans="1:6" x14ac:dyDescent="0.2">
      <c r="A2429" t="s">
        <v>1577</v>
      </c>
      <c r="B2429" t="s">
        <v>1578</v>
      </c>
      <c r="C2429" t="s">
        <v>1577</v>
      </c>
      <c r="D2429" t="str">
        <f>TRIM(alias[[#This Row],[Column3]])</f>
        <v>MOLI</v>
      </c>
      <c r="F2429" t="str">
        <f t="shared" si="37"/>
        <v>INSERT INTO stock_alias (stock, alias) VALUES ((SELECT id FROM stock WHERE ticker = 'MOLI'), 'MOLI') ON CONFLICT DO NOTHING;</v>
      </c>
    </row>
    <row r="2430" spans="1:6" x14ac:dyDescent="0.2">
      <c r="A2430" t="s">
        <v>1577</v>
      </c>
      <c r="B2430" t="s">
        <v>1578</v>
      </c>
      <c r="C2430" t="s">
        <v>6696</v>
      </c>
      <c r="D2430" t="str">
        <f>TRIM(alias[[#This Row],[Column3]])</f>
        <v>Madusari Murni Indah</v>
      </c>
      <c r="F2430" t="str">
        <f t="shared" si="37"/>
        <v>INSERT INTO stock_alias (stock, alias) VALUES ((SELECT id FROM stock WHERE ticker = 'MOLI'), 'Madusari Murni Indah') ON CONFLICT DO NOTHING;</v>
      </c>
    </row>
    <row r="2431" spans="1:6" x14ac:dyDescent="0.2">
      <c r="A2431" t="s">
        <v>1577</v>
      </c>
      <c r="B2431" t="s">
        <v>1578</v>
      </c>
      <c r="C2431" t="s">
        <v>6697</v>
      </c>
      <c r="D2431" t="str">
        <f>TRIM(alias[[#This Row],[Column3]])</f>
        <v>Madusari Murni Indah Tbk</v>
      </c>
      <c r="F2431" t="str">
        <f t="shared" si="37"/>
        <v>INSERT INTO stock_alias (stock, alias) VALUES ((SELECT id FROM stock WHERE ticker = 'MOLI'), 'Madusari Murni Indah Tbk') ON CONFLICT DO NOTHING;</v>
      </c>
    </row>
    <row r="2432" spans="1:6" x14ac:dyDescent="0.2">
      <c r="A2432" t="s">
        <v>1577</v>
      </c>
      <c r="B2432" t="s">
        <v>1578</v>
      </c>
      <c r="C2432" t="s">
        <v>6698</v>
      </c>
      <c r="D2432" t="str">
        <f>TRIM(alias[[#This Row],[Column3]])</f>
        <v>PT Madusari Murni Indah</v>
      </c>
      <c r="F2432" t="str">
        <f t="shared" si="37"/>
        <v>INSERT INTO stock_alias (stock, alias) VALUES ((SELECT id FROM stock WHERE ticker = 'MOLI'), 'PT Madusari Murni Indah') ON CONFLICT DO NOTHING;</v>
      </c>
    </row>
    <row r="2433" spans="1:6" x14ac:dyDescent="0.2">
      <c r="A2433" t="s">
        <v>1473</v>
      </c>
      <c r="B2433" t="s">
        <v>1474</v>
      </c>
      <c r="C2433" t="s">
        <v>1473</v>
      </c>
      <c r="D2433" t="str">
        <f>TRIM(alias[[#This Row],[Column3]])</f>
        <v>MORA</v>
      </c>
      <c r="F2433" t="str">
        <f t="shared" si="37"/>
        <v>INSERT INTO stock_alias (stock, alias) VALUES ((SELECT id FROM stock WHERE ticker = 'MORA'), 'MORA') ON CONFLICT DO NOTHING;</v>
      </c>
    </row>
    <row r="2434" spans="1:6" x14ac:dyDescent="0.2">
      <c r="A2434" t="s">
        <v>1473</v>
      </c>
      <c r="B2434" t="s">
        <v>1474</v>
      </c>
      <c r="C2434" t="s">
        <v>6699</v>
      </c>
      <c r="D2434" t="str">
        <f>TRIM(alias[[#This Row],[Column3]])</f>
        <v>Mora Telematika Indonesia</v>
      </c>
      <c r="F2434" t="str">
        <f t="shared" si="37"/>
        <v>INSERT INTO stock_alias (stock, alias) VALUES ((SELECT id FROM stock WHERE ticker = 'MORA'), 'Mora Telematika Indonesia') ON CONFLICT DO NOTHING;</v>
      </c>
    </row>
    <row r="2435" spans="1:6" x14ac:dyDescent="0.2">
      <c r="A2435" t="s">
        <v>1473</v>
      </c>
      <c r="B2435" t="s">
        <v>1474</v>
      </c>
      <c r="C2435" t="s">
        <v>6700</v>
      </c>
      <c r="D2435" t="str">
        <f>TRIM(alias[[#This Row],[Column3]])</f>
        <v>Mora Telematika Indonesia Tbk</v>
      </c>
      <c r="F2435" t="str">
        <f t="shared" ref="F2435:F2498" si="38">_xlfn.CONCAT($F$1, _xlfn.CONCAT($G$1, A2435, "'), '", D2435, "') ON CONFLICT DO NOTHING;"))</f>
        <v>INSERT INTO stock_alias (stock, alias) VALUES ((SELECT id FROM stock WHERE ticker = 'MORA'), 'Mora Telematika Indonesia Tbk') ON CONFLICT DO NOTHING;</v>
      </c>
    </row>
    <row r="2436" spans="1:6" x14ac:dyDescent="0.2">
      <c r="A2436" t="s">
        <v>1473</v>
      </c>
      <c r="B2436" t="s">
        <v>1474</v>
      </c>
      <c r="C2436" t="s">
        <v>6701</v>
      </c>
      <c r="D2436" t="str">
        <f>TRIM(alias[[#This Row],[Column3]])</f>
        <v>PT Mora Telematika Indonesia</v>
      </c>
      <c r="F2436" t="str">
        <f t="shared" si="38"/>
        <v>INSERT INTO stock_alias (stock, alias) VALUES ((SELECT id FROM stock WHERE ticker = 'MORA'), 'PT Mora Telematika Indonesia') ON CONFLICT DO NOTHING;</v>
      </c>
    </row>
    <row r="2437" spans="1:6" x14ac:dyDescent="0.2">
      <c r="A2437" t="s">
        <v>2427</v>
      </c>
      <c r="B2437" t="s">
        <v>2428</v>
      </c>
      <c r="C2437" t="s">
        <v>2427</v>
      </c>
      <c r="D2437" t="str">
        <f>TRIM(alias[[#This Row],[Column3]])</f>
        <v>MPIX</v>
      </c>
      <c r="F2437" t="str">
        <f t="shared" si="38"/>
        <v>INSERT INTO stock_alias (stock, alias) VALUES ((SELECT id FROM stock WHERE ticker = 'MPIX'), 'MPIX') ON CONFLICT DO NOTHING;</v>
      </c>
    </row>
    <row r="2438" spans="1:6" x14ac:dyDescent="0.2">
      <c r="A2438" t="s">
        <v>2427</v>
      </c>
      <c r="B2438" t="s">
        <v>2428</v>
      </c>
      <c r="C2438" t="s">
        <v>6702</v>
      </c>
      <c r="D2438" t="str">
        <f>TRIM(alias[[#This Row],[Column3]])</f>
        <v>Mitra Pedagang Indonesia</v>
      </c>
      <c r="F2438" t="str">
        <f t="shared" si="38"/>
        <v>INSERT INTO stock_alias (stock, alias) VALUES ((SELECT id FROM stock WHERE ticker = 'MPIX'), 'Mitra Pedagang Indonesia') ON CONFLICT DO NOTHING;</v>
      </c>
    </row>
    <row r="2439" spans="1:6" x14ac:dyDescent="0.2">
      <c r="A2439" t="s">
        <v>2427</v>
      </c>
      <c r="B2439" t="s">
        <v>2428</v>
      </c>
      <c r="C2439" t="s">
        <v>6703</v>
      </c>
      <c r="D2439" t="str">
        <f>TRIM(alias[[#This Row],[Column3]])</f>
        <v>Mitra Pedagang Indonesia Tbk</v>
      </c>
      <c r="F2439" t="str">
        <f t="shared" si="38"/>
        <v>INSERT INTO stock_alias (stock, alias) VALUES ((SELECT id FROM stock WHERE ticker = 'MPIX'), 'Mitra Pedagang Indonesia Tbk') ON CONFLICT DO NOTHING;</v>
      </c>
    </row>
    <row r="2440" spans="1:6" x14ac:dyDescent="0.2">
      <c r="A2440" t="s">
        <v>2427</v>
      </c>
      <c r="B2440" t="s">
        <v>2428</v>
      </c>
      <c r="C2440" t="s">
        <v>6704</v>
      </c>
      <c r="D2440" t="str">
        <f>TRIM(alias[[#This Row],[Column3]])</f>
        <v>PT Mitra Pedagang Indonesia</v>
      </c>
      <c r="F2440" t="str">
        <f t="shared" si="38"/>
        <v>INSERT INTO stock_alias (stock, alias) VALUES ((SELECT id FROM stock WHERE ticker = 'MPIX'), 'PT Mitra Pedagang Indonesia') ON CONFLICT DO NOTHING;</v>
      </c>
    </row>
    <row r="2441" spans="1:6" x14ac:dyDescent="0.2">
      <c r="A2441" t="s">
        <v>884</v>
      </c>
      <c r="B2441" t="s">
        <v>885</v>
      </c>
      <c r="C2441" t="s">
        <v>884</v>
      </c>
      <c r="D2441" t="str">
        <f>TRIM(alias[[#This Row],[Column3]])</f>
        <v>MPMX</v>
      </c>
      <c r="F2441" t="str">
        <f t="shared" si="38"/>
        <v>INSERT INTO stock_alias (stock, alias) VALUES ((SELECT id FROM stock WHERE ticker = 'MPMX'), 'MPMX') ON CONFLICT DO NOTHING;</v>
      </c>
    </row>
    <row r="2442" spans="1:6" x14ac:dyDescent="0.2">
      <c r="A2442" t="s">
        <v>884</v>
      </c>
      <c r="B2442" t="s">
        <v>885</v>
      </c>
      <c r="C2442" t="s">
        <v>6705</v>
      </c>
      <c r="D2442" t="str">
        <f>TRIM(alias[[#This Row],[Column3]])</f>
        <v>MPM</v>
      </c>
      <c r="F2442" t="str">
        <f t="shared" si="38"/>
        <v>INSERT INTO stock_alias (stock, alias) VALUES ((SELECT id FROM stock WHERE ticker = 'MPMX'), 'MPM') ON CONFLICT DO NOTHING;</v>
      </c>
    </row>
    <row r="2443" spans="1:6" x14ac:dyDescent="0.2">
      <c r="A2443" t="s">
        <v>884</v>
      </c>
      <c r="B2443" t="s">
        <v>885</v>
      </c>
      <c r="C2443" t="s">
        <v>6706</v>
      </c>
      <c r="D2443" t="str">
        <f>TRIM(alias[[#This Row],[Column3]])</f>
        <v>Mitra Pinasthika Mustika</v>
      </c>
      <c r="F2443" t="str">
        <f t="shared" si="38"/>
        <v>INSERT INTO stock_alias (stock, alias) VALUES ((SELECT id FROM stock WHERE ticker = 'MPMX'), 'Mitra Pinasthika Mustika') ON CONFLICT DO NOTHING;</v>
      </c>
    </row>
    <row r="2444" spans="1:6" x14ac:dyDescent="0.2">
      <c r="A2444" t="s">
        <v>884</v>
      </c>
      <c r="B2444" t="s">
        <v>885</v>
      </c>
      <c r="C2444" t="s">
        <v>6707</v>
      </c>
      <c r="D2444" t="str">
        <f>TRIM(alias[[#This Row],[Column3]])</f>
        <v>Mitra Pinasthika Mustika Tbk</v>
      </c>
      <c r="F2444" t="str">
        <f t="shared" si="38"/>
        <v>INSERT INTO stock_alias (stock, alias) VALUES ((SELECT id FROM stock WHERE ticker = 'MPMX'), 'Mitra Pinasthika Mustika Tbk') ON CONFLICT DO NOTHING;</v>
      </c>
    </row>
    <row r="2445" spans="1:6" x14ac:dyDescent="0.2">
      <c r="A2445" t="s">
        <v>884</v>
      </c>
      <c r="B2445" t="s">
        <v>885</v>
      </c>
      <c r="C2445" t="s">
        <v>6708</v>
      </c>
      <c r="D2445" t="str">
        <f>TRIM(alias[[#This Row],[Column3]])</f>
        <v>PT Mitra Pinasthika Mustika</v>
      </c>
      <c r="F2445" t="str">
        <f t="shared" si="38"/>
        <v>INSERT INTO stock_alias (stock, alias) VALUES ((SELECT id FROM stock WHERE ticker = 'MPMX'), 'PT Mitra Pinasthika Mustika') ON CONFLICT DO NOTHING;</v>
      </c>
    </row>
    <row r="2446" spans="1:6" x14ac:dyDescent="0.2">
      <c r="A2446" t="s">
        <v>1437</v>
      </c>
      <c r="B2446" t="s">
        <v>1438</v>
      </c>
      <c r="C2446" t="s">
        <v>1437</v>
      </c>
      <c r="D2446" t="str">
        <f>TRIM(alias[[#This Row],[Column3]])</f>
        <v>MPOW</v>
      </c>
      <c r="F2446" t="str">
        <f t="shared" si="38"/>
        <v>INSERT INTO stock_alias (stock, alias) VALUES ((SELECT id FROM stock WHERE ticker = 'MPOW'), 'MPOW') ON CONFLICT DO NOTHING;</v>
      </c>
    </row>
    <row r="2447" spans="1:6" x14ac:dyDescent="0.2">
      <c r="A2447" t="s">
        <v>1437</v>
      </c>
      <c r="B2447" t="s">
        <v>1438</v>
      </c>
      <c r="C2447" t="s">
        <v>6709</v>
      </c>
      <c r="D2447" t="str">
        <f>TRIM(alias[[#This Row],[Column3]])</f>
        <v>Megapower Makmur</v>
      </c>
      <c r="F2447" t="str">
        <f t="shared" si="38"/>
        <v>INSERT INTO stock_alias (stock, alias) VALUES ((SELECT id FROM stock WHERE ticker = 'MPOW'), 'Megapower Makmur') ON CONFLICT DO NOTHING;</v>
      </c>
    </row>
    <row r="2448" spans="1:6" x14ac:dyDescent="0.2">
      <c r="A2448" t="s">
        <v>1437</v>
      </c>
      <c r="B2448" t="s">
        <v>1438</v>
      </c>
      <c r="C2448" t="s">
        <v>6710</v>
      </c>
      <c r="D2448" t="str">
        <f>TRIM(alias[[#This Row],[Column3]])</f>
        <v>Megapower Makmur Tbk</v>
      </c>
      <c r="F2448" t="str">
        <f t="shared" si="38"/>
        <v>INSERT INTO stock_alias (stock, alias) VALUES ((SELECT id FROM stock WHERE ticker = 'MPOW'), 'Megapower Makmur Tbk') ON CONFLICT DO NOTHING;</v>
      </c>
    </row>
    <row r="2449" spans="1:6" x14ac:dyDescent="0.2">
      <c r="A2449" t="s">
        <v>1437</v>
      </c>
      <c r="B2449" t="s">
        <v>1438</v>
      </c>
      <c r="C2449" t="s">
        <v>6711</v>
      </c>
      <c r="D2449" t="str">
        <f>TRIM(alias[[#This Row],[Column3]])</f>
        <v>PT Megapower Makmur</v>
      </c>
      <c r="F2449" t="str">
        <f t="shared" si="38"/>
        <v>INSERT INTO stock_alias (stock, alias) VALUES ((SELECT id FROM stock WHERE ticker = 'MPOW'), 'PT Megapower Makmur') ON CONFLICT DO NOTHING;</v>
      </c>
    </row>
    <row r="2450" spans="1:6" x14ac:dyDescent="0.2">
      <c r="A2450" t="s">
        <v>887</v>
      </c>
      <c r="B2450" t="s">
        <v>888</v>
      </c>
      <c r="C2450" t="s">
        <v>887</v>
      </c>
      <c r="D2450" t="str">
        <f>TRIM(alias[[#This Row],[Column3]])</f>
        <v>MPPA</v>
      </c>
      <c r="F2450" t="str">
        <f t="shared" si="38"/>
        <v>INSERT INTO stock_alias (stock, alias) VALUES ((SELECT id FROM stock WHERE ticker = 'MPPA'), 'MPPA') ON CONFLICT DO NOTHING;</v>
      </c>
    </row>
    <row r="2451" spans="1:6" x14ac:dyDescent="0.2">
      <c r="A2451" t="s">
        <v>887</v>
      </c>
      <c r="B2451" t="s">
        <v>888</v>
      </c>
      <c r="C2451" t="s">
        <v>6712</v>
      </c>
      <c r="D2451" t="str">
        <f>TRIM(alias[[#This Row],[Column3]])</f>
        <v>Matahari Putra Prima</v>
      </c>
      <c r="F2451" t="str">
        <f t="shared" si="38"/>
        <v>INSERT INTO stock_alias (stock, alias) VALUES ((SELECT id FROM stock WHERE ticker = 'MPPA'), 'Matahari Putra Prima') ON CONFLICT DO NOTHING;</v>
      </c>
    </row>
    <row r="2452" spans="1:6" x14ac:dyDescent="0.2">
      <c r="A2452" t="s">
        <v>887</v>
      </c>
      <c r="B2452" t="s">
        <v>888</v>
      </c>
      <c r="C2452" t="s">
        <v>6713</v>
      </c>
      <c r="D2452" t="str">
        <f>TRIM(alias[[#This Row],[Column3]])</f>
        <v>Matahari Putra Prima Tbk</v>
      </c>
      <c r="F2452" t="str">
        <f t="shared" si="38"/>
        <v>INSERT INTO stock_alias (stock, alias) VALUES ((SELECT id FROM stock WHERE ticker = 'MPPA'), 'Matahari Putra Prima Tbk') ON CONFLICT DO NOTHING;</v>
      </c>
    </row>
    <row r="2453" spans="1:6" x14ac:dyDescent="0.2">
      <c r="A2453" t="s">
        <v>887</v>
      </c>
      <c r="B2453" t="s">
        <v>888</v>
      </c>
      <c r="C2453" t="s">
        <v>6714</v>
      </c>
      <c r="D2453" t="str">
        <f>TRIM(alias[[#This Row],[Column3]])</f>
        <v>PT Matahari Putra Prima</v>
      </c>
      <c r="F2453" t="str">
        <f t="shared" si="38"/>
        <v>INSERT INTO stock_alias (stock, alias) VALUES ((SELECT id FROM stock WHERE ticker = 'MPPA'), 'PT Matahari Putra Prima') ON CONFLICT DO NOTHING;</v>
      </c>
    </row>
    <row r="2454" spans="1:6" x14ac:dyDescent="0.2">
      <c r="A2454" t="s">
        <v>1598</v>
      </c>
      <c r="B2454" t="s">
        <v>1599</v>
      </c>
      <c r="C2454" t="s">
        <v>1598</v>
      </c>
      <c r="D2454" t="str">
        <f>TRIM(alias[[#This Row],[Column3]])</f>
        <v>MPRO</v>
      </c>
      <c r="F2454" t="str">
        <f t="shared" si="38"/>
        <v>INSERT INTO stock_alias (stock, alias) VALUES ((SELECT id FROM stock WHERE ticker = 'MPRO'), 'MPRO') ON CONFLICT DO NOTHING;</v>
      </c>
    </row>
    <row r="2455" spans="1:6" x14ac:dyDescent="0.2">
      <c r="A2455" t="s">
        <v>1598</v>
      </c>
      <c r="B2455" t="s">
        <v>1599</v>
      </c>
      <c r="C2455" t="s">
        <v>6715</v>
      </c>
      <c r="D2455" t="str">
        <f>TRIM(alias[[#This Row],[Column3]])</f>
        <v>Maha Properti Indonesia</v>
      </c>
      <c r="F2455" t="str">
        <f t="shared" si="38"/>
        <v>INSERT INTO stock_alias (stock, alias) VALUES ((SELECT id FROM stock WHERE ticker = 'MPRO'), 'Maha Properti Indonesia') ON CONFLICT DO NOTHING;</v>
      </c>
    </row>
    <row r="2456" spans="1:6" x14ac:dyDescent="0.2">
      <c r="A2456" t="s">
        <v>1598</v>
      </c>
      <c r="B2456" t="s">
        <v>1599</v>
      </c>
      <c r="C2456" t="s">
        <v>6716</v>
      </c>
      <c r="D2456" t="str">
        <f>TRIM(alias[[#This Row],[Column3]])</f>
        <v>Maha Properti Indonesia Tbk</v>
      </c>
      <c r="F2456" t="str">
        <f t="shared" si="38"/>
        <v>INSERT INTO stock_alias (stock, alias) VALUES ((SELECT id FROM stock WHERE ticker = 'MPRO'), 'Maha Properti Indonesia Tbk') ON CONFLICT DO NOTHING;</v>
      </c>
    </row>
    <row r="2457" spans="1:6" x14ac:dyDescent="0.2">
      <c r="A2457" t="s">
        <v>1598</v>
      </c>
      <c r="B2457" t="s">
        <v>1599</v>
      </c>
      <c r="C2457" t="s">
        <v>6717</v>
      </c>
      <c r="D2457" t="str">
        <f>TRIM(alias[[#This Row],[Column3]])</f>
        <v>PT Maha Properti Indonesia</v>
      </c>
      <c r="F2457" t="str">
        <f t="shared" si="38"/>
        <v>INSERT INTO stock_alias (stock, alias) VALUES ((SELECT id FROM stock WHERE ticker = 'MPRO'), 'PT Maha Properti Indonesia') ON CONFLICT DO NOTHING;</v>
      </c>
    </row>
    <row r="2458" spans="1:6" x14ac:dyDescent="0.2">
      <c r="A2458" t="s">
        <v>2303</v>
      </c>
      <c r="B2458" t="s">
        <v>3628</v>
      </c>
      <c r="C2458" t="s">
        <v>2303</v>
      </c>
      <c r="D2458" t="str">
        <f>TRIM(alias[[#This Row],[Column3]])</f>
        <v>MPXL</v>
      </c>
      <c r="F2458" t="str">
        <f t="shared" si="38"/>
        <v>INSERT INTO stock_alias (stock, alias) VALUES ((SELECT id FROM stock WHERE ticker = 'MPXL'), 'MPXL') ON CONFLICT DO NOTHING;</v>
      </c>
    </row>
    <row r="2459" spans="1:6" x14ac:dyDescent="0.2">
      <c r="A2459" t="s">
        <v>2303</v>
      </c>
      <c r="B2459" t="s">
        <v>3628</v>
      </c>
      <c r="C2459" t="s">
        <v>6718</v>
      </c>
      <c r="D2459" t="str">
        <f>TRIM(alias[[#This Row],[Column3]])</f>
        <v>MPX Logistics International</v>
      </c>
      <c r="F2459" t="str">
        <f t="shared" si="38"/>
        <v>INSERT INTO stock_alias (stock, alias) VALUES ((SELECT id FROM stock WHERE ticker = 'MPXL'), 'MPX Logistics International') ON CONFLICT DO NOTHING;</v>
      </c>
    </row>
    <row r="2460" spans="1:6" x14ac:dyDescent="0.2">
      <c r="A2460" t="s">
        <v>2303</v>
      </c>
      <c r="B2460" t="s">
        <v>3628</v>
      </c>
      <c r="C2460" t="s">
        <v>6719</v>
      </c>
      <c r="D2460" t="str">
        <f>TRIM(alias[[#This Row],[Column3]])</f>
        <v>MPX Logistics International Tbk</v>
      </c>
      <c r="F2460" t="str">
        <f t="shared" si="38"/>
        <v>INSERT INTO stock_alias (stock, alias) VALUES ((SELECT id FROM stock WHERE ticker = 'MPXL'), 'MPX Logistics International Tbk') ON CONFLICT DO NOTHING;</v>
      </c>
    </row>
    <row r="2461" spans="1:6" x14ac:dyDescent="0.2">
      <c r="A2461" t="s">
        <v>2303</v>
      </c>
      <c r="B2461" t="s">
        <v>3628</v>
      </c>
      <c r="C2461" t="s">
        <v>6720</v>
      </c>
      <c r="D2461" t="str">
        <f>TRIM(alias[[#This Row],[Column3]])</f>
        <v>PT MPX Logistics International</v>
      </c>
      <c r="F2461" t="str">
        <f t="shared" si="38"/>
        <v>INSERT INTO stock_alias (stock, alias) VALUES ((SELECT id FROM stock WHERE ticker = 'MPXL'), 'PT MPX Logistics International') ON CONFLICT DO NOTHING;</v>
      </c>
    </row>
    <row r="2462" spans="1:6" x14ac:dyDescent="0.2">
      <c r="A2462" t="s">
        <v>890</v>
      </c>
      <c r="B2462" t="s">
        <v>891</v>
      </c>
      <c r="C2462" t="s">
        <v>890</v>
      </c>
      <c r="D2462" t="str">
        <f>TRIM(alias[[#This Row],[Column3]])</f>
        <v>MRAT</v>
      </c>
      <c r="F2462" t="str">
        <f t="shared" si="38"/>
        <v>INSERT INTO stock_alias (stock, alias) VALUES ((SELECT id FROM stock WHERE ticker = 'MRAT'), 'MRAT') ON CONFLICT DO NOTHING;</v>
      </c>
    </row>
    <row r="2463" spans="1:6" x14ac:dyDescent="0.2">
      <c r="A2463" t="s">
        <v>890</v>
      </c>
      <c r="B2463" t="s">
        <v>891</v>
      </c>
      <c r="C2463" t="s">
        <v>6721</v>
      </c>
      <c r="D2463" t="str">
        <f>TRIM(alias[[#This Row],[Column3]])</f>
        <v>Mustika Ratu</v>
      </c>
      <c r="F2463" t="str">
        <f t="shared" si="38"/>
        <v>INSERT INTO stock_alias (stock, alias) VALUES ((SELECT id FROM stock WHERE ticker = 'MRAT'), 'Mustika Ratu') ON CONFLICT DO NOTHING;</v>
      </c>
    </row>
    <row r="2464" spans="1:6" x14ac:dyDescent="0.2">
      <c r="A2464" t="s">
        <v>890</v>
      </c>
      <c r="B2464" t="s">
        <v>891</v>
      </c>
      <c r="C2464" t="s">
        <v>6722</v>
      </c>
      <c r="D2464" t="str">
        <f>TRIM(alias[[#This Row],[Column3]])</f>
        <v>Mustika Ratu Tbk</v>
      </c>
      <c r="F2464" t="str">
        <f t="shared" si="38"/>
        <v>INSERT INTO stock_alias (stock, alias) VALUES ((SELECT id FROM stock WHERE ticker = 'MRAT'), 'Mustika Ratu Tbk') ON CONFLICT DO NOTHING;</v>
      </c>
    </row>
    <row r="2465" spans="1:6" x14ac:dyDescent="0.2">
      <c r="A2465" t="s">
        <v>890</v>
      </c>
      <c r="B2465" t="s">
        <v>891</v>
      </c>
      <c r="C2465" t="s">
        <v>6723</v>
      </c>
      <c r="D2465" t="str">
        <f>TRIM(alias[[#This Row],[Column3]])</f>
        <v>PT Mustika Ratu</v>
      </c>
      <c r="F2465" t="str">
        <f t="shared" si="38"/>
        <v>INSERT INTO stock_alias (stock, alias) VALUES ((SELECT id FROM stock WHERE ticker = 'MRAT'), 'PT Mustika Ratu') ON CONFLICT DO NOTHING;</v>
      </c>
    </row>
    <row r="2466" spans="1:6" x14ac:dyDescent="0.2">
      <c r="A2466" t="s">
        <v>893</v>
      </c>
      <c r="B2466" t="s">
        <v>3629</v>
      </c>
      <c r="C2466" t="s">
        <v>893</v>
      </c>
      <c r="D2466" t="str">
        <f>TRIM(alias[[#This Row],[Column3]])</f>
        <v>MREI</v>
      </c>
      <c r="F2466" t="str">
        <f t="shared" si="38"/>
        <v>INSERT INTO stock_alias (stock, alias) VALUES ((SELECT id FROM stock WHERE ticker = 'MREI'), 'MREI') ON CONFLICT DO NOTHING;</v>
      </c>
    </row>
    <row r="2467" spans="1:6" x14ac:dyDescent="0.2">
      <c r="A2467" t="s">
        <v>893</v>
      </c>
      <c r="B2467" t="s">
        <v>3629</v>
      </c>
      <c r="C2467" t="s">
        <v>6724</v>
      </c>
      <c r="D2467" t="str">
        <f>TRIM(alias[[#This Row],[Column3]])</f>
        <v>Maskapai Reasuransi Indonesia</v>
      </c>
      <c r="F2467" t="str">
        <f t="shared" si="38"/>
        <v>INSERT INTO stock_alias (stock, alias) VALUES ((SELECT id FROM stock WHERE ticker = 'MREI'), 'Maskapai Reasuransi Indonesia') ON CONFLICT DO NOTHING;</v>
      </c>
    </row>
    <row r="2468" spans="1:6" x14ac:dyDescent="0.2">
      <c r="A2468" t="s">
        <v>893</v>
      </c>
      <c r="B2468" t="s">
        <v>3629</v>
      </c>
      <c r="C2468" t="s">
        <v>6725</v>
      </c>
      <c r="D2468" t="str">
        <f>TRIM(alias[[#This Row],[Column3]])</f>
        <v>Maskapai Reasuransi Indonesia Tbk</v>
      </c>
      <c r="F2468" t="str">
        <f t="shared" si="38"/>
        <v>INSERT INTO stock_alias (stock, alias) VALUES ((SELECT id FROM stock WHERE ticker = 'MREI'), 'Maskapai Reasuransi Indonesia Tbk') ON CONFLICT DO NOTHING;</v>
      </c>
    </row>
    <row r="2469" spans="1:6" x14ac:dyDescent="0.2">
      <c r="A2469" t="s">
        <v>893</v>
      </c>
      <c r="B2469" t="s">
        <v>3629</v>
      </c>
      <c r="C2469" t="s">
        <v>6726</v>
      </c>
      <c r="D2469" t="str">
        <f>TRIM(alias[[#This Row],[Column3]])</f>
        <v>PT Maskapai Reasuransi Indonesia</v>
      </c>
      <c r="F2469" t="str">
        <f t="shared" si="38"/>
        <v>INSERT INTO stock_alias (stock, alias) VALUES ((SELECT id FROM stock WHERE ticker = 'MREI'), 'PT Maskapai Reasuransi Indonesia') ON CONFLICT DO NOTHING;</v>
      </c>
    </row>
    <row r="2470" spans="1:6" x14ac:dyDescent="0.2">
      <c r="A2470" t="s">
        <v>2367</v>
      </c>
      <c r="B2470" t="s">
        <v>2368</v>
      </c>
      <c r="C2470" t="s">
        <v>2367</v>
      </c>
      <c r="D2470" t="str">
        <f>TRIM(alias[[#This Row],[Column3]])</f>
        <v>MSIE</v>
      </c>
      <c r="F2470" t="str">
        <f t="shared" si="38"/>
        <v>INSERT INTO stock_alias (stock, alias) VALUES ((SELECT id FROM stock WHERE ticker = 'MSIE'), 'MSIE') ON CONFLICT DO NOTHING;</v>
      </c>
    </row>
    <row r="2471" spans="1:6" x14ac:dyDescent="0.2">
      <c r="A2471" t="s">
        <v>2367</v>
      </c>
      <c r="B2471" t="s">
        <v>2368</v>
      </c>
      <c r="C2471" t="s">
        <v>6727</v>
      </c>
      <c r="D2471" t="str">
        <f>TRIM(alias[[#This Row],[Column3]])</f>
        <v>Multisarana Intan Eduka</v>
      </c>
      <c r="F2471" t="str">
        <f t="shared" si="38"/>
        <v>INSERT INTO stock_alias (stock, alias) VALUES ((SELECT id FROM stock WHERE ticker = 'MSIE'), 'Multisarana Intan Eduka') ON CONFLICT DO NOTHING;</v>
      </c>
    </row>
    <row r="2472" spans="1:6" x14ac:dyDescent="0.2">
      <c r="A2472" t="s">
        <v>2367</v>
      </c>
      <c r="B2472" t="s">
        <v>2368</v>
      </c>
      <c r="C2472" t="s">
        <v>6728</v>
      </c>
      <c r="D2472" t="str">
        <f>TRIM(alias[[#This Row],[Column3]])</f>
        <v>Multisarana Intan Eduka Tbk</v>
      </c>
      <c r="F2472" t="str">
        <f t="shared" si="38"/>
        <v>INSERT INTO stock_alias (stock, alias) VALUES ((SELECT id FROM stock WHERE ticker = 'MSIE'), 'Multisarana Intan Eduka Tbk') ON CONFLICT DO NOTHING;</v>
      </c>
    </row>
    <row r="2473" spans="1:6" x14ac:dyDescent="0.2">
      <c r="A2473" t="s">
        <v>2367</v>
      </c>
      <c r="B2473" t="s">
        <v>2368</v>
      </c>
      <c r="C2473" t="s">
        <v>6729</v>
      </c>
      <c r="D2473" t="str">
        <f>TRIM(alias[[#This Row],[Column3]])</f>
        <v>PT Multisarana Intan Eduka</v>
      </c>
      <c r="F2473" t="str">
        <f t="shared" si="38"/>
        <v>INSERT INTO stock_alias (stock, alias) VALUES ((SELECT id FROM stock WHERE ticker = 'MSIE'), 'PT Multisarana Intan Eduka') ON CONFLICT DO NOTHING;</v>
      </c>
    </row>
    <row r="2474" spans="1:6" x14ac:dyDescent="0.2">
      <c r="A2474" t="s">
        <v>1535</v>
      </c>
      <c r="B2474" t="s">
        <v>1536</v>
      </c>
      <c r="C2474" t="s">
        <v>1535</v>
      </c>
      <c r="D2474" t="str">
        <f>TRIM(alias[[#This Row],[Column3]])</f>
        <v>MSIN</v>
      </c>
      <c r="F2474" t="str">
        <f t="shared" si="38"/>
        <v>INSERT INTO stock_alias (stock, alias) VALUES ((SELECT id FROM stock WHERE ticker = 'MSIN'), 'MSIN') ON CONFLICT DO NOTHING;</v>
      </c>
    </row>
    <row r="2475" spans="1:6" x14ac:dyDescent="0.2">
      <c r="A2475" t="s">
        <v>1535</v>
      </c>
      <c r="B2475" t="s">
        <v>1536</v>
      </c>
      <c r="C2475" t="s">
        <v>6730</v>
      </c>
      <c r="D2475" t="str">
        <f>TRIM(alias[[#This Row],[Column3]])</f>
        <v>MNC Digital Entertainment</v>
      </c>
      <c r="F2475" t="str">
        <f t="shared" si="38"/>
        <v>INSERT INTO stock_alias (stock, alias) VALUES ((SELECT id FROM stock WHERE ticker = 'MSIN'), 'MNC Digital Entertainment') ON CONFLICT DO NOTHING;</v>
      </c>
    </row>
    <row r="2476" spans="1:6" x14ac:dyDescent="0.2">
      <c r="A2476" t="s">
        <v>1535</v>
      </c>
      <c r="B2476" t="s">
        <v>1536</v>
      </c>
      <c r="C2476" t="s">
        <v>6731</v>
      </c>
      <c r="D2476" t="str">
        <f>TRIM(alias[[#This Row],[Column3]])</f>
        <v>MNC Digital Entertainment Tbk</v>
      </c>
      <c r="F2476" t="str">
        <f t="shared" si="38"/>
        <v>INSERT INTO stock_alias (stock, alias) VALUES ((SELECT id FROM stock WHERE ticker = 'MSIN'), 'MNC Digital Entertainment Tbk') ON CONFLICT DO NOTHING;</v>
      </c>
    </row>
    <row r="2477" spans="1:6" x14ac:dyDescent="0.2">
      <c r="A2477" t="s">
        <v>1535</v>
      </c>
      <c r="B2477" t="s">
        <v>1536</v>
      </c>
      <c r="C2477" t="s">
        <v>6732</v>
      </c>
      <c r="D2477" t="str">
        <f>TRIM(alias[[#This Row],[Column3]])</f>
        <v>PT MNC Digital Entertainment</v>
      </c>
      <c r="F2477" t="str">
        <f t="shared" si="38"/>
        <v>INSERT INTO stock_alias (stock, alias) VALUES ((SELECT id FROM stock WHERE ticker = 'MSIN'), 'PT MNC Digital Entertainment') ON CONFLICT DO NOTHING;</v>
      </c>
    </row>
    <row r="2478" spans="1:6" x14ac:dyDescent="0.2">
      <c r="A2478" t="s">
        <v>2631</v>
      </c>
      <c r="B2478" t="s">
        <v>2632</v>
      </c>
      <c r="C2478" t="s">
        <v>2631</v>
      </c>
      <c r="D2478" t="str">
        <f>TRIM(alias[[#This Row],[Column3]])</f>
        <v>MSJA</v>
      </c>
      <c r="F2478" t="str">
        <f t="shared" si="38"/>
        <v>INSERT INTO stock_alias (stock, alias) VALUES ((SELECT id FROM stock WHERE ticker = 'MSJA'), 'MSJA') ON CONFLICT DO NOTHING;</v>
      </c>
    </row>
    <row r="2479" spans="1:6" x14ac:dyDescent="0.2">
      <c r="A2479" t="s">
        <v>2631</v>
      </c>
      <c r="B2479" t="s">
        <v>2632</v>
      </c>
      <c r="C2479" t="s">
        <v>6733</v>
      </c>
      <c r="D2479" t="str">
        <f>TRIM(alias[[#This Row],[Column3]])</f>
        <v>Multi Spunindo Jaya</v>
      </c>
      <c r="F2479" t="str">
        <f t="shared" si="38"/>
        <v>INSERT INTO stock_alias (stock, alias) VALUES ((SELECT id FROM stock WHERE ticker = 'MSJA'), 'Multi Spunindo Jaya') ON CONFLICT DO NOTHING;</v>
      </c>
    </row>
    <row r="2480" spans="1:6" x14ac:dyDescent="0.2">
      <c r="A2480" t="s">
        <v>2631</v>
      </c>
      <c r="B2480" t="s">
        <v>2632</v>
      </c>
      <c r="C2480" t="s">
        <v>6734</v>
      </c>
      <c r="D2480" t="str">
        <f>TRIM(alias[[#This Row],[Column3]])</f>
        <v>Multi Spunindo Jaya Tbk</v>
      </c>
      <c r="F2480" t="str">
        <f t="shared" si="38"/>
        <v>INSERT INTO stock_alias (stock, alias) VALUES ((SELECT id FROM stock WHERE ticker = 'MSJA'), 'Multi Spunindo Jaya Tbk') ON CONFLICT DO NOTHING;</v>
      </c>
    </row>
    <row r="2481" spans="1:6" x14ac:dyDescent="0.2">
      <c r="A2481" t="s">
        <v>2631</v>
      </c>
      <c r="B2481" t="s">
        <v>2632</v>
      </c>
      <c r="C2481" t="s">
        <v>6735</v>
      </c>
      <c r="D2481" t="str">
        <f>TRIM(alias[[#This Row],[Column3]])</f>
        <v>PT Multi Spunindo Jaya</v>
      </c>
      <c r="F2481" t="str">
        <f t="shared" si="38"/>
        <v>INSERT INTO stock_alias (stock, alias) VALUES ((SELECT id FROM stock WHERE ticker = 'MSJA'), 'PT Multi Spunindo Jaya') ON CONFLICT DO NOTHING;</v>
      </c>
    </row>
    <row r="2482" spans="1:6" x14ac:dyDescent="0.2">
      <c r="A2482" t="s">
        <v>895</v>
      </c>
      <c r="B2482" t="s">
        <v>896</v>
      </c>
      <c r="C2482" t="s">
        <v>895</v>
      </c>
      <c r="D2482" t="str">
        <f>TRIM(alias[[#This Row],[Column3]])</f>
        <v>MSKY</v>
      </c>
      <c r="F2482" t="str">
        <f t="shared" si="38"/>
        <v>INSERT INTO stock_alias (stock, alias) VALUES ((SELECT id FROM stock WHERE ticker = 'MSKY'), 'MSKY') ON CONFLICT DO NOTHING;</v>
      </c>
    </row>
    <row r="2483" spans="1:6" x14ac:dyDescent="0.2">
      <c r="A2483" t="s">
        <v>895</v>
      </c>
      <c r="B2483" t="s">
        <v>896</v>
      </c>
      <c r="C2483" t="s">
        <v>6736</v>
      </c>
      <c r="D2483" t="str">
        <f>TRIM(alias[[#This Row],[Column3]])</f>
        <v>MNC Sky Vision</v>
      </c>
      <c r="F2483" t="str">
        <f t="shared" si="38"/>
        <v>INSERT INTO stock_alias (stock, alias) VALUES ((SELECT id FROM stock WHERE ticker = 'MSKY'), 'MNC Sky Vision') ON CONFLICT DO NOTHING;</v>
      </c>
    </row>
    <row r="2484" spans="1:6" x14ac:dyDescent="0.2">
      <c r="A2484" t="s">
        <v>895</v>
      </c>
      <c r="B2484" t="s">
        <v>896</v>
      </c>
      <c r="C2484" t="s">
        <v>6737</v>
      </c>
      <c r="D2484" t="str">
        <f>TRIM(alias[[#This Row],[Column3]])</f>
        <v>MNC Sky Vision Tbk</v>
      </c>
      <c r="F2484" t="str">
        <f t="shared" si="38"/>
        <v>INSERT INTO stock_alias (stock, alias) VALUES ((SELECT id FROM stock WHERE ticker = 'MSKY'), 'MNC Sky Vision Tbk') ON CONFLICT DO NOTHING;</v>
      </c>
    </row>
    <row r="2485" spans="1:6" x14ac:dyDescent="0.2">
      <c r="A2485" t="s">
        <v>895</v>
      </c>
      <c r="B2485" t="s">
        <v>896</v>
      </c>
      <c r="C2485" t="s">
        <v>6738</v>
      </c>
      <c r="D2485" t="str">
        <f>TRIM(alias[[#This Row],[Column3]])</f>
        <v>PT MNC Sky Vision</v>
      </c>
      <c r="F2485" t="str">
        <f t="shared" si="38"/>
        <v>INSERT INTO stock_alias (stock, alias) VALUES ((SELECT id FROM stock WHERE ticker = 'MSKY'), 'PT MNC Sky Vision') ON CONFLICT DO NOTHING;</v>
      </c>
    </row>
    <row r="2486" spans="1:6" x14ac:dyDescent="0.2">
      <c r="A2486" t="s">
        <v>2404</v>
      </c>
      <c r="B2486" t="s">
        <v>2405</v>
      </c>
      <c r="C2486" t="s">
        <v>2404</v>
      </c>
      <c r="D2486" t="str">
        <f>TRIM(alias[[#This Row],[Column3]])</f>
        <v>MSTI</v>
      </c>
      <c r="F2486" t="str">
        <f t="shared" si="38"/>
        <v>INSERT INTO stock_alias (stock, alias) VALUES ((SELECT id FROM stock WHERE ticker = 'MSTI'), 'MSTI') ON CONFLICT DO NOTHING;</v>
      </c>
    </row>
    <row r="2487" spans="1:6" x14ac:dyDescent="0.2">
      <c r="A2487" t="s">
        <v>2404</v>
      </c>
      <c r="B2487" t="s">
        <v>2405</v>
      </c>
      <c r="C2487" t="s">
        <v>6739</v>
      </c>
      <c r="D2487" t="str">
        <f>TRIM(alias[[#This Row],[Column3]])</f>
        <v>Mastersystem Infotama</v>
      </c>
      <c r="F2487" t="str">
        <f t="shared" si="38"/>
        <v>INSERT INTO stock_alias (stock, alias) VALUES ((SELECT id FROM stock WHERE ticker = 'MSTI'), 'Mastersystem Infotama') ON CONFLICT DO NOTHING;</v>
      </c>
    </row>
    <row r="2488" spans="1:6" x14ac:dyDescent="0.2">
      <c r="A2488" t="s">
        <v>2404</v>
      </c>
      <c r="B2488" t="s">
        <v>2405</v>
      </c>
      <c r="C2488" t="s">
        <v>6740</v>
      </c>
      <c r="D2488" t="str">
        <f>TRIM(alias[[#This Row],[Column3]])</f>
        <v>Mastersystem Infotama Tbk</v>
      </c>
      <c r="F2488" t="str">
        <f t="shared" si="38"/>
        <v>INSERT INTO stock_alias (stock, alias) VALUES ((SELECT id FROM stock WHERE ticker = 'MSTI'), 'Mastersystem Infotama Tbk') ON CONFLICT DO NOTHING;</v>
      </c>
    </row>
    <row r="2489" spans="1:6" x14ac:dyDescent="0.2">
      <c r="A2489" t="s">
        <v>2404</v>
      </c>
      <c r="B2489" t="s">
        <v>2405</v>
      </c>
      <c r="C2489" t="s">
        <v>6741</v>
      </c>
      <c r="D2489" t="str">
        <f>TRIM(alias[[#This Row],[Column3]])</f>
        <v>PT Mastersystem Infotama</v>
      </c>
      <c r="F2489" t="str">
        <f t="shared" si="38"/>
        <v>INSERT INTO stock_alias (stock, alias) VALUES ((SELECT id FROM stock WHERE ticker = 'MSTI'), 'PT Mastersystem Infotama') ON CONFLICT DO NOTHING;</v>
      </c>
    </row>
    <row r="2490" spans="1:6" x14ac:dyDescent="0.2">
      <c r="A2490" t="s">
        <v>898</v>
      </c>
      <c r="B2490" t="s">
        <v>899</v>
      </c>
      <c r="C2490" t="s">
        <v>898</v>
      </c>
      <c r="D2490" t="str">
        <f>TRIM(alias[[#This Row],[Column3]])</f>
        <v>MTDL</v>
      </c>
      <c r="F2490" t="str">
        <f t="shared" si="38"/>
        <v>INSERT INTO stock_alias (stock, alias) VALUES ((SELECT id FROM stock WHERE ticker = 'MTDL'), 'MTDL') ON CONFLICT DO NOTHING;</v>
      </c>
    </row>
    <row r="2491" spans="1:6" x14ac:dyDescent="0.2">
      <c r="A2491" t="s">
        <v>898</v>
      </c>
      <c r="B2491" t="s">
        <v>899</v>
      </c>
      <c r="C2491" t="s">
        <v>6742</v>
      </c>
      <c r="D2491" t="str">
        <f>TRIM(alias[[#This Row],[Column3]])</f>
        <v>Metrodata Electronics</v>
      </c>
      <c r="F2491" t="str">
        <f t="shared" si="38"/>
        <v>INSERT INTO stock_alias (stock, alias) VALUES ((SELECT id FROM stock WHERE ticker = 'MTDL'), 'Metrodata Electronics') ON CONFLICT DO NOTHING;</v>
      </c>
    </row>
    <row r="2492" spans="1:6" x14ac:dyDescent="0.2">
      <c r="A2492" t="s">
        <v>898</v>
      </c>
      <c r="B2492" t="s">
        <v>899</v>
      </c>
      <c r="C2492" t="s">
        <v>6743</v>
      </c>
      <c r="D2492" t="str">
        <f>TRIM(alias[[#This Row],[Column3]])</f>
        <v>Metrodata Electronics Tbk</v>
      </c>
      <c r="F2492" t="str">
        <f t="shared" si="38"/>
        <v>INSERT INTO stock_alias (stock, alias) VALUES ((SELECT id FROM stock WHERE ticker = 'MTDL'), 'Metrodata Electronics Tbk') ON CONFLICT DO NOTHING;</v>
      </c>
    </row>
    <row r="2493" spans="1:6" x14ac:dyDescent="0.2">
      <c r="A2493" t="s">
        <v>898</v>
      </c>
      <c r="B2493" t="s">
        <v>899</v>
      </c>
      <c r="C2493" t="s">
        <v>6744</v>
      </c>
      <c r="D2493" t="str">
        <f>TRIM(alias[[#This Row],[Column3]])</f>
        <v>PT Metrodata Electronics</v>
      </c>
      <c r="F2493" t="str">
        <f t="shared" si="38"/>
        <v>INSERT INTO stock_alias (stock, alias) VALUES ((SELECT id FROM stock WHERE ticker = 'MTDL'), 'PT Metrodata Electronics') ON CONFLICT DO NOTHING;</v>
      </c>
    </row>
    <row r="2494" spans="1:6" x14ac:dyDescent="0.2">
      <c r="A2494" t="s">
        <v>2019</v>
      </c>
      <c r="B2494" t="s">
        <v>2020</v>
      </c>
      <c r="C2494" t="s">
        <v>2019</v>
      </c>
      <c r="D2494" t="str">
        <f>TRIM(alias[[#This Row],[Column3]])</f>
        <v>MTEL</v>
      </c>
      <c r="F2494" t="str">
        <f t="shared" si="38"/>
        <v>INSERT INTO stock_alias (stock, alias) VALUES ((SELECT id FROM stock WHERE ticker = 'MTEL'), 'MTEL') ON CONFLICT DO NOTHING;</v>
      </c>
    </row>
    <row r="2495" spans="1:6" x14ac:dyDescent="0.2">
      <c r="A2495" t="s">
        <v>2019</v>
      </c>
      <c r="B2495" t="s">
        <v>2020</v>
      </c>
      <c r="C2495" t="s">
        <v>6745</v>
      </c>
      <c r="D2495" t="str">
        <f>TRIM(alias[[#This Row],[Column3]])</f>
        <v>Dayamitra Telekomunikasi</v>
      </c>
      <c r="F2495" t="str">
        <f t="shared" si="38"/>
        <v>INSERT INTO stock_alias (stock, alias) VALUES ((SELECT id FROM stock WHERE ticker = 'MTEL'), 'Dayamitra Telekomunikasi') ON CONFLICT DO NOTHING;</v>
      </c>
    </row>
    <row r="2496" spans="1:6" x14ac:dyDescent="0.2">
      <c r="A2496" t="s">
        <v>2019</v>
      </c>
      <c r="B2496" t="s">
        <v>2020</v>
      </c>
      <c r="C2496" t="s">
        <v>6746</v>
      </c>
      <c r="D2496" t="str">
        <f>TRIM(alias[[#This Row],[Column3]])</f>
        <v>Dayamitra Telekomunikasi Tbk</v>
      </c>
      <c r="F2496" t="str">
        <f t="shared" si="38"/>
        <v>INSERT INTO stock_alias (stock, alias) VALUES ((SELECT id FROM stock WHERE ticker = 'MTEL'), 'Dayamitra Telekomunikasi Tbk') ON CONFLICT DO NOTHING;</v>
      </c>
    </row>
    <row r="2497" spans="1:6" x14ac:dyDescent="0.2">
      <c r="A2497" t="s">
        <v>2019</v>
      </c>
      <c r="B2497" t="s">
        <v>2020</v>
      </c>
      <c r="C2497" t="s">
        <v>6747</v>
      </c>
      <c r="D2497" t="str">
        <f>TRIM(alias[[#This Row],[Column3]])</f>
        <v>PT Dayamitra Telekomunikasi</v>
      </c>
      <c r="F2497" t="str">
        <f t="shared" si="38"/>
        <v>INSERT INTO stock_alias (stock, alias) VALUES ((SELECT id FROM stock WHERE ticker = 'MTEL'), 'PT Dayamitra Telekomunikasi') ON CONFLICT DO NOTHING;</v>
      </c>
    </row>
    <row r="2498" spans="1:6" x14ac:dyDescent="0.2">
      <c r="A2498" t="s">
        <v>901</v>
      </c>
      <c r="B2498" t="s">
        <v>902</v>
      </c>
      <c r="C2498" t="s">
        <v>901</v>
      </c>
      <c r="D2498" t="str">
        <f>TRIM(alias[[#This Row],[Column3]])</f>
        <v>MTFN</v>
      </c>
      <c r="F2498" t="str">
        <f t="shared" si="38"/>
        <v>INSERT INTO stock_alias (stock, alias) VALUES ((SELECT id FROM stock WHERE ticker = 'MTFN'), 'MTFN') ON CONFLICT DO NOTHING;</v>
      </c>
    </row>
    <row r="2499" spans="1:6" x14ac:dyDescent="0.2">
      <c r="A2499" t="s">
        <v>901</v>
      </c>
      <c r="B2499" t="s">
        <v>902</v>
      </c>
      <c r="C2499" t="s">
        <v>6748</v>
      </c>
      <c r="D2499" t="str">
        <f>TRIM(alias[[#This Row],[Column3]])</f>
        <v>Capitalinc Investment</v>
      </c>
      <c r="F2499" t="str">
        <f t="shared" ref="F2499:F2562" si="39">_xlfn.CONCAT($F$1, _xlfn.CONCAT($G$1, A2499, "'), '", D2499, "') ON CONFLICT DO NOTHING;"))</f>
        <v>INSERT INTO stock_alias (stock, alias) VALUES ((SELECT id FROM stock WHERE ticker = 'MTFN'), 'Capitalinc Investment') ON CONFLICT DO NOTHING;</v>
      </c>
    </row>
    <row r="2500" spans="1:6" x14ac:dyDescent="0.2">
      <c r="A2500" t="s">
        <v>901</v>
      </c>
      <c r="B2500" t="s">
        <v>902</v>
      </c>
      <c r="C2500" t="s">
        <v>6749</v>
      </c>
      <c r="D2500" t="str">
        <f>TRIM(alias[[#This Row],[Column3]])</f>
        <v>Capitalinc Investment Tbk</v>
      </c>
      <c r="F2500" t="str">
        <f t="shared" si="39"/>
        <v>INSERT INTO stock_alias (stock, alias) VALUES ((SELECT id FROM stock WHERE ticker = 'MTFN'), 'Capitalinc Investment Tbk') ON CONFLICT DO NOTHING;</v>
      </c>
    </row>
    <row r="2501" spans="1:6" x14ac:dyDescent="0.2">
      <c r="A2501" t="s">
        <v>901</v>
      </c>
      <c r="B2501" t="s">
        <v>902</v>
      </c>
      <c r="C2501" t="s">
        <v>6750</v>
      </c>
      <c r="D2501" t="str">
        <f>TRIM(alias[[#This Row],[Column3]])</f>
        <v>PT Capitalinc Investment</v>
      </c>
      <c r="F2501" t="str">
        <f t="shared" si="39"/>
        <v>INSERT INTO stock_alias (stock, alias) VALUES ((SELECT id FROM stock WHERE ticker = 'MTFN'), 'PT Capitalinc Investment') ON CONFLICT DO NOTHING;</v>
      </c>
    </row>
    <row r="2502" spans="1:6" x14ac:dyDescent="0.2">
      <c r="A2502" t="s">
        <v>904</v>
      </c>
      <c r="B2502" t="s">
        <v>905</v>
      </c>
      <c r="C2502" t="s">
        <v>904</v>
      </c>
      <c r="D2502" t="str">
        <f>TRIM(alias[[#This Row],[Column3]])</f>
        <v>MTLA</v>
      </c>
      <c r="F2502" t="str">
        <f t="shared" si="39"/>
        <v>INSERT INTO stock_alias (stock, alias) VALUES ((SELECT id FROM stock WHERE ticker = 'MTLA'), 'MTLA') ON CONFLICT DO NOTHING;</v>
      </c>
    </row>
    <row r="2503" spans="1:6" x14ac:dyDescent="0.2">
      <c r="A2503" t="s">
        <v>904</v>
      </c>
      <c r="B2503" t="s">
        <v>905</v>
      </c>
      <c r="C2503" t="s">
        <v>6751</v>
      </c>
      <c r="D2503" t="str">
        <f>TRIM(alias[[#This Row],[Column3]])</f>
        <v>Metropolitan Land</v>
      </c>
      <c r="F2503" t="str">
        <f t="shared" si="39"/>
        <v>INSERT INTO stock_alias (stock, alias) VALUES ((SELECT id FROM stock WHERE ticker = 'MTLA'), 'Metropolitan Land') ON CONFLICT DO NOTHING;</v>
      </c>
    </row>
    <row r="2504" spans="1:6" x14ac:dyDescent="0.2">
      <c r="A2504" t="s">
        <v>904</v>
      </c>
      <c r="B2504" t="s">
        <v>905</v>
      </c>
      <c r="C2504" t="s">
        <v>6752</v>
      </c>
      <c r="D2504" t="str">
        <f>TRIM(alias[[#This Row],[Column3]])</f>
        <v>Metropolitan Land Tbk</v>
      </c>
      <c r="F2504" t="str">
        <f t="shared" si="39"/>
        <v>INSERT INTO stock_alias (stock, alias) VALUES ((SELECT id FROM stock WHERE ticker = 'MTLA'), 'Metropolitan Land Tbk') ON CONFLICT DO NOTHING;</v>
      </c>
    </row>
    <row r="2505" spans="1:6" x14ac:dyDescent="0.2">
      <c r="A2505" t="s">
        <v>904</v>
      </c>
      <c r="B2505" t="s">
        <v>905</v>
      </c>
      <c r="C2505" t="s">
        <v>6753</v>
      </c>
      <c r="D2505" t="str">
        <f>TRIM(alias[[#This Row],[Column3]])</f>
        <v>PT Metropolitan Land</v>
      </c>
      <c r="F2505" t="str">
        <f t="shared" si="39"/>
        <v>INSERT INTO stock_alias (stock, alias) VALUES ((SELECT id FROM stock WHERE ticker = 'MTLA'), 'PT Metropolitan Land') ON CONFLICT DO NOTHING;</v>
      </c>
    </row>
    <row r="2506" spans="1:6" x14ac:dyDescent="0.2">
      <c r="A2506" t="s">
        <v>2103</v>
      </c>
      <c r="B2506" t="s">
        <v>2104</v>
      </c>
      <c r="C2506" t="s">
        <v>2103</v>
      </c>
      <c r="D2506" t="str">
        <f>TRIM(alias[[#This Row],[Column3]])</f>
        <v>MTMH</v>
      </c>
      <c r="F2506" t="str">
        <f t="shared" si="39"/>
        <v>INSERT INTO stock_alias (stock, alias) VALUES ((SELECT id FROM stock WHERE ticker = 'MTMH'), 'MTMH') ON CONFLICT DO NOTHING;</v>
      </c>
    </row>
    <row r="2507" spans="1:6" x14ac:dyDescent="0.2">
      <c r="A2507" t="s">
        <v>2103</v>
      </c>
      <c r="B2507" t="s">
        <v>2104</v>
      </c>
      <c r="C2507" t="s">
        <v>6754</v>
      </c>
      <c r="D2507" t="str">
        <f>TRIM(alias[[#This Row],[Column3]])</f>
        <v>Murni Sadar</v>
      </c>
      <c r="F2507" t="str">
        <f t="shared" si="39"/>
        <v>INSERT INTO stock_alias (stock, alias) VALUES ((SELECT id FROM stock WHERE ticker = 'MTMH'), 'Murni Sadar') ON CONFLICT DO NOTHING;</v>
      </c>
    </row>
    <row r="2508" spans="1:6" x14ac:dyDescent="0.2">
      <c r="A2508" t="s">
        <v>2103</v>
      </c>
      <c r="B2508" t="s">
        <v>2104</v>
      </c>
      <c r="C2508" t="s">
        <v>6755</v>
      </c>
      <c r="D2508" t="str">
        <f>TRIM(alias[[#This Row],[Column3]])</f>
        <v>Murni Sadar Tbk</v>
      </c>
      <c r="F2508" t="str">
        <f t="shared" si="39"/>
        <v>INSERT INTO stock_alias (stock, alias) VALUES ((SELECT id FROM stock WHERE ticker = 'MTMH'), 'Murni Sadar Tbk') ON CONFLICT DO NOTHING;</v>
      </c>
    </row>
    <row r="2509" spans="1:6" x14ac:dyDescent="0.2">
      <c r="A2509" t="s">
        <v>2103</v>
      </c>
      <c r="B2509" t="s">
        <v>2104</v>
      </c>
      <c r="C2509" t="s">
        <v>6756</v>
      </c>
      <c r="D2509" t="str">
        <f>TRIM(alias[[#This Row],[Column3]])</f>
        <v>PT Murni Sadar</v>
      </c>
      <c r="F2509" t="str">
        <f t="shared" si="39"/>
        <v>INSERT INTO stock_alias (stock, alias) VALUES ((SELECT id FROM stock WHERE ticker = 'MTMH'), 'PT Murni Sadar') ON CONFLICT DO NOTHING;</v>
      </c>
    </row>
    <row r="2510" spans="1:6" x14ac:dyDescent="0.2">
      <c r="A2510" t="s">
        <v>1660</v>
      </c>
      <c r="B2510" t="s">
        <v>1661</v>
      </c>
      <c r="C2510" t="s">
        <v>1660</v>
      </c>
      <c r="D2510" t="str">
        <f>TRIM(alias[[#This Row],[Column3]])</f>
        <v>MTPS</v>
      </c>
      <c r="F2510" t="str">
        <f t="shared" si="39"/>
        <v>INSERT INTO stock_alias (stock, alias) VALUES ((SELECT id FROM stock WHERE ticker = 'MTPS'), 'MTPS') ON CONFLICT DO NOTHING;</v>
      </c>
    </row>
    <row r="2511" spans="1:6" x14ac:dyDescent="0.2">
      <c r="A2511" t="s">
        <v>1660</v>
      </c>
      <c r="B2511" t="s">
        <v>1661</v>
      </c>
      <c r="C2511" t="s">
        <v>6757</v>
      </c>
      <c r="D2511" t="str">
        <f>TRIM(alias[[#This Row],[Column3]])</f>
        <v>Meta Epsi</v>
      </c>
      <c r="F2511" t="str">
        <f t="shared" si="39"/>
        <v>INSERT INTO stock_alias (stock, alias) VALUES ((SELECT id FROM stock WHERE ticker = 'MTPS'), 'Meta Epsi') ON CONFLICT DO NOTHING;</v>
      </c>
    </row>
    <row r="2512" spans="1:6" x14ac:dyDescent="0.2">
      <c r="A2512" t="s">
        <v>1660</v>
      </c>
      <c r="B2512" t="s">
        <v>1661</v>
      </c>
      <c r="C2512" t="s">
        <v>6758</v>
      </c>
      <c r="D2512" t="str">
        <f>TRIM(alias[[#This Row],[Column3]])</f>
        <v>Meta Epsi Tbk</v>
      </c>
      <c r="F2512" t="str">
        <f t="shared" si="39"/>
        <v>INSERT INTO stock_alias (stock, alias) VALUES ((SELECT id FROM stock WHERE ticker = 'MTPS'), 'Meta Epsi Tbk') ON CONFLICT DO NOTHING;</v>
      </c>
    </row>
    <row r="2513" spans="1:6" x14ac:dyDescent="0.2">
      <c r="A2513" t="s">
        <v>1660</v>
      </c>
      <c r="B2513" t="s">
        <v>1661</v>
      </c>
      <c r="C2513" t="s">
        <v>6759</v>
      </c>
      <c r="D2513" t="str">
        <f>TRIM(alias[[#This Row],[Column3]])</f>
        <v>PT Meta Epsi</v>
      </c>
      <c r="F2513" t="str">
        <f t="shared" si="39"/>
        <v>INSERT INTO stock_alias (stock, alias) VALUES ((SELECT id FROM stock WHERE ticker = 'MTPS'), 'PT Meta Epsi') ON CONFLICT DO NOTHING;</v>
      </c>
    </row>
    <row r="2514" spans="1:6" x14ac:dyDescent="0.2">
      <c r="A2514" t="s">
        <v>1367</v>
      </c>
      <c r="B2514" t="s">
        <v>1368</v>
      </c>
      <c r="C2514" t="s">
        <v>1367</v>
      </c>
      <c r="D2514" t="str">
        <f>TRIM(alias[[#This Row],[Column3]])</f>
        <v>MTRA</v>
      </c>
      <c r="F2514" t="str">
        <f t="shared" si="39"/>
        <v>INSERT INTO stock_alias (stock, alias) VALUES ((SELECT id FROM stock WHERE ticker = 'MTRA'), 'MTRA') ON CONFLICT DO NOTHING;</v>
      </c>
    </row>
    <row r="2515" spans="1:6" x14ac:dyDescent="0.2">
      <c r="A2515" t="s">
        <v>1367</v>
      </c>
      <c r="B2515" t="s">
        <v>1368</v>
      </c>
      <c r="C2515" t="s">
        <v>6760</v>
      </c>
      <c r="D2515" t="str">
        <f>TRIM(alias[[#This Row],[Column3]])</f>
        <v>Mitra Pemuda</v>
      </c>
      <c r="F2515" t="str">
        <f t="shared" si="39"/>
        <v>INSERT INTO stock_alias (stock, alias) VALUES ((SELECT id FROM stock WHERE ticker = 'MTRA'), 'Mitra Pemuda') ON CONFLICT DO NOTHING;</v>
      </c>
    </row>
    <row r="2516" spans="1:6" x14ac:dyDescent="0.2">
      <c r="A2516" t="s">
        <v>1367</v>
      </c>
      <c r="B2516" t="s">
        <v>1368</v>
      </c>
      <c r="C2516" t="s">
        <v>6761</v>
      </c>
      <c r="D2516" t="str">
        <f>TRIM(alias[[#This Row],[Column3]])</f>
        <v>Mitra Pemuda Tbk</v>
      </c>
      <c r="F2516" t="str">
        <f t="shared" si="39"/>
        <v>INSERT INTO stock_alias (stock, alias) VALUES ((SELECT id FROM stock WHERE ticker = 'MTRA'), 'Mitra Pemuda Tbk') ON CONFLICT DO NOTHING;</v>
      </c>
    </row>
    <row r="2517" spans="1:6" x14ac:dyDescent="0.2">
      <c r="A2517" t="s">
        <v>1367</v>
      </c>
      <c r="B2517" t="s">
        <v>1368</v>
      </c>
      <c r="C2517" t="s">
        <v>6762</v>
      </c>
      <c r="D2517" t="str">
        <f>TRIM(alias[[#This Row],[Column3]])</f>
        <v>PT Mitra Pemuda</v>
      </c>
      <c r="F2517" t="str">
        <f t="shared" si="39"/>
        <v>INSERT INTO stock_alias (stock, alias) VALUES ((SELECT id FROM stock WHERE ticker = 'MTRA'), 'PT Mitra Pemuda') ON CONFLICT DO NOTHING;</v>
      </c>
    </row>
    <row r="2518" spans="1:6" x14ac:dyDescent="0.2">
      <c r="A2518" t="s">
        <v>907</v>
      </c>
      <c r="B2518" t="s">
        <v>908</v>
      </c>
      <c r="C2518" t="s">
        <v>907</v>
      </c>
      <c r="D2518" t="str">
        <f>TRIM(alias[[#This Row],[Column3]])</f>
        <v>MTSM</v>
      </c>
      <c r="F2518" t="str">
        <f t="shared" si="39"/>
        <v>INSERT INTO stock_alias (stock, alias) VALUES ((SELECT id FROM stock WHERE ticker = 'MTSM'), 'MTSM') ON CONFLICT DO NOTHING;</v>
      </c>
    </row>
    <row r="2519" spans="1:6" x14ac:dyDescent="0.2">
      <c r="A2519" t="s">
        <v>907</v>
      </c>
      <c r="B2519" t="s">
        <v>908</v>
      </c>
      <c r="C2519" t="s">
        <v>6763</v>
      </c>
      <c r="D2519" t="str">
        <f>TRIM(alias[[#This Row],[Column3]])</f>
        <v>Metro Realty</v>
      </c>
      <c r="F2519" t="str">
        <f t="shared" si="39"/>
        <v>INSERT INTO stock_alias (stock, alias) VALUES ((SELECT id FROM stock WHERE ticker = 'MTSM'), 'Metro Realty') ON CONFLICT DO NOTHING;</v>
      </c>
    </row>
    <row r="2520" spans="1:6" x14ac:dyDescent="0.2">
      <c r="A2520" t="s">
        <v>907</v>
      </c>
      <c r="B2520" t="s">
        <v>908</v>
      </c>
      <c r="C2520" t="s">
        <v>6764</v>
      </c>
      <c r="D2520" t="str">
        <f>TRIM(alias[[#This Row],[Column3]])</f>
        <v>Metro Realty Tbk</v>
      </c>
      <c r="F2520" t="str">
        <f t="shared" si="39"/>
        <v>INSERT INTO stock_alias (stock, alias) VALUES ((SELECT id FROM stock WHERE ticker = 'MTSM'), 'Metro Realty Tbk') ON CONFLICT DO NOTHING;</v>
      </c>
    </row>
    <row r="2521" spans="1:6" x14ac:dyDescent="0.2">
      <c r="A2521" t="s">
        <v>907</v>
      </c>
      <c r="B2521" t="s">
        <v>908</v>
      </c>
      <c r="C2521" t="s">
        <v>6765</v>
      </c>
      <c r="D2521" t="str">
        <f>TRIM(alias[[#This Row],[Column3]])</f>
        <v>PT Metro Realty</v>
      </c>
      <c r="F2521" t="str">
        <f t="shared" si="39"/>
        <v>INSERT INTO stock_alias (stock, alias) VALUES ((SELECT id FROM stock WHERE ticker = 'MTSM'), 'PT Metro Realty') ON CONFLICT DO NOTHING;</v>
      </c>
    </row>
    <row r="2522" spans="1:6" x14ac:dyDescent="0.2">
      <c r="A2522" t="s">
        <v>1457</v>
      </c>
      <c r="B2522" t="s">
        <v>3630</v>
      </c>
      <c r="C2522" t="s">
        <v>1457</v>
      </c>
      <c r="D2522" t="str">
        <f>TRIM(alias[[#This Row],[Column3]])</f>
        <v>MTWI</v>
      </c>
      <c r="F2522" t="str">
        <f t="shared" si="39"/>
        <v>INSERT INTO stock_alias (stock, alias) VALUES ((SELECT id FROM stock WHERE ticker = 'MTWI'), 'MTWI') ON CONFLICT DO NOTHING;</v>
      </c>
    </row>
    <row r="2523" spans="1:6" x14ac:dyDescent="0.2">
      <c r="A2523" t="s">
        <v>1457</v>
      </c>
      <c r="B2523" t="s">
        <v>3630</v>
      </c>
      <c r="C2523" t="s">
        <v>6766</v>
      </c>
      <c r="D2523" t="str">
        <f>TRIM(alias[[#This Row],[Column3]])</f>
        <v>Malacca Trust Wuwungan Insurance</v>
      </c>
      <c r="F2523" t="str">
        <f t="shared" si="39"/>
        <v>INSERT INTO stock_alias (stock, alias) VALUES ((SELECT id FROM stock WHERE ticker = 'MTWI'), 'Malacca Trust Wuwungan Insurance') ON CONFLICT DO NOTHING;</v>
      </c>
    </row>
    <row r="2524" spans="1:6" x14ac:dyDescent="0.2">
      <c r="A2524" t="s">
        <v>1457</v>
      </c>
      <c r="B2524" t="s">
        <v>3630</v>
      </c>
      <c r="C2524" t="s">
        <v>6767</v>
      </c>
      <c r="D2524" t="str">
        <f>TRIM(alias[[#This Row],[Column3]])</f>
        <v>Malacca Trust Wuwungan Insurance Tbk</v>
      </c>
      <c r="F2524" t="str">
        <f t="shared" si="39"/>
        <v>INSERT INTO stock_alias (stock, alias) VALUES ((SELECT id FROM stock WHERE ticker = 'MTWI'), 'Malacca Trust Wuwungan Insurance Tbk') ON CONFLICT DO NOTHING;</v>
      </c>
    </row>
    <row r="2525" spans="1:6" x14ac:dyDescent="0.2">
      <c r="A2525" t="s">
        <v>1457</v>
      </c>
      <c r="B2525" t="s">
        <v>3630</v>
      </c>
      <c r="C2525" t="s">
        <v>6768</v>
      </c>
      <c r="D2525" t="str">
        <f>TRIM(alias[[#This Row],[Column3]])</f>
        <v>PT Malacca Trust Wuwungan Insurance</v>
      </c>
      <c r="F2525" t="str">
        <f t="shared" si="39"/>
        <v>INSERT INTO stock_alias (stock, alias) VALUES ((SELECT id FROM stock WHERE ticker = 'MTWI'), 'PT Malacca Trust Wuwungan Insurance') ON CONFLICT DO NOTHING;</v>
      </c>
    </row>
    <row r="2526" spans="1:6" x14ac:dyDescent="0.2">
      <c r="A2526" t="s">
        <v>2360</v>
      </c>
      <c r="B2526" t="s">
        <v>2361</v>
      </c>
      <c r="C2526" t="s">
        <v>2360</v>
      </c>
      <c r="D2526" t="str">
        <f>TRIM(alias[[#This Row],[Column3]])</f>
        <v>MUTU</v>
      </c>
      <c r="F2526" t="str">
        <f t="shared" si="39"/>
        <v>INSERT INTO stock_alias (stock, alias) VALUES ((SELECT id FROM stock WHERE ticker = 'MUTU'), 'MUTU') ON CONFLICT DO NOTHING;</v>
      </c>
    </row>
    <row r="2527" spans="1:6" x14ac:dyDescent="0.2">
      <c r="A2527" t="s">
        <v>2360</v>
      </c>
      <c r="B2527" t="s">
        <v>2361</v>
      </c>
      <c r="C2527" t="s">
        <v>6769</v>
      </c>
      <c r="D2527" t="str">
        <f>TRIM(alias[[#This Row],[Column3]])</f>
        <v>Mutuagung Lestari</v>
      </c>
      <c r="F2527" t="str">
        <f t="shared" si="39"/>
        <v>INSERT INTO stock_alias (stock, alias) VALUES ((SELECT id FROM stock WHERE ticker = 'MUTU'), 'Mutuagung Lestari') ON CONFLICT DO NOTHING;</v>
      </c>
    </row>
    <row r="2528" spans="1:6" x14ac:dyDescent="0.2">
      <c r="A2528" t="s">
        <v>2360</v>
      </c>
      <c r="B2528" t="s">
        <v>2361</v>
      </c>
      <c r="C2528" t="s">
        <v>6770</v>
      </c>
      <c r="D2528" t="str">
        <f>TRIM(alias[[#This Row],[Column3]])</f>
        <v>Mutuagung Lestari Tbk</v>
      </c>
      <c r="F2528" t="str">
        <f t="shared" si="39"/>
        <v>INSERT INTO stock_alias (stock, alias) VALUES ((SELECT id FROM stock WHERE ticker = 'MUTU'), 'Mutuagung Lestari Tbk') ON CONFLICT DO NOTHING;</v>
      </c>
    </row>
    <row r="2529" spans="1:6" x14ac:dyDescent="0.2">
      <c r="A2529" t="s">
        <v>2360</v>
      </c>
      <c r="B2529" t="s">
        <v>2361</v>
      </c>
      <c r="C2529" t="s">
        <v>6771</v>
      </c>
      <c r="D2529" t="str">
        <f>TRIM(alias[[#This Row],[Column3]])</f>
        <v>PT Mutuagung Lestari</v>
      </c>
      <c r="F2529" t="str">
        <f t="shared" si="39"/>
        <v>INSERT INTO stock_alias (stock, alias) VALUES ((SELECT id FROM stock WHERE ticker = 'MUTU'), 'PT Mutuagung Lestari') ON CONFLICT DO NOTHING;</v>
      </c>
    </row>
    <row r="2530" spans="1:6" x14ac:dyDescent="0.2">
      <c r="A2530" t="s">
        <v>910</v>
      </c>
      <c r="B2530" t="s">
        <v>911</v>
      </c>
      <c r="C2530" t="s">
        <v>910</v>
      </c>
      <c r="D2530" t="str">
        <f>TRIM(alias[[#This Row],[Column3]])</f>
        <v>MYOH</v>
      </c>
      <c r="F2530" t="str">
        <f t="shared" si="39"/>
        <v>INSERT INTO stock_alias (stock, alias) VALUES ((SELECT id FROM stock WHERE ticker = 'MYOH'), 'MYOH') ON CONFLICT DO NOTHING;</v>
      </c>
    </row>
    <row r="2531" spans="1:6" x14ac:dyDescent="0.2">
      <c r="A2531" t="s">
        <v>910</v>
      </c>
      <c r="B2531" t="s">
        <v>911</v>
      </c>
      <c r="C2531" t="s">
        <v>6772</v>
      </c>
      <c r="D2531" t="str">
        <f>TRIM(alias[[#This Row],[Column3]])</f>
        <v>PT Samindo Resources</v>
      </c>
      <c r="F2531" t="str">
        <f t="shared" si="39"/>
        <v>INSERT INTO stock_alias (stock, alias) VALUES ((SELECT id FROM stock WHERE ticker = 'MYOH'), 'PT Samindo Resources') ON CONFLICT DO NOTHING;</v>
      </c>
    </row>
    <row r="2532" spans="1:6" x14ac:dyDescent="0.2">
      <c r="A2532" t="s">
        <v>910</v>
      </c>
      <c r="B2532" t="s">
        <v>911</v>
      </c>
      <c r="C2532" t="s">
        <v>6773</v>
      </c>
      <c r="D2532" t="str">
        <f>TRIM(alias[[#This Row],[Column3]])</f>
        <v>Samindo Resources</v>
      </c>
      <c r="F2532" t="str">
        <f t="shared" si="39"/>
        <v>INSERT INTO stock_alias (stock, alias) VALUES ((SELECT id FROM stock WHERE ticker = 'MYOH'), 'Samindo Resources') ON CONFLICT DO NOTHING;</v>
      </c>
    </row>
    <row r="2533" spans="1:6" x14ac:dyDescent="0.2">
      <c r="A2533" t="s">
        <v>910</v>
      </c>
      <c r="B2533" t="s">
        <v>911</v>
      </c>
      <c r="C2533" t="s">
        <v>6774</v>
      </c>
      <c r="D2533" t="str">
        <f>TRIM(alias[[#This Row],[Column3]])</f>
        <v>Samindo Resources Tbk</v>
      </c>
      <c r="F2533" t="str">
        <f t="shared" si="39"/>
        <v>INSERT INTO stock_alias (stock, alias) VALUES ((SELECT id FROM stock WHERE ticker = 'MYOH'), 'Samindo Resources Tbk') ON CONFLICT DO NOTHING;</v>
      </c>
    </row>
    <row r="2534" spans="1:6" x14ac:dyDescent="0.2">
      <c r="A2534" t="s">
        <v>913</v>
      </c>
      <c r="B2534" t="s">
        <v>914</v>
      </c>
      <c r="C2534" t="s">
        <v>913</v>
      </c>
      <c r="D2534" t="str">
        <f>TRIM(alias[[#This Row],[Column3]])</f>
        <v>MYOR</v>
      </c>
      <c r="F2534" t="str">
        <f t="shared" si="39"/>
        <v>INSERT INTO stock_alias (stock, alias) VALUES ((SELECT id FROM stock WHERE ticker = 'MYOR'), 'MYOR') ON CONFLICT DO NOTHING;</v>
      </c>
    </row>
    <row r="2535" spans="1:6" x14ac:dyDescent="0.2">
      <c r="A2535" t="s">
        <v>913</v>
      </c>
      <c r="B2535" t="s">
        <v>914</v>
      </c>
      <c r="C2535" t="s">
        <v>6775</v>
      </c>
      <c r="D2535" t="str">
        <f>TRIM(alias[[#This Row],[Column3]])</f>
        <v>Mayora Indah</v>
      </c>
      <c r="F2535" t="str">
        <f t="shared" si="39"/>
        <v>INSERT INTO stock_alias (stock, alias) VALUES ((SELECT id FROM stock WHERE ticker = 'MYOR'), 'Mayora Indah') ON CONFLICT DO NOTHING;</v>
      </c>
    </row>
    <row r="2536" spans="1:6" x14ac:dyDescent="0.2">
      <c r="A2536" t="s">
        <v>913</v>
      </c>
      <c r="B2536" t="s">
        <v>914</v>
      </c>
      <c r="C2536" t="s">
        <v>6776</v>
      </c>
      <c r="D2536" t="str">
        <f>TRIM(alias[[#This Row],[Column3]])</f>
        <v>Mayora Indah Tbk</v>
      </c>
      <c r="F2536" t="str">
        <f t="shared" si="39"/>
        <v>INSERT INTO stock_alias (stock, alias) VALUES ((SELECT id FROM stock WHERE ticker = 'MYOR'), 'Mayora Indah Tbk') ON CONFLICT DO NOTHING;</v>
      </c>
    </row>
    <row r="2537" spans="1:6" x14ac:dyDescent="0.2">
      <c r="A2537" t="s">
        <v>913</v>
      </c>
      <c r="B2537" t="s">
        <v>914</v>
      </c>
      <c r="C2537" t="s">
        <v>6777</v>
      </c>
      <c r="D2537" t="str">
        <f>TRIM(alias[[#This Row],[Column3]])</f>
        <v>PT Mayora Indah</v>
      </c>
      <c r="F2537" t="str">
        <f t="shared" si="39"/>
        <v>INSERT INTO stock_alias (stock, alias) VALUES ((SELECT id FROM stock WHERE ticker = 'MYOR'), 'PT Mayora Indah') ON CONFLICT DO NOTHING;</v>
      </c>
    </row>
    <row r="2538" spans="1:6" x14ac:dyDescent="0.2">
      <c r="A2538" t="s">
        <v>916</v>
      </c>
      <c r="B2538" t="s">
        <v>917</v>
      </c>
      <c r="C2538" t="s">
        <v>916</v>
      </c>
      <c r="D2538" t="str">
        <f>TRIM(alias[[#This Row],[Column3]])</f>
        <v>MYTX</v>
      </c>
      <c r="F2538" t="str">
        <f t="shared" si="39"/>
        <v>INSERT INTO stock_alias (stock, alias) VALUES ((SELECT id FROM stock WHERE ticker = 'MYTX'), 'MYTX') ON CONFLICT DO NOTHING;</v>
      </c>
    </row>
    <row r="2539" spans="1:6" x14ac:dyDescent="0.2">
      <c r="A2539" t="s">
        <v>916</v>
      </c>
      <c r="B2539" t="s">
        <v>917</v>
      </c>
      <c r="C2539" t="s">
        <v>6778</v>
      </c>
      <c r="D2539" t="str">
        <f>TRIM(alias[[#This Row],[Column3]])</f>
        <v>Asia Pacific Investama</v>
      </c>
      <c r="F2539" t="str">
        <f t="shared" si="39"/>
        <v>INSERT INTO stock_alias (stock, alias) VALUES ((SELECT id FROM stock WHERE ticker = 'MYTX'), 'Asia Pacific Investama') ON CONFLICT DO NOTHING;</v>
      </c>
    </row>
    <row r="2540" spans="1:6" x14ac:dyDescent="0.2">
      <c r="A2540" t="s">
        <v>916</v>
      </c>
      <c r="B2540" t="s">
        <v>917</v>
      </c>
      <c r="C2540" t="s">
        <v>6779</v>
      </c>
      <c r="D2540" t="str">
        <f>TRIM(alias[[#This Row],[Column3]])</f>
        <v>Asia Pacific Investama Tbk</v>
      </c>
      <c r="F2540" t="str">
        <f t="shared" si="39"/>
        <v>INSERT INTO stock_alias (stock, alias) VALUES ((SELECT id FROM stock WHERE ticker = 'MYTX'), 'Asia Pacific Investama Tbk') ON CONFLICT DO NOTHING;</v>
      </c>
    </row>
    <row r="2541" spans="1:6" x14ac:dyDescent="0.2">
      <c r="A2541" t="s">
        <v>916</v>
      </c>
      <c r="B2541" t="s">
        <v>917</v>
      </c>
      <c r="C2541" t="s">
        <v>6780</v>
      </c>
      <c r="D2541" t="str">
        <f>TRIM(alias[[#This Row],[Column3]])</f>
        <v>PT Asia Pacific Investama</v>
      </c>
      <c r="F2541" t="str">
        <f t="shared" si="39"/>
        <v>INSERT INTO stock_alias (stock, alias) VALUES ((SELECT id FROM stock WHERE ticker = 'MYTX'), 'PT Asia Pacific Investama') ON CONFLICT DO NOTHING;</v>
      </c>
    </row>
    <row r="2542" spans="1:6" x14ac:dyDescent="0.2">
      <c r="A2542" t="s">
        <v>2503</v>
      </c>
      <c r="B2542" t="s">
        <v>2504</v>
      </c>
      <c r="C2542" t="s">
        <v>2503</v>
      </c>
      <c r="D2542" t="str">
        <f>TRIM(alias[[#This Row],[Column3]])</f>
        <v>NAIK</v>
      </c>
      <c r="F2542" t="str">
        <f t="shared" si="39"/>
        <v>INSERT INTO stock_alias (stock, alias) VALUES ((SELECT id FROM stock WHERE ticker = 'NAIK'), 'NAIK') ON CONFLICT DO NOTHING;</v>
      </c>
    </row>
    <row r="2543" spans="1:6" x14ac:dyDescent="0.2">
      <c r="A2543" t="s">
        <v>2503</v>
      </c>
      <c r="B2543" t="s">
        <v>2504</v>
      </c>
      <c r="C2543" t="s">
        <v>6781</v>
      </c>
      <c r="D2543" t="str">
        <f>TRIM(alias[[#This Row],[Column3]])</f>
        <v>Adiwarna Anugerah Abadi</v>
      </c>
      <c r="F2543" t="str">
        <f t="shared" si="39"/>
        <v>INSERT INTO stock_alias (stock, alias) VALUES ((SELECT id FROM stock WHERE ticker = 'NAIK'), 'Adiwarna Anugerah Abadi') ON CONFLICT DO NOTHING;</v>
      </c>
    </row>
    <row r="2544" spans="1:6" x14ac:dyDescent="0.2">
      <c r="A2544" t="s">
        <v>2503</v>
      </c>
      <c r="B2544" t="s">
        <v>2504</v>
      </c>
      <c r="C2544" t="s">
        <v>6782</v>
      </c>
      <c r="D2544" t="str">
        <f>TRIM(alias[[#This Row],[Column3]])</f>
        <v>Adiwarna Anugerah Abadi Tbk</v>
      </c>
      <c r="F2544" t="str">
        <f t="shared" si="39"/>
        <v>INSERT INTO stock_alias (stock, alias) VALUES ((SELECT id FROM stock WHERE ticker = 'NAIK'), 'Adiwarna Anugerah Abadi Tbk') ON CONFLICT DO NOTHING;</v>
      </c>
    </row>
    <row r="2545" spans="1:6" x14ac:dyDescent="0.2">
      <c r="A2545" t="s">
        <v>2503</v>
      </c>
      <c r="B2545" t="s">
        <v>2504</v>
      </c>
      <c r="C2545" t="s">
        <v>6783</v>
      </c>
      <c r="D2545" t="str">
        <f>TRIM(alias[[#This Row],[Column3]])</f>
        <v>PT Adiwarna Anugerah Abadi</v>
      </c>
      <c r="F2545" t="str">
        <f t="shared" si="39"/>
        <v>INSERT INTO stock_alias (stock, alias) VALUES ((SELECT id FROM stock WHERE ticker = 'NAIK'), 'PT Adiwarna Anugerah Abadi') ON CONFLICT DO NOTHING;</v>
      </c>
    </row>
    <row r="2546" spans="1:6" x14ac:dyDescent="0.2">
      <c r="A2546" t="s">
        <v>2085</v>
      </c>
      <c r="B2546" t="s">
        <v>2086</v>
      </c>
      <c r="C2546" t="s">
        <v>2085</v>
      </c>
      <c r="D2546" t="str">
        <f>TRIM(alias[[#This Row],[Column3]])</f>
        <v>NANO</v>
      </c>
      <c r="F2546" t="str">
        <f t="shared" si="39"/>
        <v>INSERT INTO stock_alias (stock, alias) VALUES ((SELECT id FROM stock WHERE ticker = 'NANO'), 'NANO') ON CONFLICT DO NOTHING;</v>
      </c>
    </row>
    <row r="2547" spans="1:6" x14ac:dyDescent="0.2">
      <c r="A2547" t="s">
        <v>2085</v>
      </c>
      <c r="B2547" t="s">
        <v>2086</v>
      </c>
      <c r="C2547" t="s">
        <v>6784</v>
      </c>
      <c r="D2547" t="str">
        <f>TRIM(alias[[#This Row],[Column3]])</f>
        <v>Nanotech Indonesia Global</v>
      </c>
      <c r="F2547" t="str">
        <f t="shared" si="39"/>
        <v>INSERT INTO stock_alias (stock, alias) VALUES ((SELECT id FROM stock WHERE ticker = 'NANO'), 'Nanotech Indonesia Global') ON CONFLICT DO NOTHING;</v>
      </c>
    </row>
    <row r="2548" spans="1:6" x14ac:dyDescent="0.2">
      <c r="A2548" t="s">
        <v>2085</v>
      </c>
      <c r="B2548" t="s">
        <v>2086</v>
      </c>
      <c r="C2548" t="s">
        <v>6785</v>
      </c>
      <c r="D2548" t="str">
        <f>TRIM(alias[[#This Row],[Column3]])</f>
        <v>Nanotech Indonesia Global Tbk</v>
      </c>
      <c r="F2548" t="str">
        <f t="shared" si="39"/>
        <v>INSERT INTO stock_alias (stock, alias) VALUES ((SELECT id FROM stock WHERE ticker = 'NANO'), 'Nanotech Indonesia Global Tbk') ON CONFLICT DO NOTHING;</v>
      </c>
    </row>
    <row r="2549" spans="1:6" x14ac:dyDescent="0.2">
      <c r="A2549" t="s">
        <v>2085</v>
      </c>
      <c r="B2549" t="s">
        <v>2086</v>
      </c>
      <c r="C2549" t="s">
        <v>6786</v>
      </c>
      <c r="D2549" t="str">
        <f>TRIM(alias[[#This Row],[Column3]])</f>
        <v>PT Nanotech Indonesia Global</v>
      </c>
      <c r="F2549" t="str">
        <f t="shared" si="39"/>
        <v>INSERT INTO stock_alias (stock, alias) VALUES ((SELECT id FROM stock WHERE ticker = 'NANO'), 'PT Nanotech Indonesia Global') ON CONFLICT DO NOTHING;</v>
      </c>
    </row>
    <row r="2550" spans="1:6" x14ac:dyDescent="0.2">
      <c r="A2550" t="s">
        <v>1443</v>
      </c>
      <c r="B2550" t="s">
        <v>1444</v>
      </c>
      <c r="C2550" t="s">
        <v>1443</v>
      </c>
      <c r="D2550" t="str">
        <f>TRIM(alias[[#This Row],[Column3]])</f>
        <v>NASA</v>
      </c>
      <c r="F2550" t="str">
        <f t="shared" si="39"/>
        <v>INSERT INTO stock_alias (stock, alias) VALUES ((SELECT id FROM stock WHERE ticker = 'NASA'), 'NASA') ON CONFLICT DO NOTHING;</v>
      </c>
    </row>
    <row r="2551" spans="1:6" x14ac:dyDescent="0.2">
      <c r="A2551" t="s">
        <v>1443</v>
      </c>
      <c r="B2551" t="s">
        <v>1444</v>
      </c>
      <c r="C2551" t="s">
        <v>6787</v>
      </c>
      <c r="D2551" t="str">
        <f>TRIM(alias[[#This Row],[Column3]])</f>
        <v>Andalan Perkasa Abadi</v>
      </c>
      <c r="F2551" t="str">
        <f t="shared" si="39"/>
        <v>INSERT INTO stock_alias (stock, alias) VALUES ((SELECT id FROM stock WHERE ticker = 'NASA'), 'Andalan Perkasa Abadi') ON CONFLICT DO NOTHING;</v>
      </c>
    </row>
    <row r="2552" spans="1:6" x14ac:dyDescent="0.2">
      <c r="A2552" t="s">
        <v>1443</v>
      </c>
      <c r="B2552" t="s">
        <v>1444</v>
      </c>
      <c r="C2552" t="s">
        <v>6788</v>
      </c>
      <c r="D2552" t="str">
        <f>TRIM(alias[[#This Row],[Column3]])</f>
        <v>Andalan Perkasa Abadi Tbk</v>
      </c>
      <c r="F2552" t="str">
        <f t="shared" si="39"/>
        <v>INSERT INTO stock_alias (stock, alias) VALUES ((SELECT id FROM stock WHERE ticker = 'NASA'), 'Andalan Perkasa Abadi Tbk') ON CONFLICT DO NOTHING;</v>
      </c>
    </row>
    <row r="2553" spans="1:6" x14ac:dyDescent="0.2">
      <c r="A2553" t="s">
        <v>1443</v>
      </c>
      <c r="B2553" t="s">
        <v>1444</v>
      </c>
      <c r="C2553" t="s">
        <v>6789</v>
      </c>
      <c r="D2553" t="str">
        <f>TRIM(alias[[#This Row],[Column3]])</f>
        <v>PT Andalan Perkasa Abadi</v>
      </c>
      <c r="F2553" t="str">
        <f t="shared" si="39"/>
        <v>INSERT INTO stock_alias (stock, alias) VALUES ((SELECT id FROM stock WHERE ticker = 'NASA'), 'PT Andalan Perkasa Abadi') ON CONFLICT DO NOTHING;</v>
      </c>
    </row>
    <row r="2554" spans="1:6" x14ac:dyDescent="0.2">
      <c r="A2554" t="s">
        <v>2052</v>
      </c>
      <c r="B2554" t="s">
        <v>2053</v>
      </c>
      <c r="C2554" t="s">
        <v>2052</v>
      </c>
      <c r="D2554" t="str">
        <f>TRIM(alias[[#This Row],[Column3]])</f>
        <v>NASI</v>
      </c>
      <c r="F2554" t="str">
        <f t="shared" si="39"/>
        <v>INSERT INTO stock_alias (stock, alias) VALUES ((SELECT id FROM stock WHERE ticker = 'NASI'), 'NASI') ON CONFLICT DO NOTHING;</v>
      </c>
    </row>
    <row r="2555" spans="1:6" x14ac:dyDescent="0.2">
      <c r="A2555" t="s">
        <v>2052</v>
      </c>
      <c r="B2555" t="s">
        <v>2053</v>
      </c>
      <c r="C2555" t="s">
        <v>6790</v>
      </c>
      <c r="D2555" t="str">
        <f>TRIM(alias[[#This Row],[Column3]])</f>
        <v>PT Wahana Inti Makmur</v>
      </c>
      <c r="F2555" t="str">
        <f t="shared" si="39"/>
        <v>INSERT INTO stock_alias (stock, alias) VALUES ((SELECT id FROM stock WHERE ticker = 'NASI'), 'PT Wahana Inti Makmur') ON CONFLICT DO NOTHING;</v>
      </c>
    </row>
    <row r="2556" spans="1:6" x14ac:dyDescent="0.2">
      <c r="A2556" t="s">
        <v>2052</v>
      </c>
      <c r="B2556" t="s">
        <v>2053</v>
      </c>
      <c r="C2556" t="s">
        <v>6791</v>
      </c>
      <c r="D2556" t="str">
        <f>TRIM(alias[[#This Row],[Column3]])</f>
        <v>Wahana Inti Makmur</v>
      </c>
      <c r="F2556" t="str">
        <f t="shared" si="39"/>
        <v>INSERT INTO stock_alias (stock, alias) VALUES ((SELECT id FROM stock WHERE ticker = 'NASI'), 'Wahana Inti Makmur') ON CONFLICT DO NOTHING;</v>
      </c>
    </row>
    <row r="2557" spans="1:6" x14ac:dyDescent="0.2">
      <c r="A2557" t="s">
        <v>2052</v>
      </c>
      <c r="B2557" t="s">
        <v>2053</v>
      </c>
      <c r="C2557" t="s">
        <v>6792</v>
      </c>
      <c r="D2557" t="str">
        <f>TRIM(alias[[#This Row],[Column3]])</f>
        <v>Wahana Inti Makmur Tbk</v>
      </c>
      <c r="F2557" t="str">
        <f t="shared" si="39"/>
        <v>INSERT INTO stock_alias (stock, alias) VALUES ((SELECT id FROM stock WHERE ticker = 'NASI'), 'Wahana Inti Makmur Tbk') ON CONFLICT DO NOTHING;</v>
      </c>
    </row>
    <row r="2558" spans="1:6" x14ac:dyDescent="0.2">
      <c r="A2558" t="s">
        <v>1652</v>
      </c>
      <c r="B2558" t="s">
        <v>3631</v>
      </c>
      <c r="C2558" t="s">
        <v>1652</v>
      </c>
      <c r="D2558" t="str">
        <f>TRIM(alias[[#This Row],[Column3]])</f>
        <v>NATO</v>
      </c>
      <c r="F2558" t="str">
        <f t="shared" si="39"/>
        <v>INSERT INTO stock_alias (stock, alias) VALUES ((SELECT id FROM stock WHERE ticker = 'NATO'), 'NATO') ON CONFLICT DO NOTHING;</v>
      </c>
    </row>
    <row r="2559" spans="1:6" x14ac:dyDescent="0.2">
      <c r="A2559" t="s">
        <v>1652</v>
      </c>
      <c r="B2559" t="s">
        <v>3631</v>
      </c>
      <c r="C2559" t="s">
        <v>6793</v>
      </c>
      <c r="D2559" t="str">
        <f>TRIM(alias[[#This Row],[Column3]])</f>
        <v>Olympus Strategic Indonesia</v>
      </c>
      <c r="F2559" t="str">
        <f t="shared" si="39"/>
        <v>INSERT INTO stock_alias (stock, alias) VALUES ((SELECT id FROM stock WHERE ticker = 'NATO'), 'Olympus Strategic Indonesia') ON CONFLICT DO NOTHING;</v>
      </c>
    </row>
    <row r="2560" spans="1:6" x14ac:dyDescent="0.2">
      <c r="A2560" t="s">
        <v>1652</v>
      </c>
      <c r="B2560" t="s">
        <v>3631</v>
      </c>
      <c r="C2560" t="s">
        <v>6794</v>
      </c>
      <c r="D2560" t="str">
        <f>TRIM(alias[[#This Row],[Column3]])</f>
        <v>Olympus Strategic Indonesia Tbk</v>
      </c>
      <c r="F2560" t="str">
        <f t="shared" si="39"/>
        <v>INSERT INTO stock_alias (stock, alias) VALUES ((SELECT id FROM stock WHERE ticker = 'NATO'), 'Olympus Strategic Indonesia Tbk') ON CONFLICT DO NOTHING;</v>
      </c>
    </row>
    <row r="2561" spans="1:6" x14ac:dyDescent="0.2">
      <c r="A2561" t="s">
        <v>1652</v>
      </c>
      <c r="B2561" t="s">
        <v>3631</v>
      </c>
      <c r="C2561" t="s">
        <v>6795</v>
      </c>
      <c r="D2561" t="str">
        <f>TRIM(alias[[#This Row],[Column3]])</f>
        <v>PT Olympus Strategic Indonesia</v>
      </c>
      <c r="F2561" t="str">
        <f t="shared" si="39"/>
        <v>INSERT INTO stock_alias (stock, alias) VALUES ((SELECT id FROM stock WHERE ticker = 'NATO'), 'PT Olympus Strategic Indonesia') ON CONFLICT DO NOTHING;</v>
      </c>
    </row>
    <row r="2562" spans="1:6" x14ac:dyDescent="0.2">
      <c r="A2562" t="s">
        <v>2247</v>
      </c>
      <c r="B2562" t="s">
        <v>2248</v>
      </c>
      <c r="C2562" t="s">
        <v>2247</v>
      </c>
      <c r="D2562" t="str">
        <f>TRIM(alias[[#This Row],[Column3]])</f>
        <v>NAYZ</v>
      </c>
      <c r="F2562" t="str">
        <f t="shared" si="39"/>
        <v>INSERT INTO stock_alias (stock, alias) VALUES ((SELECT id FROM stock WHERE ticker = 'NAYZ'), 'NAYZ') ON CONFLICT DO NOTHING;</v>
      </c>
    </row>
    <row r="2563" spans="1:6" x14ac:dyDescent="0.2">
      <c r="A2563" t="s">
        <v>2247</v>
      </c>
      <c r="B2563" t="s">
        <v>2248</v>
      </c>
      <c r="C2563" t="s">
        <v>6796</v>
      </c>
      <c r="D2563" t="str">
        <f>TRIM(alias[[#This Row],[Column3]])</f>
        <v>Hassana Boga Sejahtera</v>
      </c>
      <c r="F2563" t="str">
        <f t="shared" ref="F2563:F2626" si="40">_xlfn.CONCAT($F$1, _xlfn.CONCAT($G$1, A2563, "'), '", D2563, "') ON CONFLICT DO NOTHING;"))</f>
        <v>INSERT INTO stock_alias (stock, alias) VALUES ((SELECT id FROM stock WHERE ticker = 'NAYZ'), 'Hassana Boga Sejahtera') ON CONFLICT DO NOTHING;</v>
      </c>
    </row>
    <row r="2564" spans="1:6" x14ac:dyDescent="0.2">
      <c r="A2564" t="s">
        <v>2247</v>
      </c>
      <c r="B2564" t="s">
        <v>2248</v>
      </c>
      <c r="C2564" t="s">
        <v>6797</v>
      </c>
      <c r="D2564" t="str">
        <f>TRIM(alias[[#This Row],[Column3]])</f>
        <v>Hassana Boga Sejahtera Tbk</v>
      </c>
      <c r="F2564" t="str">
        <f t="shared" si="40"/>
        <v>INSERT INTO stock_alias (stock, alias) VALUES ((SELECT id FROM stock WHERE ticker = 'NAYZ'), 'Hassana Boga Sejahtera Tbk') ON CONFLICT DO NOTHING;</v>
      </c>
    </row>
    <row r="2565" spans="1:6" x14ac:dyDescent="0.2">
      <c r="A2565" t="s">
        <v>2247</v>
      </c>
      <c r="B2565" t="s">
        <v>2248</v>
      </c>
      <c r="C2565" t="s">
        <v>6798</v>
      </c>
      <c r="D2565" t="str">
        <f>TRIM(alias[[#This Row],[Column3]])</f>
        <v>PT Hassana Boga Sejahtera</v>
      </c>
      <c r="F2565" t="str">
        <f t="shared" si="40"/>
        <v>INSERT INTO stock_alias (stock, alias) VALUES ((SELECT id FROM stock WHERE ticker = 'NAYZ'), 'PT Hassana Boga Sejahtera') ON CONFLICT DO NOTHING;</v>
      </c>
    </row>
    <row r="2566" spans="1:6" x14ac:dyDescent="0.2">
      <c r="A2566" t="s">
        <v>2607</v>
      </c>
      <c r="B2566" t="s">
        <v>2608</v>
      </c>
      <c r="C2566" t="s">
        <v>2607</v>
      </c>
      <c r="D2566" t="str">
        <f>TRIM(alias[[#This Row],[Column3]])</f>
        <v>NCKL</v>
      </c>
      <c r="F2566" t="str">
        <f t="shared" si="40"/>
        <v>INSERT INTO stock_alias (stock, alias) VALUES ((SELECT id FROM stock WHERE ticker = 'NCKL'), 'NCKL') ON CONFLICT DO NOTHING;</v>
      </c>
    </row>
    <row r="2567" spans="1:6" x14ac:dyDescent="0.2">
      <c r="A2567" t="s">
        <v>2607</v>
      </c>
      <c r="B2567" t="s">
        <v>2608</v>
      </c>
      <c r="C2567" t="s">
        <v>6799</v>
      </c>
      <c r="D2567" t="str">
        <f>TRIM(alias[[#This Row],[Column3]])</f>
        <v>PT Trimegah Bangun Persada</v>
      </c>
      <c r="F2567" t="str">
        <f t="shared" si="40"/>
        <v>INSERT INTO stock_alias (stock, alias) VALUES ((SELECT id FROM stock WHERE ticker = 'NCKL'), 'PT Trimegah Bangun Persada') ON CONFLICT DO NOTHING;</v>
      </c>
    </row>
    <row r="2568" spans="1:6" x14ac:dyDescent="0.2">
      <c r="A2568" t="s">
        <v>2607</v>
      </c>
      <c r="B2568" t="s">
        <v>2608</v>
      </c>
      <c r="C2568" t="s">
        <v>6800</v>
      </c>
      <c r="D2568" t="str">
        <f>TRIM(alias[[#This Row],[Column3]])</f>
        <v>Trimegah Bangun Persada</v>
      </c>
      <c r="F2568" t="str">
        <f t="shared" si="40"/>
        <v>INSERT INTO stock_alias (stock, alias) VALUES ((SELECT id FROM stock WHERE ticker = 'NCKL'), 'Trimegah Bangun Persada') ON CONFLICT DO NOTHING;</v>
      </c>
    </row>
    <row r="2569" spans="1:6" x14ac:dyDescent="0.2">
      <c r="A2569" t="s">
        <v>2607</v>
      </c>
      <c r="B2569" t="s">
        <v>2608</v>
      </c>
      <c r="C2569" t="s">
        <v>6801</v>
      </c>
      <c r="D2569" t="str">
        <f>TRIM(alias[[#This Row],[Column3]])</f>
        <v>Trimegah Bangun Persada Tbk</v>
      </c>
      <c r="F2569" t="str">
        <f t="shared" si="40"/>
        <v>INSERT INTO stock_alias (stock, alias) VALUES ((SELECT id FROM stock WHERE ticker = 'NCKL'), 'Trimegah Bangun Persada Tbk') ON CONFLICT DO NOTHING;</v>
      </c>
    </row>
    <row r="2570" spans="1:6" x14ac:dyDescent="0.2">
      <c r="A2570" t="s">
        <v>919</v>
      </c>
      <c r="B2570" t="s">
        <v>920</v>
      </c>
      <c r="C2570" t="s">
        <v>919</v>
      </c>
      <c r="D2570" t="str">
        <f>TRIM(alias[[#This Row],[Column3]])</f>
        <v>NELY</v>
      </c>
      <c r="F2570" t="str">
        <f t="shared" si="40"/>
        <v>INSERT INTO stock_alias (stock, alias) VALUES ((SELECT id FROM stock WHERE ticker = 'NELY'), 'NELY') ON CONFLICT DO NOTHING;</v>
      </c>
    </row>
    <row r="2571" spans="1:6" x14ac:dyDescent="0.2">
      <c r="A2571" t="s">
        <v>919</v>
      </c>
      <c r="B2571" t="s">
        <v>920</v>
      </c>
      <c r="C2571" t="s">
        <v>6802</v>
      </c>
      <c r="D2571" t="str">
        <f>TRIM(alias[[#This Row],[Column3]])</f>
        <v>PT Pelayaran Nelly Dwi Putri</v>
      </c>
      <c r="F2571" t="str">
        <f t="shared" si="40"/>
        <v>INSERT INTO stock_alias (stock, alias) VALUES ((SELECT id FROM stock WHERE ticker = 'NELY'), 'PT Pelayaran Nelly Dwi Putri') ON CONFLICT DO NOTHING;</v>
      </c>
    </row>
    <row r="2572" spans="1:6" x14ac:dyDescent="0.2">
      <c r="A2572" t="s">
        <v>919</v>
      </c>
      <c r="B2572" t="s">
        <v>920</v>
      </c>
      <c r="C2572" t="s">
        <v>6803</v>
      </c>
      <c r="D2572" t="str">
        <f>TRIM(alias[[#This Row],[Column3]])</f>
        <v>Pelayaran Nelly Dwi Putri</v>
      </c>
      <c r="F2572" t="str">
        <f t="shared" si="40"/>
        <v>INSERT INTO stock_alias (stock, alias) VALUES ((SELECT id FROM stock WHERE ticker = 'NELY'), 'Pelayaran Nelly Dwi Putri') ON CONFLICT DO NOTHING;</v>
      </c>
    </row>
    <row r="2573" spans="1:6" x14ac:dyDescent="0.2">
      <c r="A2573" t="s">
        <v>919</v>
      </c>
      <c r="B2573" t="s">
        <v>920</v>
      </c>
      <c r="C2573" t="s">
        <v>6804</v>
      </c>
      <c r="D2573" t="str">
        <f>TRIM(alias[[#This Row],[Column3]])</f>
        <v>Pelayaran Nelly Dwi Putri Tbk</v>
      </c>
      <c r="F2573" t="str">
        <f t="shared" si="40"/>
        <v>INSERT INTO stock_alias (stock, alias) VALUES ((SELECT id FROM stock WHERE ticker = 'NELY'), 'Pelayaran Nelly Dwi Putri Tbk') ON CONFLICT DO NOTHING;</v>
      </c>
    </row>
    <row r="2574" spans="1:6" x14ac:dyDescent="0.2">
      <c r="A2574" t="s">
        <v>2488</v>
      </c>
      <c r="B2574" t="s">
        <v>2489</v>
      </c>
      <c r="C2574" t="s">
        <v>2488</v>
      </c>
      <c r="D2574" t="str">
        <f>TRIM(alias[[#This Row],[Column3]])</f>
        <v>NEST</v>
      </c>
      <c r="F2574" t="str">
        <f t="shared" si="40"/>
        <v>INSERT INTO stock_alias (stock, alias) VALUES ((SELECT id FROM stock WHERE ticker = 'NEST'), 'NEST') ON CONFLICT DO NOTHING;</v>
      </c>
    </row>
    <row r="2575" spans="1:6" x14ac:dyDescent="0.2">
      <c r="A2575" t="s">
        <v>2488</v>
      </c>
      <c r="B2575" t="s">
        <v>2489</v>
      </c>
      <c r="C2575" t="s">
        <v>6805</v>
      </c>
      <c r="D2575" t="str">
        <f>TRIM(alias[[#This Row],[Column3]])</f>
        <v>Esta Indonesia</v>
      </c>
      <c r="F2575" t="str">
        <f t="shared" si="40"/>
        <v>INSERT INTO stock_alias (stock, alias) VALUES ((SELECT id FROM stock WHERE ticker = 'NEST'), 'Esta Indonesia') ON CONFLICT DO NOTHING;</v>
      </c>
    </row>
    <row r="2576" spans="1:6" x14ac:dyDescent="0.2">
      <c r="A2576" t="s">
        <v>2488</v>
      </c>
      <c r="B2576" t="s">
        <v>2489</v>
      </c>
      <c r="C2576" t="s">
        <v>6806</v>
      </c>
      <c r="D2576" t="str">
        <f>TRIM(alias[[#This Row],[Column3]])</f>
        <v>Esta Indonesia Tbk</v>
      </c>
      <c r="F2576" t="str">
        <f t="shared" si="40"/>
        <v>INSERT INTO stock_alias (stock, alias) VALUES ((SELECT id FROM stock WHERE ticker = 'NEST'), 'Esta Indonesia Tbk') ON CONFLICT DO NOTHING;</v>
      </c>
    </row>
    <row r="2577" spans="1:6" x14ac:dyDescent="0.2">
      <c r="A2577" t="s">
        <v>2488</v>
      </c>
      <c r="B2577" t="s">
        <v>2489</v>
      </c>
      <c r="C2577" t="s">
        <v>6807</v>
      </c>
      <c r="D2577" t="str">
        <f>TRIM(alias[[#This Row],[Column3]])</f>
        <v>PT Esta Indonesia</v>
      </c>
      <c r="F2577" t="str">
        <f t="shared" si="40"/>
        <v>INSERT INTO stock_alias (stock, alias) VALUES ((SELECT id FROM stock WHERE ticker = 'NEST'), 'PT Esta Indonesia') ON CONFLICT DO NOTHING;</v>
      </c>
    </row>
    <row r="2578" spans="1:6" x14ac:dyDescent="0.2">
      <c r="A2578" t="s">
        <v>2068</v>
      </c>
      <c r="B2578" t="s">
        <v>2069</v>
      </c>
      <c r="C2578" t="s">
        <v>2068</v>
      </c>
      <c r="D2578" t="str">
        <f>TRIM(alias[[#This Row],[Column3]])</f>
        <v>NETV</v>
      </c>
      <c r="F2578" t="str">
        <f t="shared" si="40"/>
        <v>INSERT INTO stock_alias (stock, alias) VALUES ((SELECT id FROM stock WHERE ticker = 'NETV'), 'NETV') ON CONFLICT DO NOTHING;</v>
      </c>
    </row>
    <row r="2579" spans="1:6" x14ac:dyDescent="0.2">
      <c r="A2579" t="s">
        <v>2068</v>
      </c>
      <c r="B2579" t="s">
        <v>2069</v>
      </c>
      <c r="C2579" t="s">
        <v>6808</v>
      </c>
      <c r="D2579" t="str">
        <f>TRIM(alias[[#This Row],[Column3]])</f>
        <v>MDTV Media Technologies</v>
      </c>
      <c r="F2579" t="str">
        <f t="shared" si="40"/>
        <v>INSERT INTO stock_alias (stock, alias) VALUES ((SELECT id FROM stock WHERE ticker = 'NETV'), 'MDTV Media Technologies') ON CONFLICT DO NOTHING;</v>
      </c>
    </row>
    <row r="2580" spans="1:6" x14ac:dyDescent="0.2">
      <c r="A2580" t="s">
        <v>2068</v>
      </c>
      <c r="B2580" t="s">
        <v>2069</v>
      </c>
      <c r="C2580" t="s">
        <v>6809</v>
      </c>
      <c r="D2580" t="str">
        <f>TRIM(alias[[#This Row],[Column3]])</f>
        <v>MDTV Media Technologies Tbk</v>
      </c>
      <c r="F2580" t="str">
        <f t="shared" si="40"/>
        <v>INSERT INTO stock_alias (stock, alias) VALUES ((SELECT id FROM stock WHERE ticker = 'NETV'), 'MDTV Media Technologies Tbk') ON CONFLICT DO NOTHING;</v>
      </c>
    </row>
    <row r="2581" spans="1:6" x14ac:dyDescent="0.2">
      <c r="A2581" t="s">
        <v>2068</v>
      </c>
      <c r="B2581" t="s">
        <v>2069</v>
      </c>
      <c r="C2581" t="s">
        <v>6810</v>
      </c>
      <c r="D2581" t="str">
        <f>TRIM(alias[[#This Row],[Column3]])</f>
        <v>PT MDTV Media Technologies</v>
      </c>
      <c r="F2581" t="str">
        <f t="shared" si="40"/>
        <v>INSERT INTO stock_alias (stock, alias) VALUES ((SELECT id FROM stock WHERE ticker = 'NETV'), 'PT MDTV Media Technologies') ON CONFLICT DO NOTHING;</v>
      </c>
    </row>
    <row r="2582" spans="1:6" x14ac:dyDescent="0.2">
      <c r="A2582" t="s">
        <v>1559</v>
      </c>
      <c r="B2582" t="s">
        <v>1560</v>
      </c>
      <c r="C2582" t="s">
        <v>1559</v>
      </c>
      <c r="D2582" t="str">
        <f>TRIM(alias[[#This Row],[Column3]])</f>
        <v>NFCX</v>
      </c>
      <c r="F2582" t="str">
        <f t="shared" si="40"/>
        <v>INSERT INTO stock_alias (stock, alias) VALUES ((SELECT id FROM stock WHERE ticker = 'NFCX'), 'NFCX') ON CONFLICT DO NOTHING;</v>
      </c>
    </row>
    <row r="2583" spans="1:6" x14ac:dyDescent="0.2">
      <c r="A2583" t="s">
        <v>1559</v>
      </c>
      <c r="B2583" t="s">
        <v>1560</v>
      </c>
      <c r="C2583" t="s">
        <v>6811</v>
      </c>
      <c r="D2583" t="str">
        <f>TRIM(alias[[#This Row],[Column3]])</f>
        <v>NFC Indonesia</v>
      </c>
      <c r="F2583" t="str">
        <f t="shared" si="40"/>
        <v>INSERT INTO stock_alias (stock, alias) VALUES ((SELECT id FROM stock WHERE ticker = 'NFCX'), 'NFC Indonesia') ON CONFLICT DO NOTHING;</v>
      </c>
    </row>
    <row r="2584" spans="1:6" x14ac:dyDescent="0.2">
      <c r="A2584" t="s">
        <v>1559</v>
      </c>
      <c r="B2584" t="s">
        <v>1560</v>
      </c>
      <c r="C2584" t="s">
        <v>6812</v>
      </c>
      <c r="D2584" t="str">
        <f>TRIM(alias[[#This Row],[Column3]])</f>
        <v>NFC Indonesia Tbk</v>
      </c>
      <c r="F2584" t="str">
        <f t="shared" si="40"/>
        <v>INSERT INTO stock_alias (stock, alias) VALUES ((SELECT id FROM stock WHERE ticker = 'NFCX'), 'NFC Indonesia Tbk') ON CONFLICT DO NOTHING;</v>
      </c>
    </row>
    <row r="2585" spans="1:6" x14ac:dyDescent="0.2">
      <c r="A2585" t="s">
        <v>1559</v>
      </c>
      <c r="B2585" t="s">
        <v>1560</v>
      </c>
      <c r="C2585" t="s">
        <v>6813</v>
      </c>
      <c r="D2585" t="str">
        <f>TRIM(alias[[#This Row],[Column3]])</f>
        <v>PT NFC Indonesia</v>
      </c>
      <c r="F2585" t="str">
        <f t="shared" si="40"/>
        <v>INSERT INTO stock_alias (stock, alias) VALUES ((SELECT id FROM stock WHERE ticker = 'NFCX'), 'PT NFC Indonesia') ON CONFLICT DO NOTHING;</v>
      </c>
    </row>
    <row r="2586" spans="1:6" x14ac:dyDescent="0.2">
      <c r="A2586" t="s">
        <v>2628</v>
      </c>
      <c r="B2586" t="s">
        <v>2629</v>
      </c>
      <c r="C2586" t="s">
        <v>2628</v>
      </c>
      <c r="D2586" t="str">
        <f>TRIM(alias[[#This Row],[Column3]])</f>
        <v>NICE</v>
      </c>
      <c r="F2586" t="str">
        <f t="shared" si="40"/>
        <v>INSERT INTO stock_alias (stock, alias) VALUES ((SELECT id FROM stock WHERE ticker = 'NICE'), 'NICE') ON CONFLICT DO NOTHING;</v>
      </c>
    </row>
    <row r="2587" spans="1:6" x14ac:dyDescent="0.2">
      <c r="A2587" t="s">
        <v>2628</v>
      </c>
      <c r="B2587" t="s">
        <v>2629</v>
      </c>
      <c r="C2587" t="s">
        <v>6814</v>
      </c>
      <c r="D2587" t="str">
        <f>TRIM(alias[[#This Row],[Column3]])</f>
        <v>Adhi Kartiko Pratama</v>
      </c>
      <c r="F2587" t="str">
        <f t="shared" si="40"/>
        <v>INSERT INTO stock_alias (stock, alias) VALUES ((SELECT id FROM stock WHERE ticker = 'NICE'), 'Adhi Kartiko Pratama') ON CONFLICT DO NOTHING;</v>
      </c>
    </row>
    <row r="2588" spans="1:6" x14ac:dyDescent="0.2">
      <c r="A2588" t="s">
        <v>2628</v>
      </c>
      <c r="B2588" t="s">
        <v>2629</v>
      </c>
      <c r="C2588" t="s">
        <v>6815</v>
      </c>
      <c r="D2588" t="str">
        <f>TRIM(alias[[#This Row],[Column3]])</f>
        <v>Adhi Kartiko Pratama Tbk</v>
      </c>
      <c r="F2588" t="str">
        <f t="shared" si="40"/>
        <v>INSERT INTO stock_alias (stock, alias) VALUES ((SELECT id FROM stock WHERE ticker = 'NICE'), 'Adhi Kartiko Pratama Tbk') ON CONFLICT DO NOTHING;</v>
      </c>
    </row>
    <row r="2589" spans="1:6" x14ac:dyDescent="0.2">
      <c r="A2589" t="s">
        <v>2628</v>
      </c>
      <c r="B2589" t="s">
        <v>2629</v>
      </c>
      <c r="C2589" t="s">
        <v>6816</v>
      </c>
      <c r="D2589" t="str">
        <f>TRIM(alias[[#This Row],[Column3]])</f>
        <v>PT Adhi Kartiko Pratama</v>
      </c>
      <c r="F2589" t="str">
        <f t="shared" si="40"/>
        <v>INSERT INTO stock_alias (stock, alias) VALUES ((SELECT id FROM stock WHERE ticker = 'NICE'), 'PT Adhi Kartiko Pratama') ON CONFLICT DO NOTHING;</v>
      </c>
    </row>
    <row r="2590" spans="1:6" x14ac:dyDescent="0.2">
      <c r="A2590" t="s">
        <v>1512</v>
      </c>
      <c r="B2590" t="s">
        <v>1513</v>
      </c>
      <c r="C2590" t="s">
        <v>1512</v>
      </c>
      <c r="D2590" t="str">
        <f>TRIM(alias[[#This Row],[Column3]])</f>
        <v>NICK</v>
      </c>
      <c r="F2590" t="str">
        <f t="shared" si="40"/>
        <v>INSERT INTO stock_alias (stock, alias) VALUES ((SELECT id FROM stock WHERE ticker = 'NICK'), 'NICK') ON CONFLICT DO NOTHING;</v>
      </c>
    </row>
    <row r="2591" spans="1:6" x14ac:dyDescent="0.2">
      <c r="A2591" t="s">
        <v>1512</v>
      </c>
      <c r="B2591" t="s">
        <v>1513</v>
      </c>
      <c r="C2591" t="s">
        <v>6817</v>
      </c>
      <c r="D2591" t="str">
        <f>TRIM(alias[[#This Row],[Column3]])</f>
        <v>Charnic Capital</v>
      </c>
      <c r="F2591" t="str">
        <f t="shared" si="40"/>
        <v>INSERT INTO stock_alias (stock, alias) VALUES ((SELECT id FROM stock WHERE ticker = 'NICK'), 'Charnic Capital') ON CONFLICT DO NOTHING;</v>
      </c>
    </row>
    <row r="2592" spans="1:6" x14ac:dyDescent="0.2">
      <c r="A2592" t="s">
        <v>1512</v>
      </c>
      <c r="B2592" t="s">
        <v>1513</v>
      </c>
      <c r="C2592" t="s">
        <v>6818</v>
      </c>
      <c r="D2592" t="str">
        <f>TRIM(alias[[#This Row],[Column3]])</f>
        <v>Charnic Capital Tbk</v>
      </c>
      <c r="F2592" t="str">
        <f t="shared" si="40"/>
        <v>INSERT INTO stock_alias (stock, alias) VALUES ((SELECT id FROM stock WHERE ticker = 'NICK'), 'Charnic Capital Tbk') ON CONFLICT DO NOTHING;</v>
      </c>
    </row>
    <row r="2593" spans="1:6" x14ac:dyDescent="0.2">
      <c r="A2593" t="s">
        <v>1512</v>
      </c>
      <c r="B2593" t="s">
        <v>1513</v>
      </c>
      <c r="C2593" t="s">
        <v>6819</v>
      </c>
      <c r="D2593" t="str">
        <f>TRIM(alias[[#This Row],[Column3]])</f>
        <v>PT Charnic Capital</v>
      </c>
      <c r="F2593" t="str">
        <f t="shared" si="40"/>
        <v>INSERT INTO stock_alias (stock, alias) VALUES ((SELECT id FROM stock WHERE ticker = 'NICK'), 'PT Charnic Capital') ON CONFLICT DO NOTHING;</v>
      </c>
    </row>
    <row r="2594" spans="1:6" x14ac:dyDescent="0.2">
      <c r="A2594" t="s">
        <v>1974</v>
      </c>
      <c r="B2594" t="s">
        <v>1975</v>
      </c>
      <c r="C2594" t="s">
        <v>1974</v>
      </c>
      <c r="D2594" t="str">
        <f>TRIM(alias[[#This Row],[Column3]])</f>
        <v>NICL</v>
      </c>
      <c r="F2594" t="str">
        <f t="shared" si="40"/>
        <v>INSERT INTO stock_alias (stock, alias) VALUES ((SELECT id FROM stock WHERE ticker = 'NICL'), 'NICL') ON CONFLICT DO NOTHING;</v>
      </c>
    </row>
    <row r="2595" spans="1:6" x14ac:dyDescent="0.2">
      <c r="A2595" t="s">
        <v>1974</v>
      </c>
      <c r="B2595" t="s">
        <v>1975</v>
      </c>
      <c r="C2595" t="s">
        <v>6820</v>
      </c>
      <c r="D2595" t="str">
        <f>TRIM(alias[[#This Row],[Column3]])</f>
        <v>PAM Mineral</v>
      </c>
      <c r="F2595" t="str">
        <f t="shared" si="40"/>
        <v>INSERT INTO stock_alias (stock, alias) VALUES ((SELECT id FROM stock WHERE ticker = 'NICL'), 'PAM Mineral') ON CONFLICT DO NOTHING;</v>
      </c>
    </row>
    <row r="2596" spans="1:6" x14ac:dyDescent="0.2">
      <c r="A2596" t="s">
        <v>1974</v>
      </c>
      <c r="B2596" t="s">
        <v>1975</v>
      </c>
      <c r="C2596" t="s">
        <v>6821</v>
      </c>
      <c r="D2596" t="str">
        <f>TRIM(alias[[#This Row],[Column3]])</f>
        <v>PAM Mineral Tbk</v>
      </c>
      <c r="F2596" t="str">
        <f t="shared" si="40"/>
        <v>INSERT INTO stock_alias (stock, alias) VALUES ((SELECT id FROM stock WHERE ticker = 'NICL'), 'PAM Mineral Tbk') ON CONFLICT DO NOTHING;</v>
      </c>
    </row>
    <row r="2597" spans="1:6" x14ac:dyDescent="0.2">
      <c r="A2597" t="s">
        <v>1974</v>
      </c>
      <c r="B2597" t="s">
        <v>1975</v>
      </c>
      <c r="C2597" t="s">
        <v>6822</v>
      </c>
      <c r="D2597" t="str">
        <f>TRIM(alias[[#This Row],[Column3]])</f>
        <v>PT PAM Mineral</v>
      </c>
      <c r="F2597" t="str">
        <f t="shared" si="40"/>
        <v>INSERT INTO stock_alias (stock, alias) VALUES ((SELECT id FROM stock WHERE ticker = 'NICL'), 'PT PAM Mineral') ON CONFLICT DO NOTHING;</v>
      </c>
    </row>
    <row r="2598" spans="1:6" x14ac:dyDescent="0.2">
      <c r="A2598" t="s">
        <v>922</v>
      </c>
      <c r="B2598" t="s">
        <v>923</v>
      </c>
      <c r="C2598" t="s">
        <v>922</v>
      </c>
      <c r="D2598" t="str">
        <f>TRIM(alias[[#This Row],[Column3]])</f>
        <v>NIKL</v>
      </c>
      <c r="F2598" t="str">
        <f t="shared" si="40"/>
        <v>INSERT INTO stock_alias (stock, alias) VALUES ((SELECT id FROM stock WHERE ticker = 'NIKL'), 'NIKL') ON CONFLICT DO NOTHING;</v>
      </c>
    </row>
    <row r="2599" spans="1:6" x14ac:dyDescent="0.2">
      <c r="A2599" t="s">
        <v>922</v>
      </c>
      <c r="B2599" t="s">
        <v>923</v>
      </c>
      <c r="C2599" t="s">
        <v>6823</v>
      </c>
      <c r="D2599" t="str">
        <f>TRIM(alias[[#This Row],[Column3]])</f>
        <v>PT Pelat Timah Nusantara</v>
      </c>
      <c r="F2599" t="str">
        <f t="shared" si="40"/>
        <v>INSERT INTO stock_alias (stock, alias) VALUES ((SELECT id FROM stock WHERE ticker = 'NIKL'), 'PT Pelat Timah Nusantara') ON CONFLICT DO NOTHING;</v>
      </c>
    </row>
    <row r="2600" spans="1:6" x14ac:dyDescent="0.2">
      <c r="A2600" t="s">
        <v>922</v>
      </c>
      <c r="B2600" t="s">
        <v>923</v>
      </c>
      <c r="C2600" t="s">
        <v>6824</v>
      </c>
      <c r="D2600" t="str">
        <f>TRIM(alias[[#This Row],[Column3]])</f>
        <v>Pelat Timah Nusantara</v>
      </c>
      <c r="F2600" t="str">
        <f t="shared" si="40"/>
        <v>INSERT INTO stock_alias (stock, alias) VALUES ((SELECT id FROM stock WHERE ticker = 'NIKL'), 'Pelat Timah Nusantara') ON CONFLICT DO NOTHING;</v>
      </c>
    </row>
    <row r="2601" spans="1:6" x14ac:dyDescent="0.2">
      <c r="A2601" t="s">
        <v>922</v>
      </c>
      <c r="B2601" t="s">
        <v>923</v>
      </c>
      <c r="C2601" t="s">
        <v>6825</v>
      </c>
      <c r="D2601" t="str">
        <f>TRIM(alias[[#This Row],[Column3]])</f>
        <v>Pelat Timah Nusantara Tbk</v>
      </c>
      <c r="F2601" t="str">
        <f t="shared" si="40"/>
        <v>INSERT INTO stock_alias (stock, alias) VALUES ((SELECT id FROM stock WHERE ticker = 'NIKL'), 'Pelat Timah Nusantara Tbk') ON CONFLICT DO NOTHING;</v>
      </c>
    </row>
    <row r="2602" spans="1:6" x14ac:dyDescent="0.2">
      <c r="A2602" t="s">
        <v>2202</v>
      </c>
      <c r="B2602" t="s">
        <v>2203</v>
      </c>
      <c r="C2602" t="s">
        <v>2202</v>
      </c>
      <c r="D2602" t="str">
        <f>TRIM(alias[[#This Row],[Column3]])</f>
        <v>NINE</v>
      </c>
      <c r="F2602" t="str">
        <f t="shared" si="40"/>
        <v>INSERT INTO stock_alias (stock, alias) VALUES ((SELECT id FROM stock WHERE ticker = 'NINE'), 'NINE') ON CONFLICT DO NOTHING;</v>
      </c>
    </row>
    <row r="2603" spans="1:6" x14ac:dyDescent="0.2">
      <c r="A2603" t="s">
        <v>2202</v>
      </c>
      <c r="B2603" t="s">
        <v>2203</v>
      </c>
      <c r="C2603" t="s">
        <v>6826</v>
      </c>
      <c r="D2603" t="str">
        <f>TRIM(alias[[#This Row],[Column3]])</f>
        <v>PT Techno9 Indonesia</v>
      </c>
      <c r="F2603" t="str">
        <f t="shared" si="40"/>
        <v>INSERT INTO stock_alias (stock, alias) VALUES ((SELECT id FROM stock WHERE ticker = 'NINE'), 'PT Techno9 Indonesia') ON CONFLICT DO NOTHING;</v>
      </c>
    </row>
    <row r="2604" spans="1:6" x14ac:dyDescent="0.2">
      <c r="A2604" t="s">
        <v>2202</v>
      </c>
      <c r="B2604" t="s">
        <v>2203</v>
      </c>
      <c r="C2604" t="s">
        <v>6827</v>
      </c>
      <c r="D2604" t="str">
        <f>TRIM(alias[[#This Row],[Column3]])</f>
        <v>Techno9 Indonesia</v>
      </c>
      <c r="F2604" t="str">
        <f t="shared" si="40"/>
        <v>INSERT INTO stock_alias (stock, alias) VALUES ((SELECT id FROM stock WHERE ticker = 'NINE'), 'Techno9 Indonesia') ON CONFLICT DO NOTHING;</v>
      </c>
    </row>
    <row r="2605" spans="1:6" x14ac:dyDescent="0.2">
      <c r="A2605" t="s">
        <v>2202</v>
      </c>
      <c r="B2605" t="s">
        <v>2203</v>
      </c>
      <c r="C2605" t="s">
        <v>6828</v>
      </c>
      <c r="D2605" t="str">
        <f>TRIM(alias[[#This Row],[Column3]])</f>
        <v>Techno9 Indonesia Tbk</v>
      </c>
      <c r="F2605" t="str">
        <f t="shared" si="40"/>
        <v>INSERT INTO stock_alias (stock, alias) VALUES ((SELECT id FROM stock WHERE ticker = 'NINE'), 'Techno9 Indonesia Tbk') ON CONFLICT DO NOTHING;</v>
      </c>
    </row>
    <row r="2606" spans="1:6" x14ac:dyDescent="0.2">
      <c r="A2606" t="s">
        <v>925</v>
      </c>
      <c r="B2606" t="s">
        <v>926</v>
      </c>
      <c r="C2606" t="s">
        <v>925</v>
      </c>
      <c r="D2606" t="str">
        <f>TRIM(alias[[#This Row],[Column3]])</f>
        <v>NIRO</v>
      </c>
      <c r="F2606" t="str">
        <f t="shared" si="40"/>
        <v>INSERT INTO stock_alias (stock, alias) VALUES ((SELECT id FROM stock WHERE ticker = 'NIRO'), 'NIRO') ON CONFLICT DO NOTHING;</v>
      </c>
    </row>
    <row r="2607" spans="1:6" x14ac:dyDescent="0.2">
      <c r="A2607" t="s">
        <v>925</v>
      </c>
      <c r="B2607" t="s">
        <v>926</v>
      </c>
      <c r="C2607" t="s">
        <v>6829</v>
      </c>
      <c r="D2607" t="str">
        <f>TRIM(alias[[#This Row],[Column3]])</f>
        <v>City Retail Developments</v>
      </c>
      <c r="F2607" t="str">
        <f t="shared" si="40"/>
        <v>INSERT INTO stock_alias (stock, alias) VALUES ((SELECT id FROM stock WHERE ticker = 'NIRO'), 'City Retail Developments') ON CONFLICT DO NOTHING;</v>
      </c>
    </row>
    <row r="2608" spans="1:6" x14ac:dyDescent="0.2">
      <c r="A2608" t="s">
        <v>925</v>
      </c>
      <c r="B2608" t="s">
        <v>926</v>
      </c>
      <c r="C2608" t="s">
        <v>6830</v>
      </c>
      <c r="D2608" t="str">
        <f>TRIM(alias[[#This Row],[Column3]])</f>
        <v>City Retail Developments Tbk</v>
      </c>
      <c r="F2608" t="str">
        <f t="shared" si="40"/>
        <v>INSERT INTO stock_alias (stock, alias) VALUES ((SELECT id FROM stock WHERE ticker = 'NIRO'), 'City Retail Developments Tbk') ON CONFLICT DO NOTHING;</v>
      </c>
    </row>
    <row r="2609" spans="1:6" x14ac:dyDescent="0.2">
      <c r="A2609" t="s">
        <v>925</v>
      </c>
      <c r="B2609" t="s">
        <v>926</v>
      </c>
      <c r="C2609" t="s">
        <v>6831</v>
      </c>
      <c r="D2609" t="str">
        <f>TRIM(alias[[#This Row],[Column3]])</f>
        <v>PT City Retail Developments</v>
      </c>
      <c r="F2609" t="str">
        <f t="shared" si="40"/>
        <v>INSERT INTO stock_alias (stock, alias) VALUES ((SELECT id FROM stock WHERE ticker = 'NIRO'), 'PT City Retail Developments') ON CONFLICT DO NOTHING;</v>
      </c>
    </row>
    <row r="2610" spans="1:6" x14ac:dyDescent="0.2">
      <c r="A2610" t="s">
        <v>928</v>
      </c>
      <c r="B2610" t="s">
        <v>929</v>
      </c>
      <c r="C2610" t="s">
        <v>928</v>
      </c>
      <c r="D2610" t="str">
        <f>TRIM(alias[[#This Row],[Column3]])</f>
        <v>NISP</v>
      </c>
      <c r="F2610" t="str">
        <f t="shared" si="40"/>
        <v>INSERT INTO stock_alias (stock, alias) VALUES ((SELECT id FROM stock WHERE ticker = 'NISP'), 'NISP') ON CONFLICT DO NOTHING;</v>
      </c>
    </row>
    <row r="2611" spans="1:6" x14ac:dyDescent="0.2">
      <c r="A2611" t="s">
        <v>928</v>
      </c>
      <c r="B2611" t="s">
        <v>929</v>
      </c>
      <c r="C2611" t="s">
        <v>6832</v>
      </c>
      <c r="D2611" t="str">
        <f>TRIM(alias[[#This Row],[Column3]])</f>
        <v>Bank NISP</v>
      </c>
      <c r="F2611" t="str">
        <f t="shared" si="40"/>
        <v>INSERT INTO stock_alias (stock, alias) VALUES ((SELECT id FROM stock WHERE ticker = 'NISP'), 'Bank NISP') ON CONFLICT DO NOTHING;</v>
      </c>
    </row>
    <row r="2612" spans="1:6" x14ac:dyDescent="0.2">
      <c r="A2612" t="s">
        <v>928</v>
      </c>
      <c r="B2612" t="s">
        <v>929</v>
      </c>
      <c r="C2612" t="s">
        <v>6833</v>
      </c>
      <c r="D2612" t="str">
        <f>TRIM(alias[[#This Row],[Column3]])</f>
        <v>Bank OCBC NISP</v>
      </c>
      <c r="F2612" t="str">
        <f t="shared" si="40"/>
        <v>INSERT INTO stock_alias (stock, alias) VALUES ((SELECT id FROM stock WHERE ticker = 'NISP'), 'Bank OCBC NISP') ON CONFLICT DO NOTHING;</v>
      </c>
    </row>
    <row r="2613" spans="1:6" x14ac:dyDescent="0.2">
      <c r="A2613" t="s">
        <v>928</v>
      </c>
      <c r="B2613" t="s">
        <v>929</v>
      </c>
      <c r="C2613" t="s">
        <v>6834</v>
      </c>
      <c r="D2613" t="str">
        <f>TRIM(alias[[#This Row],[Column3]])</f>
        <v>Bank OCBC NISP Tbk</v>
      </c>
      <c r="F2613" t="str">
        <f t="shared" si="40"/>
        <v>INSERT INTO stock_alias (stock, alias) VALUES ((SELECT id FROM stock WHERE ticker = 'NISP'), 'Bank OCBC NISP Tbk') ON CONFLICT DO NOTHING;</v>
      </c>
    </row>
    <row r="2614" spans="1:6" x14ac:dyDescent="0.2">
      <c r="A2614" t="s">
        <v>928</v>
      </c>
      <c r="B2614" t="s">
        <v>929</v>
      </c>
      <c r="C2614" t="s">
        <v>6835</v>
      </c>
      <c r="D2614" t="str">
        <f>TRIM(alias[[#This Row],[Column3]])</f>
        <v>PT Bank OCBC NISP</v>
      </c>
      <c r="F2614" t="str">
        <f t="shared" si="40"/>
        <v>INSERT INTO stock_alias (stock, alias) VALUES ((SELECT id FROM stock WHERE ticker = 'NISP'), 'PT Bank OCBC NISP') ON CONFLICT DO NOTHING;</v>
      </c>
    </row>
    <row r="2615" spans="1:6" x14ac:dyDescent="0.2">
      <c r="A2615" t="s">
        <v>931</v>
      </c>
      <c r="B2615" t="s">
        <v>932</v>
      </c>
      <c r="C2615" t="s">
        <v>931</v>
      </c>
      <c r="D2615" t="str">
        <f>TRIM(alias[[#This Row],[Column3]])</f>
        <v>NOBU</v>
      </c>
      <c r="F2615" t="str">
        <f t="shared" si="40"/>
        <v>INSERT INTO stock_alias (stock, alias) VALUES ((SELECT id FROM stock WHERE ticker = 'NOBU'), 'NOBU') ON CONFLICT DO NOTHING;</v>
      </c>
    </row>
    <row r="2616" spans="1:6" x14ac:dyDescent="0.2">
      <c r="A2616" t="s">
        <v>931</v>
      </c>
      <c r="B2616" t="s">
        <v>932</v>
      </c>
      <c r="C2616" t="s">
        <v>6836</v>
      </c>
      <c r="D2616" t="str">
        <f>TRIM(alias[[#This Row],[Column3]])</f>
        <v>Bank Nationalnobu</v>
      </c>
      <c r="F2616" t="str">
        <f t="shared" si="40"/>
        <v>INSERT INTO stock_alias (stock, alias) VALUES ((SELECT id FROM stock WHERE ticker = 'NOBU'), 'Bank Nationalnobu') ON CONFLICT DO NOTHING;</v>
      </c>
    </row>
    <row r="2617" spans="1:6" x14ac:dyDescent="0.2">
      <c r="A2617" t="s">
        <v>931</v>
      </c>
      <c r="B2617" t="s">
        <v>932</v>
      </c>
      <c r="C2617" t="s">
        <v>6837</v>
      </c>
      <c r="D2617" t="str">
        <f>TRIM(alias[[#This Row],[Column3]])</f>
        <v>Bank Nationalnobu Tbk</v>
      </c>
      <c r="F2617" t="str">
        <f t="shared" si="40"/>
        <v>INSERT INTO stock_alias (stock, alias) VALUES ((SELECT id FROM stock WHERE ticker = 'NOBU'), 'Bank Nationalnobu Tbk') ON CONFLICT DO NOTHING;</v>
      </c>
    </row>
    <row r="2618" spans="1:6" x14ac:dyDescent="0.2">
      <c r="A2618" t="s">
        <v>931</v>
      </c>
      <c r="B2618" t="s">
        <v>932</v>
      </c>
      <c r="C2618" t="s">
        <v>6838</v>
      </c>
      <c r="D2618" t="str">
        <f>TRIM(alias[[#This Row],[Column3]])</f>
        <v>Nationalnobu</v>
      </c>
      <c r="F2618" t="str">
        <f t="shared" si="40"/>
        <v>INSERT INTO stock_alias (stock, alias) VALUES ((SELECT id FROM stock WHERE ticker = 'NOBU'), 'Nationalnobu') ON CONFLICT DO NOTHING;</v>
      </c>
    </row>
    <row r="2619" spans="1:6" x14ac:dyDescent="0.2">
      <c r="A2619" t="s">
        <v>931</v>
      </c>
      <c r="B2619" t="s">
        <v>932</v>
      </c>
      <c r="C2619" t="s">
        <v>6839</v>
      </c>
      <c r="D2619" t="str">
        <f>TRIM(alias[[#This Row],[Column3]])</f>
        <v>PT Bank Nationalnobu</v>
      </c>
      <c r="F2619" t="str">
        <f t="shared" si="40"/>
        <v>INSERT INTO stock_alias (stock, alias) VALUES ((SELECT id FROM stock WHERE ticker = 'NOBU'), 'PT Bank Nationalnobu') ON CONFLICT DO NOTHING;</v>
      </c>
    </row>
    <row r="2620" spans="1:6" x14ac:dyDescent="0.2">
      <c r="A2620" t="s">
        <v>1939</v>
      </c>
      <c r="B2620" t="s">
        <v>1940</v>
      </c>
      <c r="C2620" t="s">
        <v>1939</v>
      </c>
      <c r="D2620" t="str">
        <f>TRIM(alias[[#This Row],[Column3]])</f>
        <v>NPGF</v>
      </c>
      <c r="F2620" t="str">
        <f t="shared" si="40"/>
        <v>INSERT INTO stock_alias (stock, alias) VALUES ((SELECT id FROM stock WHERE ticker = 'NPGF'), 'NPGF') ON CONFLICT DO NOTHING;</v>
      </c>
    </row>
    <row r="2621" spans="1:6" x14ac:dyDescent="0.2">
      <c r="A2621" t="s">
        <v>1939</v>
      </c>
      <c r="B2621" t="s">
        <v>1940</v>
      </c>
      <c r="C2621" t="s">
        <v>6840</v>
      </c>
      <c r="D2621" t="str">
        <f>TRIM(alias[[#This Row],[Column3]])</f>
        <v>Nusa Palapa Gemilang</v>
      </c>
      <c r="F2621" t="str">
        <f t="shared" si="40"/>
        <v>INSERT INTO stock_alias (stock, alias) VALUES ((SELECT id FROM stock WHERE ticker = 'NPGF'), 'Nusa Palapa Gemilang') ON CONFLICT DO NOTHING;</v>
      </c>
    </row>
    <row r="2622" spans="1:6" x14ac:dyDescent="0.2">
      <c r="A2622" t="s">
        <v>1939</v>
      </c>
      <c r="B2622" t="s">
        <v>1940</v>
      </c>
      <c r="C2622" t="s">
        <v>6841</v>
      </c>
      <c r="D2622" t="str">
        <f>TRIM(alias[[#This Row],[Column3]])</f>
        <v>Nusa Palapa Gemilang Tbk</v>
      </c>
      <c r="F2622" t="str">
        <f t="shared" si="40"/>
        <v>INSERT INTO stock_alias (stock, alias) VALUES ((SELECT id FROM stock WHERE ticker = 'NPGF'), 'Nusa Palapa Gemilang Tbk') ON CONFLICT DO NOTHING;</v>
      </c>
    </row>
    <row r="2623" spans="1:6" x14ac:dyDescent="0.2">
      <c r="A2623" t="s">
        <v>1939</v>
      </c>
      <c r="B2623" t="s">
        <v>1940</v>
      </c>
      <c r="C2623" t="s">
        <v>6842</v>
      </c>
      <c r="D2623" t="str">
        <f>TRIM(alias[[#This Row],[Column3]])</f>
        <v>PT Nusa Palapa Gemilang</v>
      </c>
      <c r="F2623" t="str">
        <f t="shared" si="40"/>
        <v>INSERT INTO stock_alias (stock, alias) VALUES ((SELECT id FROM stock WHERE ticker = 'NPGF'), 'PT Nusa Palapa Gemilang') ON CONFLICT DO NOTHING;</v>
      </c>
    </row>
    <row r="2624" spans="1:6" x14ac:dyDescent="0.2">
      <c r="A2624" t="s">
        <v>934</v>
      </c>
      <c r="B2624" t="s">
        <v>935</v>
      </c>
      <c r="C2624" t="s">
        <v>934</v>
      </c>
      <c r="D2624" t="str">
        <f>TRIM(alias[[#This Row],[Column3]])</f>
        <v>NRCA</v>
      </c>
      <c r="F2624" t="str">
        <f t="shared" si="40"/>
        <v>INSERT INTO stock_alias (stock, alias) VALUES ((SELECT id FROM stock WHERE ticker = 'NRCA'), 'NRCA') ON CONFLICT DO NOTHING;</v>
      </c>
    </row>
    <row r="2625" spans="1:6" x14ac:dyDescent="0.2">
      <c r="A2625" t="s">
        <v>934</v>
      </c>
      <c r="B2625" t="s">
        <v>935</v>
      </c>
      <c r="C2625" t="s">
        <v>6843</v>
      </c>
      <c r="D2625" t="str">
        <f>TRIM(alias[[#This Row],[Column3]])</f>
        <v>NUSA RAYA CIA</v>
      </c>
      <c r="F2625" t="str">
        <f t="shared" si="40"/>
        <v>INSERT INTO stock_alias (stock, alias) VALUES ((SELECT id FROM stock WHERE ticker = 'NRCA'), 'NUSA RAYA CIA') ON CONFLICT DO NOTHING;</v>
      </c>
    </row>
    <row r="2626" spans="1:6" x14ac:dyDescent="0.2">
      <c r="A2626" t="s">
        <v>934</v>
      </c>
      <c r="B2626" t="s">
        <v>935</v>
      </c>
      <c r="C2626" t="s">
        <v>6844</v>
      </c>
      <c r="D2626" t="str">
        <f>TRIM(alias[[#This Row],[Column3]])</f>
        <v>Nusa Raya Cia</v>
      </c>
      <c r="F2626" t="str">
        <f t="shared" si="40"/>
        <v>INSERT INTO stock_alias (stock, alias) VALUES ((SELECT id FROM stock WHERE ticker = 'NRCA'), 'Nusa Raya Cia') ON CONFLICT DO NOTHING;</v>
      </c>
    </row>
    <row r="2627" spans="1:6" x14ac:dyDescent="0.2">
      <c r="A2627" t="s">
        <v>934</v>
      </c>
      <c r="B2627" t="s">
        <v>935</v>
      </c>
      <c r="C2627" t="s">
        <v>6845</v>
      </c>
      <c r="D2627" t="str">
        <f>TRIM(alias[[#This Row],[Column3]])</f>
        <v>Nusa Raya Cia Tbk</v>
      </c>
      <c r="F2627" t="str">
        <f t="shared" ref="F2627:F2690" si="41">_xlfn.CONCAT($F$1, _xlfn.CONCAT($G$1, A2627, "'), '", D2627, "') ON CONFLICT DO NOTHING;"))</f>
        <v>INSERT INTO stock_alias (stock, alias) VALUES ((SELECT id FROM stock WHERE ticker = 'NRCA'), 'Nusa Raya Cia Tbk') ON CONFLICT DO NOTHING;</v>
      </c>
    </row>
    <row r="2628" spans="1:6" x14ac:dyDescent="0.2">
      <c r="A2628" t="s">
        <v>934</v>
      </c>
      <c r="B2628" t="s">
        <v>935</v>
      </c>
      <c r="C2628" t="s">
        <v>6846</v>
      </c>
      <c r="D2628" t="str">
        <f>TRIM(alias[[#This Row],[Column3]])</f>
        <v>NusaRayaCia</v>
      </c>
      <c r="F2628" t="str">
        <f t="shared" si="41"/>
        <v>INSERT INTO stock_alias (stock, alias) VALUES ((SELECT id FROM stock WHERE ticker = 'NRCA'), 'NusaRayaCia') ON CONFLICT DO NOTHING;</v>
      </c>
    </row>
    <row r="2629" spans="1:6" x14ac:dyDescent="0.2">
      <c r="A2629" t="s">
        <v>934</v>
      </c>
      <c r="B2629" t="s">
        <v>935</v>
      </c>
      <c r="C2629" t="s">
        <v>6847</v>
      </c>
      <c r="D2629" t="str">
        <f>TRIM(alias[[#This Row],[Column3]])</f>
        <v>PT Nusa Raya Cia</v>
      </c>
      <c r="F2629" t="str">
        <f t="shared" si="41"/>
        <v>INSERT INTO stock_alias (stock, alias) VALUES ((SELECT id FROM stock WHERE ticker = 'NRCA'), 'PT Nusa Raya Cia') ON CONFLICT DO NOTHING;</v>
      </c>
    </row>
    <row r="2630" spans="1:6" x14ac:dyDescent="0.2">
      <c r="A2630" t="s">
        <v>934</v>
      </c>
      <c r="B2630" t="s">
        <v>935</v>
      </c>
      <c r="C2630" t="s">
        <v>6848</v>
      </c>
      <c r="D2630" t="str">
        <f>TRIM(alias[[#This Row],[Column3]])</f>
        <v>nusa raya cia</v>
      </c>
      <c r="F2630" t="str">
        <f t="shared" si="41"/>
        <v>INSERT INTO stock_alias (stock, alias) VALUES ((SELECT id FROM stock WHERE ticker = 'NRCA'), 'nusa raya cia') ON CONFLICT DO NOTHING;</v>
      </c>
    </row>
    <row r="2631" spans="1:6" x14ac:dyDescent="0.2">
      <c r="A2631" t="s">
        <v>2289</v>
      </c>
      <c r="B2631" t="s">
        <v>2290</v>
      </c>
      <c r="C2631" t="s">
        <v>2289</v>
      </c>
      <c r="D2631" t="str">
        <f>TRIM(alias[[#This Row],[Column3]])</f>
        <v>NSSS</v>
      </c>
      <c r="F2631" t="str">
        <f t="shared" si="41"/>
        <v>INSERT INTO stock_alias (stock, alias) VALUES ((SELECT id FROM stock WHERE ticker = 'NSSS'), 'NSSS') ON CONFLICT DO NOTHING;</v>
      </c>
    </row>
    <row r="2632" spans="1:6" x14ac:dyDescent="0.2">
      <c r="A2632" t="s">
        <v>2289</v>
      </c>
      <c r="B2632" t="s">
        <v>2290</v>
      </c>
      <c r="C2632" t="s">
        <v>6849</v>
      </c>
      <c r="D2632" t="str">
        <f>TRIM(alias[[#This Row],[Column3]])</f>
        <v>Nusantara Sawit Sejahtera</v>
      </c>
      <c r="F2632" t="str">
        <f t="shared" si="41"/>
        <v>INSERT INTO stock_alias (stock, alias) VALUES ((SELECT id FROM stock WHERE ticker = 'NSSS'), 'Nusantara Sawit Sejahtera') ON CONFLICT DO NOTHING;</v>
      </c>
    </row>
    <row r="2633" spans="1:6" x14ac:dyDescent="0.2">
      <c r="A2633" t="s">
        <v>2289</v>
      </c>
      <c r="B2633" t="s">
        <v>2290</v>
      </c>
      <c r="C2633" t="s">
        <v>6850</v>
      </c>
      <c r="D2633" t="str">
        <f>TRIM(alias[[#This Row],[Column3]])</f>
        <v>Nusantara Sawit Sejahtera Tbk</v>
      </c>
      <c r="F2633" t="str">
        <f t="shared" si="41"/>
        <v>INSERT INTO stock_alias (stock, alias) VALUES ((SELECT id FROM stock WHERE ticker = 'NSSS'), 'Nusantara Sawit Sejahtera Tbk') ON CONFLICT DO NOTHING;</v>
      </c>
    </row>
    <row r="2634" spans="1:6" x14ac:dyDescent="0.2">
      <c r="A2634" t="s">
        <v>2289</v>
      </c>
      <c r="B2634" t="s">
        <v>2290</v>
      </c>
      <c r="C2634" t="s">
        <v>6851</v>
      </c>
      <c r="D2634" t="str">
        <f>TRIM(alias[[#This Row],[Column3]])</f>
        <v>PT Nusantara Sawit Sejahtera</v>
      </c>
      <c r="F2634" t="str">
        <f t="shared" si="41"/>
        <v>INSERT INTO stock_alias (stock, alias) VALUES ((SELECT id FROM stock WHERE ticker = 'NSSS'), 'PT Nusantara Sawit Sejahtera') ON CONFLICT DO NOTHING;</v>
      </c>
    </row>
    <row r="2635" spans="1:6" x14ac:dyDescent="0.2">
      <c r="A2635" t="s">
        <v>2077</v>
      </c>
      <c r="B2635" t="s">
        <v>2078</v>
      </c>
      <c r="C2635" t="s">
        <v>2077</v>
      </c>
      <c r="D2635" t="str">
        <f>TRIM(alias[[#This Row],[Column3]])</f>
        <v>NTBK</v>
      </c>
      <c r="F2635" t="str">
        <f t="shared" si="41"/>
        <v>INSERT INTO stock_alias (stock, alias) VALUES ((SELECT id FROM stock WHERE ticker = 'NTBK'), 'NTBK') ON CONFLICT DO NOTHING;</v>
      </c>
    </row>
    <row r="2636" spans="1:6" x14ac:dyDescent="0.2">
      <c r="A2636" t="s">
        <v>2077</v>
      </c>
      <c r="B2636" t="s">
        <v>2078</v>
      </c>
      <c r="C2636" t="s">
        <v>6852</v>
      </c>
      <c r="D2636" t="str">
        <f>TRIM(alias[[#This Row],[Column3]])</f>
        <v>Nusatama Berkah</v>
      </c>
      <c r="F2636" t="str">
        <f t="shared" si="41"/>
        <v>INSERT INTO stock_alias (stock, alias) VALUES ((SELECT id FROM stock WHERE ticker = 'NTBK'), 'Nusatama Berkah') ON CONFLICT DO NOTHING;</v>
      </c>
    </row>
    <row r="2637" spans="1:6" x14ac:dyDescent="0.2">
      <c r="A2637" t="s">
        <v>2077</v>
      </c>
      <c r="B2637" t="s">
        <v>2078</v>
      </c>
      <c r="C2637" t="s">
        <v>6853</v>
      </c>
      <c r="D2637" t="str">
        <f>TRIM(alias[[#This Row],[Column3]])</f>
        <v>Nusatama Berkah Tbk</v>
      </c>
      <c r="F2637" t="str">
        <f t="shared" si="41"/>
        <v>INSERT INTO stock_alias (stock, alias) VALUES ((SELECT id FROM stock WHERE ticker = 'NTBK'), 'Nusatama Berkah Tbk') ON CONFLICT DO NOTHING;</v>
      </c>
    </row>
    <row r="2638" spans="1:6" x14ac:dyDescent="0.2">
      <c r="A2638" t="s">
        <v>2077</v>
      </c>
      <c r="B2638" t="s">
        <v>2078</v>
      </c>
      <c r="C2638" t="s">
        <v>6854</v>
      </c>
      <c r="D2638" t="str">
        <f>TRIM(alias[[#This Row],[Column3]])</f>
        <v>PT Nusatama Berkah</v>
      </c>
      <c r="F2638" t="str">
        <f t="shared" si="41"/>
        <v>INSERT INTO stock_alias (stock, alias) VALUES ((SELECT id FROM stock WHERE ticker = 'NTBK'), 'PT Nusatama Berkah') ON CONFLICT DO NOTHING;</v>
      </c>
    </row>
    <row r="2639" spans="1:6" x14ac:dyDescent="0.2">
      <c r="A2639" t="s">
        <v>1565</v>
      </c>
      <c r="B2639" t="s">
        <v>1566</v>
      </c>
      <c r="C2639" t="s">
        <v>1565</v>
      </c>
      <c r="D2639" t="str">
        <f>TRIM(alias[[#This Row],[Column3]])</f>
        <v>NUSA</v>
      </c>
      <c r="F2639" t="str">
        <f t="shared" si="41"/>
        <v>INSERT INTO stock_alias (stock, alias) VALUES ((SELECT id FROM stock WHERE ticker = 'NUSA'), 'NUSA') ON CONFLICT DO NOTHING;</v>
      </c>
    </row>
    <row r="2640" spans="1:6" x14ac:dyDescent="0.2">
      <c r="A2640" t="s">
        <v>1565</v>
      </c>
      <c r="B2640" t="s">
        <v>1566</v>
      </c>
      <c r="C2640" t="s">
        <v>6855</v>
      </c>
      <c r="D2640" t="str">
        <f>TRIM(alias[[#This Row],[Column3]])</f>
        <v>PT Sinergi Megah Internusa</v>
      </c>
      <c r="F2640" t="str">
        <f t="shared" si="41"/>
        <v>INSERT INTO stock_alias (stock, alias) VALUES ((SELECT id FROM stock WHERE ticker = 'NUSA'), 'PT Sinergi Megah Internusa') ON CONFLICT DO NOTHING;</v>
      </c>
    </row>
    <row r="2641" spans="1:6" x14ac:dyDescent="0.2">
      <c r="A2641" t="s">
        <v>1565</v>
      </c>
      <c r="B2641" t="s">
        <v>1566</v>
      </c>
      <c r="C2641" t="s">
        <v>6856</v>
      </c>
      <c r="D2641" t="str">
        <f>TRIM(alias[[#This Row],[Column3]])</f>
        <v>Sinergi Megah Internusa</v>
      </c>
      <c r="F2641" t="str">
        <f t="shared" si="41"/>
        <v>INSERT INTO stock_alias (stock, alias) VALUES ((SELECT id FROM stock WHERE ticker = 'NUSA'), 'Sinergi Megah Internusa') ON CONFLICT DO NOTHING;</v>
      </c>
    </row>
    <row r="2642" spans="1:6" x14ac:dyDescent="0.2">
      <c r="A2642" t="s">
        <v>1565</v>
      </c>
      <c r="B2642" t="s">
        <v>1566</v>
      </c>
      <c r="C2642" t="s">
        <v>6857</v>
      </c>
      <c r="D2642" t="str">
        <f>TRIM(alias[[#This Row],[Column3]])</f>
        <v>Sinergi Megah Internusa Tbk</v>
      </c>
      <c r="F2642" t="str">
        <f t="shared" si="41"/>
        <v>INSERT INTO stock_alias (stock, alias) VALUES ((SELECT id FROM stock WHERE ticker = 'NUSA'), 'Sinergi Megah Internusa Tbk') ON CONFLICT DO NOTHING;</v>
      </c>
    </row>
    <row r="2643" spans="1:6" x14ac:dyDescent="0.2">
      <c r="A2643" t="s">
        <v>1743</v>
      </c>
      <c r="B2643" t="s">
        <v>1744</v>
      </c>
      <c r="C2643" t="s">
        <v>1743</v>
      </c>
      <c r="D2643" t="str">
        <f>TRIM(alias[[#This Row],[Column3]])</f>
        <v>NZIA</v>
      </c>
      <c r="F2643" t="str">
        <f t="shared" si="41"/>
        <v>INSERT INTO stock_alias (stock, alias) VALUES ((SELECT id FROM stock WHERE ticker = 'NZIA'), 'NZIA') ON CONFLICT DO NOTHING;</v>
      </c>
    </row>
    <row r="2644" spans="1:6" x14ac:dyDescent="0.2">
      <c r="A2644" t="s">
        <v>1743</v>
      </c>
      <c r="B2644" t="s">
        <v>1744</v>
      </c>
      <c r="C2644" t="s">
        <v>6858</v>
      </c>
      <c r="D2644" t="str">
        <f>TRIM(alias[[#This Row],[Column3]])</f>
        <v>Nusantara Almazia</v>
      </c>
      <c r="F2644" t="str">
        <f t="shared" si="41"/>
        <v>INSERT INTO stock_alias (stock, alias) VALUES ((SELECT id FROM stock WHERE ticker = 'NZIA'), 'Nusantara Almazia') ON CONFLICT DO NOTHING;</v>
      </c>
    </row>
    <row r="2645" spans="1:6" x14ac:dyDescent="0.2">
      <c r="A2645" t="s">
        <v>1743</v>
      </c>
      <c r="B2645" t="s">
        <v>1744</v>
      </c>
      <c r="C2645" t="s">
        <v>6859</v>
      </c>
      <c r="D2645" t="str">
        <f>TRIM(alias[[#This Row],[Column3]])</f>
        <v>Nusantara Almazia Tbk</v>
      </c>
      <c r="F2645" t="str">
        <f t="shared" si="41"/>
        <v>INSERT INTO stock_alias (stock, alias) VALUES ((SELECT id FROM stock WHERE ticker = 'NZIA'), 'Nusantara Almazia Tbk') ON CONFLICT DO NOTHING;</v>
      </c>
    </row>
    <row r="2646" spans="1:6" x14ac:dyDescent="0.2">
      <c r="A2646" t="s">
        <v>1743</v>
      </c>
      <c r="B2646" t="s">
        <v>1744</v>
      </c>
      <c r="C2646" t="s">
        <v>6860</v>
      </c>
      <c r="D2646" t="str">
        <f>TRIM(alias[[#This Row],[Column3]])</f>
        <v>PT Nusantara Almazia</v>
      </c>
      <c r="F2646" t="str">
        <f t="shared" si="41"/>
        <v>INSERT INTO stock_alias (stock, alias) VALUES ((SELECT id FROM stock WHERE ticker = 'NZIA'), 'PT Nusantara Almazia') ON CONFLICT DO NOTHING;</v>
      </c>
    </row>
    <row r="2647" spans="1:6" x14ac:dyDescent="0.2">
      <c r="A2647" t="s">
        <v>1369</v>
      </c>
      <c r="B2647" t="s">
        <v>1370</v>
      </c>
      <c r="C2647" t="s">
        <v>1369</v>
      </c>
      <c r="D2647" t="str">
        <f>TRIM(alias[[#This Row],[Column3]])</f>
        <v>OASA</v>
      </c>
      <c r="F2647" t="str">
        <f t="shared" si="41"/>
        <v>INSERT INTO stock_alias (stock, alias) VALUES ((SELECT id FROM stock WHERE ticker = 'OASA'), 'OASA') ON CONFLICT DO NOTHING;</v>
      </c>
    </row>
    <row r="2648" spans="1:6" x14ac:dyDescent="0.2">
      <c r="A2648" t="s">
        <v>1369</v>
      </c>
      <c r="B2648" t="s">
        <v>1370</v>
      </c>
      <c r="C2648" t="s">
        <v>6861</v>
      </c>
      <c r="D2648" t="str">
        <f>TRIM(alias[[#This Row],[Column3]])</f>
        <v>Maharaksa Biru Energi</v>
      </c>
      <c r="F2648" t="str">
        <f t="shared" si="41"/>
        <v>INSERT INTO stock_alias (stock, alias) VALUES ((SELECT id FROM stock WHERE ticker = 'OASA'), 'Maharaksa Biru Energi') ON CONFLICT DO NOTHING;</v>
      </c>
    </row>
    <row r="2649" spans="1:6" x14ac:dyDescent="0.2">
      <c r="A2649" t="s">
        <v>1369</v>
      </c>
      <c r="B2649" t="s">
        <v>1370</v>
      </c>
      <c r="C2649" t="s">
        <v>6862</v>
      </c>
      <c r="D2649" t="str">
        <f>TRIM(alias[[#This Row],[Column3]])</f>
        <v>Maharaksa Biru Energi Tbk</v>
      </c>
      <c r="F2649" t="str">
        <f t="shared" si="41"/>
        <v>INSERT INTO stock_alias (stock, alias) VALUES ((SELECT id FROM stock WHERE ticker = 'OASA'), 'Maharaksa Biru Energi Tbk') ON CONFLICT DO NOTHING;</v>
      </c>
    </row>
    <row r="2650" spans="1:6" x14ac:dyDescent="0.2">
      <c r="A2650" t="s">
        <v>1369</v>
      </c>
      <c r="B2650" t="s">
        <v>1370</v>
      </c>
      <c r="C2650" t="s">
        <v>6863</v>
      </c>
      <c r="D2650" t="str">
        <f>TRIM(alias[[#This Row],[Column3]])</f>
        <v>PT Maharaksa Biru Energi</v>
      </c>
      <c r="F2650" t="str">
        <f t="shared" si="41"/>
        <v>INSERT INTO stock_alias (stock, alias) VALUES ((SELECT id FROM stock WHERE ticker = 'OASA'), 'PT Maharaksa Biru Energi') ON CONFLICT DO NOTHING;</v>
      </c>
    </row>
    <row r="2651" spans="1:6" x14ac:dyDescent="0.2">
      <c r="A2651" t="s">
        <v>2531</v>
      </c>
      <c r="B2651" t="s">
        <v>3632</v>
      </c>
      <c r="C2651" t="s">
        <v>2531</v>
      </c>
      <c r="D2651" t="str">
        <f>TRIM(alias[[#This Row],[Column3]])</f>
        <v>OBAT</v>
      </c>
      <c r="F2651" t="str">
        <f t="shared" si="41"/>
        <v>INSERT INTO stock_alias (stock, alias) VALUES ((SELECT id FROM stock WHERE ticker = 'OBAT'), 'OBAT') ON CONFLICT DO NOTHING;</v>
      </c>
    </row>
    <row r="2652" spans="1:6" x14ac:dyDescent="0.2">
      <c r="A2652" t="s">
        <v>2531</v>
      </c>
      <c r="B2652" t="s">
        <v>3632</v>
      </c>
      <c r="C2652" t="s">
        <v>6864</v>
      </c>
      <c r="D2652" t="str">
        <f>TRIM(alias[[#This Row],[Column3]])</f>
        <v>Brigit Biofarmaka Teknologi</v>
      </c>
      <c r="F2652" t="str">
        <f t="shared" si="41"/>
        <v>INSERT INTO stock_alias (stock, alias) VALUES ((SELECT id FROM stock WHERE ticker = 'OBAT'), 'Brigit Biofarmaka Teknologi') ON CONFLICT DO NOTHING;</v>
      </c>
    </row>
    <row r="2653" spans="1:6" x14ac:dyDescent="0.2">
      <c r="A2653" t="s">
        <v>2531</v>
      </c>
      <c r="B2653" t="s">
        <v>3632</v>
      </c>
      <c r="C2653" t="s">
        <v>6865</v>
      </c>
      <c r="D2653" t="str">
        <f>TRIM(alias[[#This Row],[Column3]])</f>
        <v>Brigit Biofarmaka Teknologi Tbk</v>
      </c>
      <c r="F2653" t="str">
        <f t="shared" si="41"/>
        <v>INSERT INTO stock_alias (stock, alias) VALUES ((SELECT id FROM stock WHERE ticker = 'OBAT'), 'Brigit Biofarmaka Teknologi Tbk') ON CONFLICT DO NOTHING;</v>
      </c>
    </row>
    <row r="2654" spans="1:6" x14ac:dyDescent="0.2">
      <c r="A2654" t="s">
        <v>2531</v>
      </c>
      <c r="B2654" t="s">
        <v>3632</v>
      </c>
      <c r="C2654" t="s">
        <v>6866</v>
      </c>
      <c r="D2654" t="str">
        <f>TRIM(alias[[#This Row],[Column3]])</f>
        <v>PT Brigit Biofarmaka Teknologi</v>
      </c>
      <c r="F2654" t="str">
        <f t="shared" si="41"/>
        <v>INSERT INTO stock_alias (stock, alias) VALUES ((SELECT id FROM stock WHERE ticker = 'OBAT'), 'PT Brigit Biofarmaka Teknologi') ON CONFLICT DO NOTHING;</v>
      </c>
    </row>
    <row r="2655" spans="1:6" x14ac:dyDescent="0.2">
      <c r="A2655" t="s">
        <v>2043</v>
      </c>
      <c r="B2655" t="s">
        <v>2044</v>
      </c>
      <c r="C2655" t="s">
        <v>2043</v>
      </c>
      <c r="D2655" t="str">
        <f>TRIM(alias[[#This Row],[Column3]])</f>
        <v>OBMD</v>
      </c>
      <c r="F2655" t="str">
        <f t="shared" si="41"/>
        <v>INSERT INTO stock_alias (stock, alias) VALUES ((SELECT id FROM stock WHERE ticker = 'OBMD'), 'OBMD') ON CONFLICT DO NOTHING;</v>
      </c>
    </row>
    <row r="2656" spans="1:6" x14ac:dyDescent="0.2">
      <c r="A2656" t="s">
        <v>2043</v>
      </c>
      <c r="B2656" t="s">
        <v>2044</v>
      </c>
      <c r="C2656" t="s">
        <v>6867</v>
      </c>
      <c r="D2656" t="str">
        <f>TRIM(alias[[#This Row],[Column3]])</f>
        <v>OBM Drilchem</v>
      </c>
      <c r="F2656" t="str">
        <f t="shared" si="41"/>
        <v>INSERT INTO stock_alias (stock, alias) VALUES ((SELECT id FROM stock WHERE ticker = 'OBMD'), 'OBM Drilchem') ON CONFLICT DO NOTHING;</v>
      </c>
    </row>
    <row r="2657" spans="1:6" x14ac:dyDescent="0.2">
      <c r="A2657" t="s">
        <v>2043</v>
      </c>
      <c r="B2657" t="s">
        <v>2044</v>
      </c>
      <c r="C2657" t="s">
        <v>6868</v>
      </c>
      <c r="D2657" t="str">
        <f>TRIM(alias[[#This Row],[Column3]])</f>
        <v>OBM Drilchem Tbk</v>
      </c>
      <c r="F2657" t="str">
        <f t="shared" si="41"/>
        <v>INSERT INTO stock_alias (stock, alias) VALUES ((SELECT id FROM stock WHERE ticker = 'OBMD'), 'OBM Drilchem Tbk') ON CONFLICT DO NOTHING;</v>
      </c>
    </row>
    <row r="2658" spans="1:6" x14ac:dyDescent="0.2">
      <c r="A2658" t="s">
        <v>2043</v>
      </c>
      <c r="B2658" t="s">
        <v>2044</v>
      </c>
      <c r="C2658" t="s">
        <v>6869</v>
      </c>
      <c r="D2658" t="str">
        <f>TRIM(alias[[#This Row],[Column3]])</f>
        <v>PT OBM Drilchem</v>
      </c>
      <c r="F2658" t="str">
        <f t="shared" si="41"/>
        <v>INSERT INTO stock_alias (stock, alias) VALUES ((SELECT id FROM stock WHERE ticker = 'OBMD'), 'PT OBM Drilchem') ON CONFLICT DO NOTHING;</v>
      </c>
    </row>
    <row r="2659" spans="1:6" x14ac:dyDescent="0.2">
      <c r="A2659" t="s">
        <v>937</v>
      </c>
      <c r="B2659" t="s">
        <v>938</v>
      </c>
      <c r="C2659" t="s">
        <v>937</v>
      </c>
      <c r="D2659" t="str">
        <f>TRIM(alias[[#This Row],[Column3]])</f>
        <v>OCAP</v>
      </c>
      <c r="F2659" t="str">
        <f t="shared" si="41"/>
        <v>INSERT INTO stock_alias (stock, alias) VALUES ((SELECT id FROM stock WHERE ticker = 'OCAP'), 'OCAP') ON CONFLICT DO NOTHING;</v>
      </c>
    </row>
    <row r="2660" spans="1:6" x14ac:dyDescent="0.2">
      <c r="A2660" t="s">
        <v>937</v>
      </c>
      <c r="B2660" t="s">
        <v>938</v>
      </c>
      <c r="C2660" t="s">
        <v>6870</v>
      </c>
      <c r="D2660" t="str">
        <f>TRIM(alias[[#This Row],[Column3]])</f>
        <v>Onix Capital</v>
      </c>
      <c r="F2660" t="str">
        <f t="shared" si="41"/>
        <v>INSERT INTO stock_alias (stock, alias) VALUES ((SELECT id FROM stock WHERE ticker = 'OCAP'), 'Onix Capital') ON CONFLICT DO NOTHING;</v>
      </c>
    </row>
    <row r="2661" spans="1:6" x14ac:dyDescent="0.2">
      <c r="A2661" t="s">
        <v>937</v>
      </c>
      <c r="B2661" t="s">
        <v>938</v>
      </c>
      <c r="C2661" t="s">
        <v>6871</v>
      </c>
      <c r="D2661" t="str">
        <f>TRIM(alias[[#This Row],[Column3]])</f>
        <v>Onix Capital Tbk</v>
      </c>
      <c r="F2661" t="str">
        <f t="shared" si="41"/>
        <v>INSERT INTO stock_alias (stock, alias) VALUES ((SELECT id FROM stock WHERE ticker = 'OCAP'), 'Onix Capital Tbk') ON CONFLICT DO NOTHING;</v>
      </c>
    </row>
    <row r="2662" spans="1:6" x14ac:dyDescent="0.2">
      <c r="A2662" t="s">
        <v>937</v>
      </c>
      <c r="B2662" t="s">
        <v>938</v>
      </c>
      <c r="C2662" t="s">
        <v>6872</v>
      </c>
      <c r="D2662" t="str">
        <f>TRIM(alias[[#This Row],[Column3]])</f>
        <v>PT Onix Capital</v>
      </c>
      <c r="F2662" t="str">
        <f t="shared" si="41"/>
        <v>INSERT INTO stock_alias (stock, alias) VALUES ((SELECT id FROM stock WHERE ticker = 'OCAP'), 'PT Onix Capital') ON CONFLICT DO NOTHING;</v>
      </c>
    </row>
    <row r="2663" spans="1:6" x14ac:dyDescent="0.2">
      <c r="A2663" t="s">
        <v>1986</v>
      </c>
      <c r="B2663" t="s">
        <v>1987</v>
      </c>
      <c r="C2663" t="s">
        <v>1986</v>
      </c>
      <c r="D2663" t="str">
        <f>TRIM(alias[[#This Row],[Column3]])</f>
        <v>OILS</v>
      </c>
      <c r="F2663" t="str">
        <f t="shared" si="41"/>
        <v>INSERT INTO stock_alias (stock, alias) VALUES ((SELECT id FROM stock WHERE ticker = 'OILS'), 'OILS') ON CONFLICT DO NOTHING;</v>
      </c>
    </row>
    <row r="2664" spans="1:6" x14ac:dyDescent="0.2">
      <c r="A2664" t="s">
        <v>1986</v>
      </c>
      <c r="B2664" t="s">
        <v>1987</v>
      </c>
      <c r="C2664" t="s">
        <v>6873</v>
      </c>
      <c r="D2664" t="str">
        <f>TRIM(alias[[#This Row],[Column3]])</f>
        <v>Indo Oil Perkasa</v>
      </c>
      <c r="F2664" t="str">
        <f t="shared" si="41"/>
        <v>INSERT INTO stock_alias (stock, alias) VALUES ((SELECT id FROM stock WHERE ticker = 'OILS'), 'Indo Oil Perkasa') ON CONFLICT DO NOTHING;</v>
      </c>
    </row>
    <row r="2665" spans="1:6" x14ac:dyDescent="0.2">
      <c r="A2665" t="s">
        <v>1986</v>
      </c>
      <c r="B2665" t="s">
        <v>1987</v>
      </c>
      <c r="C2665" t="s">
        <v>6874</v>
      </c>
      <c r="D2665" t="str">
        <f>TRIM(alias[[#This Row],[Column3]])</f>
        <v>Indo Oil Perkasa Tbk</v>
      </c>
      <c r="F2665" t="str">
        <f t="shared" si="41"/>
        <v>INSERT INTO stock_alias (stock, alias) VALUES ((SELECT id FROM stock WHERE ticker = 'OILS'), 'Indo Oil Perkasa Tbk') ON CONFLICT DO NOTHING;</v>
      </c>
    </row>
    <row r="2666" spans="1:6" x14ac:dyDescent="0.2">
      <c r="A2666" t="s">
        <v>1986</v>
      </c>
      <c r="B2666" t="s">
        <v>1987</v>
      </c>
      <c r="C2666" t="s">
        <v>6875</v>
      </c>
      <c r="D2666" t="str">
        <f>TRIM(alias[[#This Row],[Column3]])</f>
        <v>PT Indo Oil Perkasa</v>
      </c>
      <c r="F2666" t="str">
        <f t="shared" si="41"/>
        <v>INSERT INTO stock_alias (stock, alias) VALUES ((SELECT id FROM stock WHERE ticker = 'OILS'), 'PT Indo Oil Perkasa') ON CONFLICT DO NOTHING;</v>
      </c>
    </row>
    <row r="2667" spans="1:6" x14ac:dyDescent="0.2">
      <c r="A2667" t="s">
        <v>940</v>
      </c>
      <c r="B2667" t="s">
        <v>3633</v>
      </c>
      <c r="C2667" t="s">
        <v>940</v>
      </c>
      <c r="D2667" t="str">
        <f>TRIM(alias[[#This Row],[Column3]])</f>
        <v>OKAS</v>
      </c>
      <c r="F2667" t="str">
        <f t="shared" si="41"/>
        <v>INSERT INTO stock_alias (stock, alias) VALUES ((SELECT id FROM stock WHERE ticker = 'OKAS'), 'OKAS') ON CONFLICT DO NOTHING;</v>
      </c>
    </row>
    <row r="2668" spans="1:6" x14ac:dyDescent="0.2">
      <c r="A2668" t="s">
        <v>940</v>
      </c>
      <c r="B2668" t="s">
        <v>3633</v>
      </c>
      <c r="C2668" t="s">
        <v>6876</v>
      </c>
      <c r="D2668" t="str">
        <f>TRIM(alias[[#This Row],[Column3]])</f>
        <v>Ancora Indonesia Resources</v>
      </c>
      <c r="F2668" t="str">
        <f t="shared" si="41"/>
        <v>INSERT INTO stock_alias (stock, alias) VALUES ((SELECT id FROM stock WHERE ticker = 'OKAS'), 'Ancora Indonesia Resources') ON CONFLICT DO NOTHING;</v>
      </c>
    </row>
    <row r="2669" spans="1:6" x14ac:dyDescent="0.2">
      <c r="A2669" t="s">
        <v>940</v>
      </c>
      <c r="B2669" t="s">
        <v>3633</v>
      </c>
      <c r="C2669" t="s">
        <v>6877</v>
      </c>
      <c r="D2669" t="str">
        <f>TRIM(alias[[#This Row],[Column3]])</f>
        <v>Ancora Indonesia Resources Tbk</v>
      </c>
      <c r="F2669" t="str">
        <f t="shared" si="41"/>
        <v>INSERT INTO stock_alias (stock, alias) VALUES ((SELECT id FROM stock WHERE ticker = 'OKAS'), 'Ancora Indonesia Resources Tbk') ON CONFLICT DO NOTHING;</v>
      </c>
    </row>
    <row r="2670" spans="1:6" x14ac:dyDescent="0.2">
      <c r="A2670" t="s">
        <v>940</v>
      </c>
      <c r="B2670" t="s">
        <v>3633</v>
      </c>
      <c r="C2670" t="s">
        <v>6878</v>
      </c>
      <c r="D2670" t="str">
        <f>TRIM(alias[[#This Row],[Column3]])</f>
        <v>PT Ancora Indonesia Resources</v>
      </c>
      <c r="F2670" t="str">
        <f t="shared" si="41"/>
        <v>INSERT INTO stock_alias (stock, alias) VALUES ((SELECT id FROM stock WHERE ticker = 'OKAS'), 'PT Ancora Indonesia Resources') ON CONFLICT DO NOTHING;</v>
      </c>
    </row>
    <row r="2671" spans="1:6" x14ac:dyDescent="0.2">
      <c r="A2671" t="s">
        <v>2112</v>
      </c>
      <c r="B2671" t="s">
        <v>3634</v>
      </c>
      <c r="C2671" t="s">
        <v>2112</v>
      </c>
      <c r="D2671" t="str">
        <f>TRIM(alias[[#This Row],[Column3]])</f>
        <v>OLIV</v>
      </c>
      <c r="F2671" t="str">
        <f t="shared" si="41"/>
        <v>INSERT INTO stock_alias (stock, alias) VALUES ((SELECT id FROM stock WHERE ticker = 'OLIV'), 'OLIV') ON CONFLICT DO NOTHING;</v>
      </c>
    </row>
    <row r="2672" spans="1:6" x14ac:dyDescent="0.2">
      <c r="A2672" t="s">
        <v>2112</v>
      </c>
      <c r="B2672" t="s">
        <v>3634</v>
      </c>
      <c r="C2672" t="s">
        <v>6879</v>
      </c>
      <c r="D2672" t="str">
        <f>TRIM(alias[[#This Row],[Column3]])</f>
        <v>Oscar Mitra Sukses Sejahtera</v>
      </c>
      <c r="F2672" t="str">
        <f t="shared" si="41"/>
        <v>INSERT INTO stock_alias (stock, alias) VALUES ((SELECT id FROM stock WHERE ticker = 'OLIV'), 'Oscar Mitra Sukses Sejahtera') ON CONFLICT DO NOTHING;</v>
      </c>
    </row>
    <row r="2673" spans="1:6" x14ac:dyDescent="0.2">
      <c r="A2673" t="s">
        <v>2112</v>
      </c>
      <c r="B2673" t="s">
        <v>3634</v>
      </c>
      <c r="C2673" t="s">
        <v>6880</v>
      </c>
      <c r="D2673" t="str">
        <f>TRIM(alias[[#This Row],[Column3]])</f>
        <v>Oscar Mitra Sukses Sejahtera Tbk</v>
      </c>
      <c r="F2673" t="str">
        <f t="shared" si="41"/>
        <v>INSERT INTO stock_alias (stock, alias) VALUES ((SELECT id FROM stock WHERE ticker = 'OLIV'), 'Oscar Mitra Sukses Sejahtera Tbk') ON CONFLICT DO NOTHING;</v>
      </c>
    </row>
    <row r="2674" spans="1:6" x14ac:dyDescent="0.2">
      <c r="A2674" t="s">
        <v>2112</v>
      </c>
      <c r="B2674" t="s">
        <v>3634</v>
      </c>
      <c r="C2674" t="s">
        <v>6881</v>
      </c>
      <c r="D2674" t="str">
        <f>TRIM(alias[[#This Row],[Column3]])</f>
        <v>PT Oscar Mitra Sukses Sejahtera</v>
      </c>
      <c r="F2674" t="str">
        <f t="shared" si="41"/>
        <v>INSERT INTO stock_alias (stock, alias) VALUES ((SELECT id FROM stock WHERE ticker = 'OLIV'), 'PT Oscar Mitra Sukses Sejahtera') ON CONFLICT DO NOTHING;</v>
      </c>
    </row>
    <row r="2675" spans="1:6" x14ac:dyDescent="0.2">
      <c r="A2675" t="s">
        <v>2187</v>
      </c>
      <c r="B2675" t="s">
        <v>2188</v>
      </c>
      <c r="C2675" t="s">
        <v>2187</v>
      </c>
      <c r="D2675" t="str">
        <f>TRIM(alias[[#This Row],[Column3]])</f>
        <v>OMED</v>
      </c>
      <c r="F2675" t="str">
        <f t="shared" si="41"/>
        <v>INSERT INTO stock_alias (stock, alias) VALUES ((SELECT id FROM stock WHERE ticker = 'OMED'), 'OMED') ON CONFLICT DO NOTHING;</v>
      </c>
    </row>
    <row r="2676" spans="1:6" x14ac:dyDescent="0.2">
      <c r="A2676" t="s">
        <v>2187</v>
      </c>
      <c r="B2676" t="s">
        <v>2188</v>
      </c>
      <c r="C2676" t="s">
        <v>6882</v>
      </c>
      <c r="D2676" t="str">
        <f>TRIM(alias[[#This Row],[Column3]])</f>
        <v>Jayamas Medica Industri</v>
      </c>
      <c r="F2676" t="str">
        <f t="shared" si="41"/>
        <v>INSERT INTO stock_alias (stock, alias) VALUES ((SELECT id FROM stock WHERE ticker = 'OMED'), 'Jayamas Medica Industri') ON CONFLICT DO NOTHING;</v>
      </c>
    </row>
    <row r="2677" spans="1:6" x14ac:dyDescent="0.2">
      <c r="A2677" t="s">
        <v>2187</v>
      </c>
      <c r="B2677" t="s">
        <v>2188</v>
      </c>
      <c r="C2677" t="s">
        <v>6883</v>
      </c>
      <c r="D2677" t="str">
        <f>TRIM(alias[[#This Row],[Column3]])</f>
        <v>Jayamas Medica Industri Tbk</v>
      </c>
      <c r="F2677" t="str">
        <f t="shared" si="41"/>
        <v>INSERT INTO stock_alias (stock, alias) VALUES ((SELECT id FROM stock WHERE ticker = 'OMED'), 'Jayamas Medica Industri Tbk') ON CONFLICT DO NOTHING;</v>
      </c>
    </row>
    <row r="2678" spans="1:6" x14ac:dyDescent="0.2">
      <c r="A2678" t="s">
        <v>2187</v>
      </c>
      <c r="B2678" t="s">
        <v>2188</v>
      </c>
      <c r="C2678" t="s">
        <v>6884</v>
      </c>
      <c r="D2678" t="str">
        <f>TRIM(alias[[#This Row],[Column3]])</f>
        <v>PT Jayamas Medica Industri</v>
      </c>
      <c r="F2678" t="str">
        <f t="shared" si="41"/>
        <v>INSERT INTO stock_alias (stock, alias) VALUES ((SELECT id FROM stock WHERE ticker = 'OMED'), 'PT Jayamas Medica Industri') ON CONFLICT DO NOTHING;</v>
      </c>
    </row>
    <row r="2679" spans="1:6" x14ac:dyDescent="0.2">
      <c r="A2679" t="s">
        <v>943</v>
      </c>
      <c r="B2679" t="s">
        <v>3635</v>
      </c>
      <c r="C2679" t="s">
        <v>943</v>
      </c>
      <c r="D2679" t="str">
        <f>TRIM(alias[[#This Row],[Column3]])</f>
        <v>OMRE</v>
      </c>
      <c r="F2679" t="str">
        <f t="shared" si="41"/>
        <v>INSERT INTO stock_alias (stock, alias) VALUES ((SELECT id FROM stock WHERE ticker = 'OMRE'), 'OMRE') ON CONFLICT DO NOTHING;</v>
      </c>
    </row>
    <row r="2680" spans="1:6" x14ac:dyDescent="0.2">
      <c r="A2680" t="s">
        <v>943</v>
      </c>
      <c r="B2680" t="s">
        <v>3635</v>
      </c>
      <c r="C2680" t="s">
        <v>6885</v>
      </c>
      <c r="D2680" t="str">
        <f>TRIM(alias[[#This Row],[Column3]])</f>
        <v>Indonesia Prima Property</v>
      </c>
      <c r="F2680" t="str">
        <f t="shared" si="41"/>
        <v>INSERT INTO stock_alias (stock, alias) VALUES ((SELECT id FROM stock WHERE ticker = 'OMRE'), 'Indonesia Prima Property') ON CONFLICT DO NOTHING;</v>
      </c>
    </row>
    <row r="2681" spans="1:6" x14ac:dyDescent="0.2">
      <c r="A2681" t="s">
        <v>943</v>
      </c>
      <c r="B2681" t="s">
        <v>3635</v>
      </c>
      <c r="C2681" t="s">
        <v>6886</v>
      </c>
      <c r="D2681" t="str">
        <f>TRIM(alias[[#This Row],[Column3]])</f>
        <v>Indonesia Prima Property Tbk</v>
      </c>
      <c r="F2681" t="str">
        <f t="shared" si="41"/>
        <v>INSERT INTO stock_alias (stock, alias) VALUES ((SELECT id FROM stock WHERE ticker = 'OMRE'), 'Indonesia Prima Property Tbk') ON CONFLICT DO NOTHING;</v>
      </c>
    </row>
    <row r="2682" spans="1:6" x14ac:dyDescent="0.2">
      <c r="A2682" t="s">
        <v>943</v>
      </c>
      <c r="B2682" t="s">
        <v>3635</v>
      </c>
      <c r="C2682" t="s">
        <v>6887</v>
      </c>
      <c r="D2682" t="str">
        <f>TRIM(alias[[#This Row],[Column3]])</f>
        <v>PT Indonesia Prima Property</v>
      </c>
      <c r="F2682" t="str">
        <f t="shared" si="41"/>
        <v>INSERT INTO stock_alias (stock, alias) VALUES ((SELECT id FROM stock WHERE ticker = 'OMRE'), 'PT Indonesia Prima Property') ON CONFLICT DO NOTHING;</v>
      </c>
    </row>
    <row r="2683" spans="1:6" x14ac:dyDescent="0.2">
      <c r="A2683" t="s">
        <v>1741</v>
      </c>
      <c r="B2683" t="s">
        <v>3636</v>
      </c>
      <c r="C2683" t="s">
        <v>1741</v>
      </c>
      <c r="D2683" t="str">
        <f>TRIM(alias[[#This Row],[Column3]])</f>
        <v>OPMS</v>
      </c>
      <c r="F2683" t="str">
        <f t="shared" si="41"/>
        <v>INSERT INTO stock_alias (stock, alias) VALUES ((SELECT id FROM stock WHERE ticker = 'OPMS'), 'OPMS') ON CONFLICT DO NOTHING;</v>
      </c>
    </row>
    <row r="2684" spans="1:6" x14ac:dyDescent="0.2">
      <c r="A2684" t="s">
        <v>1741</v>
      </c>
      <c r="B2684" t="s">
        <v>3636</v>
      </c>
      <c r="C2684" t="s">
        <v>6888</v>
      </c>
      <c r="D2684" t="str">
        <f>TRIM(alias[[#This Row],[Column3]])</f>
        <v>OIMA PRIMA METAL SINERGI</v>
      </c>
      <c r="F2684" t="str">
        <f t="shared" si="41"/>
        <v>INSERT INTO stock_alias (stock, alias) VALUES ((SELECT id FROM stock WHERE ticker = 'OPMS'), 'OIMA PRIMA METAL SINERGI') ON CONFLICT DO NOTHING;</v>
      </c>
    </row>
    <row r="2685" spans="1:6" x14ac:dyDescent="0.2">
      <c r="A2685" t="s">
        <v>1741</v>
      </c>
      <c r="B2685" t="s">
        <v>3636</v>
      </c>
      <c r="C2685" t="s">
        <v>6889</v>
      </c>
      <c r="D2685" t="str">
        <f>TRIM(alias[[#This Row],[Column3]])</f>
        <v>Oima Prima Metal Sinergi</v>
      </c>
      <c r="F2685" t="str">
        <f t="shared" si="41"/>
        <v>INSERT INTO stock_alias (stock, alias) VALUES ((SELECT id FROM stock WHERE ticker = 'OPMS'), 'Oima Prima Metal Sinergi') ON CONFLICT DO NOTHING;</v>
      </c>
    </row>
    <row r="2686" spans="1:6" x14ac:dyDescent="0.2">
      <c r="A2686" t="s">
        <v>1741</v>
      </c>
      <c r="B2686" t="s">
        <v>3636</v>
      </c>
      <c r="C2686" t="s">
        <v>6890</v>
      </c>
      <c r="D2686" t="str">
        <f>TRIM(alias[[#This Row],[Column3]])</f>
        <v>Oima Prima Metal Sinergi Tbk</v>
      </c>
      <c r="F2686" t="str">
        <f t="shared" si="41"/>
        <v>INSERT INTO stock_alias (stock, alias) VALUES ((SELECT id FROM stock WHERE ticker = 'OPMS'), 'Oima Prima Metal Sinergi Tbk') ON CONFLICT DO NOTHING;</v>
      </c>
    </row>
    <row r="2687" spans="1:6" x14ac:dyDescent="0.2">
      <c r="A2687" t="s">
        <v>1741</v>
      </c>
      <c r="B2687" t="s">
        <v>3636</v>
      </c>
      <c r="C2687" t="s">
        <v>6891</v>
      </c>
      <c r="D2687" t="str">
        <f>TRIM(alias[[#This Row],[Column3]])</f>
        <v>OimaPrimaMetalSinergi</v>
      </c>
      <c r="F2687" t="str">
        <f t="shared" si="41"/>
        <v>INSERT INTO stock_alias (stock, alias) VALUES ((SELECT id FROM stock WHERE ticker = 'OPMS'), 'OimaPrimaMetalSinergi') ON CONFLICT DO NOTHING;</v>
      </c>
    </row>
    <row r="2688" spans="1:6" x14ac:dyDescent="0.2">
      <c r="A2688" t="s">
        <v>1741</v>
      </c>
      <c r="B2688" t="s">
        <v>3636</v>
      </c>
      <c r="C2688" t="s">
        <v>6892</v>
      </c>
      <c r="D2688" t="str">
        <f>TRIM(alias[[#This Row],[Column3]])</f>
        <v>PT Oima Prima Metal Sinergi</v>
      </c>
      <c r="F2688" t="str">
        <f t="shared" si="41"/>
        <v>INSERT INTO stock_alias (stock, alias) VALUES ((SELECT id FROM stock WHERE ticker = 'OPMS'), 'PT Oima Prima Metal Sinergi') ON CONFLICT DO NOTHING;</v>
      </c>
    </row>
    <row r="2689" spans="1:6" x14ac:dyDescent="0.2">
      <c r="A2689" t="s">
        <v>1741</v>
      </c>
      <c r="B2689" t="s">
        <v>3636</v>
      </c>
      <c r="C2689" t="s">
        <v>6893</v>
      </c>
      <c r="D2689" t="str">
        <f>TRIM(alias[[#This Row],[Column3]])</f>
        <v>oima prima metal sinergi</v>
      </c>
      <c r="F2689" t="str">
        <f t="shared" si="41"/>
        <v>INSERT INTO stock_alias (stock, alias) VALUES ((SELECT id FROM stock WHERE ticker = 'OPMS'), 'oima prima metal sinergi') ON CONFLICT DO NOTHING;</v>
      </c>
    </row>
    <row r="2690" spans="1:6" x14ac:dyDescent="0.2">
      <c r="A2690" t="s">
        <v>2253</v>
      </c>
      <c r="B2690" t="s">
        <v>3637</v>
      </c>
      <c r="C2690" t="s">
        <v>2253</v>
      </c>
      <c r="D2690" t="str">
        <f>TRIM(alias[[#This Row],[Column3]])</f>
        <v>PACK</v>
      </c>
      <c r="F2690" t="str">
        <f t="shared" si="41"/>
        <v>INSERT INTO stock_alias (stock, alias) VALUES ((SELECT id FROM stock WHERE ticker = 'PACK'), 'PACK') ON CONFLICT DO NOTHING;</v>
      </c>
    </row>
    <row r="2691" spans="1:6" x14ac:dyDescent="0.2">
      <c r="A2691" t="s">
        <v>2253</v>
      </c>
      <c r="B2691" t="s">
        <v>3637</v>
      </c>
      <c r="C2691" t="s">
        <v>6894</v>
      </c>
      <c r="D2691" t="str">
        <f>TRIM(alias[[#This Row],[Column3]])</f>
        <v>Abadi Nusantara Hijau Investama</v>
      </c>
      <c r="F2691" t="str">
        <f t="shared" ref="F2691:F2754" si="42">_xlfn.CONCAT($F$1, _xlfn.CONCAT($G$1, A2691, "'), '", D2691, "') ON CONFLICT DO NOTHING;"))</f>
        <v>INSERT INTO stock_alias (stock, alias) VALUES ((SELECT id FROM stock WHERE ticker = 'PACK'), 'Abadi Nusantara Hijau Investama') ON CONFLICT DO NOTHING;</v>
      </c>
    </row>
    <row r="2692" spans="1:6" x14ac:dyDescent="0.2">
      <c r="A2692" t="s">
        <v>2253</v>
      </c>
      <c r="B2692" t="s">
        <v>3637</v>
      </c>
      <c r="C2692" t="s">
        <v>6895</v>
      </c>
      <c r="D2692" t="str">
        <f>TRIM(alias[[#This Row],[Column3]])</f>
        <v>Abadi Nusantara Hijau Investama Tbk</v>
      </c>
      <c r="F2692" t="str">
        <f t="shared" si="42"/>
        <v>INSERT INTO stock_alias (stock, alias) VALUES ((SELECT id FROM stock WHERE ticker = 'PACK'), 'Abadi Nusantara Hijau Investama Tbk') ON CONFLICT DO NOTHING;</v>
      </c>
    </row>
    <row r="2693" spans="1:6" x14ac:dyDescent="0.2">
      <c r="A2693" t="s">
        <v>2253</v>
      </c>
      <c r="B2693" t="s">
        <v>3637</v>
      </c>
      <c r="C2693" t="s">
        <v>6896</v>
      </c>
      <c r="D2693" t="str">
        <f>TRIM(alias[[#This Row],[Column3]])</f>
        <v>PT Abadi Nusantara Hijau Investama</v>
      </c>
      <c r="F2693" t="str">
        <f t="shared" si="42"/>
        <v>INSERT INTO stock_alias (stock, alias) VALUES ((SELECT id FROM stock WHERE ticker = 'PACK'), 'PT Abadi Nusantara Hijau Investama') ON CONFLICT DO NOTHING;</v>
      </c>
    </row>
    <row r="2694" spans="1:6" x14ac:dyDescent="0.2">
      <c r="A2694" t="s">
        <v>2208</v>
      </c>
      <c r="B2694" t="s">
        <v>2209</v>
      </c>
      <c r="C2694" t="s">
        <v>2208</v>
      </c>
      <c r="D2694" t="str">
        <f>TRIM(alias[[#This Row],[Column3]])</f>
        <v>PADA</v>
      </c>
      <c r="F2694" t="str">
        <f t="shared" si="42"/>
        <v>INSERT INTO stock_alias (stock, alias) VALUES ((SELECT id FROM stock WHERE ticker = 'PADA'), 'PADA') ON CONFLICT DO NOTHING;</v>
      </c>
    </row>
    <row r="2695" spans="1:6" x14ac:dyDescent="0.2">
      <c r="A2695" t="s">
        <v>2208</v>
      </c>
      <c r="B2695" t="s">
        <v>2209</v>
      </c>
      <c r="C2695" t="s">
        <v>6897</v>
      </c>
      <c r="D2695" t="str">
        <f>TRIM(alias[[#This Row],[Column3]])</f>
        <v>PT Personel Alih Daya</v>
      </c>
      <c r="F2695" t="str">
        <f t="shared" si="42"/>
        <v>INSERT INTO stock_alias (stock, alias) VALUES ((SELECT id FROM stock WHERE ticker = 'PADA'), 'PT Personel Alih Daya') ON CONFLICT DO NOTHING;</v>
      </c>
    </row>
    <row r="2696" spans="1:6" x14ac:dyDescent="0.2">
      <c r="A2696" t="s">
        <v>2208</v>
      </c>
      <c r="B2696" t="s">
        <v>2209</v>
      </c>
      <c r="C2696" t="s">
        <v>6898</v>
      </c>
      <c r="D2696" t="str">
        <f>TRIM(alias[[#This Row],[Column3]])</f>
        <v>Personel Alih Daya</v>
      </c>
      <c r="F2696" t="str">
        <f t="shared" si="42"/>
        <v>INSERT INTO stock_alias (stock, alias) VALUES ((SELECT id FROM stock WHERE ticker = 'PADA'), 'Personel Alih Daya') ON CONFLICT DO NOTHING;</v>
      </c>
    </row>
    <row r="2697" spans="1:6" x14ac:dyDescent="0.2">
      <c r="A2697" t="s">
        <v>2208</v>
      </c>
      <c r="B2697" t="s">
        <v>2209</v>
      </c>
      <c r="C2697" t="s">
        <v>6899</v>
      </c>
      <c r="D2697" t="str">
        <f>TRIM(alias[[#This Row],[Column3]])</f>
        <v>Personel Alih Daya Tbk</v>
      </c>
      <c r="F2697" t="str">
        <f t="shared" si="42"/>
        <v>INSERT INTO stock_alias (stock, alias) VALUES ((SELECT id FROM stock WHERE ticker = 'PADA'), 'Personel Alih Daya Tbk') ON CONFLICT DO NOTHING;</v>
      </c>
    </row>
    <row r="2698" spans="1:6" x14ac:dyDescent="0.2">
      <c r="A2698" t="s">
        <v>946</v>
      </c>
      <c r="B2698" t="s">
        <v>3638</v>
      </c>
      <c r="C2698" t="s">
        <v>946</v>
      </c>
      <c r="D2698" t="str">
        <f>TRIM(alias[[#This Row],[Column3]])</f>
        <v>PADI</v>
      </c>
      <c r="F2698" t="str">
        <f t="shared" si="42"/>
        <v>INSERT INTO stock_alias (stock, alias) VALUES ((SELECT id FROM stock WHERE ticker = 'PADI'), 'PADI') ON CONFLICT DO NOTHING;</v>
      </c>
    </row>
    <row r="2699" spans="1:6" x14ac:dyDescent="0.2">
      <c r="A2699" t="s">
        <v>946</v>
      </c>
      <c r="B2699" t="s">
        <v>3638</v>
      </c>
      <c r="C2699" t="s">
        <v>6900</v>
      </c>
      <c r="D2699" t="str">
        <f>TRIM(alias[[#This Row],[Column3]])</f>
        <v>Minna Padi Investama Sekuritas</v>
      </c>
      <c r="F2699" t="str">
        <f t="shared" si="42"/>
        <v>INSERT INTO stock_alias (stock, alias) VALUES ((SELECT id FROM stock WHERE ticker = 'PADI'), 'Minna Padi Investama Sekuritas') ON CONFLICT DO NOTHING;</v>
      </c>
    </row>
    <row r="2700" spans="1:6" x14ac:dyDescent="0.2">
      <c r="A2700" t="s">
        <v>946</v>
      </c>
      <c r="B2700" t="s">
        <v>3638</v>
      </c>
      <c r="C2700" t="s">
        <v>6901</v>
      </c>
      <c r="D2700" t="str">
        <f>TRIM(alias[[#This Row],[Column3]])</f>
        <v>Minna Padi Investama Sekuritas Tbk</v>
      </c>
      <c r="F2700" t="str">
        <f t="shared" si="42"/>
        <v>INSERT INTO stock_alias (stock, alias) VALUES ((SELECT id FROM stock WHERE ticker = 'PADI'), 'Minna Padi Investama Sekuritas Tbk') ON CONFLICT DO NOTHING;</v>
      </c>
    </row>
    <row r="2701" spans="1:6" x14ac:dyDescent="0.2">
      <c r="A2701" t="s">
        <v>946</v>
      </c>
      <c r="B2701" t="s">
        <v>3638</v>
      </c>
      <c r="C2701" t="s">
        <v>6902</v>
      </c>
      <c r="D2701" t="str">
        <f>TRIM(alias[[#This Row],[Column3]])</f>
        <v>PT Minna Padi Investama Sekuritas</v>
      </c>
      <c r="F2701" t="str">
        <f t="shared" si="42"/>
        <v>INSERT INTO stock_alias (stock, alias) VALUES ((SELECT id FROM stock WHERE ticker = 'PADI'), 'PT Minna Padi Investama Sekuritas') ON CONFLICT DO NOTHING;</v>
      </c>
    </row>
    <row r="2702" spans="1:6" x14ac:dyDescent="0.2">
      <c r="A2702" t="s">
        <v>948</v>
      </c>
      <c r="B2702" t="s">
        <v>3639</v>
      </c>
      <c r="C2702" t="s">
        <v>948</v>
      </c>
      <c r="D2702" t="str">
        <f>TRIM(alias[[#This Row],[Column3]])</f>
        <v>PALM</v>
      </c>
      <c r="F2702" t="str">
        <f t="shared" si="42"/>
        <v>INSERT INTO stock_alias (stock, alias) VALUES ((SELECT id FROM stock WHERE ticker = 'PALM'), 'PALM') ON CONFLICT DO NOTHING;</v>
      </c>
    </row>
    <row r="2703" spans="1:6" x14ac:dyDescent="0.2">
      <c r="A2703" t="s">
        <v>948</v>
      </c>
      <c r="B2703" t="s">
        <v>3639</v>
      </c>
      <c r="C2703" t="s">
        <v>6903</v>
      </c>
      <c r="D2703" t="str">
        <f>TRIM(alias[[#This Row],[Column3]])</f>
        <v>PT Provident Investasi Bersama</v>
      </c>
      <c r="F2703" t="str">
        <f t="shared" si="42"/>
        <v>INSERT INTO stock_alias (stock, alias) VALUES ((SELECT id FROM stock WHERE ticker = 'PALM'), 'PT Provident Investasi Bersama') ON CONFLICT DO NOTHING;</v>
      </c>
    </row>
    <row r="2704" spans="1:6" x14ac:dyDescent="0.2">
      <c r="A2704" t="s">
        <v>948</v>
      </c>
      <c r="B2704" t="s">
        <v>3639</v>
      </c>
      <c r="C2704" t="s">
        <v>6904</v>
      </c>
      <c r="D2704" t="str">
        <f>TRIM(alias[[#This Row],[Column3]])</f>
        <v>Provident Investasi Bersama</v>
      </c>
      <c r="F2704" t="str">
        <f t="shared" si="42"/>
        <v>INSERT INTO stock_alias (stock, alias) VALUES ((SELECT id FROM stock WHERE ticker = 'PALM'), 'Provident Investasi Bersama') ON CONFLICT DO NOTHING;</v>
      </c>
    </row>
    <row r="2705" spans="1:6" x14ac:dyDescent="0.2">
      <c r="A2705" t="s">
        <v>948</v>
      </c>
      <c r="B2705" t="s">
        <v>3639</v>
      </c>
      <c r="C2705" t="s">
        <v>6905</v>
      </c>
      <c r="D2705" t="str">
        <f>TRIM(alias[[#This Row],[Column3]])</f>
        <v>Provident Investasi Bersama Tbk</v>
      </c>
      <c r="F2705" t="str">
        <f t="shared" si="42"/>
        <v>INSERT INTO stock_alias (stock, alias) VALUES ((SELECT id FROM stock WHERE ticker = 'PALM'), 'Provident Investasi Bersama Tbk') ON CONFLICT DO NOTHING;</v>
      </c>
    </row>
    <row r="2706" spans="1:6" x14ac:dyDescent="0.2">
      <c r="A2706" t="s">
        <v>1697</v>
      </c>
      <c r="B2706" t="s">
        <v>1698</v>
      </c>
      <c r="C2706" t="s">
        <v>1697</v>
      </c>
      <c r="D2706" t="str">
        <f>TRIM(alias[[#This Row],[Column3]])</f>
        <v>PAMG</v>
      </c>
      <c r="F2706" t="str">
        <f t="shared" si="42"/>
        <v>INSERT INTO stock_alias (stock, alias) VALUES ((SELECT id FROM stock WHERE ticker = 'PAMG'), 'PAMG') ON CONFLICT DO NOTHING;</v>
      </c>
    </row>
    <row r="2707" spans="1:6" x14ac:dyDescent="0.2">
      <c r="A2707" t="s">
        <v>1697</v>
      </c>
      <c r="B2707" t="s">
        <v>1698</v>
      </c>
      <c r="C2707" t="s">
        <v>6906</v>
      </c>
      <c r="D2707" t="str">
        <f>TRIM(alias[[#This Row],[Column3]])</f>
        <v>Bima Sakti Pertiwi</v>
      </c>
      <c r="F2707" t="str">
        <f t="shared" si="42"/>
        <v>INSERT INTO stock_alias (stock, alias) VALUES ((SELECT id FROM stock WHERE ticker = 'PAMG'), 'Bima Sakti Pertiwi') ON CONFLICT DO NOTHING;</v>
      </c>
    </row>
    <row r="2708" spans="1:6" x14ac:dyDescent="0.2">
      <c r="A2708" t="s">
        <v>1697</v>
      </c>
      <c r="B2708" t="s">
        <v>1698</v>
      </c>
      <c r="C2708" t="s">
        <v>6907</v>
      </c>
      <c r="D2708" t="str">
        <f>TRIM(alias[[#This Row],[Column3]])</f>
        <v>Bima Sakti Pertiwi Tbk</v>
      </c>
      <c r="F2708" t="str">
        <f t="shared" si="42"/>
        <v>INSERT INTO stock_alias (stock, alias) VALUES ((SELECT id FROM stock WHERE ticker = 'PAMG'), 'Bima Sakti Pertiwi Tbk') ON CONFLICT DO NOTHING;</v>
      </c>
    </row>
    <row r="2709" spans="1:6" x14ac:dyDescent="0.2">
      <c r="A2709" t="s">
        <v>1697</v>
      </c>
      <c r="B2709" t="s">
        <v>1698</v>
      </c>
      <c r="C2709" t="s">
        <v>6908</v>
      </c>
      <c r="D2709" t="str">
        <f>TRIM(alias[[#This Row],[Column3]])</f>
        <v>PT Bima Sakti Pertiwi</v>
      </c>
      <c r="F2709" t="str">
        <f t="shared" si="42"/>
        <v>INSERT INTO stock_alias (stock, alias) VALUES ((SELECT id FROM stock WHERE ticker = 'PAMG'), 'PT Bima Sakti Pertiwi') ON CONFLICT DO NOTHING;</v>
      </c>
    </row>
    <row r="2710" spans="1:6" x14ac:dyDescent="0.2">
      <c r="A2710" t="s">
        <v>1580</v>
      </c>
      <c r="B2710" t="s">
        <v>1581</v>
      </c>
      <c r="C2710" t="s">
        <v>1580</v>
      </c>
      <c r="D2710" t="str">
        <f>TRIM(alias[[#This Row],[Column3]])</f>
        <v>PANI</v>
      </c>
      <c r="F2710" t="str">
        <f t="shared" si="42"/>
        <v>INSERT INTO stock_alias (stock, alias) VALUES ((SELECT id FROM stock WHERE ticker = 'PANI'), 'PANI') ON CONFLICT DO NOTHING;</v>
      </c>
    </row>
    <row r="2711" spans="1:6" x14ac:dyDescent="0.2">
      <c r="A2711" t="s">
        <v>1580</v>
      </c>
      <c r="B2711" t="s">
        <v>1581</v>
      </c>
      <c r="C2711" t="s">
        <v>6909</v>
      </c>
      <c r="D2711" t="str">
        <f>TRIM(alias[[#This Row],[Column3]])</f>
        <v>PT Pantai Indah Kapuk Dua</v>
      </c>
      <c r="F2711" t="str">
        <f t="shared" si="42"/>
        <v>INSERT INTO stock_alias (stock, alias) VALUES ((SELECT id FROM stock WHERE ticker = 'PANI'), 'PT Pantai Indah Kapuk Dua') ON CONFLICT DO NOTHING;</v>
      </c>
    </row>
    <row r="2712" spans="1:6" x14ac:dyDescent="0.2">
      <c r="A2712" t="s">
        <v>1580</v>
      </c>
      <c r="B2712" t="s">
        <v>1581</v>
      </c>
      <c r="C2712" t="s">
        <v>6910</v>
      </c>
      <c r="D2712" t="str">
        <f>TRIM(alias[[#This Row],[Column3]])</f>
        <v>Pantai Indah Kapuk Dua</v>
      </c>
      <c r="F2712" t="str">
        <f t="shared" si="42"/>
        <v>INSERT INTO stock_alias (stock, alias) VALUES ((SELECT id FROM stock WHERE ticker = 'PANI'), 'Pantai Indah Kapuk Dua') ON CONFLICT DO NOTHING;</v>
      </c>
    </row>
    <row r="2713" spans="1:6" x14ac:dyDescent="0.2">
      <c r="A2713" t="s">
        <v>1580</v>
      </c>
      <c r="B2713" t="s">
        <v>1581</v>
      </c>
      <c r="C2713" t="s">
        <v>6911</v>
      </c>
      <c r="D2713" t="str">
        <f>TRIM(alias[[#This Row],[Column3]])</f>
        <v>Pantai Indah Kapuk Dua Tbk</v>
      </c>
      <c r="F2713" t="str">
        <f t="shared" si="42"/>
        <v>INSERT INTO stock_alias (stock, alias) VALUES ((SELECT id FROM stock WHERE ticker = 'PANI'), 'Pantai Indah Kapuk Dua Tbk') ON CONFLICT DO NOTHING;</v>
      </c>
    </row>
    <row r="2714" spans="1:6" x14ac:dyDescent="0.2">
      <c r="A2714" t="s">
        <v>950</v>
      </c>
      <c r="B2714" t="s">
        <v>951</v>
      </c>
      <c r="C2714" t="s">
        <v>950</v>
      </c>
      <c r="D2714" t="str">
        <f>TRIM(alias[[#This Row],[Column3]])</f>
        <v>PANR</v>
      </c>
      <c r="F2714" t="str">
        <f t="shared" si="42"/>
        <v>INSERT INTO stock_alias (stock, alias) VALUES ((SELECT id FROM stock WHERE ticker = 'PANR'), 'PANR') ON CONFLICT DO NOTHING;</v>
      </c>
    </row>
    <row r="2715" spans="1:6" x14ac:dyDescent="0.2">
      <c r="A2715" t="s">
        <v>950</v>
      </c>
      <c r="B2715" t="s">
        <v>951</v>
      </c>
      <c r="C2715" t="s">
        <v>6912</v>
      </c>
      <c r="D2715" t="str">
        <f>TRIM(alias[[#This Row],[Column3]])</f>
        <v>PT Panorama Sentrawisata</v>
      </c>
      <c r="F2715" t="str">
        <f t="shared" si="42"/>
        <v>INSERT INTO stock_alias (stock, alias) VALUES ((SELECT id FROM stock WHERE ticker = 'PANR'), 'PT Panorama Sentrawisata') ON CONFLICT DO NOTHING;</v>
      </c>
    </row>
    <row r="2716" spans="1:6" x14ac:dyDescent="0.2">
      <c r="A2716" t="s">
        <v>950</v>
      </c>
      <c r="B2716" t="s">
        <v>951</v>
      </c>
      <c r="C2716" t="s">
        <v>6913</v>
      </c>
      <c r="D2716" t="str">
        <f>TRIM(alias[[#This Row],[Column3]])</f>
        <v>Panorama Sentrawisata</v>
      </c>
      <c r="F2716" t="str">
        <f t="shared" si="42"/>
        <v>INSERT INTO stock_alias (stock, alias) VALUES ((SELECT id FROM stock WHERE ticker = 'PANR'), 'Panorama Sentrawisata') ON CONFLICT DO NOTHING;</v>
      </c>
    </row>
    <row r="2717" spans="1:6" x14ac:dyDescent="0.2">
      <c r="A2717" t="s">
        <v>950</v>
      </c>
      <c r="B2717" t="s">
        <v>951</v>
      </c>
      <c r="C2717" t="s">
        <v>6914</v>
      </c>
      <c r="D2717" t="str">
        <f>TRIM(alias[[#This Row],[Column3]])</f>
        <v>Panorama Sentrawisata Tbk</v>
      </c>
      <c r="F2717" t="str">
        <f t="shared" si="42"/>
        <v>INSERT INTO stock_alias (stock, alias) VALUES ((SELECT id FROM stock WHERE ticker = 'PANR'), 'Panorama Sentrawisata Tbk') ON CONFLICT DO NOTHING;</v>
      </c>
    </row>
    <row r="2718" spans="1:6" x14ac:dyDescent="0.2">
      <c r="A2718" t="s">
        <v>953</v>
      </c>
      <c r="B2718" t="s">
        <v>954</v>
      </c>
      <c r="C2718" t="s">
        <v>953</v>
      </c>
      <c r="D2718" t="str">
        <f>TRIM(alias[[#This Row],[Column3]])</f>
        <v>PANS</v>
      </c>
      <c r="F2718" t="str">
        <f t="shared" si="42"/>
        <v>INSERT INTO stock_alias (stock, alias) VALUES ((SELECT id FROM stock WHERE ticker = 'PANS'), 'PANS') ON CONFLICT DO NOTHING;</v>
      </c>
    </row>
    <row r="2719" spans="1:6" x14ac:dyDescent="0.2">
      <c r="A2719" t="s">
        <v>953</v>
      </c>
      <c r="B2719" t="s">
        <v>954</v>
      </c>
      <c r="C2719" t="s">
        <v>6915</v>
      </c>
      <c r="D2719" t="str">
        <f>TRIM(alias[[#This Row],[Column3]])</f>
        <v>PT Panin Sekuritas</v>
      </c>
      <c r="F2719" t="str">
        <f t="shared" si="42"/>
        <v>INSERT INTO stock_alias (stock, alias) VALUES ((SELECT id FROM stock WHERE ticker = 'PANS'), 'PT Panin Sekuritas') ON CONFLICT DO NOTHING;</v>
      </c>
    </row>
    <row r="2720" spans="1:6" x14ac:dyDescent="0.2">
      <c r="A2720" t="s">
        <v>953</v>
      </c>
      <c r="B2720" t="s">
        <v>954</v>
      </c>
      <c r="C2720" t="s">
        <v>6916</v>
      </c>
      <c r="D2720" t="str">
        <f>TRIM(alias[[#This Row],[Column3]])</f>
        <v>Panin Sekuritas</v>
      </c>
      <c r="F2720" t="str">
        <f t="shared" si="42"/>
        <v>INSERT INTO stock_alias (stock, alias) VALUES ((SELECT id FROM stock WHERE ticker = 'PANS'), 'Panin Sekuritas') ON CONFLICT DO NOTHING;</v>
      </c>
    </row>
    <row r="2721" spans="1:6" x14ac:dyDescent="0.2">
      <c r="A2721" t="s">
        <v>953</v>
      </c>
      <c r="B2721" t="s">
        <v>954</v>
      </c>
      <c r="C2721" t="s">
        <v>6917</v>
      </c>
      <c r="D2721" t="str">
        <f>TRIM(alias[[#This Row],[Column3]])</f>
        <v>Panin Sekuritas Tbk</v>
      </c>
      <c r="F2721" t="str">
        <f t="shared" si="42"/>
        <v>INSERT INTO stock_alias (stock, alias) VALUES ((SELECT id FROM stock WHERE ticker = 'PANS'), 'Panin Sekuritas Tbk') ON CONFLICT DO NOTHING;</v>
      </c>
    </row>
    <row r="2722" spans="1:6" x14ac:dyDescent="0.2">
      <c r="A2722" t="s">
        <v>2468</v>
      </c>
      <c r="B2722" t="s">
        <v>2469</v>
      </c>
      <c r="C2722" t="s">
        <v>2468</v>
      </c>
      <c r="D2722" t="str">
        <f>TRIM(alias[[#This Row],[Column3]])</f>
        <v>PART</v>
      </c>
      <c r="F2722" t="str">
        <f t="shared" si="42"/>
        <v>INSERT INTO stock_alias (stock, alias) VALUES ((SELECT id FROM stock WHERE ticker = 'PART'), 'PART') ON CONFLICT DO NOTHING;</v>
      </c>
    </row>
    <row r="2723" spans="1:6" x14ac:dyDescent="0.2">
      <c r="A2723" t="s">
        <v>2468</v>
      </c>
      <c r="B2723" t="s">
        <v>2469</v>
      </c>
      <c r="C2723" t="s">
        <v>6918</v>
      </c>
      <c r="D2723" t="str">
        <f>TRIM(alias[[#This Row],[Column3]])</f>
        <v>Cipta Perdana Lancar</v>
      </c>
      <c r="F2723" t="str">
        <f t="shared" si="42"/>
        <v>INSERT INTO stock_alias (stock, alias) VALUES ((SELECT id FROM stock WHERE ticker = 'PART'), 'Cipta Perdana Lancar') ON CONFLICT DO NOTHING;</v>
      </c>
    </row>
    <row r="2724" spans="1:6" x14ac:dyDescent="0.2">
      <c r="A2724" t="s">
        <v>2468</v>
      </c>
      <c r="B2724" t="s">
        <v>2469</v>
      </c>
      <c r="C2724" t="s">
        <v>6919</v>
      </c>
      <c r="D2724" t="str">
        <f>TRIM(alias[[#This Row],[Column3]])</f>
        <v>Cipta Perdana Lancar Tbk</v>
      </c>
      <c r="F2724" t="str">
        <f t="shared" si="42"/>
        <v>INSERT INTO stock_alias (stock, alias) VALUES ((SELECT id FROM stock WHERE ticker = 'PART'), 'Cipta Perdana Lancar Tbk') ON CONFLICT DO NOTHING;</v>
      </c>
    </row>
    <row r="2725" spans="1:6" x14ac:dyDescent="0.2">
      <c r="A2725" t="s">
        <v>2468</v>
      </c>
      <c r="B2725" t="s">
        <v>2469</v>
      </c>
      <c r="C2725" t="s">
        <v>6920</v>
      </c>
      <c r="D2725" t="str">
        <f>TRIM(alias[[#This Row],[Column3]])</f>
        <v>PT Cipta Perdana Lancar</v>
      </c>
      <c r="F2725" t="str">
        <f t="shared" si="42"/>
        <v>INSERT INTO stock_alias (stock, alias) VALUES ((SELECT id FROM stock WHERE ticker = 'PART'), 'PT Cipta Perdana Lancar') ON CONFLICT DO NOTHING;</v>
      </c>
    </row>
    <row r="2726" spans="1:6" x14ac:dyDescent="0.2">
      <c r="A2726" t="s">
        <v>1479</v>
      </c>
      <c r="B2726" t="s">
        <v>1480</v>
      </c>
      <c r="C2726" t="s">
        <v>1479</v>
      </c>
      <c r="D2726" t="str">
        <f>TRIM(alias[[#This Row],[Column3]])</f>
        <v>PBID</v>
      </c>
      <c r="F2726" t="str">
        <f t="shared" si="42"/>
        <v>INSERT INTO stock_alias (stock, alias) VALUES ((SELECT id FROM stock WHERE ticker = 'PBID'), 'PBID') ON CONFLICT DO NOTHING;</v>
      </c>
    </row>
    <row r="2727" spans="1:6" x14ac:dyDescent="0.2">
      <c r="A2727" t="s">
        <v>1479</v>
      </c>
      <c r="B2727" t="s">
        <v>1480</v>
      </c>
      <c r="C2727" t="s">
        <v>6921</v>
      </c>
      <c r="D2727" t="str">
        <f>TRIM(alias[[#This Row],[Column3]])</f>
        <v>PT Panca Budi Idaman</v>
      </c>
      <c r="F2727" t="str">
        <f t="shared" si="42"/>
        <v>INSERT INTO stock_alias (stock, alias) VALUES ((SELECT id FROM stock WHERE ticker = 'PBID'), 'PT Panca Budi Idaman') ON CONFLICT DO NOTHING;</v>
      </c>
    </row>
    <row r="2728" spans="1:6" x14ac:dyDescent="0.2">
      <c r="A2728" t="s">
        <v>1479</v>
      </c>
      <c r="B2728" t="s">
        <v>1480</v>
      </c>
      <c r="C2728" t="s">
        <v>6922</v>
      </c>
      <c r="D2728" t="str">
        <f>TRIM(alias[[#This Row],[Column3]])</f>
        <v>Panca Budi Idaman</v>
      </c>
      <c r="F2728" t="str">
        <f t="shared" si="42"/>
        <v>INSERT INTO stock_alias (stock, alias) VALUES ((SELECT id FROM stock WHERE ticker = 'PBID'), 'Panca Budi Idaman') ON CONFLICT DO NOTHING;</v>
      </c>
    </row>
    <row r="2729" spans="1:6" x14ac:dyDescent="0.2">
      <c r="A2729" t="s">
        <v>1479</v>
      </c>
      <c r="B2729" t="s">
        <v>1480</v>
      </c>
      <c r="C2729" t="s">
        <v>6923</v>
      </c>
      <c r="D2729" t="str">
        <f>TRIM(alias[[#This Row],[Column3]])</f>
        <v>Panca Budi Idaman Tbk</v>
      </c>
      <c r="F2729" t="str">
        <f t="shared" si="42"/>
        <v>INSERT INTO stock_alias (stock, alias) VALUES ((SELECT id FROM stock WHERE ticker = 'PBID'), 'Panca Budi Idaman Tbk') ON CONFLICT DO NOTHING;</v>
      </c>
    </row>
    <row r="2730" spans="1:6" x14ac:dyDescent="0.2">
      <c r="A2730" t="s">
        <v>955</v>
      </c>
      <c r="B2730" t="s">
        <v>956</v>
      </c>
      <c r="C2730" t="s">
        <v>955</v>
      </c>
      <c r="D2730" t="str">
        <f>TRIM(alias[[#This Row],[Column3]])</f>
        <v>PBRX</v>
      </c>
      <c r="F2730" t="str">
        <f t="shared" si="42"/>
        <v>INSERT INTO stock_alias (stock, alias) VALUES ((SELECT id FROM stock WHERE ticker = 'PBRX'), 'PBRX') ON CONFLICT DO NOTHING;</v>
      </c>
    </row>
    <row r="2731" spans="1:6" x14ac:dyDescent="0.2">
      <c r="A2731" t="s">
        <v>955</v>
      </c>
      <c r="B2731" t="s">
        <v>956</v>
      </c>
      <c r="C2731" t="s">
        <v>6924</v>
      </c>
      <c r="D2731" t="str">
        <f>TRIM(alias[[#This Row],[Column3]])</f>
        <v>PT Pan Brothers</v>
      </c>
      <c r="F2731" t="str">
        <f t="shared" si="42"/>
        <v>INSERT INTO stock_alias (stock, alias) VALUES ((SELECT id FROM stock WHERE ticker = 'PBRX'), 'PT Pan Brothers') ON CONFLICT DO NOTHING;</v>
      </c>
    </row>
    <row r="2732" spans="1:6" x14ac:dyDescent="0.2">
      <c r="A2732" t="s">
        <v>955</v>
      </c>
      <c r="B2732" t="s">
        <v>956</v>
      </c>
      <c r="C2732" t="s">
        <v>6925</v>
      </c>
      <c r="D2732" t="str">
        <f>TRIM(alias[[#This Row],[Column3]])</f>
        <v>Pan Brothers</v>
      </c>
      <c r="F2732" t="str">
        <f t="shared" si="42"/>
        <v>INSERT INTO stock_alias (stock, alias) VALUES ((SELECT id FROM stock WHERE ticker = 'PBRX'), 'Pan Brothers') ON CONFLICT DO NOTHING;</v>
      </c>
    </row>
    <row r="2733" spans="1:6" x14ac:dyDescent="0.2">
      <c r="A2733" t="s">
        <v>955</v>
      </c>
      <c r="B2733" t="s">
        <v>956</v>
      </c>
      <c r="C2733" t="s">
        <v>6926</v>
      </c>
      <c r="D2733" t="str">
        <f>TRIM(alias[[#This Row],[Column3]])</f>
        <v>Pan Brothers Tbk</v>
      </c>
      <c r="F2733" t="str">
        <f t="shared" si="42"/>
        <v>INSERT INTO stock_alias (stock, alias) VALUES ((SELECT id FROM stock WHERE ticker = 'PBRX'), 'Pan Brothers Tbk') ON CONFLICT DO NOTHING;</v>
      </c>
    </row>
    <row r="2734" spans="1:6" x14ac:dyDescent="0.2">
      <c r="A2734" t="s">
        <v>1381</v>
      </c>
      <c r="B2734" t="s">
        <v>1382</v>
      </c>
      <c r="C2734" t="s">
        <v>1381</v>
      </c>
      <c r="D2734" t="str">
        <f>TRIM(alias[[#This Row],[Column3]])</f>
        <v>PBSA</v>
      </c>
      <c r="F2734" t="str">
        <f t="shared" si="42"/>
        <v>INSERT INTO stock_alias (stock, alias) VALUES ((SELECT id FROM stock WHERE ticker = 'PBSA'), 'PBSA') ON CONFLICT DO NOTHING;</v>
      </c>
    </row>
    <row r="2735" spans="1:6" x14ac:dyDescent="0.2">
      <c r="A2735" t="s">
        <v>1381</v>
      </c>
      <c r="B2735" t="s">
        <v>1382</v>
      </c>
      <c r="C2735" t="s">
        <v>6927</v>
      </c>
      <c r="D2735" t="str">
        <f>TRIM(alias[[#This Row],[Column3]])</f>
        <v>PT Paramita Bangun Sarana</v>
      </c>
      <c r="F2735" t="str">
        <f t="shared" si="42"/>
        <v>INSERT INTO stock_alias (stock, alias) VALUES ((SELECT id FROM stock WHERE ticker = 'PBSA'), 'PT Paramita Bangun Sarana') ON CONFLICT DO NOTHING;</v>
      </c>
    </row>
    <row r="2736" spans="1:6" x14ac:dyDescent="0.2">
      <c r="A2736" t="s">
        <v>1381</v>
      </c>
      <c r="B2736" t="s">
        <v>1382</v>
      </c>
      <c r="C2736" t="s">
        <v>6928</v>
      </c>
      <c r="D2736" t="str">
        <f>TRIM(alias[[#This Row],[Column3]])</f>
        <v>Paramita Bangun Sarana</v>
      </c>
      <c r="F2736" t="str">
        <f t="shared" si="42"/>
        <v>INSERT INTO stock_alias (stock, alias) VALUES ((SELECT id FROM stock WHERE ticker = 'PBSA'), 'Paramita Bangun Sarana') ON CONFLICT DO NOTHING;</v>
      </c>
    </row>
    <row r="2737" spans="1:6" x14ac:dyDescent="0.2">
      <c r="A2737" t="s">
        <v>1381</v>
      </c>
      <c r="B2737" t="s">
        <v>1382</v>
      </c>
      <c r="C2737" t="s">
        <v>6929</v>
      </c>
      <c r="D2737" t="str">
        <f>TRIM(alias[[#This Row],[Column3]])</f>
        <v>Paramita Bangun Sarana Tbk</v>
      </c>
      <c r="F2737" t="str">
        <f t="shared" si="42"/>
        <v>INSERT INTO stock_alias (stock, alias) VALUES ((SELECT id FROM stock WHERE ticker = 'PBSA'), 'Paramita Bangun Sarana Tbk') ON CONFLICT DO NOTHING;</v>
      </c>
    </row>
    <row r="2738" spans="1:6" x14ac:dyDescent="0.2">
      <c r="A2738" t="s">
        <v>1489</v>
      </c>
      <c r="B2738" t="s">
        <v>1490</v>
      </c>
      <c r="C2738" t="s">
        <v>1489</v>
      </c>
      <c r="D2738" t="str">
        <f>TRIM(alias[[#This Row],[Column3]])</f>
        <v>PCAR</v>
      </c>
      <c r="F2738" t="str">
        <f t="shared" si="42"/>
        <v>INSERT INTO stock_alias (stock, alias) VALUES ((SELECT id FROM stock WHERE ticker = 'PCAR'), 'PCAR') ON CONFLICT DO NOTHING;</v>
      </c>
    </row>
    <row r="2739" spans="1:6" x14ac:dyDescent="0.2">
      <c r="A2739" t="s">
        <v>1489</v>
      </c>
      <c r="B2739" t="s">
        <v>1490</v>
      </c>
      <c r="C2739" t="s">
        <v>6930</v>
      </c>
      <c r="D2739" t="str">
        <f>TRIM(alias[[#This Row],[Column3]])</f>
        <v>PT Prima Cakrawala Abadi</v>
      </c>
      <c r="F2739" t="str">
        <f t="shared" si="42"/>
        <v>INSERT INTO stock_alias (stock, alias) VALUES ((SELECT id FROM stock WHERE ticker = 'PCAR'), 'PT Prima Cakrawala Abadi') ON CONFLICT DO NOTHING;</v>
      </c>
    </row>
    <row r="2740" spans="1:6" x14ac:dyDescent="0.2">
      <c r="A2740" t="s">
        <v>1489</v>
      </c>
      <c r="B2740" t="s">
        <v>1490</v>
      </c>
      <c r="C2740" t="s">
        <v>6931</v>
      </c>
      <c r="D2740" t="str">
        <f>TRIM(alias[[#This Row],[Column3]])</f>
        <v>Prima Cakrawala Abadi</v>
      </c>
      <c r="F2740" t="str">
        <f t="shared" si="42"/>
        <v>INSERT INTO stock_alias (stock, alias) VALUES ((SELECT id FROM stock WHERE ticker = 'PCAR'), 'Prima Cakrawala Abadi') ON CONFLICT DO NOTHING;</v>
      </c>
    </row>
    <row r="2741" spans="1:6" x14ac:dyDescent="0.2">
      <c r="A2741" t="s">
        <v>1489</v>
      </c>
      <c r="B2741" t="s">
        <v>1490</v>
      </c>
      <c r="C2741" t="s">
        <v>6932</v>
      </c>
      <c r="D2741" t="str">
        <f>TRIM(alias[[#This Row],[Column3]])</f>
        <v>Prima Cakrawala Abadi Tbk</v>
      </c>
      <c r="F2741" t="str">
        <f t="shared" si="42"/>
        <v>INSERT INTO stock_alias (stock, alias) VALUES ((SELECT id FROM stock WHERE ticker = 'PCAR'), 'Prima Cakrawala Abadi Tbk') ON CONFLICT DO NOTHING;</v>
      </c>
    </row>
    <row r="2742" spans="1:6" x14ac:dyDescent="0.2">
      <c r="A2742" t="s">
        <v>958</v>
      </c>
      <c r="B2742" t="s">
        <v>3640</v>
      </c>
      <c r="C2742" t="s">
        <v>958</v>
      </c>
      <c r="D2742" t="str">
        <f>TRIM(alias[[#This Row],[Column3]])</f>
        <v>PDES</v>
      </c>
      <c r="F2742" t="str">
        <f t="shared" si="42"/>
        <v>INSERT INTO stock_alias (stock, alias) VALUES ((SELECT id FROM stock WHERE ticker = 'PDES'), 'PDES') ON CONFLICT DO NOTHING;</v>
      </c>
    </row>
    <row r="2743" spans="1:6" x14ac:dyDescent="0.2">
      <c r="A2743" t="s">
        <v>958</v>
      </c>
      <c r="B2743" t="s">
        <v>3640</v>
      </c>
      <c r="C2743" t="s">
        <v>6933</v>
      </c>
      <c r="D2743" t="str">
        <f>TRIM(alias[[#This Row],[Column3]])</f>
        <v>Destinasi Tirta Nusantara</v>
      </c>
      <c r="F2743" t="str">
        <f t="shared" si="42"/>
        <v>INSERT INTO stock_alias (stock, alias) VALUES ((SELECT id FROM stock WHERE ticker = 'PDES'), 'Destinasi Tirta Nusantara') ON CONFLICT DO NOTHING;</v>
      </c>
    </row>
    <row r="2744" spans="1:6" x14ac:dyDescent="0.2">
      <c r="A2744" t="s">
        <v>958</v>
      </c>
      <c r="B2744" t="s">
        <v>3640</v>
      </c>
      <c r="C2744" t="s">
        <v>6934</v>
      </c>
      <c r="D2744" t="str">
        <f>TRIM(alias[[#This Row],[Column3]])</f>
        <v>Destinasi Tirta Nusantara Tbk</v>
      </c>
      <c r="F2744" t="str">
        <f t="shared" si="42"/>
        <v>INSERT INTO stock_alias (stock, alias) VALUES ((SELECT id FROM stock WHERE ticker = 'PDES'), 'Destinasi Tirta Nusantara Tbk') ON CONFLICT DO NOTHING;</v>
      </c>
    </row>
    <row r="2745" spans="1:6" x14ac:dyDescent="0.2">
      <c r="A2745" t="s">
        <v>958</v>
      </c>
      <c r="B2745" t="s">
        <v>3640</v>
      </c>
      <c r="C2745" t="s">
        <v>6935</v>
      </c>
      <c r="D2745" t="str">
        <f>TRIM(alias[[#This Row],[Column3]])</f>
        <v>PT Destinasi Tirta Nusantara</v>
      </c>
      <c r="F2745" t="str">
        <f t="shared" si="42"/>
        <v>INSERT INTO stock_alias (stock, alias) VALUES ((SELECT id FROM stock WHERE ticker = 'PDES'), 'PT Destinasi Tirta Nusantara') ON CONFLICT DO NOTHING;</v>
      </c>
    </row>
    <row r="2746" spans="1:6" x14ac:dyDescent="0.2">
      <c r="A2746" t="s">
        <v>2193</v>
      </c>
      <c r="B2746" t="s">
        <v>2194</v>
      </c>
      <c r="C2746" t="s">
        <v>2193</v>
      </c>
      <c r="D2746" t="str">
        <f>TRIM(alias[[#This Row],[Column3]])</f>
        <v>PDPP</v>
      </c>
      <c r="F2746" t="str">
        <f t="shared" si="42"/>
        <v>INSERT INTO stock_alias (stock, alias) VALUES ((SELECT id FROM stock WHERE ticker = 'PDPP'), 'PDPP') ON CONFLICT DO NOTHING;</v>
      </c>
    </row>
    <row r="2747" spans="1:6" x14ac:dyDescent="0.2">
      <c r="A2747" t="s">
        <v>2193</v>
      </c>
      <c r="B2747" t="s">
        <v>2194</v>
      </c>
      <c r="C2747" t="s">
        <v>6936</v>
      </c>
      <c r="D2747" t="str">
        <f>TRIM(alias[[#This Row],[Column3]])</f>
        <v>PT Primadaya Plastisindo</v>
      </c>
      <c r="F2747" t="str">
        <f t="shared" si="42"/>
        <v>INSERT INTO stock_alias (stock, alias) VALUES ((SELECT id FROM stock WHERE ticker = 'PDPP'), 'PT Primadaya Plastisindo') ON CONFLICT DO NOTHING;</v>
      </c>
    </row>
    <row r="2748" spans="1:6" x14ac:dyDescent="0.2">
      <c r="A2748" t="s">
        <v>2193</v>
      </c>
      <c r="B2748" t="s">
        <v>2194</v>
      </c>
      <c r="C2748" t="s">
        <v>6937</v>
      </c>
      <c r="D2748" t="str">
        <f>TRIM(alias[[#This Row],[Column3]])</f>
        <v>Primadaya Plastisindo</v>
      </c>
      <c r="F2748" t="str">
        <f t="shared" si="42"/>
        <v>INSERT INTO stock_alias (stock, alias) VALUES ((SELECT id FROM stock WHERE ticker = 'PDPP'), 'Primadaya Plastisindo') ON CONFLICT DO NOTHING;</v>
      </c>
    </row>
    <row r="2749" spans="1:6" x14ac:dyDescent="0.2">
      <c r="A2749" t="s">
        <v>2193</v>
      </c>
      <c r="B2749" t="s">
        <v>2194</v>
      </c>
      <c r="C2749" t="s">
        <v>6938</v>
      </c>
      <c r="D2749" t="str">
        <f>TRIM(alias[[#This Row],[Column3]])</f>
        <v>Primadaya Plastisindo Tbk</v>
      </c>
      <c r="F2749" t="str">
        <f t="shared" si="42"/>
        <v>INSERT INTO stock_alias (stock, alias) VALUES ((SELECT id FROM stock WHERE ticker = 'PDPP'), 'Primadaya Plastisindo Tbk') ON CONFLICT DO NOTHING;</v>
      </c>
    </row>
    <row r="2750" spans="1:6" x14ac:dyDescent="0.2">
      <c r="A2750" t="s">
        <v>961</v>
      </c>
      <c r="B2750" t="s">
        <v>962</v>
      </c>
      <c r="C2750" t="s">
        <v>961</v>
      </c>
      <c r="D2750" t="str">
        <f>TRIM(alias[[#This Row],[Column3]])</f>
        <v>PEGE</v>
      </c>
      <c r="F2750" t="str">
        <f t="shared" si="42"/>
        <v>INSERT INTO stock_alias (stock, alias) VALUES ((SELECT id FROM stock WHERE ticker = 'PEGE'), 'PEGE') ON CONFLICT DO NOTHING;</v>
      </c>
    </row>
    <row r="2751" spans="1:6" x14ac:dyDescent="0.2">
      <c r="A2751" t="s">
        <v>961</v>
      </c>
      <c r="B2751" t="s">
        <v>962</v>
      </c>
      <c r="C2751" t="s">
        <v>6939</v>
      </c>
      <c r="D2751" t="str">
        <f>TRIM(alias[[#This Row],[Column3]])</f>
        <v>PT Panca Global Kapital</v>
      </c>
      <c r="F2751" t="str">
        <f t="shared" si="42"/>
        <v>INSERT INTO stock_alias (stock, alias) VALUES ((SELECT id FROM stock WHERE ticker = 'PEGE'), 'PT Panca Global Kapital') ON CONFLICT DO NOTHING;</v>
      </c>
    </row>
    <row r="2752" spans="1:6" x14ac:dyDescent="0.2">
      <c r="A2752" t="s">
        <v>961</v>
      </c>
      <c r="B2752" t="s">
        <v>962</v>
      </c>
      <c r="C2752" t="s">
        <v>6940</v>
      </c>
      <c r="D2752" t="str">
        <f>TRIM(alias[[#This Row],[Column3]])</f>
        <v>Panca Global Kapital</v>
      </c>
      <c r="F2752" t="str">
        <f t="shared" si="42"/>
        <v>INSERT INTO stock_alias (stock, alias) VALUES ((SELECT id FROM stock WHERE ticker = 'PEGE'), 'Panca Global Kapital') ON CONFLICT DO NOTHING;</v>
      </c>
    </row>
    <row r="2753" spans="1:6" x14ac:dyDescent="0.2">
      <c r="A2753" t="s">
        <v>961</v>
      </c>
      <c r="B2753" t="s">
        <v>962</v>
      </c>
      <c r="C2753" t="s">
        <v>6941</v>
      </c>
      <c r="D2753" t="str">
        <f>TRIM(alias[[#This Row],[Column3]])</f>
        <v>Panca Global Kapital Tbk</v>
      </c>
      <c r="F2753" t="str">
        <f t="shared" si="42"/>
        <v>INSERT INTO stock_alias (stock, alias) VALUES ((SELECT id FROM stock WHERE ticker = 'PEGE'), 'Panca Global Kapital Tbk') ON CONFLICT DO NOTHING;</v>
      </c>
    </row>
    <row r="2754" spans="1:6" x14ac:dyDescent="0.2">
      <c r="A2754" t="s">
        <v>1639</v>
      </c>
      <c r="B2754" t="s">
        <v>1640</v>
      </c>
      <c r="C2754" t="s">
        <v>1639</v>
      </c>
      <c r="D2754" t="str">
        <f>TRIM(alias[[#This Row],[Column3]])</f>
        <v>PEHA</v>
      </c>
      <c r="F2754" t="str">
        <f t="shared" si="42"/>
        <v>INSERT INTO stock_alias (stock, alias) VALUES ((SELECT id FROM stock WHERE ticker = 'PEHA'), 'PEHA') ON CONFLICT DO NOTHING;</v>
      </c>
    </row>
    <row r="2755" spans="1:6" x14ac:dyDescent="0.2">
      <c r="A2755" t="s">
        <v>1639</v>
      </c>
      <c r="B2755" t="s">
        <v>1640</v>
      </c>
      <c r="C2755" t="s">
        <v>6942</v>
      </c>
      <c r="D2755" t="str">
        <f>TRIM(alias[[#This Row],[Column3]])</f>
        <v>PT Phapros Tbk</v>
      </c>
      <c r="F2755" t="str">
        <f t="shared" ref="F2755:F2818" si="43">_xlfn.CONCAT($F$1, _xlfn.CONCAT($G$1, A2755, "'), '", D2755, "') ON CONFLICT DO NOTHING;"))</f>
        <v>INSERT INTO stock_alias (stock, alias) VALUES ((SELECT id FROM stock WHERE ticker = 'PEHA'), 'PT Phapros Tbk') ON CONFLICT DO NOTHING;</v>
      </c>
    </row>
    <row r="2756" spans="1:6" x14ac:dyDescent="0.2">
      <c r="A2756" t="s">
        <v>2238</v>
      </c>
      <c r="B2756" t="s">
        <v>2239</v>
      </c>
      <c r="C2756" t="s">
        <v>2238</v>
      </c>
      <c r="D2756" t="str">
        <f>TRIM(alias[[#This Row],[Column3]])</f>
        <v>PEVE</v>
      </c>
      <c r="F2756" t="str">
        <f t="shared" si="43"/>
        <v>INSERT INTO stock_alias (stock, alias) VALUES ((SELECT id FROM stock WHERE ticker = 'PEVE'), 'PEVE') ON CONFLICT DO NOTHING;</v>
      </c>
    </row>
    <row r="2757" spans="1:6" x14ac:dyDescent="0.2">
      <c r="A2757" t="s">
        <v>2238</v>
      </c>
      <c r="B2757" t="s">
        <v>2239</v>
      </c>
      <c r="C2757" t="s">
        <v>6943</v>
      </c>
      <c r="D2757" t="str">
        <f>TRIM(alias[[#This Row],[Column3]])</f>
        <v>PT Penta Valent</v>
      </c>
      <c r="F2757" t="str">
        <f t="shared" si="43"/>
        <v>INSERT INTO stock_alias (stock, alias) VALUES ((SELECT id FROM stock WHERE ticker = 'PEVE'), 'PT Penta Valent') ON CONFLICT DO NOTHING;</v>
      </c>
    </row>
    <row r="2758" spans="1:6" x14ac:dyDescent="0.2">
      <c r="A2758" t="s">
        <v>2238</v>
      </c>
      <c r="B2758" t="s">
        <v>2239</v>
      </c>
      <c r="C2758" t="s">
        <v>6944</v>
      </c>
      <c r="D2758" t="str">
        <f>TRIM(alias[[#This Row],[Column3]])</f>
        <v>Penta Valent</v>
      </c>
      <c r="F2758" t="str">
        <f t="shared" si="43"/>
        <v>INSERT INTO stock_alias (stock, alias) VALUES ((SELECT id FROM stock WHERE ticker = 'PEVE'), 'Penta Valent') ON CONFLICT DO NOTHING;</v>
      </c>
    </row>
    <row r="2759" spans="1:6" x14ac:dyDescent="0.2">
      <c r="A2759" t="s">
        <v>2238</v>
      </c>
      <c r="B2759" t="s">
        <v>2239</v>
      </c>
      <c r="C2759" t="s">
        <v>6945</v>
      </c>
      <c r="D2759" t="str">
        <f>TRIM(alias[[#This Row],[Column3]])</f>
        <v>Penta Valent Tbk</v>
      </c>
      <c r="F2759" t="str">
        <f t="shared" si="43"/>
        <v>INSERT INTO stock_alias (stock, alias) VALUES ((SELECT id FROM stock WHERE ticker = 'PEVE'), 'Penta Valent Tbk') ON CONFLICT DO NOTHING;</v>
      </c>
    </row>
    <row r="2760" spans="1:6" x14ac:dyDescent="0.2">
      <c r="A2760" t="s">
        <v>964</v>
      </c>
      <c r="B2760" t="s">
        <v>3642</v>
      </c>
      <c r="C2760" t="s">
        <v>964</v>
      </c>
      <c r="D2760" t="str">
        <f>TRIM(alias[[#This Row],[Column3]])</f>
        <v>PGAS</v>
      </c>
      <c r="F2760" t="str">
        <f t="shared" si="43"/>
        <v>INSERT INTO stock_alias (stock, alias) VALUES ((SELECT id FROM stock WHERE ticker = 'PGAS'), 'PGAS') ON CONFLICT DO NOTHING;</v>
      </c>
    </row>
    <row r="2761" spans="1:6" x14ac:dyDescent="0.2">
      <c r="A2761" t="s">
        <v>964</v>
      </c>
      <c r="B2761" t="s">
        <v>3642</v>
      </c>
      <c r="C2761" t="s">
        <v>6946</v>
      </c>
      <c r="D2761" t="str">
        <f>TRIM(alias[[#This Row],[Column3]])</f>
        <v>PGN</v>
      </c>
      <c r="F2761" t="str">
        <f t="shared" si="43"/>
        <v>INSERT INTO stock_alias (stock, alias) VALUES ((SELECT id FROM stock WHERE ticker = 'PGAS'), 'PGN') ON CONFLICT DO NOTHING;</v>
      </c>
    </row>
    <row r="2762" spans="1:6" x14ac:dyDescent="0.2">
      <c r="A2762" t="s">
        <v>964</v>
      </c>
      <c r="B2762" t="s">
        <v>3642</v>
      </c>
      <c r="C2762" t="s">
        <v>6947</v>
      </c>
      <c r="D2762" t="str">
        <f>TRIM(alias[[#This Row],[Column3]])</f>
        <v>PT Perusahaan Gas Negara</v>
      </c>
      <c r="F2762" t="str">
        <f t="shared" si="43"/>
        <v>INSERT INTO stock_alias (stock, alias) VALUES ((SELECT id FROM stock WHERE ticker = 'PGAS'), 'PT Perusahaan Gas Negara') ON CONFLICT DO NOTHING;</v>
      </c>
    </row>
    <row r="2763" spans="1:6" x14ac:dyDescent="0.2">
      <c r="A2763" t="s">
        <v>964</v>
      </c>
      <c r="B2763" t="s">
        <v>3642</v>
      </c>
      <c r="C2763" t="s">
        <v>6948</v>
      </c>
      <c r="D2763" t="str">
        <f>TRIM(alias[[#This Row],[Column3]])</f>
        <v>Perusahaan Gas Negara</v>
      </c>
      <c r="F2763" t="str">
        <f t="shared" si="43"/>
        <v>INSERT INTO stock_alias (stock, alias) VALUES ((SELECT id FROM stock WHERE ticker = 'PGAS'), 'Perusahaan Gas Negara') ON CONFLICT DO NOTHING;</v>
      </c>
    </row>
    <row r="2764" spans="1:6" x14ac:dyDescent="0.2">
      <c r="A2764" t="s">
        <v>964</v>
      </c>
      <c r="B2764" t="s">
        <v>3642</v>
      </c>
      <c r="C2764" t="s">
        <v>6949</v>
      </c>
      <c r="D2764" t="str">
        <f>TRIM(alias[[#This Row],[Column3]])</f>
        <v>Perusahaan Gas Negara Tbk</v>
      </c>
      <c r="F2764" t="str">
        <f t="shared" si="43"/>
        <v>INSERT INTO stock_alias (stock, alias) VALUES ((SELECT id FROM stock WHERE ticker = 'PGAS'), 'Perusahaan Gas Negara Tbk') ON CONFLICT DO NOTHING;</v>
      </c>
    </row>
    <row r="2765" spans="1:6" x14ac:dyDescent="0.2">
      <c r="A2765" t="s">
        <v>2267</v>
      </c>
      <c r="B2765" t="s">
        <v>3641</v>
      </c>
      <c r="C2765" t="s">
        <v>2267</v>
      </c>
      <c r="D2765" t="str">
        <f>TRIM(alias[[#This Row],[Column3]])</f>
        <v>PGEO</v>
      </c>
      <c r="F2765" t="str">
        <f t="shared" si="43"/>
        <v>INSERT INTO stock_alias (stock, alias) VALUES ((SELECT id FROM stock WHERE ticker = 'PGEO'), 'PGEO') ON CONFLICT DO NOTHING;</v>
      </c>
    </row>
    <row r="2766" spans="1:6" x14ac:dyDescent="0.2">
      <c r="A2766" t="s">
        <v>2267</v>
      </c>
      <c r="B2766" t="s">
        <v>3641</v>
      </c>
      <c r="C2766" t="s">
        <v>6950</v>
      </c>
      <c r="D2766" t="str">
        <f>TRIM(alias[[#This Row],[Column3]])</f>
        <v>PT Pertamina Geothermal Energy</v>
      </c>
      <c r="F2766" t="str">
        <f t="shared" si="43"/>
        <v>INSERT INTO stock_alias (stock, alias) VALUES ((SELECT id FROM stock WHERE ticker = 'PGEO'), 'PT Pertamina Geothermal Energy') ON CONFLICT DO NOTHING;</v>
      </c>
    </row>
    <row r="2767" spans="1:6" x14ac:dyDescent="0.2">
      <c r="A2767" t="s">
        <v>2267</v>
      </c>
      <c r="B2767" t="s">
        <v>3641</v>
      </c>
      <c r="C2767" t="s">
        <v>6951</v>
      </c>
      <c r="D2767" t="str">
        <f>TRIM(alias[[#This Row],[Column3]])</f>
        <v>Pertamina Geothermal Energy</v>
      </c>
      <c r="F2767" t="str">
        <f t="shared" si="43"/>
        <v>INSERT INTO stock_alias (stock, alias) VALUES ((SELECT id FROM stock WHERE ticker = 'PGEO'), 'Pertamina Geothermal Energy') ON CONFLICT DO NOTHING;</v>
      </c>
    </row>
    <row r="2768" spans="1:6" x14ac:dyDescent="0.2">
      <c r="A2768" t="s">
        <v>2267</v>
      </c>
      <c r="B2768" t="s">
        <v>3641</v>
      </c>
      <c r="C2768" t="s">
        <v>6952</v>
      </c>
      <c r="D2768" t="str">
        <f>TRIM(alias[[#This Row],[Column3]])</f>
        <v>Pertamina Geothermal Energy Tbk</v>
      </c>
      <c r="F2768" t="str">
        <f t="shared" si="43"/>
        <v>INSERT INTO stock_alias (stock, alias) VALUES ((SELECT id FROM stock WHERE ticker = 'PGEO'), 'Pertamina Geothermal Energy Tbk') ON CONFLICT DO NOTHING;</v>
      </c>
    </row>
    <row r="2769" spans="1:6" x14ac:dyDescent="0.2">
      <c r="A2769" t="s">
        <v>1793</v>
      </c>
      <c r="B2769" t="s">
        <v>1794</v>
      </c>
      <c r="C2769" t="s">
        <v>1793</v>
      </c>
      <c r="D2769" t="str">
        <f>TRIM(alias[[#This Row],[Column3]])</f>
        <v>PGJO</v>
      </c>
      <c r="F2769" t="str">
        <f t="shared" si="43"/>
        <v>INSERT INTO stock_alias (stock, alias) VALUES ((SELECT id FROM stock WHERE ticker = 'PGJO'), 'PGJO') ON CONFLICT DO NOTHING;</v>
      </c>
    </row>
    <row r="2770" spans="1:6" x14ac:dyDescent="0.2">
      <c r="A2770" t="s">
        <v>1793</v>
      </c>
      <c r="B2770" t="s">
        <v>1794</v>
      </c>
      <c r="C2770" t="s">
        <v>6953</v>
      </c>
      <c r="D2770" t="str">
        <f>TRIM(alias[[#This Row],[Column3]])</f>
        <v>Bahtera Bumi Raya</v>
      </c>
      <c r="F2770" t="str">
        <f t="shared" si="43"/>
        <v>INSERT INTO stock_alias (stock, alias) VALUES ((SELECT id FROM stock WHERE ticker = 'PGJO'), 'Bahtera Bumi Raya') ON CONFLICT DO NOTHING;</v>
      </c>
    </row>
    <row r="2771" spans="1:6" x14ac:dyDescent="0.2">
      <c r="A2771" t="s">
        <v>1793</v>
      </c>
      <c r="B2771" t="s">
        <v>1794</v>
      </c>
      <c r="C2771" t="s">
        <v>6954</v>
      </c>
      <c r="D2771" t="str">
        <f>TRIM(alias[[#This Row],[Column3]])</f>
        <v>Bahtera Bumi Raya Tbk</v>
      </c>
      <c r="F2771" t="str">
        <f t="shared" si="43"/>
        <v>INSERT INTO stock_alias (stock, alias) VALUES ((SELECT id FROM stock WHERE ticker = 'PGJO'), 'Bahtera Bumi Raya Tbk') ON CONFLICT DO NOTHING;</v>
      </c>
    </row>
    <row r="2772" spans="1:6" x14ac:dyDescent="0.2">
      <c r="A2772" t="s">
        <v>1793</v>
      </c>
      <c r="B2772" t="s">
        <v>1794</v>
      </c>
      <c r="C2772" t="s">
        <v>6955</v>
      </c>
      <c r="D2772" t="str">
        <f>TRIM(alias[[#This Row],[Column3]])</f>
        <v>PT Bahtera Bumi Raya</v>
      </c>
      <c r="F2772" t="str">
        <f t="shared" si="43"/>
        <v>INSERT INTO stock_alias (stock, alias) VALUES ((SELECT id FROM stock WHERE ticker = 'PGJO'), 'PT Bahtera Bumi Raya') ON CONFLICT DO NOTHING;</v>
      </c>
    </row>
    <row r="2773" spans="1:6" x14ac:dyDescent="0.2">
      <c r="A2773" t="s">
        <v>966</v>
      </c>
      <c r="B2773" t="s">
        <v>3643</v>
      </c>
      <c r="C2773" t="s">
        <v>966</v>
      </c>
      <c r="D2773" t="str">
        <f>TRIM(alias[[#This Row],[Column3]])</f>
        <v>PGLI</v>
      </c>
      <c r="F2773" t="str">
        <f t="shared" si="43"/>
        <v>INSERT INTO stock_alias (stock, alias) VALUES ((SELECT id FROM stock WHERE ticker = 'PGLI'), 'PGLI') ON CONFLICT DO NOTHING;</v>
      </c>
    </row>
    <row r="2774" spans="1:6" x14ac:dyDescent="0.2">
      <c r="A2774" t="s">
        <v>966</v>
      </c>
      <c r="B2774" t="s">
        <v>3643</v>
      </c>
      <c r="C2774" t="s">
        <v>6956</v>
      </c>
      <c r="D2774" t="str">
        <f>TRIM(alias[[#This Row],[Column3]])</f>
        <v>PT Pembangunan Graha Lestari Indah</v>
      </c>
      <c r="F2774" t="str">
        <f t="shared" si="43"/>
        <v>INSERT INTO stock_alias (stock, alias) VALUES ((SELECT id FROM stock WHERE ticker = 'PGLI'), 'PT Pembangunan Graha Lestari Indah') ON CONFLICT DO NOTHING;</v>
      </c>
    </row>
    <row r="2775" spans="1:6" x14ac:dyDescent="0.2">
      <c r="A2775" t="s">
        <v>966</v>
      </c>
      <c r="B2775" t="s">
        <v>3643</v>
      </c>
      <c r="C2775" t="s">
        <v>6957</v>
      </c>
      <c r="D2775" t="str">
        <f>TRIM(alias[[#This Row],[Column3]])</f>
        <v>Pembangunan Graha Lestari Indah</v>
      </c>
      <c r="F2775" t="str">
        <f t="shared" si="43"/>
        <v>INSERT INTO stock_alias (stock, alias) VALUES ((SELECT id FROM stock WHERE ticker = 'PGLI'), 'Pembangunan Graha Lestari Indah') ON CONFLICT DO NOTHING;</v>
      </c>
    </row>
    <row r="2776" spans="1:6" x14ac:dyDescent="0.2">
      <c r="A2776" t="s">
        <v>966</v>
      </c>
      <c r="B2776" t="s">
        <v>3643</v>
      </c>
      <c r="C2776" t="s">
        <v>6958</v>
      </c>
      <c r="D2776" t="str">
        <f>TRIM(alias[[#This Row],[Column3]])</f>
        <v>Pembangunan Graha Lestari Indah Tbk</v>
      </c>
      <c r="F2776" t="str">
        <f t="shared" si="43"/>
        <v>INSERT INTO stock_alias (stock, alias) VALUES ((SELECT id FROM stock WHERE ticker = 'PGLI'), 'Pembangunan Graha Lestari Indah Tbk') ON CONFLICT DO NOTHING;</v>
      </c>
    </row>
    <row r="2777" spans="1:6" x14ac:dyDescent="0.2">
      <c r="A2777" t="s">
        <v>1856</v>
      </c>
      <c r="B2777" t="s">
        <v>1857</v>
      </c>
      <c r="C2777" t="s">
        <v>1856</v>
      </c>
      <c r="D2777" t="str">
        <f>TRIM(alias[[#This Row],[Column3]])</f>
        <v>PGUN</v>
      </c>
      <c r="F2777" t="str">
        <f t="shared" si="43"/>
        <v>INSERT INTO stock_alias (stock, alias) VALUES ((SELECT id FROM stock WHERE ticker = 'PGUN'), 'PGUN') ON CONFLICT DO NOTHING;</v>
      </c>
    </row>
    <row r="2778" spans="1:6" x14ac:dyDescent="0.2">
      <c r="A2778" t="s">
        <v>1856</v>
      </c>
      <c r="B2778" t="s">
        <v>1857</v>
      </c>
      <c r="C2778" t="s">
        <v>6959</v>
      </c>
      <c r="D2778" t="str">
        <f>TRIM(alias[[#This Row],[Column3]])</f>
        <v>PT Pradiksi Gunatama</v>
      </c>
      <c r="F2778" t="str">
        <f t="shared" si="43"/>
        <v>INSERT INTO stock_alias (stock, alias) VALUES ((SELECT id FROM stock WHERE ticker = 'PGUN'), 'PT Pradiksi Gunatama') ON CONFLICT DO NOTHING;</v>
      </c>
    </row>
    <row r="2779" spans="1:6" x14ac:dyDescent="0.2">
      <c r="A2779" t="s">
        <v>1856</v>
      </c>
      <c r="B2779" t="s">
        <v>1857</v>
      </c>
      <c r="C2779" t="s">
        <v>6960</v>
      </c>
      <c r="D2779" t="str">
        <f>TRIM(alias[[#This Row],[Column3]])</f>
        <v>Pradiksi Gunatama</v>
      </c>
      <c r="F2779" t="str">
        <f t="shared" si="43"/>
        <v>INSERT INTO stock_alias (stock, alias) VALUES ((SELECT id FROM stock WHERE ticker = 'PGUN'), 'Pradiksi Gunatama') ON CONFLICT DO NOTHING;</v>
      </c>
    </row>
    <row r="2780" spans="1:6" x14ac:dyDescent="0.2">
      <c r="A2780" t="s">
        <v>1856</v>
      </c>
      <c r="B2780" t="s">
        <v>1857</v>
      </c>
      <c r="C2780" t="s">
        <v>6961</v>
      </c>
      <c r="D2780" t="str">
        <f>TRIM(alias[[#This Row],[Column3]])</f>
        <v>Pradiksi Gunatama Tbk</v>
      </c>
      <c r="F2780" t="str">
        <f t="shared" si="43"/>
        <v>INSERT INTO stock_alias (stock, alias) VALUES ((SELECT id FROM stock WHERE ticker = 'PGUN'), 'Pradiksi Gunatama Tbk') ON CONFLICT DO NOTHING;</v>
      </c>
    </row>
    <row r="2781" spans="1:6" x14ac:dyDescent="0.2">
      <c r="A2781" t="s">
        <v>968</v>
      </c>
      <c r="B2781" t="s">
        <v>3644</v>
      </c>
      <c r="C2781" t="s">
        <v>968</v>
      </c>
      <c r="D2781" t="str">
        <f>TRIM(alias[[#This Row],[Column3]])</f>
        <v>PICO</v>
      </c>
      <c r="F2781" t="str">
        <f t="shared" si="43"/>
        <v>INSERT INTO stock_alias (stock, alias) VALUES ((SELECT id FROM stock WHERE ticker = 'PICO'), 'PICO') ON CONFLICT DO NOTHING;</v>
      </c>
    </row>
    <row r="2782" spans="1:6" x14ac:dyDescent="0.2">
      <c r="A2782" t="s">
        <v>968</v>
      </c>
      <c r="B2782" t="s">
        <v>3644</v>
      </c>
      <c r="C2782" t="s">
        <v>6962</v>
      </c>
      <c r="D2782" t="str">
        <f>TRIM(alias[[#This Row],[Column3]])</f>
        <v>PT Pelangi Indah Canindo</v>
      </c>
      <c r="F2782" t="str">
        <f t="shared" si="43"/>
        <v>INSERT INTO stock_alias (stock, alias) VALUES ((SELECT id FROM stock WHERE ticker = 'PICO'), 'PT Pelangi Indah Canindo') ON CONFLICT DO NOTHING;</v>
      </c>
    </row>
    <row r="2783" spans="1:6" x14ac:dyDescent="0.2">
      <c r="A2783" t="s">
        <v>968</v>
      </c>
      <c r="B2783" t="s">
        <v>3644</v>
      </c>
      <c r="C2783" t="s">
        <v>6963</v>
      </c>
      <c r="D2783" t="str">
        <f>TRIM(alias[[#This Row],[Column3]])</f>
        <v>Pelangi Indah Canindo</v>
      </c>
      <c r="F2783" t="str">
        <f t="shared" si="43"/>
        <v>INSERT INTO stock_alias (stock, alias) VALUES ((SELECT id FROM stock WHERE ticker = 'PICO'), 'Pelangi Indah Canindo') ON CONFLICT DO NOTHING;</v>
      </c>
    </row>
    <row r="2784" spans="1:6" x14ac:dyDescent="0.2">
      <c r="A2784" t="s">
        <v>968</v>
      </c>
      <c r="B2784" t="s">
        <v>3644</v>
      </c>
      <c r="C2784" t="s">
        <v>6964</v>
      </c>
      <c r="D2784" t="str">
        <f>TRIM(alias[[#This Row],[Column3]])</f>
        <v>Pelangi Indah Canindo Tbk</v>
      </c>
      <c r="F2784" t="str">
        <f t="shared" si="43"/>
        <v>INSERT INTO stock_alias (stock, alias) VALUES ((SELECT id FROM stock WHERE ticker = 'PICO'), 'Pelangi Indah Canindo Tbk') ON CONFLICT DO NOTHING;</v>
      </c>
    </row>
    <row r="2785" spans="1:6" x14ac:dyDescent="0.2">
      <c r="A2785" t="s">
        <v>2604</v>
      </c>
      <c r="B2785" t="s">
        <v>2605</v>
      </c>
      <c r="C2785" t="s">
        <v>2604</v>
      </c>
      <c r="D2785" t="str">
        <f>TRIM(alias[[#This Row],[Column3]])</f>
        <v>PIPA</v>
      </c>
      <c r="F2785" t="str">
        <f t="shared" si="43"/>
        <v>INSERT INTO stock_alias (stock, alias) VALUES ((SELECT id FROM stock WHERE ticker = 'PIPA'), 'PIPA') ON CONFLICT DO NOTHING;</v>
      </c>
    </row>
    <row r="2786" spans="1:6" x14ac:dyDescent="0.2">
      <c r="A2786" t="s">
        <v>2604</v>
      </c>
      <c r="B2786" t="s">
        <v>2605</v>
      </c>
      <c r="C2786" t="s">
        <v>6965</v>
      </c>
      <c r="D2786" t="str">
        <f>TRIM(alias[[#This Row],[Column3]])</f>
        <v>Multi Makmur Lemindo</v>
      </c>
      <c r="F2786" t="str">
        <f t="shared" si="43"/>
        <v>INSERT INTO stock_alias (stock, alias) VALUES ((SELECT id FROM stock WHERE ticker = 'PIPA'), 'Multi Makmur Lemindo') ON CONFLICT DO NOTHING;</v>
      </c>
    </row>
    <row r="2787" spans="1:6" x14ac:dyDescent="0.2">
      <c r="A2787" t="s">
        <v>2604</v>
      </c>
      <c r="B2787" t="s">
        <v>2605</v>
      </c>
      <c r="C2787" t="s">
        <v>6966</v>
      </c>
      <c r="D2787" t="str">
        <f>TRIM(alias[[#This Row],[Column3]])</f>
        <v>Multi Makmur Lemindo Tbk</v>
      </c>
      <c r="F2787" t="str">
        <f t="shared" si="43"/>
        <v>INSERT INTO stock_alias (stock, alias) VALUES ((SELECT id FROM stock WHERE ticker = 'PIPA'), 'Multi Makmur Lemindo Tbk') ON CONFLICT DO NOTHING;</v>
      </c>
    </row>
    <row r="2788" spans="1:6" x14ac:dyDescent="0.2">
      <c r="A2788" t="s">
        <v>2604</v>
      </c>
      <c r="B2788" t="s">
        <v>2605</v>
      </c>
      <c r="C2788" t="s">
        <v>6967</v>
      </c>
      <c r="D2788" t="str">
        <f>TRIM(alias[[#This Row],[Column3]])</f>
        <v>PT Multi Makmur Lemindo</v>
      </c>
      <c r="F2788" t="str">
        <f t="shared" si="43"/>
        <v>INSERT INTO stock_alias (stock, alias) VALUES ((SELECT id FROM stock WHERE ticker = 'PIPA'), 'PT Multi Makmur Lemindo') ON CONFLICT DO NOTHING;</v>
      </c>
    </row>
    <row r="2789" spans="1:6" x14ac:dyDescent="0.2">
      <c r="A2789" t="s">
        <v>971</v>
      </c>
      <c r="B2789" t="s">
        <v>972</v>
      </c>
      <c r="C2789" t="s">
        <v>971</v>
      </c>
      <c r="D2789" t="str">
        <f>TRIM(alias[[#This Row],[Column3]])</f>
        <v>PJAA</v>
      </c>
      <c r="F2789" t="str">
        <f t="shared" si="43"/>
        <v>INSERT INTO stock_alias (stock, alias) VALUES ((SELECT id FROM stock WHERE ticker = 'PJAA'), 'PJAA') ON CONFLICT DO NOTHING;</v>
      </c>
    </row>
    <row r="2790" spans="1:6" x14ac:dyDescent="0.2">
      <c r="A2790" t="s">
        <v>971</v>
      </c>
      <c r="B2790" t="s">
        <v>972</v>
      </c>
      <c r="C2790" t="s">
        <v>6968</v>
      </c>
      <c r="D2790" t="str">
        <f>TRIM(alias[[#This Row],[Column3]])</f>
        <v>PT Pembangunan Jaya Ancol</v>
      </c>
      <c r="F2790" t="str">
        <f t="shared" si="43"/>
        <v>INSERT INTO stock_alias (stock, alias) VALUES ((SELECT id FROM stock WHERE ticker = 'PJAA'), 'PT Pembangunan Jaya Ancol') ON CONFLICT DO NOTHING;</v>
      </c>
    </row>
    <row r="2791" spans="1:6" x14ac:dyDescent="0.2">
      <c r="A2791" t="s">
        <v>971</v>
      </c>
      <c r="B2791" t="s">
        <v>972</v>
      </c>
      <c r="C2791" t="s">
        <v>6969</v>
      </c>
      <c r="D2791" t="str">
        <f>TRIM(alias[[#This Row],[Column3]])</f>
        <v>Pembangunan Jaya Ancol</v>
      </c>
      <c r="F2791" t="str">
        <f t="shared" si="43"/>
        <v>INSERT INTO stock_alias (stock, alias) VALUES ((SELECT id FROM stock WHERE ticker = 'PJAA'), 'Pembangunan Jaya Ancol') ON CONFLICT DO NOTHING;</v>
      </c>
    </row>
    <row r="2792" spans="1:6" x14ac:dyDescent="0.2">
      <c r="A2792" t="s">
        <v>971</v>
      </c>
      <c r="B2792" t="s">
        <v>972</v>
      </c>
      <c r="C2792" t="s">
        <v>6970</v>
      </c>
      <c r="D2792" t="str">
        <f>TRIM(alias[[#This Row],[Column3]])</f>
        <v>Pembangunan Jaya Ancol Tbk</v>
      </c>
      <c r="F2792" t="str">
        <f t="shared" si="43"/>
        <v>INSERT INTO stock_alias (stock, alias) VALUES ((SELECT id FROM stock WHERE ticker = 'PJAA'), 'Pembangunan Jaya Ancol Tbk') ON CONFLICT DO NOTHING;</v>
      </c>
    </row>
    <row r="2793" spans="1:6" x14ac:dyDescent="0.2">
      <c r="A2793" t="s">
        <v>2561</v>
      </c>
      <c r="B2793" t="s">
        <v>2562</v>
      </c>
      <c r="C2793" t="s">
        <v>2561</v>
      </c>
      <c r="D2793" t="str">
        <f>TRIM(alias[[#This Row],[Column3]])</f>
        <v>PJHB</v>
      </c>
      <c r="F2793" t="str">
        <f t="shared" si="43"/>
        <v>INSERT INTO stock_alias (stock, alias) VALUES ((SELECT id FROM stock WHERE ticker = 'PJHB'), 'PJHB') ON CONFLICT DO NOTHING;</v>
      </c>
    </row>
    <row r="2794" spans="1:6" x14ac:dyDescent="0.2">
      <c r="A2794" t="s">
        <v>2561</v>
      </c>
      <c r="B2794" t="s">
        <v>2562</v>
      </c>
      <c r="C2794" t="s">
        <v>6971</v>
      </c>
      <c r="D2794" t="str">
        <f>TRIM(alias[[#This Row],[Column3]])</f>
        <v>PT Pelayaran Jaya Hidup Baru</v>
      </c>
      <c r="F2794" t="str">
        <f t="shared" si="43"/>
        <v>INSERT INTO stock_alias (stock, alias) VALUES ((SELECT id FROM stock WHERE ticker = 'PJHB'), 'PT Pelayaran Jaya Hidup Baru') ON CONFLICT DO NOTHING;</v>
      </c>
    </row>
    <row r="2795" spans="1:6" x14ac:dyDescent="0.2">
      <c r="A2795" t="s">
        <v>2561</v>
      </c>
      <c r="B2795" t="s">
        <v>2562</v>
      </c>
      <c r="C2795" t="s">
        <v>6972</v>
      </c>
      <c r="D2795" t="str">
        <f>TRIM(alias[[#This Row],[Column3]])</f>
        <v>Pelayaran Jaya Hidup Baru</v>
      </c>
      <c r="F2795" t="str">
        <f t="shared" si="43"/>
        <v>INSERT INTO stock_alias (stock, alias) VALUES ((SELECT id FROM stock WHERE ticker = 'PJHB'), 'Pelayaran Jaya Hidup Baru') ON CONFLICT DO NOTHING;</v>
      </c>
    </row>
    <row r="2796" spans="1:6" x14ac:dyDescent="0.2">
      <c r="A2796" t="s">
        <v>2561</v>
      </c>
      <c r="B2796" t="s">
        <v>2562</v>
      </c>
      <c r="C2796" t="s">
        <v>6973</v>
      </c>
      <c r="D2796" t="str">
        <f>TRIM(alias[[#This Row],[Column3]])</f>
        <v>Pelayaran Jaya Hidup Baru Tbk</v>
      </c>
      <c r="F2796" t="str">
        <f t="shared" si="43"/>
        <v>INSERT INTO stock_alias (stock, alias) VALUES ((SELECT id FROM stock WHERE ticker = 'PJHB'), 'Pelayaran Jaya Hidup Baru Tbk') ON CONFLICT DO NOTHING;</v>
      </c>
    </row>
    <row r="2797" spans="1:6" x14ac:dyDescent="0.2">
      <c r="A2797" t="s">
        <v>974</v>
      </c>
      <c r="B2797" t="s">
        <v>975</v>
      </c>
      <c r="C2797" t="s">
        <v>974</v>
      </c>
      <c r="D2797" t="str">
        <f>TRIM(alias[[#This Row],[Column3]])</f>
        <v>PKPK</v>
      </c>
      <c r="F2797" t="str">
        <f t="shared" si="43"/>
        <v>INSERT INTO stock_alias (stock, alias) VALUES ((SELECT id FROM stock WHERE ticker = 'PKPK'), 'PKPK') ON CONFLICT DO NOTHING;</v>
      </c>
    </row>
    <row r="2798" spans="1:6" x14ac:dyDescent="0.2">
      <c r="A2798" t="s">
        <v>974</v>
      </c>
      <c r="B2798" t="s">
        <v>975</v>
      </c>
      <c r="C2798" t="s">
        <v>6974</v>
      </c>
      <c r="D2798" t="str">
        <f>TRIM(alias[[#This Row],[Column3]])</f>
        <v>PT Paragon Karya Perkasa</v>
      </c>
      <c r="F2798" t="str">
        <f t="shared" si="43"/>
        <v>INSERT INTO stock_alias (stock, alias) VALUES ((SELECT id FROM stock WHERE ticker = 'PKPK'), 'PT Paragon Karya Perkasa') ON CONFLICT DO NOTHING;</v>
      </c>
    </row>
    <row r="2799" spans="1:6" x14ac:dyDescent="0.2">
      <c r="A2799" t="s">
        <v>974</v>
      </c>
      <c r="B2799" t="s">
        <v>975</v>
      </c>
      <c r="C2799" t="s">
        <v>6975</v>
      </c>
      <c r="D2799" t="str">
        <f>TRIM(alias[[#This Row],[Column3]])</f>
        <v>Paragon Karya Perkasa</v>
      </c>
      <c r="F2799" t="str">
        <f t="shared" si="43"/>
        <v>INSERT INTO stock_alias (stock, alias) VALUES ((SELECT id FROM stock WHERE ticker = 'PKPK'), 'Paragon Karya Perkasa') ON CONFLICT DO NOTHING;</v>
      </c>
    </row>
    <row r="2800" spans="1:6" x14ac:dyDescent="0.2">
      <c r="A2800" t="s">
        <v>974</v>
      </c>
      <c r="B2800" t="s">
        <v>975</v>
      </c>
      <c r="C2800" t="s">
        <v>6976</v>
      </c>
      <c r="D2800" t="str">
        <f>TRIM(alias[[#This Row],[Column3]])</f>
        <v>Paragon Karya Perkasa Tbk</v>
      </c>
      <c r="F2800" t="str">
        <f t="shared" si="43"/>
        <v>INSERT INTO stock_alias (stock, alias) VALUES ((SELECT id FROM stock WHERE ticker = 'PKPK'), 'Paragon Karya Perkasa Tbk') ON CONFLICT DO NOTHING;</v>
      </c>
    </row>
    <row r="2801" spans="1:6" x14ac:dyDescent="0.2">
      <c r="A2801" t="s">
        <v>1896</v>
      </c>
      <c r="B2801" t="s">
        <v>1897</v>
      </c>
      <c r="C2801" t="s">
        <v>1896</v>
      </c>
      <c r="D2801" t="str">
        <f>TRIM(alias[[#This Row],[Column3]])</f>
        <v>PLAN</v>
      </c>
      <c r="F2801" t="str">
        <f t="shared" si="43"/>
        <v>INSERT INTO stock_alias (stock, alias) VALUES ((SELECT id FROM stock WHERE ticker = 'PLAN'), 'PLAN') ON CONFLICT DO NOTHING;</v>
      </c>
    </row>
    <row r="2802" spans="1:6" x14ac:dyDescent="0.2">
      <c r="A2802" t="s">
        <v>1896</v>
      </c>
      <c r="B2802" t="s">
        <v>1897</v>
      </c>
      <c r="C2802" t="s">
        <v>6977</v>
      </c>
      <c r="D2802" t="str">
        <f>TRIM(alias[[#This Row],[Column3]])</f>
        <v>PT Planet Properindo Jaya</v>
      </c>
      <c r="F2802" t="str">
        <f t="shared" si="43"/>
        <v>INSERT INTO stock_alias (stock, alias) VALUES ((SELECT id FROM stock WHERE ticker = 'PLAN'), 'PT Planet Properindo Jaya') ON CONFLICT DO NOTHING;</v>
      </c>
    </row>
    <row r="2803" spans="1:6" x14ac:dyDescent="0.2">
      <c r="A2803" t="s">
        <v>1896</v>
      </c>
      <c r="B2803" t="s">
        <v>1897</v>
      </c>
      <c r="C2803" t="s">
        <v>6978</v>
      </c>
      <c r="D2803" t="str">
        <f>TRIM(alias[[#This Row],[Column3]])</f>
        <v>Planet Properindo Jaya</v>
      </c>
      <c r="F2803" t="str">
        <f t="shared" si="43"/>
        <v>INSERT INTO stock_alias (stock, alias) VALUES ((SELECT id FROM stock WHERE ticker = 'PLAN'), 'Planet Properindo Jaya') ON CONFLICT DO NOTHING;</v>
      </c>
    </row>
    <row r="2804" spans="1:6" x14ac:dyDescent="0.2">
      <c r="A2804" t="s">
        <v>1896</v>
      </c>
      <c r="B2804" t="s">
        <v>1897</v>
      </c>
      <c r="C2804" t="s">
        <v>6979</v>
      </c>
      <c r="D2804" t="str">
        <f>TRIM(alias[[#This Row],[Column3]])</f>
        <v>Planet Properindo Jaya Tbk</v>
      </c>
      <c r="F2804" t="str">
        <f t="shared" si="43"/>
        <v>INSERT INTO stock_alias (stock, alias) VALUES ((SELECT id FROM stock WHERE ticker = 'PLAN'), 'Planet Properindo Jaya Tbk') ON CONFLICT DO NOTHING;</v>
      </c>
    </row>
    <row r="2805" spans="1:6" x14ac:dyDescent="0.2">
      <c r="A2805" t="s">
        <v>977</v>
      </c>
      <c r="B2805" t="s">
        <v>3645</v>
      </c>
      <c r="C2805" t="s">
        <v>977</v>
      </c>
      <c r="D2805" t="str">
        <f>TRIM(alias[[#This Row],[Column3]])</f>
        <v>PLAS</v>
      </c>
      <c r="F2805" t="str">
        <f t="shared" si="43"/>
        <v>INSERT INTO stock_alias (stock, alias) VALUES ((SELECT id FROM stock WHERE ticker = 'PLAS'), 'PLAS') ON CONFLICT DO NOTHING;</v>
      </c>
    </row>
    <row r="2806" spans="1:6" x14ac:dyDescent="0.2">
      <c r="A2806" t="s">
        <v>977</v>
      </c>
      <c r="B2806" t="s">
        <v>3645</v>
      </c>
      <c r="C2806" t="s">
        <v>6980</v>
      </c>
      <c r="D2806" t="str">
        <f>TRIM(alias[[#This Row],[Column3]])</f>
        <v>PT Polaris Investama</v>
      </c>
      <c r="F2806" t="str">
        <f t="shared" si="43"/>
        <v>INSERT INTO stock_alias (stock, alias) VALUES ((SELECT id FROM stock WHERE ticker = 'PLAS'), 'PT Polaris Investama') ON CONFLICT DO NOTHING;</v>
      </c>
    </row>
    <row r="2807" spans="1:6" x14ac:dyDescent="0.2">
      <c r="A2807" t="s">
        <v>977</v>
      </c>
      <c r="B2807" t="s">
        <v>3645</v>
      </c>
      <c r="C2807" t="s">
        <v>6981</v>
      </c>
      <c r="D2807" t="str">
        <f>TRIM(alias[[#This Row],[Column3]])</f>
        <v>Polaris Investama</v>
      </c>
      <c r="F2807" t="str">
        <f t="shared" si="43"/>
        <v>INSERT INTO stock_alias (stock, alias) VALUES ((SELECT id FROM stock WHERE ticker = 'PLAS'), 'Polaris Investama') ON CONFLICT DO NOTHING;</v>
      </c>
    </row>
    <row r="2808" spans="1:6" x14ac:dyDescent="0.2">
      <c r="A2808" t="s">
        <v>977</v>
      </c>
      <c r="B2808" t="s">
        <v>3645</v>
      </c>
      <c r="C2808" t="s">
        <v>6982</v>
      </c>
      <c r="D2808" t="str">
        <f>TRIM(alias[[#This Row],[Column3]])</f>
        <v>Polaris Investama Tbk</v>
      </c>
      <c r="F2808" t="str">
        <f t="shared" si="43"/>
        <v>INSERT INTO stock_alias (stock, alias) VALUES ((SELECT id FROM stock WHERE ticker = 'PLAS'), 'Polaris Investama Tbk') ON CONFLICT DO NOTHING;</v>
      </c>
    </row>
    <row r="2809" spans="1:6" x14ac:dyDescent="0.2">
      <c r="A2809" t="s">
        <v>980</v>
      </c>
      <c r="B2809" t="s">
        <v>981</v>
      </c>
      <c r="C2809" t="s">
        <v>980</v>
      </c>
      <c r="D2809" t="str">
        <f>TRIM(alias[[#This Row],[Column3]])</f>
        <v>PLIN</v>
      </c>
      <c r="F2809" t="str">
        <f t="shared" si="43"/>
        <v>INSERT INTO stock_alias (stock, alias) VALUES ((SELECT id FROM stock WHERE ticker = 'PLIN'), 'PLIN') ON CONFLICT DO NOTHING;</v>
      </c>
    </row>
    <row r="2810" spans="1:6" x14ac:dyDescent="0.2">
      <c r="A2810" t="s">
        <v>980</v>
      </c>
      <c r="B2810" t="s">
        <v>981</v>
      </c>
      <c r="C2810" t="s">
        <v>6983</v>
      </c>
      <c r="D2810" t="str">
        <f>TRIM(alias[[#This Row],[Column3]])</f>
        <v>PT Plaza Indonesia Realty</v>
      </c>
      <c r="F2810" t="str">
        <f t="shared" si="43"/>
        <v>INSERT INTO stock_alias (stock, alias) VALUES ((SELECT id FROM stock WHERE ticker = 'PLIN'), 'PT Plaza Indonesia Realty') ON CONFLICT DO NOTHING;</v>
      </c>
    </row>
    <row r="2811" spans="1:6" x14ac:dyDescent="0.2">
      <c r="A2811" t="s">
        <v>980</v>
      </c>
      <c r="B2811" t="s">
        <v>981</v>
      </c>
      <c r="C2811" t="s">
        <v>6984</v>
      </c>
      <c r="D2811" t="str">
        <f>TRIM(alias[[#This Row],[Column3]])</f>
        <v>Plaza Indonesia Realty</v>
      </c>
      <c r="F2811" t="str">
        <f t="shared" si="43"/>
        <v>INSERT INTO stock_alias (stock, alias) VALUES ((SELECT id FROM stock WHERE ticker = 'PLIN'), 'Plaza Indonesia Realty') ON CONFLICT DO NOTHING;</v>
      </c>
    </row>
    <row r="2812" spans="1:6" x14ac:dyDescent="0.2">
      <c r="A2812" t="s">
        <v>980</v>
      </c>
      <c r="B2812" t="s">
        <v>981</v>
      </c>
      <c r="C2812" t="s">
        <v>6985</v>
      </c>
      <c r="D2812" t="str">
        <f>TRIM(alias[[#This Row],[Column3]])</f>
        <v>Plaza Indonesia Realty Tbk</v>
      </c>
      <c r="F2812" t="str">
        <f t="shared" si="43"/>
        <v>INSERT INTO stock_alias (stock, alias) VALUES ((SELECT id FROM stock WHERE ticker = 'PLIN'), 'Plaza Indonesia Realty Tbk') ON CONFLICT DO NOTHING;</v>
      </c>
    </row>
    <row r="2813" spans="1:6" x14ac:dyDescent="0.2">
      <c r="A2813" t="s">
        <v>1784</v>
      </c>
      <c r="B2813" t="s">
        <v>1785</v>
      </c>
      <c r="C2813" t="s">
        <v>1784</v>
      </c>
      <c r="D2813" t="str">
        <f>TRIM(alias[[#This Row],[Column3]])</f>
        <v>PMJS</v>
      </c>
      <c r="F2813" t="str">
        <f t="shared" si="43"/>
        <v>INSERT INTO stock_alias (stock, alias) VALUES ((SELECT id FROM stock WHERE ticker = 'PMJS'), 'PMJS') ON CONFLICT DO NOTHING;</v>
      </c>
    </row>
    <row r="2814" spans="1:6" x14ac:dyDescent="0.2">
      <c r="A2814" t="s">
        <v>1784</v>
      </c>
      <c r="B2814" t="s">
        <v>1785</v>
      </c>
      <c r="C2814" t="s">
        <v>6986</v>
      </c>
      <c r="D2814" t="str">
        <f>TRIM(alias[[#This Row],[Column3]])</f>
        <v>PT Putra Mandiri Jembar</v>
      </c>
      <c r="F2814" t="str">
        <f t="shared" si="43"/>
        <v>INSERT INTO stock_alias (stock, alias) VALUES ((SELECT id FROM stock WHERE ticker = 'PMJS'), 'PT Putra Mandiri Jembar') ON CONFLICT DO NOTHING;</v>
      </c>
    </row>
    <row r="2815" spans="1:6" x14ac:dyDescent="0.2">
      <c r="A2815" t="s">
        <v>1784</v>
      </c>
      <c r="B2815" t="s">
        <v>1785</v>
      </c>
      <c r="C2815" t="s">
        <v>6987</v>
      </c>
      <c r="D2815" t="str">
        <f>TRIM(alias[[#This Row],[Column3]])</f>
        <v>Putra Mandiri Jembar</v>
      </c>
      <c r="F2815" t="str">
        <f t="shared" si="43"/>
        <v>INSERT INTO stock_alias (stock, alias) VALUES ((SELECT id FROM stock WHERE ticker = 'PMJS'), 'Putra Mandiri Jembar') ON CONFLICT DO NOTHING;</v>
      </c>
    </row>
    <row r="2816" spans="1:6" x14ac:dyDescent="0.2">
      <c r="A2816" t="s">
        <v>1784</v>
      </c>
      <c r="B2816" t="s">
        <v>1785</v>
      </c>
      <c r="C2816" t="s">
        <v>6988</v>
      </c>
      <c r="D2816" t="str">
        <f>TRIM(alias[[#This Row],[Column3]])</f>
        <v>Putra Mandiri Jembar Tbk</v>
      </c>
      <c r="F2816" t="str">
        <f t="shared" si="43"/>
        <v>INSERT INTO stock_alias (stock, alias) VALUES ((SELECT id FROM stock WHERE ticker = 'PMJS'), 'Putra Mandiri Jembar Tbk') ON CONFLICT DO NOTHING;</v>
      </c>
    </row>
    <row r="2817" spans="1:6" x14ac:dyDescent="0.2">
      <c r="A2817" t="s">
        <v>1906</v>
      </c>
      <c r="B2817" t="s">
        <v>1907</v>
      </c>
      <c r="C2817" t="s">
        <v>1906</v>
      </c>
      <c r="D2817" t="str">
        <f>TRIM(alias[[#This Row],[Column3]])</f>
        <v>PMMP</v>
      </c>
      <c r="F2817" t="str">
        <f t="shared" si="43"/>
        <v>INSERT INTO stock_alias (stock, alias) VALUES ((SELECT id FROM stock WHERE ticker = 'PMMP'), 'PMMP') ON CONFLICT DO NOTHING;</v>
      </c>
    </row>
    <row r="2818" spans="1:6" x14ac:dyDescent="0.2">
      <c r="A2818" t="s">
        <v>1906</v>
      </c>
      <c r="B2818" t="s">
        <v>1907</v>
      </c>
      <c r="C2818" t="s">
        <v>6989</v>
      </c>
      <c r="D2818" t="str">
        <f>TRIM(alias[[#This Row],[Column3]])</f>
        <v>PT Panca Mitra Multiperdana</v>
      </c>
      <c r="F2818" t="str">
        <f t="shared" si="43"/>
        <v>INSERT INTO stock_alias (stock, alias) VALUES ((SELECT id FROM stock WHERE ticker = 'PMMP'), 'PT Panca Mitra Multiperdana') ON CONFLICT DO NOTHING;</v>
      </c>
    </row>
    <row r="2819" spans="1:6" x14ac:dyDescent="0.2">
      <c r="A2819" t="s">
        <v>1906</v>
      </c>
      <c r="B2819" t="s">
        <v>1907</v>
      </c>
      <c r="C2819" t="s">
        <v>6990</v>
      </c>
      <c r="D2819" t="str">
        <f>TRIM(alias[[#This Row],[Column3]])</f>
        <v>Panca Mitra Multiperdana</v>
      </c>
      <c r="F2819" t="str">
        <f t="shared" ref="F2819:F2882" si="44">_xlfn.CONCAT($F$1, _xlfn.CONCAT($G$1, A2819, "'), '", D2819, "') ON CONFLICT DO NOTHING;"))</f>
        <v>INSERT INTO stock_alias (stock, alias) VALUES ((SELECT id FROM stock WHERE ticker = 'PMMP'), 'Panca Mitra Multiperdana') ON CONFLICT DO NOTHING;</v>
      </c>
    </row>
    <row r="2820" spans="1:6" x14ac:dyDescent="0.2">
      <c r="A2820" t="s">
        <v>1906</v>
      </c>
      <c r="B2820" t="s">
        <v>1907</v>
      </c>
      <c r="C2820" t="s">
        <v>6991</v>
      </c>
      <c r="D2820" t="str">
        <f>TRIM(alias[[#This Row],[Column3]])</f>
        <v>Panca Mitra Multiperdana Tbk</v>
      </c>
      <c r="F2820" t="str">
        <f t="shared" si="44"/>
        <v>INSERT INTO stock_alias (stock, alias) VALUES ((SELECT id FROM stock WHERE ticker = 'PMMP'), 'Panca Mitra Multiperdana Tbk') ON CONFLICT DO NOTHING;</v>
      </c>
    </row>
    <row r="2821" spans="1:6" x14ac:dyDescent="0.2">
      <c r="A2821" t="s">
        <v>2556</v>
      </c>
      <c r="B2821" t="s">
        <v>3646</v>
      </c>
      <c r="C2821" t="s">
        <v>2556</v>
      </c>
      <c r="D2821" t="str">
        <f>TRIM(alias[[#This Row],[Column3]])</f>
        <v>PMUI</v>
      </c>
      <c r="F2821" t="str">
        <f t="shared" si="44"/>
        <v>INSERT INTO stock_alias (stock, alias) VALUES ((SELECT id FROM stock WHERE ticker = 'PMUI'), 'PMUI') ON CONFLICT DO NOTHING;</v>
      </c>
    </row>
    <row r="2822" spans="1:6" x14ac:dyDescent="0.2">
      <c r="A2822" t="s">
        <v>2556</v>
      </c>
      <c r="B2822" t="s">
        <v>3646</v>
      </c>
      <c r="C2822" t="s">
        <v>6992</v>
      </c>
      <c r="D2822" t="str">
        <f>TRIM(alias[[#This Row],[Column3]])</f>
        <v>PT Prima Multi Usaha Indonesia</v>
      </c>
      <c r="F2822" t="str">
        <f t="shared" si="44"/>
        <v>INSERT INTO stock_alias (stock, alias) VALUES ((SELECT id FROM stock WHERE ticker = 'PMUI'), 'PT Prima Multi Usaha Indonesia') ON CONFLICT DO NOTHING;</v>
      </c>
    </row>
    <row r="2823" spans="1:6" x14ac:dyDescent="0.2">
      <c r="A2823" t="s">
        <v>2556</v>
      </c>
      <c r="B2823" t="s">
        <v>3646</v>
      </c>
      <c r="C2823" t="s">
        <v>6993</v>
      </c>
      <c r="D2823" t="str">
        <f>TRIM(alias[[#This Row],[Column3]])</f>
        <v>Prima Multi Usaha Indonesia</v>
      </c>
      <c r="F2823" t="str">
        <f t="shared" si="44"/>
        <v>INSERT INTO stock_alias (stock, alias) VALUES ((SELECT id FROM stock WHERE ticker = 'PMUI'), 'Prima Multi Usaha Indonesia') ON CONFLICT DO NOTHING;</v>
      </c>
    </row>
    <row r="2824" spans="1:6" x14ac:dyDescent="0.2">
      <c r="A2824" t="s">
        <v>2556</v>
      </c>
      <c r="B2824" t="s">
        <v>3646</v>
      </c>
      <c r="C2824" t="s">
        <v>6994</v>
      </c>
      <c r="D2824" t="str">
        <f>TRIM(alias[[#This Row],[Column3]])</f>
        <v>Prima Multi Usaha Indonesia Tbk</v>
      </c>
      <c r="F2824" t="str">
        <f t="shared" si="44"/>
        <v>INSERT INTO stock_alias (stock, alias) VALUES ((SELECT id FROM stock WHERE ticker = 'PMUI'), 'Prima Multi Usaha Indonesia Tbk') ON CONFLICT DO NOTHING;</v>
      </c>
    </row>
    <row r="2825" spans="1:6" x14ac:dyDescent="0.2">
      <c r="A2825" t="s">
        <v>983</v>
      </c>
      <c r="B2825" t="s">
        <v>3647</v>
      </c>
      <c r="C2825" t="s">
        <v>983</v>
      </c>
      <c r="D2825" t="str">
        <f>TRIM(alias[[#This Row],[Column3]])</f>
        <v>PNBN</v>
      </c>
      <c r="F2825" t="str">
        <f t="shared" si="44"/>
        <v>INSERT INTO stock_alias (stock, alias) VALUES ((SELECT id FROM stock WHERE ticker = 'PNBN'), 'PNBN') ON CONFLICT DO NOTHING;</v>
      </c>
    </row>
    <row r="2826" spans="1:6" x14ac:dyDescent="0.2">
      <c r="A2826" t="s">
        <v>983</v>
      </c>
      <c r="B2826" t="s">
        <v>3647</v>
      </c>
      <c r="C2826" t="s">
        <v>6995</v>
      </c>
      <c r="D2826" t="str">
        <f>TRIM(alias[[#This Row],[Column3]])</f>
        <v>Bank Pan Indonesia</v>
      </c>
      <c r="F2826" t="str">
        <f t="shared" si="44"/>
        <v>INSERT INTO stock_alias (stock, alias) VALUES ((SELECT id FROM stock WHERE ticker = 'PNBN'), 'Bank Pan Indonesia') ON CONFLICT DO NOTHING;</v>
      </c>
    </row>
    <row r="2827" spans="1:6" x14ac:dyDescent="0.2">
      <c r="A2827" t="s">
        <v>983</v>
      </c>
      <c r="B2827" t="s">
        <v>3647</v>
      </c>
      <c r="C2827" t="s">
        <v>6996</v>
      </c>
      <c r="D2827" t="str">
        <f>TRIM(alias[[#This Row],[Column3]])</f>
        <v>Bank Pan Indonesia Tbk</v>
      </c>
      <c r="F2827" t="str">
        <f t="shared" si="44"/>
        <v>INSERT INTO stock_alias (stock, alias) VALUES ((SELECT id FROM stock WHERE ticker = 'PNBN'), 'Bank Pan Indonesia Tbk') ON CONFLICT DO NOTHING;</v>
      </c>
    </row>
    <row r="2828" spans="1:6" x14ac:dyDescent="0.2">
      <c r="A2828" t="s">
        <v>983</v>
      </c>
      <c r="B2828" t="s">
        <v>3647</v>
      </c>
      <c r="C2828" t="s">
        <v>6997</v>
      </c>
      <c r="D2828" t="str">
        <f>TRIM(alias[[#This Row],[Column3]])</f>
        <v>PT Bank Pan Indonesia</v>
      </c>
      <c r="F2828" t="str">
        <f t="shared" si="44"/>
        <v>INSERT INTO stock_alias (stock, alias) VALUES ((SELECT id FROM stock WHERE ticker = 'PNBN'), 'PT Bank Pan Indonesia') ON CONFLICT DO NOTHING;</v>
      </c>
    </row>
    <row r="2829" spans="1:6" x14ac:dyDescent="0.2">
      <c r="A2829" t="s">
        <v>986</v>
      </c>
      <c r="B2829" t="s">
        <v>987</v>
      </c>
      <c r="C2829" t="s">
        <v>986</v>
      </c>
      <c r="D2829" t="str">
        <f>TRIM(alias[[#This Row],[Column3]])</f>
        <v>PNBS</v>
      </c>
      <c r="F2829" t="str">
        <f t="shared" si="44"/>
        <v>INSERT INTO stock_alias (stock, alias) VALUES ((SELECT id FROM stock WHERE ticker = 'PNBS'), 'PNBS') ON CONFLICT DO NOTHING;</v>
      </c>
    </row>
    <row r="2830" spans="1:6" x14ac:dyDescent="0.2">
      <c r="A2830" t="s">
        <v>986</v>
      </c>
      <c r="B2830" t="s">
        <v>987</v>
      </c>
      <c r="C2830" t="s">
        <v>6998</v>
      </c>
      <c r="D2830" t="str">
        <f>TRIM(alias[[#This Row],[Column3]])</f>
        <v>Bank Panin Dubai Syariah</v>
      </c>
      <c r="F2830" t="str">
        <f t="shared" si="44"/>
        <v>INSERT INTO stock_alias (stock, alias) VALUES ((SELECT id FROM stock WHERE ticker = 'PNBS'), 'Bank Panin Dubai Syariah') ON CONFLICT DO NOTHING;</v>
      </c>
    </row>
    <row r="2831" spans="1:6" x14ac:dyDescent="0.2">
      <c r="A2831" t="s">
        <v>986</v>
      </c>
      <c r="B2831" t="s">
        <v>987</v>
      </c>
      <c r="C2831" t="s">
        <v>6999</v>
      </c>
      <c r="D2831" t="str">
        <f>TRIM(alias[[#This Row],[Column3]])</f>
        <v>Bank Panin Dubai Syariah Tbk</v>
      </c>
      <c r="F2831" t="str">
        <f t="shared" si="44"/>
        <v>INSERT INTO stock_alias (stock, alias) VALUES ((SELECT id FROM stock WHERE ticker = 'PNBS'), 'Bank Panin Dubai Syariah Tbk') ON CONFLICT DO NOTHING;</v>
      </c>
    </row>
    <row r="2832" spans="1:6" x14ac:dyDescent="0.2">
      <c r="A2832" t="s">
        <v>986</v>
      </c>
      <c r="B2832" t="s">
        <v>987</v>
      </c>
      <c r="C2832" t="s">
        <v>5141</v>
      </c>
      <c r="D2832" t="str">
        <f>TRIM(alias[[#This Row],[Column3]])</f>
        <v>Bank Syariah</v>
      </c>
      <c r="F2832" t="str">
        <f t="shared" si="44"/>
        <v>INSERT INTO stock_alias (stock, alias) VALUES ((SELECT id FROM stock WHERE ticker = 'PNBS'), 'Bank Syariah') ON CONFLICT DO NOTHING;</v>
      </c>
    </row>
    <row r="2833" spans="1:6" x14ac:dyDescent="0.2">
      <c r="A2833" t="s">
        <v>986</v>
      </c>
      <c r="B2833" t="s">
        <v>987</v>
      </c>
      <c r="C2833" t="s">
        <v>7000</v>
      </c>
      <c r="D2833" t="str">
        <f>TRIM(alias[[#This Row],[Column3]])</f>
        <v>PT Bank Panin Dubai Syariah</v>
      </c>
      <c r="F2833" t="str">
        <f t="shared" si="44"/>
        <v>INSERT INTO stock_alias (stock, alias) VALUES ((SELECT id FROM stock WHERE ticker = 'PNBS'), 'PT Bank Panin Dubai Syariah') ON CONFLICT DO NOTHING;</v>
      </c>
    </row>
    <row r="2834" spans="1:6" x14ac:dyDescent="0.2">
      <c r="A2834" t="s">
        <v>986</v>
      </c>
      <c r="B2834" t="s">
        <v>987</v>
      </c>
      <c r="C2834" t="s">
        <v>5143</v>
      </c>
      <c r="D2834" t="str">
        <f>TRIM(alias[[#This Row],[Column3]])</f>
        <v>Syariah</v>
      </c>
      <c r="F2834" t="str">
        <f t="shared" si="44"/>
        <v>INSERT INTO stock_alias (stock, alias) VALUES ((SELECT id FROM stock WHERE ticker = 'PNBS'), 'Syariah') ON CONFLICT DO NOTHING;</v>
      </c>
    </row>
    <row r="2835" spans="1:6" x14ac:dyDescent="0.2">
      <c r="A2835" t="s">
        <v>1874</v>
      </c>
      <c r="B2835" t="s">
        <v>1875</v>
      </c>
      <c r="C2835" t="s">
        <v>1874</v>
      </c>
      <c r="D2835" t="str">
        <f>TRIM(alias[[#This Row],[Column3]])</f>
        <v>PNGO</v>
      </c>
      <c r="F2835" t="str">
        <f t="shared" si="44"/>
        <v>INSERT INTO stock_alias (stock, alias) VALUES ((SELECT id FROM stock WHERE ticker = 'PNGO'), 'PNGO') ON CONFLICT DO NOTHING;</v>
      </c>
    </row>
    <row r="2836" spans="1:6" x14ac:dyDescent="0.2">
      <c r="A2836" t="s">
        <v>1874</v>
      </c>
      <c r="B2836" t="s">
        <v>1875</v>
      </c>
      <c r="C2836" t="s">
        <v>7001</v>
      </c>
      <c r="D2836" t="str">
        <f>TRIM(alias[[#This Row],[Column3]])</f>
        <v>PT Pinago Utama</v>
      </c>
      <c r="F2836" t="str">
        <f t="shared" si="44"/>
        <v>INSERT INTO stock_alias (stock, alias) VALUES ((SELECT id FROM stock WHERE ticker = 'PNGO'), 'PT Pinago Utama') ON CONFLICT DO NOTHING;</v>
      </c>
    </row>
    <row r="2837" spans="1:6" x14ac:dyDescent="0.2">
      <c r="A2837" t="s">
        <v>1874</v>
      </c>
      <c r="B2837" t="s">
        <v>1875</v>
      </c>
      <c r="C2837" t="s">
        <v>7002</v>
      </c>
      <c r="D2837" t="str">
        <f>TRIM(alias[[#This Row],[Column3]])</f>
        <v>Pinago Utama</v>
      </c>
      <c r="F2837" t="str">
        <f t="shared" si="44"/>
        <v>INSERT INTO stock_alias (stock, alias) VALUES ((SELECT id FROM stock WHERE ticker = 'PNGO'), 'Pinago Utama') ON CONFLICT DO NOTHING;</v>
      </c>
    </row>
    <row r="2838" spans="1:6" x14ac:dyDescent="0.2">
      <c r="A2838" t="s">
        <v>1874</v>
      </c>
      <c r="B2838" t="s">
        <v>1875</v>
      </c>
      <c r="C2838" t="s">
        <v>7003</v>
      </c>
      <c r="D2838" t="str">
        <f>TRIM(alias[[#This Row],[Column3]])</f>
        <v>Pinago Utama Tbk</v>
      </c>
      <c r="F2838" t="str">
        <f t="shared" si="44"/>
        <v>INSERT INTO stock_alias (stock, alias) VALUES ((SELECT id FROM stock WHERE ticker = 'PNGO'), 'Pinago Utama Tbk') ON CONFLICT DO NOTHING;</v>
      </c>
    </row>
    <row r="2839" spans="1:6" x14ac:dyDescent="0.2">
      <c r="A2839" t="s">
        <v>989</v>
      </c>
      <c r="B2839" t="s">
        <v>990</v>
      </c>
      <c r="C2839" t="s">
        <v>989</v>
      </c>
      <c r="D2839" t="str">
        <f>TRIM(alias[[#This Row],[Column3]])</f>
        <v>PNIN</v>
      </c>
      <c r="F2839" t="str">
        <f t="shared" si="44"/>
        <v>INSERT INTO stock_alias (stock, alias) VALUES ((SELECT id FROM stock WHERE ticker = 'PNIN'), 'PNIN') ON CONFLICT DO NOTHING;</v>
      </c>
    </row>
    <row r="2840" spans="1:6" x14ac:dyDescent="0.2">
      <c r="A2840" t="s">
        <v>989</v>
      </c>
      <c r="B2840" t="s">
        <v>990</v>
      </c>
      <c r="C2840" t="s">
        <v>7004</v>
      </c>
      <c r="D2840" t="str">
        <f>TRIM(alias[[#This Row],[Column3]])</f>
        <v>PT Paninvest Tbk</v>
      </c>
      <c r="F2840" t="str">
        <f t="shared" si="44"/>
        <v>INSERT INTO stock_alias (stock, alias) VALUES ((SELECT id FROM stock WHERE ticker = 'PNIN'), 'PT Paninvest Tbk') ON CONFLICT DO NOTHING;</v>
      </c>
    </row>
    <row r="2841" spans="1:6" x14ac:dyDescent="0.2">
      <c r="A2841" t="s">
        <v>992</v>
      </c>
      <c r="B2841" t="s">
        <v>993</v>
      </c>
      <c r="C2841" t="s">
        <v>992</v>
      </c>
      <c r="D2841" t="str">
        <f>TRIM(alias[[#This Row],[Column3]])</f>
        <v>PNLF</v>
      </c>
      <c r="F2841" t="str">
        <f t="shared" si="44"/>
        <v>INSERT INTO stock_alias (stock, alias) VALUES ((SELECT id FROM stock WHERE ticker = 'PNLF'), 'PNLF') ON CONFLICT DO NOTHING;</v>
      </c>
    </row>
    <row r="2842" spans="1:6" x14ac:dyDescent="0.2">
      <c r="A2842" t="s">
        <v>992</v>
      </c>
      <c r="B2842" t="s">
        <v>993</v>
      </c>
      <c r="C2842" t="s">
        <v>7005</v>
      </c>
      <c r="D2842" t="str">
        <f>TRIM(alias[[#This Row],[Column3]])</f>
        <v>PT Panin Financial</v>
      </c>
      <c r="F2842" t="str">
        <f t="shared" si="44"/>
        <v>INSERT INTO stock_alias (stock, alias) VALUES ((SELECT id FROM stock WHERE ticker = 'PNLF'), 'PT Panin Financial') ON CONFLICT DO NOTHING;</v>
      </c>
    </row>
    <row r="2843" spans="1:6" x14ac:dyDescent="0.2">
      <c r="A2843" t="s">
        <v>992</v>
      </c>
      <c r="B2843" t="s">
        <v>993</v>
      </c>
      <c r="C2843" t="s">
        <v>7006</v>
      </c>
      <c r="D2843" t="str">
        <f>TRIM(alias[[#This Row],[Column3]])</f>
        <v>Panin Financial</v>
      </c>
      <c r="F2843" t="str">
        <f t="shared" si="44"/>
        <v>INSERT INTO stock_alias (stock, alias) VALUES ((SELECT id FROM stock WHERE ticker = 'PNLF'), 'Panin Financial') ON CONFLICT DO NOTHING;</v>
      </c>
    </row>
    <row r="2844" spans="1:6" x14ac:dyDescent="0.2">
      <c r="A2844" t="s">
        <v>992</v>
      </c>
      <c r="B2844" t="s">
        <v>993</v>
      </c>
      <c r="C2844" t="s">
        <v>7007</v>
      </c>
      <c r="D2844" t="str">
        <f>TRIM(alias[[#This Row],[Column3]])</f>
        <v>Panin Financial Tbk</v>
      </c>
      <c r="F2844" t="str">
        <f t="shared" si="44"/>
        <v>INSERT INTO stock_alias (stock, alias) VALUES ((SELECT id FROM stock WHERE ticker = 'PNLF'), 'Panin Financial Tbk') ON CONFLICT DO NOTHING;</v>
      </c>
    </row>
    <row r="2845" spans="1:6" x14ac:dyDescent="0.2">
      <c r="A2845" t="s">
        <v>2681</v>
      </c>
      <c r="B2845" t="s">
        <v>2682</v>
      </c>
      <c r="C2845" t="s">
        <v>2681</v>
      </c>
      <c r="D2845" t="str">
        <f>TRIM(alias[[#This Row],[Column3]])</f>
        <v>PNSE</v>
      </c>
      <c r="F2845" t="str">
        <f t="shared" si="44"/>
        <v>INSERT INTO stock_alias (stock, alias) VALUES ((SELECT id FROM stock WHERE ticker = 'PNSE'), 'PNSE') ON CONFLICT DO NOTHING;</v>
      </c>
    </row>
    <row r="2846" spans="1:6" x14ac:dyDescent="0.2">
      <c r="A2846" t="s">
        <v>2681</v>
      </c>
      <c r="B2846" t="s">
        <v>2682</v>
      </c>
      <c r="C2846" t="s">
        <v>7008</v>
      </c>
      <c r="D2846" t="str">
        <f>TRIM(alias[[#This Row],[Column3]])</f>
        <v>PT Pudjiadi &amp; Sons</v>
      </c>
      <c r="F2846" t="str">
        <f t="shared" si="44"/>
        <v>INSERT INTO stock_alias (stock, alias) VALUES ((SELECT id FROM stock WHERE ticker = 'PNSE'), 'PT Pudjiadi &amp; Sons') ON CONFLICT DO NOTHING;</v>
      </c>
    </row>
    <row r="2847" spans="1:6" x14ac:dyDescent="0.2">
      <c r="A2847" t="s">
        <v>2681</v>
      </c>
      <c r="B2847" t="s">
        <v>2682</v>
      </c>
      <c r="C2847" t="s">
        <v>7009</v>
      </c>
      <c r="D2847" t="str">
        <f>TRIM(alias[[#This Row],[Column3]])</f>
        <v>Pudjiadi &amp; Sons</v>
      </c>
      <c r="F2847" t="str">
        <f t="shared" si="44"/>
        <v>INSERT INTO stock_alias (stock, alias) VALUES ((SELECT id FROM stock WHERE ticker = 'PNSE'), 'Pudjiadi &amp; Sons') ON CONFLICT DO NOTHING;</v>
      </c>
    </row>
    <row r="2848" spans="1:6" x14ac:dyDescent="0.2">
      <c r="A2848" t="s">
        <v>2681</v>
      </c>
      <c r="B2848" t="s">
        <v>2682</v>
      </c>
      <c r="C2848" t="s">
        <v>7010</v>
      </c>
      <c r="D2848" t="str">
        <f>TRIM(alias[[#This Row],[Column3]])</f>
        <v>Pudjiadi &amp; Sons Tbk</v>
      </c>
      <c r="F2848" t="str">
        <f t="shared" si="44"/>
        <v>INSERT INTO stock_alias (stock, alias) VALUES ((SELECT id FROM stock WHERE ticker = 'PNSE'), 'Pudjiadi &amp; Sons Tbk') ON CONFLICT DO NOTHING;</v>
      </c>
    </row>
    <row r="2849" spans="1:6" x14ac:dyDescent="0.2">
      <c r="A2849" t="s">
        <v>1622</v>
      </c>
      <c r="B2849" t="s">
        <v>1623</v>
      </c>
      <c r="C2849" t="s">
        <v>1622</v>
      </c>
      <c r="D2849" t="str">
        <f>TRIM(alias[[#This Row],[Column3]])</f>
        <v>POLA</v>
      </c>
      <c r="F2849" t="str">
        <f t="shared" si="44"/>
        <v>INSERT INTO stock_alias (stock, alias) VALUES ((SELECT id FROM stock WHERE ticker = 'POLA'), 'POLA') ON CONFLICT DO NOTHING;</v>
      </c>
    </row>
    <row r="2850" spans="1:6" x14ac:dyDescent="0.2">
      <c r="A2850" t="s">
        <v>1622</v>
      </c>
      <c r="B2850" t="s">
        <v>1623</v>
      </c>
      <c r="C2850" t="s">
        <v>7011</v>
      </c>
      <c r="D2850" t="str">
        <f>TRIM(alias[[#This Row],[Column3]])</f>
        <v>PT Pool Advista Finance</v>
      </c>
      <c r="F2850" t="str">
        <f t="shared" si="44"/>
        <v>INSERT INTO stock_alias (stock, alias) VALUES ((SELECT id FROM stock WHERE ticker = 'POLA'), 'PT Pool Advista Finance') ON CONFLICT DO NOTHING;</v>
      </c>
    </row>
    <row r="2851" spans="1:6" x14ac:dyDescent="0.2">
      <c r="A2851" t="s">
        <v>1622</v>
      </c>
      <c r="B2851" t="s">
        <v>1623</v>
      </c>
      <c r="C2851" t="s">
        <v>7012</v>
      </c>
      <c r="D2851" t="str">
        <f>TRIM(alias[[#This Row],[Column3]])</f>
        <v>Pool Advista Finance</v>
      </c>
      <c r="F2851" t="str">
        <f t="shared" si="44"/>
        <v>INSERT INTO stock_alias (stock, alias) VALUES ((SELECT id FROM stock WHERE ticker = 'POLA'), 'Pool Advista Finance') ON CONFLICT DO NOTHING;</v>
      </c>
    </row>
    <row r="2852" spans="1:6" x14ac:dyDescent="0.2">
      <c r="A2852" t="s">
        <v>1622</v>
      </c>
      <c r="B2852" t="s">
        <v>1623</v>
      </c>
      <c r="C2852" t="s">
        <v>7013</v>
      </c>
      <c r="D2852" t="str">
        <f>TRIM(alias[[#This Row],[Column3]])</f>
        <v>Pool Advista Finance Tbk</v>
      </c>
      <c r="F2852" t="str">
        <f t="shared" si="44"/>
        <v>INSERT INTO stock_alias (stock, alias) VALUES ((SELECT id FROM stock WHERE ticker = 'POLA'), 'Pool Advista Finance Tbk') ON CONFLICT DO NOTHING;</v>
      </c>
    </row>
    <row r="2853" spans="1:6" x14ac:dyDescent="0.2">
      <c r="A2853" t="s">
        <v>1646</v>
      </c>
      <c r="B2853" t="s">
        <v>1647</v>
      </c>
      <c r="C2853" t="s">
        <v>1646</v>
      </c>
      <c r="D2853" t="str">
        <f>TRIM(alias[[#This Row],[Column3]])</f>
        <v>POLI</v>
      </c>
      <c r="F2853" t="str">
        <f t="shared" si="44"/>
        <v>INSERT INTO stock_alias (stock, alias) VALUES ((SELECT id FROM stock WHERE ticker = 'POLI'), 'POLI') ON CONFLICT DO NOTHING;</v>
      </c>
    </row>
    <row r="2854" spans="1:6" x14ac:dyDescent="0.2">
      <c r="A2854" t="s">
        <v>1646</v>
      </c>
      <c r="B2854" t="s">
        <v>1647</v>
      </c>
      <c r="C2854" t="s">
        <v>7014</v>
      </c>
      <c r="D2854" t="str">
        <f>TRIM(alias[[#This Row],[Column3]])</f>
        <v>PT Pollux Hotels Group</v>
      </c>
      <c r="F2854" t="str">
        <f t="shared" si="44"/>
        <v>INSERT INTO stock_alias (stock, alias) VALUES ((SELECT id FROM stock WHERE ticker = 'POLI'), 'PT Pollux Hotels Group') ON CONFLICT DO NOTHING;</v>
      </c>
    </row>
    <row r="2855" spans="1:6" x14ac:dyDescent="0.2">
      <c r="A2855" t="s">
        <v>1646</v>
      </c>
      <c r="B2855" t="s">
        <v>1647</v>
      </c>
      <c r="C2855" t="s">
        <v>7015</v>
      </c>
      <c r="D2855" t="str">
        <f>TRIM(alias[[#This Row],[Column3]])</f>
        <v>Pollux Hotels Group</v>
      </c>
      <c r="F2855" t="str">
        <f t="shared" si="44"/>
        <v>INSERT INTO stock_alias (stock, alias) VALUES ((SELECT id FROM stock WHERE ticker = 'POLI'), 'Pollux Hotels Group') ON CONFLICT DO NOTHING;</v>
      </c>
    </row>
    <row r="2856" spans="1:6" x14ac:dyDescent="0.2">
      <c r="A2856" t="s">
        <v>1646</v>
      </c>
      <c r="B2856" t="s">
        <v>1647</v>
      </c>
      <c r="C2856" t="s">
        <v>7016</v>
      </c>
      <c r="D2856" t="str">
        <f>TRIM(alias[[#This Row],[Column3]])</f>
        <v>Pollux Hotels Group Tbk</v>
      </c>
      <c r="F2856" t="str">
        <f t="shared" si="44"/>
        <v>INSERT INTO stock_alias (stock, alias) VALUES ((SELECT id FROM stock WHERE ticker = 'POLI'), 'Pollux Hotels Group Tbk') ON CONFLICT DO NOTHING;</v>
      </c>
    </row>
    <row r="2857" spans="1:6" x14ac:dyDescent="0.2">
      <c r="A2857" t="s">
        <v>1557</v>
      </c>
      <c r="B2857" t="s">
        <v>3648</v>
      </c>
      <c r="C2857" t="s">
        <v>1557</v>
      </c>
      <c r="D2857" t="str">
        <f>TRIM(alias[[#This Row],[Column3]])</f>
        <v>POLL</v>
      </c>
      <c r="F2857" t="str">
        <f t="shared" si="44"/>
        <v>INSERT INTO stock_alias (stock, alias) VALUES ((SELECT id FROM stock WHERE ticker = 'POLL'), 'POLL') ON CONFLICT DO NOTHING;</v>
      </c>
    </row>
    <row r="2858" spans="1:6" x14ac:dyDescent="0.2">
      <c r="A2858" t="s">
        <v>1557</v>
      </c>
      <c r="B2858" t="s">
        <v>3648</v>
      </c>
      <c r="C2858" t="s">
        <v>7017</v>
      </c>
      <c r="D2858" t="str">
        <f>TRIM(alias[[#This Row],[Column3]])</f>
        <v>PT Pollux Properties Indonesia</v>
      </c>
      <c r="F2858" t="str">
        <f t="shared" si="44"/>
        <v>INSERT INTO stock_alias (stock, alias) VALUES ((SELECT id FROM stock WHERE ticker = 'POLL'), 'PT Pollux Properties Indonesia') ON CONFLICT DO NOTHING;</v>
      </c>
    </row>
    <row r="2859" spans="1:6" x14ac:dyDescent="0.2">
      <c r="A2859" t="s">
        <v>1557</v>
      </c>
      <c r="B2859" t="s">
        <v>3648</v>
      </c>
      <c r="C2859" t="s">
        <v>7018</v>
      </c>
      <c r="D2859" t="str">
        <f>TRIM(alias[[#This Row],[Column3]])</f>
        <v>Pollux Properties Indonesia</v>
      </c>
      <c r="F2859" t="str">
        <f t="shared" si="44"/>
        <v>INSERT INTO stock_alias (stock, alias) VALUES ((SELECT id FROM stock WHERE ticker = 'POLL'), 'Pollux Properties Indonesia') ON CONFLICT DO NOTHING;</v>
      </c>
    </row>
    <row r="2860" spans="1:6" x14ac:dyDescent="0.2">
      <c r="A2860" t="s">
        <v>1557</v>
      </c>
      <c r="B2860" t="s">
        <v>3648</v>
      </c>
      <c r="C2860" t="s">
        <v>7019</v>
      </c>
      <c r="D2860" t="str">
        <f>TRIM(alias[[#This Row],[Column3]])</f>
        <v>Pollux Properties Indonesia Tbk</v>
      </c>
      <c r="F2860" t="str">
        <f t="shared" si="44"/>
        <v>INSERT INTO stock_alias (stock, alias) VALUES ((SELECT id FROM stock WHERE ticker = 'POLL'), 'Pollux Properties Indonesia Tbk') ON CONFLICT DO NOTHING;</v>
      </c>
    </row>
    <row r="2861" spans="1:6" x14ac:dyDescent="0.2">
      <c r="A2861" t="s">
        <v>1685</v>
      </c>
      <c r="B2861" t="s">
        <v>1686</v>
      </c>
      <c r="C2861" t="s">
        <v>1685</v>
      </c>
      <c r="D2861" t="str">
        <f>TRIM(alias[[#This Row],[Column3]])</f>
        <v>POLU</v>
      </c>
      <c r="F2861" t="str">
        <f t="shared" si="44"/>
        <v>INSERT INTO stock_alias (stock, alias) VALUES ((SELECT id FROM stock WHERE ticker = 'POLU'), 'POLU') ON CONFLICT DO NOTHING;</v>
      </c>
    </row>
    <row r="2862" spans="1:6" x14ac:dyDescent="0.2">
      <c r="A2862" t="s">
        <v>1685</v>
      </c>
      <c r="B2862" t="s">
        <v>1686</v>
      </c>
      <c r="C2862" t="s">
        <v>7020</v>
      </c>
      <c r="D2862" t="str">
        <f>TRIM(alias[[#This Row],[Column3]])</f>
        <v>Golden Flower</v>
      </c>
      <c r="F2862" t="str">
        <f t="shared" si="44"/>
        <v>INSERT INTO stock_alias (stock, alias) VALUES ((SELECT id FROM stock WHERE ticker = 'POLU'), 'Golden Flower') ON CONFLICT DO NOTHING;</v>
      </c>
    </row>
    <row r="2863" spans="1:6" x14ac:dyDescent="0.2">
      <c r="A2863" t="s">
        <v>1685</v>
      </c>
      <c r="B2863" t="s">
        <v>1686</v>
      </c>
      <c r="C2863" t="s">
        <v>7021</v>
      </c>
      <c r="D2863" t="str">
        <f>TRIM(alias[[#This Row],[Column3]])</f>
        <v>Golden Flower Tbk</v>
      </c>
      <c r="F2863" t="str">
        <f t="shared" si="44"/>
        <v>INSERT INTO stock_alias (stock, alias) VALUES ((SELECT id FROM stock WHERE ticker = 'POLU'), 'Golden Flower Tbk') ON CONFLICT DO NOTHING;</v>
      </c>
    </row>
    <row r="2864" spans="1:6" x14ac:dyDescent="0.2">
      <c r="A2864" t="s">
        <v>1685</v>
      </c>
      <c r="B2864" t="s">
        <v>1686</v>
      </c>
      <c r="C2864" t="s">
        <v>7022</v>
      </c>
      <c r="D2864" t="str">
        <f>TRIM(alias[[#This Row],[Column3]])</f>
        <v>PT Golden Flower</v>
      </c>
      <c r="F2864" t="str">
        <f t="shared" si="44"/>
        <v>INSERT INTO stock_alias (stock, alias) VALUES ((SELECT id FROM stock WHERE ticker = 'POLU'), 'PT Golden Flower') ON CONFLICT DO NOTHING;</v>
      </c>
    </row>
    <row r="2865" spans="1:6" x14ac:dyDescent="0.2">
      <c r="A2865" t="s">
        <v>2684</v>
      </c>
      <c r="B2865" t="s">
        <v>3649</v>
      </c>
      <c r="C2865" t="s">
        <v>2684</v>
      </c>
      <c r="D2865" t="str">
        <f>TRIM(alias[[#This Row],[Column3]])</f>
        <v>POLY</v>
      </c>
      <c r="F2865" t="str">
        <f t="shared" si="44"/>
        <v>INSERT INTO stock_alias (stock, alias) VALUES ((SELECT id FROM stock WHERE ticker = 'POLY'), 'POLY') ON CONFLICT DO NOTHING;</v>
      </c>
    </row>
    <row r="2866" spans="1:6" x14ac:dyDescent="0.2">
      <c r="A2866" t="s">
        <v>2684</v>
      </c>
      <c r="B2866" t="s">
        <v>3649</v>
      </c>
      <c r="C2866" t="s">
        <v>7023</v>
      </c>
      <c r="D2866" t="str">
        <f>TRIM(alias[[#This Row],[Column3]])</f>
        <v>Asia Pacific Fibers</v>
      </c>
      <c r="F2866" t="str">
        <f t="shared" si="44"/>
        <v>INSERT INTO stock_alias (stock, alias) VALUES ((SELECT id FROM stock WHERE ticker = 'POLY'), 'Asia Pacific Fibers') ON CONFLICT DO NOTHING;</v>
      </c>
    </row>
    <row r="2867" spans="1:6" x14ac:dyDescent="0.2">
      <c r="A2867" t="s">
        <v>2684</v>
      </c>
      <c r="B2867" t="s">
        <v>3649</v>
      </c>
      <c r="C2867" t="s">
        <v>7024</v>
      </c>
      <c r="D2867" t="str">
        <f>TRIM(alias[[#This Row],[Column3]])</f>
        <v>Asia Pacific Fibers Tbk</v>
      </c>
      <c r="F2867" t="str">
        <f t="shared" si="44"/>
        <v>INSERT INTO stock_alias (stock, alias) VALUES ((SELECT id FROM stock WHERE ticker = 'POLY'), 'Asia Pacific Fibers Tbk') ON CONFLICT DO NOTHING;</v>
      </c>
    </row>
    <row r="2868" spans="1:6" x14ac:dyDescent="0.2">
      <c r="A2868" t="s">
        <v>2684</v>
      </c>
      <c r="B2868" t="s">
        <v>3649</v>
      </c>
      <c r="C2868" t="s">
        <v>7025</v>
      </c>
      <c r="D2868" t="str">
        <f>TRIM(alias[[#This Row],[Column3]])</f>
        <v>PT Asia Pacific Fibers</v>
      </c>
      <c r="F2868" t="str">
        <f t="shared" si="44"/>
        <v>INSERT INTO stock_alias (stock, alias) VALUES ((SELECT id FROM stock WHERE ticker = 'POLY'), 'PT Asia Pacific Fibers') ON CONFLICT DO NOTHING;</v>
      </c>
    </row>
    <row r="2869" spans="1:6" x14ac:dyDescent="0.2">
      <c r="A2869" t="s">
        <v>2687</v>
      </c>
      <c r="B2869" t="s">
        <v>2688</v>
      </c>
      <c r="C2869" t="s">
        <v>2687</v>
      </c>
      <c r="D2869" t="str">
        <f>TRIM(alias[[#This Row],[Column3]])</f>
        <v>POOL</v>
      </c>
      <c r="F2869" t="str">
        <f t="shared" si="44"/>
        <v>INSERT INTO stock_alias (stock, alias) VALUES ((SELECT id FROM stock WHERE ticker = 'POOL'), 'POOL') ON CONFLICT DO NOTHING;</v>
      </c>
    </row>
    <row r="2870" spans="1:6" x14ac:dyDescent="0.2">
      <c r="A2870" t="s">
        <v>2687</v>
      </c>
      <c r="B2870" t="s">
        <v>2688</v>
      </c>
      <c r="C2870" t="s">
        <v>7026</v>
      </c>
      <c r="D2870" t="str">
        <f>TRIM(alias[[#This Row],[Column3]])</f>
        <v>PT Pool Advista Indonesia</v>
      </c>
      <c r="F2870" t="str">
        <f t="shared" si="44"/>
        <v>INSERT INTO stock_alias (stock, alias) VALUES ((SELECT id FROM stock WHERE ticker = 'POOL'), 'PT Pool Advista Indonesia') ON CONFLICT DO NOTHING;</v>
      </c>
    </row>
    <row r="2871" spans="1:6" x14ac:dyDescent="0.2">
      <c r="A2871" t="s">
        <v>2687</v>
      </c>
      <c r="B2871" t="s">
        <v>2688</v>
      </c>
      <c r="C2871" t="s">
        <v>7027</v>
      </c>
      <c r="D2871" t="str">
        <f>TRIM(alias[[#This Row],[Column3]])</f>
        <v>Pool Advista Indonesia</v>
      </c>
      <c r="F2871" t="str">
        <f t="shared" si="44"/>
        <v>INSERT INTO stock_alias (stock, alias) VALUES ((SELECT id FROM stock WHERE ticker = 'POOL'), 'Pool Advista Indonesia') ON CONFLICT DO NOTHING;</v>
      </c>
    </row>
    <row r="2872" spans="1:6" x14ac:dyDescent="0.2">
      <c r="A2872" t="s">
        <v>2687</v>
      </c>
      <c r="B2872" t="s">
        <v>2688</v>
      </c>
      <c r="C2872" t="s">
        <v>7028</v>
      </c>
      <c r="D2872" t="str">
        <f>TRIM(alias[[#This Row],[Column3]])</f>
        <v>Pool Advista Indonesia Tbk</v>
      </c>
      <c r="F2872" t="str">
        <f t="shared" si="44"/>
        <v>INSERT INTO stock_alias (stock, alias) VALUES ((SELECT id FROM stock WHERE ticker = 'POOL'), 'Pool Advista Indonesia Tbk') ON CONFLICT DO NOTHING;</v>
      </c>
    </row>
    <row r="2873" spans="1:6" x14ac:dyDescent="0.2">
      <c r="A2873" t="s">
        <v>1392</v>
      </c>
      <c r="B2873" t="s">
        <v>3650</v>
      </c>
      <c r="C2873" t="s">
        <v>1392</v>
      </c>
      <c r="D2873" t="str">
        <f>TRIM(alias[[#This Row],[Column3]])</f>
        <v>PORT</v>
      </c>
      <c r="F2873" t="str">
        <f t="shared" si="44"/>
        <v>INSERT INTO stock_alias (stock, alias) VALUES ((SELECT id FROM stock WHERE ticker = 'PORT'), 'PORT') ON CONFLICT DO NOTHING;</v>
      </c>
    </row>
    <row r="2874" spans="1:6" x14ac:dyDescent="0.2">
      <c r="A2874" t="s">
        <v>1392</v>
      </c>
      <c r="B2874" t="s">
        <v>3650</v>
      </c>
      <c r="C2874" t="s">
        <v>7029</v>
      </c>
      <c r="D2874" t="str">
        <f>TRIM(alias[[#This Row],[Column3]])</f>
        <v>Nusantara Pelabuhan Handal</v>
      </c>
      <c r="F2874" t="str">
        <f t="shared" si="44"/>
        <v>INSERT INTO stock_alias (stock, alias) VALUES ((SELECT id FROM stock WHERE ticker = 'PORT'), 'Nusantara Pelabuhan Handal') ON CONFLICT DO NOTHING;</v>
      </c>
    </row>
    <row r="2875" spans="1:6" x14ac:dyDescent="0.2">
      <c r="A2875" t="s">
        <v>1392</v>
      </c>
      <c r="B2875" t="s">
        <v>3650</v>
      </c>
      <c r="C2875" t="s">
        <v>7030</v>
      </c>
      <c r="D2875" t="str">
        <f>TRIM(alias[[#This Row],[Column3]])</f>
        <v>Nusantara Pelabuhan Handal Tbk</v>
      </c>
      <c r="F2875" t="str">
        <f t="shared" si="44"/>
        <v>INSERT INTO stock_alias (stock, alias) VALUES ((SELECT id FROM stock WHERE ticker = 'PORT'), 'Nusantara Pelabuhan Handal Tbk') ON CONFLICT DO NOTHING;</v>
      </c>
    </row>
    <row r="2876" spans="1:6" x14ac:dyDescent="0.2">
      <c r="A2876" t="s">
        <v>1392</v>
      </c>
      <c r="B2876" t="s">
        <v>3650</v>
      </c>
      <c r="C2876" t="s">
        <v>7031</v>
      </c>
      <c r="D2876" t="str">
        <f>TRIM(alias[[#This Row],[Column3]])</f>
        <v>PT Nusantara Pelabuhan Handal</v>
      </c>
      <c r="F2876" t="str">
        <f t="shared" si="44"/>
        <v>INSERT INTO stock_alias (stock, alias) VALUES ((SELECT id FROM stock WHERE ticker = 'PORT'), 'PT Nusantara Pelabuhan Handal') ON CONFLICT DO NOTHING;</v>
      </c>
    </row>
    <row r="2877" spans="1:6" x14ac:dyDescent="0.2">
      <c r="A2877" t="s">
        <v>1669</v>
      </c>
      <c r="B2877" t="s">
        <v>1670</v>
      </c>
      <c r="C2877" t="s">
        <v>1669</v>
      </c>
      <c r="D2877" t="str">
        <f>TRIM(alias[[#This Row],[Column3]])</f>
        <v>POSA</v>
      </c>
      <c r="F2877" t="str">
        <f t="shared" si="44"/>
        <v>INSERT INTO stock_alias (stock, alias) VALUES ((SELECT id FROM stock WHERE ticker = 'POSA'), 'POSA') ON CONFLICT DO NOTHING;</v>
      </c>
    </row>
    <row r="2878" spans="1:6" x14ac:dyDescent="0.2">
      <c r="A2878" t="s">
        <v>1669</v>
      </c>
      <c r="B2878" t="s">
        <v>1670</v>
      </c>
      <c r="C2878" t="s">
        <v>7032</v>
      </c>
      <c r="D2878" t="str">
        <f>TRIM(alias[[#This Row],[Column3]])</f>
        <v>Bliss Properti Indonesia</v>
      </c>
      <c r="F2878" t="str">
        <f t="shared" si="44"/>
        <v>INSERT INTO stock_alias (stock, alias) VALUES ((SELECT id FROM stock WHERE ticker = 'POSA'), 'Bliss Properti Indonesia') ON CONFLICT DO NOTHING;</v>
      </c>
    </row>
    <row r="2879" spans="1:6" x14ac:dyDescent="0.2">
      <c r="A2879" t="s">
        <v>1669</v>
      </c>
      <c r="B2879" t="s">
        <v>1670</v>
      </c>
      <c r="C2879" t="s">
        <v>7033</v>
      </c>
      <c r="D2879" t="str">
        <f>TRIM(alias[[#This Row],[Column3]])</f>
        <v>Bliss Properti Indonesia Tbk</v>
      </c>
      <c r="F2879" t="str">
        <f t="shared" si="44"/>
        <v>INSERT INTO stock_alias (stock, alias) VALUES ((SELECT id FROM stock WHERE ticker = 'POSA'), 'Bliss Properti Indonesia Tbk') ON CONFLICT DO NOTHING;</v>
      </c>
    </row>
    <row r="2880" spans="1:6" x14ac:dyDescent="0.2">
      <c r="A2880" t="s">
        <v>1669</v>
      </c>
      <c r="B2880" t="s">
        <v>1670</v>
      </c>
      <c r="C2880" t="s">
        <v>7034</v>
      </c>
      <c r="D2880" t="str">
        <f>TRIM(alias[[#This Row],[Column3]])</f>
        <v>PT Bliss Properti Indonesia</v>
      </c>
      <c r="F2880" t="str">
        <f t="shared" si="44"/>
        <v>INSERT INTO stock_alias (stock, alias) VALUES ((SELECT id FROM stock WHERE ticker = 'POSA'), 'PT Bliss Properti Indonesia') ON CONFLICT DO NOTHING;</v>
      </c>
    </row>
    <row r="2881" spans="1:6" x14ac:dyDescent="0.2">
      <c r="A2881" t="s">
        <v>1372</v>
      </c>
      <c r="B2881" t="s">
        <v>1373</v>
      </c>
      <c r="C2881" t="s">
        <v>1372</v>
      </c>
      <c r="D2881" t="str">
        <f>TRIM(alias[[#This Row],[Column3]])</f>
        <v>POWR</v>
      </c>
      <c r="F2881" t="str">
        <f t="shared" si="44"/>
        <v>INSERT INTO stock_alias (stock, alias) VALUES ((SELECT id FROM stock WHERE ticker = 'POWR'), 'POWR') ON CONFLICT DO NOTHING;</v>
      </c>
    </row>
    <row r="2882" spans="1:6" x14ac:dyDescent="0.2">
      <c r="A2882" t="s">
        <v>1372</v>
      </c>
      <c r="B2882" t="s">
        <v>1373</v>
      </c>
      <c r="C2882" t="s">
        <v>7035</v>
      </c>
      <c r="D2882" t="str">
        <f>TRIM(alias[[#This Row],[Column3]])</f>
        <v>Cikarang Listrindo</v>
      </c>
      <c r="F2882" t="str">
        <f t="shared" si="44"/>
        <v>INSERT INTO stock_alias (stock, alias) VALUES ((SELECT id FROM stock WHERE ticker = 'POWR'), 'Cikarang Listrindo') ON CONFLICT DO NOTHING;</v>
      </c>
    </row>
    <row r="2883" spans="1:6" x14ac:dyDescent="0.2">
      <c r="A2883" t="s">
        <v>1372</v>
      </c>
      <c r="B2883" t="s">
        <v>1373</v>
      </c>
      <c r="C2883" t="s">
        <v>7036</v>
      </c>
      <c r="D2883" t="str">
        <f>TRIM(alias[[#This Row],[Column3]])</f>
        <v>Cikarang Listrindo Tbk</v>
      </c>
      <c r="F2883" t="str">
        <f t="shared" ref="F2883:F2946" si="45">_xlfn.CONCAT($F$1, _xlfn.CONCAT($G$1, A2883, "'), '", D2883, "') ON CONFLICT DO NOTHING;"))</f>
        <v>INSERT INTO stock_alias (stock, alias) VALUES ((SELECT id FROM stock WHERE ticker = 'POWR'), 'Cikarang Listrindo Tbk') ON CONFLICT DO NOTHING;</v>
      </c>
    </row>
    <row r="2884" spans="1:6" x14ac:dyDescent="0.2">
      <c r="A2884" t="s">
        <v>1372</v>
      </c>
      <c r="B2884" t="s">
        <v>1373</v>
      </c>
      <c r="C2884" t="s">
        <v>7037</v>
      </c>
      <c r="D2884" t="str">
        <f>TRIM(alias[[#This Row],[Column3]])</f>
        <v>PT Cikarang Listrindo</v>
      </c>
      <c r="F2884" t="str">
        <f t="shared" si="45"/>
        <v>INSERT INTO stock_alias (stock, alias) VALUES ((SELECT id FROM stock WHERE ticker = 'POWR'), 'PT Cikarang Listrindo') ON CONFLICT DO NOTHING;</v>
      </c>
    </row>
    <row r="2885" spans="1:6" x14ac:dyDescent="0.2">
      <c r="A2885" t="s">
        <v>1862</v>
      </c>
      <c r="B2885" t="s">
        <v>1863</v>
      </c>
      <c r="C2885" t="s">
        <v>1862</v>
      </c>
      <c r="D2885" t="str">
        <f>TRIM(alias[[#This Row],[Column3]])</f>
        <v>PPGL</v>
      </c>
      <c r="F2885" t="str">
        <f t="shared" si="45"/>
        <v>INSERT INTO stock_alias (stock, alias) VALUES ((SELECT id FROM stock WHERE ticker = 'PPGL'), 'PPGL') ON CONFLICT DO NOTHING;</v>
      </c>
    </row>
    <row r="2886" spans="1:6" x14ac:dyDescent="0.2">
      <c r="A2886" t="s">
        <v>1862</v>
      </c>
      <c r="B2886" t="s">
        <v>1863</v>
      </c>
      <c r="C2886" t="s">
        <v>7038</v>
      </c>
      <c r="D2886" t="str">
        <f>TRIM(alias[[#This Row],[Column3]])</f>
        <v>PT Prima Globalindo Logistik</v>
      </c>
      <c r="F2886" t="str">
        <f t="shared" si="45"/>
        <v>INSERT INTO stock_alias (stock, alias) VALUES ((SELECT id FROM stock WHERE ticker = 'PPGL'), 'PT Prima Globalindo Logistik') ON CONFLICT DO NOTHING;</v>
      </c>
    </row>
    <row r="2887" spans="1:6" x14ac:dyDescent="0.2">
      <c r="A2887" t="s">
        <v>1862</v>
      </c>
      <c r="B2887" t="s">
        <v>1863</v>
      </c>
      <c r="C2887" t="s">
        <v>7039</v>
      </c>
      <c r="D2887" t="str">
        <f>TRIM(alias[[#This Row],[Column3]])</f>
        <v>Prima Globalindo Logistik</v>
      </c>
      <c r="F2887" t="str">
        <f t="shared" si="45"/>
        <v>INSERT INTO stock_alias (stock, alias) VALUES ((SELECT id FROM stock WHERE ticker = 'PPGL'), 'Prima Globalindo Logistik') ON CONFLICT DO NOTHING;</v>
      </c>
    </row>
    <row r="2888" spans="1:6" x14ac:dyDescent="0.2">
      <c r="A2888" t="s">
        <v>1862</v>
      </c>
      <c r="B2888" t="s">
        <v>1863</v>
      </c>
      <c r="C2888" t="s">
        <v>7040</v>
      </c>
      <c r="D2888" t="str">
        <f>TRIM(alias[[#This Row],[Column3]])</f>
        <v>Prima Globalindo Logistik Tbk</v>
      </c>
      <c r="F2888" t="str">
        <f t="shared" si="45"/>
        <v>INSERT INTO stock_alias (stock, alias) VALUES ((SELECT id FROM stock WHERE ticker = 'PPGL'), 'Prima Globalindo Logistik Tbk') ON CONFLICT DO NOTHING;</v>
      </c>
    </row>
    <row r="2889" spans="1:6" x14ac:dyDescent="0.2">
      <c r="A2889" t="s">
        <v>1465</v>
      </c>
      <c r="B2889" t="s">
        <v>1466</v>
      </c>
      <c r="C2889" t="s">
        <v>1465</v>
      </c>
      <c r="D2889" t="str">
        <f>TRIM(alias[[#This Row],[Column3]])</f>
        <v>PPRE</v>
      </c>
      <c r="F2889" t="str">
        <f t="shared" si="45"/>
        <v>INSERT INTO stock_alias (stock, alias) VALUES ((SELECT id FROM stock WHERE ticker = 'PPRE'), 'PPRE') ON CONFLICT DO NOTHING;</v>
      </c>
    </row>
    <row r="2890" spans="1:6" x14ac:dyDescent="0.2">
      <c r="A2890" t="s">
        <v>1465</v>
      </c>
      <c r="B2890" t="s">
        <v>1466</v>
      </c>
      <c r="C2890" t="s">
        <v>7041</v>
      </c>
      <c r="D2890" t="str">
        <f>TRIM(alias[[#This Row],[Column3]])</f>
        <v>PP Presisi</v>
      </c>
      <c r="F2890" t="str">
        <f t="shared" si="45"/>
        <v>INSERT INTO stock_alias (stock, alias) VALUES ((SELECT id FROM stock WHERE ticker = 'PPRE'), 'PP Presisi') ON CONFLICT DO NOTHING;</v>
      </c>
    </row>
    <row r="2891" spans="1:6" x14ac:dyDescent="0.2">
      <c r="A2891" t="s">
        <v>1465</v>
      </c>
      <c r="B2891" t="s">
        <v>1466</v>
      </c>
      <c r="C2891" t="s">
        <v>7042</v>
      </c>
      <c r="D2891" t="str">
        <f>TRIM(alias[[#This Row],[Column3]])</f>
        <v>PP Presisi Tbk</v>
      </c>
      <c r="F2891" t="str">
        <f t="shared" si="45"/>
        <v>INSERT INTO stock_alias (stock, alias) VALUES ((SELECT id FROM stock WHERE ticker = 'PPRE'), 'PP Presisi Tbk') ON CONFLICT DO NOTHING;</v>
      </c>
    </row>
    <row r="2892" spans="1:6" x14ac:dyDescent="0.2">
      <c r="A2892" t="s">
        <v>1465</v>
      </c>
      <c r="B2892" t="s">
        <v>1466</v>
      </c>
      <c r="C2892" t="s">
        <v>7043</v>
      </c>
      <c r="D2892" t="str">
        <f>TRIM(alias[[#This Row],[Column3]])</f>
        <v>PT PP Presisi</v>
      </c>
      <c r="F2892" t="str">
        <f t="shared" si="45"/>
        <v>INSERT INTO stock_alias (stock, alias) VALUES ((SELECT id FROM stock WHERE ticker = 'PPRE'), 'PT PP Presisi') ON CONFLICT DO NOTHING;</v>
      </c>
    </row>
    <row r="2893" spans="1:6" x14ac:dyDescent="0.2">
      <c r="A2893" t="s">
        <v>2351</v>
      </c>
      <c r="B2893" t="s">
        <v>2352</v>
      </c>
      <c r="C2893" t="s">
        <v>2351</v>
      </c>
      <c r="D2893" t="str">
        <f>TRIM(alias[[#This Row],[Column3]])</f>
        <v>PPRI</v>
      </c>
      <c r="F2893" t="str">
        <f t="shared" si="45"/>
        <v>INSERT INTO stock_alias (stock, alias) VALUES ((SELECT id FROM stock WHERE ticker = 'PPRI'), 'PPRI') ON CONFLICT DO NOTHING;</v>
      </c>
    </row>
    <row r="2894" spans="1:6" x14ac:dyDescent="0.2">
      <c r="A2894" t="s">
        <v>2351</v>
      </c>
      <c r="B2894" t="s">
        <v>2352</v>
      </c>
      <c r="C2894" t="s">
        <v>7044</v>
      </c>
      <c r="D2894" t="str">
        <f>TRIM(alias[[#This Row],[Column3]])</f>
        <v>PT Paperocks Indonesia</v>
      </c>
      <c r="F2894" t="str">
        <f t="shared" si="45"/>
        <v>INSERT INTO stock_alias (stock, alias) VALUES ((SELECT id FROM stock WHERE ticker = 'PPRI'), 'PT Paperocks Indonesia') ON CONFLICT DO NOTHING;</v>
      </c>
    </row>
    <row r="2895" spans="1:6" x14ac:dyDescent="0.2">
      <c r="A2895" t="s">
        <v>2351</v>
      </c>
      <c r="B2895" t="s">
        <v>2352</v>
      </c>
      <c r="C2895" t="s">
        <v>7045</v>
      </c>
      <c r="D2895" t="str">
        <f>TRIM(alias[[#This Row],[Column3]])</f>
        <v>Paperocks Indonesia</v>
      </c>
      <c r="F2895" t="str">
        <f t="shared" si="45"/>
        <v>INSERT INTO stock_alias (stock, alias) VALUES ((SELECT id FROM stock WHERE ticker = 'PPRI'), 'Paperocks Indonesia') ON CONFLICT DO NOTHING;</v>
      </c>
    </row>
    <row r="2896" spans="1:6" x14ac:dyDescent="0.2">
      <c r="A2896" t="s">
        <v>2351</v>
      </c>
      <c r="B2896" t="s">
        <v>2352</v>
      </c>
      <c r="C2896" t="s">
        <v>7046</v>
      </c>
      <c r="D2896" t="str">
        <f>TRIM(alias[[#This Row],[Column3]])</f>
        <v>Paperocks Indonesia Tbk</v>
      </c>
      <c r="F2896" t="str">
        <f t="shared" si="45"/>
        <v>INSERT INTO stock_alias (stock, alias) VALUES ((SELECT id FROM stock WHERE ticker = 'PPRI'), 'Paperocks Indonesia Tbk') ON CONFLICT DO NOTHING;</v>
      </c>
    </row>
    <row r="2897" spans="1:6" x14ac:dyDescent="0.2">
      <c r="A2897" t="s">
        <v>2690</v>
      </c>
      <c r="B2897" t="s">
        <v>2691</v>
      </c>
      <c r="C2897" t="s">
        <v>2690</v>
      </c>
      <c r="D2897" t="str">
        <f>TRIM(alias[[#This Row],[Column3]])</f>
        <v>PPRO</v>
      </c>
      <c r="F2897" t="str">
        <f t="shared" si="45"/>
        <v>INSERT INTO stock_alias (stock, alias) VALUES ((SELECT id FROM stock WHERE ticker = 'PPRO'), 'PPRO') ON CONFLICT DO NOTHING;</v>
      </c>
    </row>
    <row r="2898" spans="1:6" x14ac:dyDescent="0.2">
      <c r="A2898" t="s">
        <v>2690</v>
      </c>
      <c r="B2898" t="s">
        <v>2691</v>
      </c>
      <c r="C2898" t="s">
        <v>7047</v>
      </c>
      <c r="D2898" t="str">
        <f>TRIM(alias[[#This Row],[Column3]])</f>
        <v>PP Properti</v>
      </c>
      <c r="F2898" t="str">
        <f t="shared" si="45"/>
        <v>INSERT INTO stock_alias (stock, alias) VALUES ((SELECT id FROM stock WHERE ticker = 'PPRO'), 'PP Properti') ON CONFLICT DO NOTHING;</v>
      </c>
    </row>
    <row r="2899" spans="1:6" x14ac:dyDescent="0.2">
      <c r="A2899" t="s">
        <v>2690</v>
      </c>
      <c r="B2899" t="s">
        <v>2691</v>
      </c>
      <c r="C2899" t="s">
        <v>7048</v>
      </c>
      <c r="D2899" t="str">
        <f>TRIM(alias[[#This Row],[Column3]])</f>
        <v>PP Properti Tbk</v>
      </c>
      <c r="F2899" t="str">
        <f t="shared" si="45"/>
        <v>INSERT INTO stock_alias (stock, alias) VALUES ((SELECT id FROM stock WHERE ticker = 'PPRO'), 'PP Properti Tbk') ON CONFLICT DO NOTHING;</v>
      </c>
    </row>
    <row r="2900" spans="1:6" x14ac:dyDescent="0.2">
      <c r="A2900" t="s">
        <v>2690</v>
      </c>
      <c r="B2900" t="s">
        <v>2691</v>
      </c>
      <c r="C2900" t="s">
        <v>7049</v>
      </c>
      <c r="D2900" t="str">
        <f>TRIM(alias[[#This Row],[Column3]])</f>
        <v>PT PP Properti</v>
      </c>
      <c r="F2900" t="str">
        <f t="shared" si="45"/>
        <v>INSERT INTO stock_alias (stock, alias) VALUES ((SELECT id FROM stock WHERE ticker = 'PPRO'), 'PT PP Properti') ON CONFLICT DO NOTHING;</v>
      </c>
    </row>
    <row r="2901" spans="1:6" x14ac:dyDescent="0.2">
      <c r="A2901" t="s">
        <v>2176</v>
      </c>
      <c r="B2901" t="s">
        <v>2177</v>
      </c>
      <c r="C2901" t="s">
        <v>2176</v>
      </c>
      <c r="D2901" t="str">
        <f>TRIM(alias[[#This Row],[Column3]])</f>
        <v>PRAY</v>
      </c>
      <c r="F2901" t="str">
        <f t="shared" si="45"/>
        <v>INSERT INTO stock_alias (stock, alias) VALUES ((SELECT id FROM stock WHERE ticker = 'PRAY'), 'PRAY') ON CONFLICT DO NOTHING;</v>
      </c>
    </row>
    <row r="2902" spans="1:6" x14ac:dyDescent="0.2">
      <c r="A2902" t="s">
        <v>2176</v>
      </c>
      <c r="B2902" t="s">
        <v>2177</v>
      </c>
      <c r="C2902" t="s">
        <v>7050</v>
      </c>
      <c r="D2902" t="str">
        <f>TRIM(alias[[#This Row],[Column3]])</f>
        <v>Famon Awal Bros Sedaya</v>
      </c>
      <c r="F2902" t="str">
        <f t="shared" si="45"/>
        <v>INSERT INTO stock_alias (stock, alias) VALUES ((SELECT id FROM stock WHERE ticker = 'PRAY'), 'Famon Awal Bros Sedaya') ON CONFLICT DO NOTHING;</v>
      </c>
    </row>
    <row r="2903" spans="1:6" x14ac:dyDescent="0.2">
      <c r="A2903" t="s">
        <v>2176</v>
      </c>
      <c r="B2903" t="s">
        <v>2177</v>
      </c>
      <c r="C2903" t="s">
        <v>7051</v>
      </c>
      <c r="D2903" t="str">
        <f>TRIM(alias[[#This Row],[Column3]])</f>
        <v>Famon Awal Bros Sedaya Tbk</v>
      </c>
      <c r="F2903" t="str">
        <f t="shared" si="45"/>
        <v>INSERT INTO stock_alias (stock, alias) VALUES ((SELECT id FROM stock WHERE ticker = 'PRAY'), 'Famon Awal Bros Sedaya Tbk') ON CONFLICT DO NOTHING;</v>
      </c>
    </row>
    <row r="2904" spans="1:6" x14ac:dyDescent="0.2">
      <c r="A2904" t="s">
        <v>2176</v>
      </c>
      <c r="B2904" t="s">
        <v>2177</v>
      </c>
      <c r="C2904" t="s">
        <v>7052</v>
      </c>
      <c r="D2904" t="str">
        <f>TRIM(alias[[#This Row],[Column3]])</f>
        <v>PT Famon Awal Bros Sedaya</v>
      </c>
      <c r="F2904" t="str">
        <f t="shared" si="45"/>
        <v>INSERT INTO stock_alias (stock, alias) VALUES ((SELECT id FROM stock WHERE ticker = 'PRAY'), 'PT Famon Awal Bros Sedaya') ON CONFLICT DO NOTHING;</v>
      </c>
    </row>
    <row r="2905" spans="1:6" x14ac:dyDescent="0.2">
      <c r="A2905" t="s">
        <v>1383</v>
      </c>
      <c r="B2905" t="s">
        <v>1384</v>
      </c>
      <c r="C2905" t="s">
        <v>1383</v>
      </c>
      <c r="D2905" t="str">
        <f>TRIM(alias[[#This Row],[Column3]])</f>
        <v>PRDA</v>
      </c>
      <c r="F2905" t="str">
        <f t="shared" si="45"/>
        <v>INSERT INTO stock_alias (stock, alias) VALUES ((SELECT id FROM stock WHERE ticker = 'PRDA'), 'PRDA') ON CONFLICT DO NOTHING;</v>
      </c>
    </row>
    <row r="2906" spans="1:6" x14ac:dyDescent="0.2">
      <c r="A2906" t="s">
        <v>1383</v>
      </c>
      <c r="B2906" t="s">
        <v>1384</v>
      </c>
      <c r="C2906" t="s">
        <v>7053</v>
      </c>
      <c r="D2906" t="str">
        <f>TRIM(alias[[#This Row],[Column3]])</f>
        <v>PT Prodia Widyahusada</v>
      </c>
      <c r="F2906" t="str">
        <f t="shared" si="45"/>
        <v>INSERT INTO stock_alias (stock, alias) VALUES ((SELECT id FROM stock WHERE ticker = 'PRDA'), 'PT Prodia Widyahusada') ON CONFLICT DO NOTHING;</v>
      </c>
    </row>
    <row r="2907" spans="1:6" x14ac:dyDescent="0.2">
      <c r="A2907" t="s">
        <v>1383</v>
      </c>
      <c r="B2907" t="s">
        <v>1384</v>
      </c>
      <c r="C2907" t="s">
        <v>7054</v>
      </c>
      <c r="D2907" t="str">
        <f>TRIM(alias[[#This Row],[Column3]])</f>
        <v>Prodia Widyahusada</v>
      </c>
      <c r="F2907" t="str">
        <f t="shared" si="45"/>
        <v>INSERT INTO stock_alias (stock, alias) VALUES ((SELECT id FROM stock WHERE ticker = 'PRDA'), 'Prodia Widyahusada') ON CONFLICT DO NOTHING;</v>
      </c>
    </row>
    <row r="2908" spans="1:6" x14ac:dyDescent="0.2">
      <c r="A2908" t="s">
        <v>1383</v>
      </c>
      <c r="B2908" t="s">
        <v>1384</v>
      </c>
      <c r="C2908" t="s">
        <v>7055</v>
      </c>
      <c r="D2908" t="str">
        <f>TRIM(alias[[#This Row],[Column3]])</f>
        <v>Prodia Widyahusada Tbk</v>
      </c>
      <c r="F2908" t="str">
        <f t="shared" si="45"/>
        <v>INSERT INTO stock_alias (stock, alias) VALUES ((SELECT id FROM stock WHERE ticker = 'PRDA'), 'Prodia Widyahusada Tbk') ON CONFLICT DO NOTHING;</v>
      </c>
    </row>
    <row r="2909" spans="1:6" x14ac:dyDescent="0.2">
      <c r="A2909" t="s">
        <v>1521</v>
      </c>
      <c r="B2909" t="s">
        <v>1522</v>
      </c>
      <c r="C2909" t="s">
        <v>1521</v>
      </c>
      <c r="D2909" t="str">
        <f>TRIM(alias[[#This Row],[Column3]])</f>
        <v>PRIM</v>
      </c>
      <c r="F2909" t="str">
        <f t="shared" si="45"/>
        <v>INSERT INTO stock_alias (stock, alias) VALUES ((SELECT id FROM stock WHERE ticker = 'PRIM'), 'PRIM') ON CONFLICT DO NOTHING;</v>
      </c>
    </row>
    <row r="2910" spans="1:6" x14ac:dyDescent="0.2">
      <c r="A2910" t="s">
        <v>1521</v>
      </c>
      <c r="B2910" t="s">
        <v>1522</v>
      </c>
      <c r="C2910" t="s">
        <v>7056</v>
      </c>
      <c r="D2910" t="str">
        <f>TRIM(alias[[#This Row],[Column3]])</f>
        <v>PT Royal Prima</v>
      </c>
      <c r="F2910" t="str">
        <f t="shared" si="45"/>
        <v>INSERT INTO stock_alias (stock, alias) VALUES ((SELECT id FROM stock WHERE ticker = 'PRIM'), 'PT Royal Prima') ON CONFLICT DO NOTHING;</v>
      </c>
    </row>
    <row r="2911" spans="1:6" x14ac:dyDescent="0.2">
      <c r="A2911" t="s">
        <v>1521</v>
      </c>
      <c r="B2911" t="s">
        <v>1522</v>
      </c>
      <c r="C2911" t="s">
        <v>7057</v>
      </c>
      <c r="D2911" t="str">
        <f>TRIM(alias[[#This Row],[Column3]])</f>
        <v>Royal Prima</v>
      </c>
      <c r="F2911" t="str">
        <f t="shared" si="45"/>
        <v>INSERT INTO stock_alias (stock, alias) VALUES ((SELECT id FROM stock WHERE ticker = 'PRIM'), 'Royal Prima') ON CONFLICT DO NOTHING;</v>
      </c>
    </row>
    <row r="2912" spans="1:6" x14ac:dyDescent="0.2">
      <c r="A2912" t="s">
        <v>1521</v>
      </c>
      <c r="B2912" t="s">
        <v>1522</v>
      </c>
      <c r="C2912" t="s">
        <v>7058</v>
      </c>
      <c r="D2912" t="str">
        <f>TRIM(alias[[#This Row],[Column3]])</f>
        <v>Royal Prima Tbk</v>
      </c>
      <c r="F2912" t="str">
        <f t="shared" si="45"/>
        <v>INSERT INTO stock_alias (stock, alias) VALUES ((SELECT id FROM stock WHERE ticker = 'PRIM'), 'Royal Prima Tbk') ON CONFLICT DO NOTHING;</v>
      </c>
    </row>
    <row r="2913" spans="1:6" x14ac:dyDescent="0.2">
      <c r="A2913" t="s">
        <v>995</v>
      </c>
      <c r="B2913" t="s">
        <v>996</v>
      </c>
      <c r="C2913" t="s">
        <v>995</v>
      </c>
      <c r="D2913" t="str">
        <f>TRIM(alias[[#This Row],[Column3]])</f>
        <v>PSAB</v>
      </c>
      <c r="F2913" t="str">
        <f t="shared" si="45"/>
        <v>INSERT INTO stock_alias (stock, alias) VALUES ((SELECT id FROM stock WHERE ticker = 'PSAB'), 'PSAB') ON CONFLICT DO NOTHING;</v>
      </c>
    </row>
    <row r="2914" spans="1:6" x14ac:dyDescent="0.2">
      <c r="A2914" t="s">
        <v>995</v>
      </c>
      <c r="B2914" t="s">
        <v>996</v>
      </c>
      <c r="C2914" t="s">
        <v>7059</v>
      </c>
      <c r="D2914" t="str">
        <f>TRIM(alias[[#This Row],[Column3]])</f>
        <v>J Resources Asia Pasifik</v>
      </c>
      <c r="F2914" t="str">
        <f t="shared" si="45"/>
        <v>INSERT INTO stock_alias (stock, alias) VALUES ((SELECT id FROM stock WHERE ticker = 'PSAB'), 'J Resources Asia Pasifik') ON CONFLICT DO NOTHING;</v>
      </c>
    </row>
    <row r="2915" spans="1:6" x14ac:dyDescent="0.2">
      <c r="A2915" t="s">
        <v>995</v>
      </c>
      <c r="B2915" t="s">
        <v>996</v>
      </c>
      <c r="C2915" t="s">
        <v>7060</v>
      </c>
      <c r="D2915" t="str">
        <f>TRIM(alias[[#This Row],[Column3]])</f>
        <v>J Resources Asia Pasifik Tbk</v>
      </c>
      <c r="F2915" t="str">
        <f t="shared" si="45"/>
        <v>INSERT INTO stock_alias (stock, alias) VALUES ((SELECT id FROM stock WHERE ticker = 'PSAB'), 'J Resources Asia Pasifik Tbk') ON CONFLICT DO NOTHING;</v>
      </c>
    </row>
    <row r="2916" spans="1:6" x14ac:dyDescent="0.2">
      <c r="A2916" t="s">
        <v>995</v>
      </c>
      <c r="B2916" t="s">
        <v>996</v>
      </c>
      <c r="C2916" t="s">
        <v>7061</v>
      </c>
      <c r="D2916" t="str">
        <f>TRIM(alias[[#This Row],[Column3]])</f>
        <v>PT J Resources Asia Pasifik</v>
      </c>
      <c r="F2916" t="str">
        <f t="shared" si="45"/>
        <v>INSERT INTO stock_alias (stock, alias) VALUES ((SELECT id FROM stock WHERE ticker = 'PSAB'), 'PT J Resources Asia Pasifik') ON CONFLICT DO NOTHING;</v>
      </c>
    </row>
    <row r="2917" spans="1:6" x14ac:dyDescent="0.2">
      <c r="A2917" t="s">
        <v>2539</v>
      </c>
      <c r="B2917" t="s">
        <v>3651</v>
      </c>
      <c r="C2917" t="s">
        <v>2539</v>
      </c>
      <c r="D2917" t="str">
        <f>TRIM(alias[[#This Row],[Column3]])</f>
        <v>PSAT</v>
      </c>
      <c r="F2917" t="str">
        <f t="shared" si="45"/>
        <v>INSERT INTO stock_alias (stock, alias) VALUES ((SELECT id FROM stock WHERE ticker = 'PSAT'), 'PSAT') ON CONFLICT DO NOTHING;</v>
      </c>
    </row>
    <row r="2918" spans="1:6" x14ac:dyDescent="0.2">
      <c r="A2918" t="s">
        <v>2539</v>
      </c>
      <c r="B2918" t="s">
        <v>3651</v>
      </c>
      <c r="C2918" t="s">
        <v>7062</v>
      </c>
      <c r="D2918" t="str">
        <f>TRIM(alias[[#This Row],[Column3]])</f>
        <v>PT Pancaran Samudera Transport</v>
      </c>
      <c r="F2918" t="str">
        <f t="shared" si="45"/>
        <v>INSERT INTO stock_alias (stock, alias) VALUES ((SELECT id FROM stock WHERE ticker = 'PSAT'), 'PT Pancaran Samudera Transport') ON CONFLICT DO NOTHING;</v>
      </c>
    </row>
    <row r="2919" spans="1:6" x14ac:dyDescent="0.2">
      <c r="A2919" t="s">
        <v>2539</v>
      </c>
      <c r="B2919" t="s">
        <v>3651</v>
      </c>
      <c r="C2919" t="s">
        <v>7063</v>
      </c>
      <c r="D2919" t="str">
        <f>TRIM(alias[[#This Row],[Column3]])</f>
        <v>Pancaran Samudera Transport</v>
      </c>
      <c r="F2919" t="str">
        <f t="shared" si="45"/>
        <v>INSERT INTO stock_alias (stock, alias) VALUES ((SELECT id FROM stock WHERE ticker = 'PSAT'), 'Pancaran Samudera Transport') ON CONFLICT DO NOTHING;</v>
      </c>
    </row>
    <row r="2920" spans="1:6" x14ac:dyDescent="0.2">
      <c r="A2920" t="s">
        <v>2539</v>
      </c>
      <c r="B2920" t="s">
        <v>3651</v>
      </c>
      <c r="C2920" t="s">
        <v>7064</v>
      </c>
      <c r="D2920" t="str">
        <f>TRIM(alias[[#This Row],[Column3]])</f>
        <v>Pancaran Samudera Transport Tbk</v>
      </c>
      <c r="F2920" t="str">
        <f t="shared" si="45"/>
        <v>INSERT INTO stock_alias (stock, alias) VALUES ((SELECT id FROM stock WHERE ticker = 'PSAT'), 'Pancaran Samudera Transport Tbk') ON CONFLICT DO NOTHING;</v>
      </c>
    </row>
    <row r="2921" spans="1:6" x14ac:dyDescent="0.2">
      <c r="A2921" t="s">
        <v>998</v>
      </c>
      <c r="B2921" t="s">
        <v>3652</v>
      </c>
      <c r="C2921" t="s">
        <v>998</v>
      </c>
      <c r="D2921" t="str">
        <f>TRIM(alias[[#This Row],[Column3]])</f>
        <v>PSDN</v>
      </c>
      <c r="F2921" t="str">
        <f t="shared" si="45"/>
        <v>INSERT INTO stock_alias (stock, alias) VALUES ((SELECT id FROM stock WHERE ticker = 'PSDN'), 'PSDN') ON CONFLICT DO NOTHING;</v>
      </c>
    </row>
    <row r="2922" spans="1:6" x14ac:dyDescent="0.2">
      <c r="A2922" t="s">
        <v>998</v>
      </c>
      <c r="B2922" t="s">
        <v>3652</v>
      </c>
      <c r="C2922" t="s">
        <v>7065</v>
      </c>
      <c r="D2922" t="str">
        <f>TRIM(alias[[#This Row],[Column3]])</f>
        <v>PT Prasidha Aneka Niaga</v>
      </c>
      <c r="F2922" t="str">
        <f t="shared" si="45"/>
        <v>INSERT INTO stock_alias (stock, alias) VALUES ((SELECT id FROM stock WHERE ticker = 'PSDN'), 'PT Prasidha Aneka Niaga') ON CONFLICT DO NOTHING;</v>
      </c>
    </row>
    <row r="2923" spans="1:6" x14ac:dyDescent="0.2">
      <c r="A2923" t="s">
        <v>998</v>
      </c>
      <c r="B2923" t="s">
        <v>3652</v>
      </c>
      <c r="C2923" t="s">
        <v>7066</v>
      </c>
      <c r="D2923" t="str">
        <f>TRIM(alias[[#This Row],[Column3]])</f>
        <v>Prasidha Aneka Niaga</v>
      </c>
      <c r="F2923" t="str">
        <f t="shared" si="45"/>
        <v>INSERT INTO stock_alias (stock, alias) VALUES ((SELECT id FROM stock WHERE ticker = 'PSDN'), 'Prasidha Aneka Niaga') ON CONFLICT DO NOTHING;</v>
      </c>
    </row>
    <row r="2924" spans="1:6" x14ac:dyDescent="0.2">
      <c r="A2924" t="s">
        <v>998</v>
      </c>
      <c r="B2924" t="s">
        <v>3652</v>
      </c>
      <c r="C2924" t="s">
        <v>7067</v>
      </c>
      <c r="D2924" t="str">
        <f>TRIM(alias[[#This Row],[Column3]])</f>
        <v>Prasidha Aneka Niaga Tbk</v>
      </c>
      <c r="F2924" t="str">
        <f t="shared" si="45"/>
        <v>INSERT INTO stock_alias (stock, alias) VALUES ((SELECT id FROM stock WHERE ticker = 'PSDN'), 'Prasidha Aneka Niaga Tbk') ON CONFLICT DO NOTHING;</v>
      </c>
    </row>
    <row r="2925" spans="1:6" x14ac:dyDescent="0.2">
      <c r="A2925" t="s">
        <v>1771</v>
      </c>
      <c r="B2925" t="s">
        <v>1772</v>
      </c>
      <c r="C2925" t="s">
        <v>1771</v>
      </c>
      <c r="D2925" t="str">
        <f>TRIM(alias[[#This Row],[Column3]])</f>
        <v>PSGO</v>
      </c>
      <c r="F2925" t="str">
        <f t="shared" si="45"/>
        <v>INSERT INTO stock_alias (stock, alias) VALUES ((SELECT id FROM stock WHERE ticker = 'PSGO'), 'PSGO') ON CONFLICT DO NOTHING;</v>
      </c>
    </row>
    <row r="2926" spans="1:6" x14ac:dyDescent="0.2">
      <c r="A2926" t="s">
        <v>1771</v>
      </c>
      <c r="B2926" t="s">
        <v>1772</v>
      </c>
      <c r="C2926" t="s">
        <v>7068</v>
      </c>
      <c r="D2926" t="str">
        <f>TRIM(alias[[#This Row],[Column3]])</f>
        <v>PT Palma Serasih</v>
      </c>
      <c r="F2926" t="str">
        <f t="shared" si="45"/>
        <v>INSERT INTO stock_alias (stock, alias) VALUES ((SELECT id FROM stock WHERE ticker = 'PSGO'), 'PT Palma Serasih') ON CONFLICT DO NOTHING;</v>
      </c>
    </row>
    <row r="2927" spans="1:6" x14ac:dyDescent="0.2">
      <c r="A2927" t="s">
        <v>1771</v>
      </c>
      <c r="B2927" t="s">
        <v>1772</v>
      </c>
      <c r="C2927" t="s">
        <v>7069</v>
      </c>
      <c r="D2927" t="str">
        <f>TRIM(alias[[#This Row],[Column3]])</f>
        <v>Palma Serasih</v>
      </c>
      <c r="F2927" t="str">
        <f t="shared" si="45"/>
        <v>INSERT INTO stock_alias (stock, alias) VALUES ((SELECT id FROM stock WHERE ticker = 'PSGO'), 'Palma Serasih') ON CONFLICT DO NOTHING;</v>
      </c>
    </row>
    <row r="2928" spans="1:6" x14ac:dyDescent="0.2">
      <c r="A2928" t="s">
        <v>1771</v>
      </c>
      <c r="B2928" t="s">
        <v>1772</v>
      </c>
      <c r="C2928" t="s">
        <v>7070</v>
      </c>
      <c r="D2928" t="str">
        <f>TRIM(alias[[#This Row],[Column3]])</f>
        <v>Palma Serasih Tbk</v>
      </c>
      <c r="F2928" t="str">
        <f t="shared" si="45"/>
        <v>INSERT INTO stock_alias (stock, alias) VALUES ((SELECT id FROM stock WHERE ticker = 'PSGO'), 'Palma Serasih Tbk') ON CONFLICT DO NOTHING;</v>
      </c>
    </row>
    <row r="2929" spans="1:6" x14ac:dyDescent="0.2">
      <c r="A2929" t="s">
        <v>1001</v>
      </c>
      <c r="B2929" t="s">
        <v>1002</v>
      </c>
      <c r="C2929" t="s">
        <v>1001</v>
      </c>
      <c r="D2929" t="str">
        <f>TRIM(alias[[#This Row],[Column3]])</f>
        <v>PSKT</v>
      </c>
      <c r="F2929" t="str">
        <f t="shared" si="45"/>
        <v>INSERT INTO stock_alias (stock, alias) VALUES ((SELECT id FROM stock WHERE ticker = 'PSKT'), 'PSKT') ON CONFLICT DO NOTHING;</v>
      </c>
    </row>
    <row r="2930" spans="1:6" x14ac:dyDescent="0.2">
      <c r="A2930" t="s">
        <v>1001</v>
      </c>
      <c r="B2930" t="s">
        <v>1002</v>
      </c>
      <c r="C2930" t="s">
        <v>7071</v>
      </c>
      <c r="D2930" t="str">
        <f>TRIM(alias[[#This Row],[Column3]])</f>
        <v>PT Red Planet Indonesia</v>
      </c>
      <c r="F2930" t="str">
        <f t="shared" si="45"/>
        <v>INSERT INTO stock_alias (stock, alias) VALUES ((SELECT id FROM stock WHERE ticker = 'PSKT'), 'PT Red Planet Indonesia') ON CONFLICT DO NOTHING;</v>
      </c>
    </row>
    <row r="2931" spans="1:6" x14ac:dyDescent="0.2">
      <c r="A2931" t="s">
        <v>1001</v>
      </c>
      <c r="B2931" t="s">
        <v>1002</v>
      </c>
      <c r="C2931" t="s">
        <v>7072</v>
      </c>
      <c r="D2931" t="str">
        <f>TRIM(alias[[#This Row],[Column3]])</f>
        <v>Red Planet Indonesia</v>
      </c>
      <c r="F2931" t="str">
        <f t="shared" si="45"/>
        <v>INSERT INTO stock_alias (stock, alias) VALUES ((SELECT id FROM stock WHERE ticker = 'PSKT'), 'Red Planet Indonesia') ON CONFLICT DO NOTHING;</v>
      </c>
    </row>
    <row r="2932" spans="1:6" x14ac:dyDescent="0.2">
      <c r="A2932" t="s">
        <v>1001</v>
      </c>
      <c r="B2932" t="s">
        <v>1002</v>
      </c>
      <c r="C2932" t="s">
        <v>7073</v>
      </c>
      <c r="D2932" t="str">
        <f>TRIM(alias[[#This Row],[Column3]])</f>
        <v>Red Planet Indonesia Tbk</v>
      </c>
      <c r="F2932" t="str">
        <f t="shared" si="45"/>
        <v>INSERT INTO stock_alias (stock, alias) VALUES ((SELECT id FROM stock WHERE ticker = 'PSKT'), 'Red Planet Indonesia Tbk') ON CONFLICT DO NOTHING;</v>
      </c>
    </row>
    <row r="2933" spans="1:6" x14ac:dyDescent="0.2">
      <c r="A2933" t="s">
        <v>1470</v>
      </c>
      <c r="B2933" t="s">
        <v>1471</v>
      </c>
      <c r="C2933" t="s">
        <v>1470</v>
      </c>
      <c r="D2933" t="str">
        <f>TRIM(alias[[#This Row],[Column3]])</f>
        <v>PSSI</v>
      </c>
      <c r="F2933" t="str">
        <f t="shared" si="45"/>
        <v>INSERT INTO stock_alias (stock, alias) VALUES ((SELECT id FROM stock WHERE ticker = 'PSSI'), 'PSSI') ON CONFLICT DO NOTHING;</v>
      </c>
    </row>
    <row r="2934" spans="1:6" x14ac:dyDescent="0.2">
      <c r="A2934" t="s">
        <v>1470</v>
      </c>
      <c r="B2934" t="s">
        <v>1471</v>
      </c>
      <c r="C2934" t="s">
        <v>7074</v>
      </c>
      <c r="D2934" t="str">
        <f>TRIM(alias[[#This Row],[Column3]])</f>
        <v>IMC Pelita Logistik</v>
      </c>
      <c r="F2934" t="str">
        <f t="shared" si="45"/>
        <v>INSERT INTO stock_alias (stock, alias) VALUES ((SELECT id FROM stock WHERE ticker = 'PSSI'), 'IMC Pelita Logistik') ON CONFLICT DO NOTHING;</v>
      </c>
    </row>
    <row r="2935" spans="1:6" x14ac:dyDescent="0.2">
      <c r="A2935" t="s">
        <v>1470</v>
      </c>
      <c r="B2935" t="s">
        <v>1471</v>
      </c>
      <c r="C2935" t="s">
        <v>7075</v>
      </c>
      <c r="D2935" t="str">
        <f>TRIM(alias[[#This Row],[Column3]])</f>
        <v>IMC Pelita Logistik Tbk</v>
      </c>
      <c r="F2935" t="str">
        <f t="shared" si="45"/>
        <v>INSERT INTO stock_alias (stock, alias) VALUES ((SELECT id FROM stock WHERE ticker = 'PSSI'), 'IMC Pelita Logistik Tbk') ON CONFLICT DO NOTHING;</v>
      </c>
    </row>
    <row r="2936" spans="1:6" x14ac:dyDescent="0.2">
      <c r="A2936" t="s">
        <v>1470</v>
      </c>
      <c r="B2936" t="s">
        <v>1471</v>
      </c>
      <c r="C2936" t="s">
        <v>7076</v>
      </c>
      <c r="D2936" t="str">
        <f>TRIM(alias[[#This Row],[Column3]])</f>
        <v>PT IMC Pelita Logistik</v>
      </c>
      <c r="F2936" t="str">
        <f t="shared" si="45"/>
        <v>INSERT INTO stock_alias (stock, alias) VALUES ((SELECT id FROM stock WHERE ticker = 'PSSI'), 'PT IMC Pelita Logistik') ON CONFLICT DO NOTHING;</v>
      </c>
    </row>
    <row r="2937" spans="1:6" x14ac:dyDescent="0.2">
      <c r="A2937" t="s">
        <v>1004</v>
      </c>
      <c r="B2937" t="s">
        <v>1005</v>
      </c>
      <c r="C2937" t="s">
        <v>1004</v>
      </c>
      <c r="D2937" t="str">
        <f>TRIM(alias[[#This Row],[Column3]])</f>
        <v>PTBA</v>
      </c>
      <c r="F2937" t="str">
        <f t="shared" si="45"/>
        <v>INSERT INTO stock_alias (stock, alias) VALUES ((SELECT id FROM stock WHERE ticker = 'PTBA'), 'PTBA') ON CONFLICT DO NOTHING;</v>
      </c>
    </row>
    <row r="2938" spans="1:6" x14ac:dyDescent="0.2">
      <c r="A2938" t="s">
        <v>1004</v>
      </c>
      <c r="B2938" t="s">
        <v>1005</v>
      </c>
      <c r="C2938" t="s">
        <v>7077</v>
      </c>
      <c r="D2938" t="str">
        <f>TRIM(alias[[#This Row],[Column3]])</f>
        <v>Bukit Asam (Persero)</v>
      </c>
      <c r="F2938" t="str">
        <f t="shared" si="45"/>
        <v>INSERT INTO stock_alias (stock, alias) VALUES ((SELECT id FROM stock WHERE ticker = 'PTBA'), 'Bukit Asam (Persero)') ON CONFLICT DO NOTHING;</v>
      </c>
    </row>
    <row r="2939" spans="1:6" x14ac:dyDescent="0.2">
      <c r="A2939" t="s">
        <v>1004</v>
      </c>
      <c r="B2939" t="s">
        <v>1005</v>
      </c>
      <c r="C2939" t="s">
        <v>7078</v>
      </c>
      <c r="D2939" t="str">
        <f>TRIM(alias[[#This Row],[Column3]])</f>
        <v>Bukit Asam (Persero) Tbk</v>
      </c>
      <c r="F2939" t="str">
        <f t="shared" si="45"/>
        <v>INSERT INTO stock_alias (stock, alias) VALUES ((SELECT id FROM stock WHERE ticker = 'PTBA'), 'Bukit Asam (Persero) Tbk') ON CONFLICT DO NOTHING;</v>
      </c>
    </row>
    <row r="2940" spans="1:6" x14ac:dyDescent="0.2">
      <c r="A2940" t="s">
        <v>1004</v>
      </c>
      <c r="B2940" t="s">
        <v>1005</v>
      </c>
      <c r="C2940" t="s">
        <v>7079</v>
      </c>
      <c r="D2940" t="str">
        <f>TRIM(alias[[#This Row],[Column3]])</f>
        <v>PT Bukit Asam (Persero)</v>
      </c>
      <c r="F2940" t="str">
        <f t="shared" si="45"/>
        <v>INSERT INTO stock_alias (stock, alias) VALUES ((SELECT id FROM stock WHERE ticker = 'PTBA'), 'PT Bukit Asam (Persero)') ON CONFLICT DO NOTHING;</v>
      </c>
    </row>
    <row r="2941" spans="1:6" x14ac:dyDescent="0.2">
      <c r="A2941" t="s">
        <v>1899</v>
      </c>
      <c r="B2941" t="s">
        <v>1900</v>
      </c>
      <c r="C2941" t="s">
        <v>1899</v>
      </c>
      <c r="D2941" t="str">
        <f>TRIM(alias[[#This Row],[Column3]])</f>
        <v>PTDU</v>
      </c>
      <c r="F2941" t="str">
        <f t="shared" si="45"/>
        <v>INSERT INTO stock_alias (stock, alias) VALUES ((SELECT id FROM stock WHERE ticker = 'PTDU'), 'PTDU') ON CONFLICT DO NOTHING;</v>
      </c>
    </row>
    <row r="2942" spans="1:6" x14ac:dyDescent="0.2">
      <c r="A2942" t="s">
        <v>1899</v>
      </c>
      <c r="B2942" t="s">
        <v>1900</v>
      </c>
      <c r="C2942" t="s">
        <v>7080</v>
      </c>
      <c r="D2942" t="str">
        <f>TRIM(alias[[#This Row],[Column3]])</f>
        <v>Djasa Ubersakti</v>
      </c>
      <c r="F2942" t="str">
        <f t="shared" si="45"/>
        <v>INSERT INTO stock_alias (stock, alias) VALUES ((SELECT id FROM stock WHERE ticker = 'PTDU'), 'Djasa Ubersakti') ON CONFLICT DO NOTHING;</v>
      </c>
    </row>
    <row r="2943" spans="1:6" x14ac:dyDescent="0.2">
      <c r="A2943" t="s">
        <v>1899</v>
      </c>
      <c r="B2943" t="s">
        <v>1900</v>
      </c>
      <c r="C2943" t="s">
        <v>7081</v>
      </c>
      <c r="D2943" t="str">
        <f>TRIM(alias[[#This Row],[Column3]])</f>
        <v>Djasa Ubersakti Tbk</v>
      </c>
      <c r="F2943" t="str">
        <f t="shared" si="45"/>
        <v>INSERT INTO stock_alias (stock, alias) VALUES ((SELECT id FROM stock WHERE ticker = 'PTDU'), 'Djasa Ubersakti Tbk') ON CONFLICT DO NOTHING;</v>
      </c>
    </row>
    <row r="2944" spans="1:6" x14ac:dyDescent="0.2">
      <c r="A2944" t="s">
        <v>1899</v>
      </c>
      <c r="B2944" t="s">
        <v>1900</v>
      </c>
      <c r="C2944" t="s">
        <v>7082</v>
      </c>
      <c r="D2944" t="str">
        <f>TRIM(alias[[#This Row],[Column3]])</f>
        <v>PT Djasa Ubersakti</v>
      </c>
      <c r="F2944" t="str">
        <f t="shared" si="45"/>
        <v>INSERT INTO stock_alias (stock, alias) VALUES ((SELECT id FROM stock WHERE ticker = 'PTDU'), 'PT Djasa Ubersakti') ON CONFLICT DO NOTHING;</v>
      </c>
    </row>
    <row r="2945" spans="1:6" x14ac:dyDescent="0.2">
      <c r="A2945" t="s">
        <v>1007</v>
      </c>
      <c r="B2945" t="s">
        <v>1008</v>
      </c>
      <c r="C2945" t="s">
        <v>1007</v>
      </c>
      <c r="D2945" t="str">
        <f>TRIM(alias[[#This Row],[Column3]])</f>
        <v>PTIS</v>
      </c>
      <c r="F2945" t="str">
        <f t="shared" si="45"/>
        <v>INSERT INTO stock_alias (stock, alias) VALUES ((SELECT id FROM stock WHERE ticker = 'PTIS'), 'PTIS') ON CONFLICT DO NOTHING;</v>
      </c>
    </row>
    <row r="2946" spans="1:6" x14ac:dyDescent="0.2">
      <c r="A2946" t="s">
        <v>1007</v>
      </c>
      <c r="B2946" t="s">
        <v>1008</v>
      </c>
      <c r="C2946" t="s">
        <v>7083</v>
      </c>
      <c r="D2946" t="str">
        <f>TRIM(alias[[#This Row],[Column3]])</f>
        <v>Indo Straits</v>
      </c>
      <c r="F2946" t="str">
        <f t="shared" si="45"/>
        <v>INSERT INTO stock_alias (stock, alias) VALUES ((SELECT id FROM stock WHERE ticker = 'PTIS'), 'Indo Straits') ON CONFLICT DO NOTHING;</v>
      </c>
    </row>
    <row r="2947" spans="1:6" x14ac:dyDescent="0.2">
      <c r="A2947" t="s">
        <v>1007</v>
      </c>
      <c r="B2947" t="s">
        <v>1008</v>
      </c>
      <c r="C2947" t="s">
        <v>7084</v>
      </c>
      <c r="D2947" t="str">
        <f>TRIM(alias[[#This Row],[Column3]])</f>
        <v>Indo Straits Tbk</v>
      </c>
      <c r="F2947" t="str">
        <f t="shared" ref="F2947:F3010" si="46">_xlfn.CONCAT($F$1, _xlfn.CONCAT($G$1, A2947, "'), '", D2947, "') ON CONFLICT DO NOTHING;"))</f>
        <v>INSERT INTO stock_alias (stock, alias) VALUES ((SELECT id FROM stock WHERE ticker = 'PTIS'), 'Indo Straits Tbk') ON CONFLICT DO NOTHING;</v>
      </c>
    </row>
    <row r="2948" spans="1:6" x14ac:dyDescent="0.2">
      <c r="A2948" t="s">
        <v>1007</v>
      </c>
      <c r="B2948" t="s">
        <v>1008</v>
      </c>
      <c r="C2948" t="s">
        <v>7085</v>
      </c>
      <c r="D2948" t="str">
        <f>TRIM(alias[[#This Row],[Column3]])</f>
        <v>PT Indo Straits</v>
      </c>
      <c r="F2948" t="str">
        <f t="shared" si="46"/>
        <v>INSERT INTO stock_alias (stock, alias) VALUES ((SELECT id FROM stock WHERE ticker = 'PTIS'), 'PT Indo Straits') ON CONFLICT DO NOTHING;</v>
      </c>
    </row>
    <row r="2949" spans="1:6" x14ac:dyDescent="0.2">
      <c r="A2949" t="s">
        <v>2278</v>
      </c>
      <c r="B2949" t="s">
        <v>2279</v>
      </c>
      <c r="C2949" t="s">
        <v>2278</v>
      </c>
      <c r="D2949" t="str">
        <f>TRIM(alias[[#This Row],[Column3]])</f>
        <v>PTMP</v>
      </c>
      <c r="F2949" t="str">
        <f t="shared" si="46"/>
        <v>INSERT INTO stock_alias (stock, alias) VALUES ((SELECT id FROM stock WHERE ticker = 'PTMP'), 'PTMP') ON CONFLICT DO NOTHING;</v>
      </c>
    </row>
    <row r="2950" spans="1:6" x14ac:dyDescent="0.2">
      <c r="A2950" t="s">
        <v>2278</v>
      </c>
      <c r="B2950" t="s">
        <v>2279</v>
      </c>
      <c r="C2950" t="s">
        <v>7086</v>
      </c>
      <c r="D2950" t="str">
        <f>TRIM(alias[[#This Row],[Column3]])</f>
        <v>Mitra Pack</v>
      </c>
      <c r="F2950" t="str">
        <f t="shared" si="46"/>
        <v>INSERT INTO stock_alias (stock, alias) VALUES ((SELECT id FROM stock WHERE ticker = 'PTMP'), 'Mitra Pack') ON CONFLICT DO NOTHING;</v>
      </c>
    </row>
    <row r="2951" spans="1:6" x14ac:dyDescent="0.2">
      <c r="A2951" t="s">
        <v>2278</v>
      </c>
      <c r="B2951" t="s">
        <v>2279</v>
      </c>
      <c r="C2951" t="s">
        <v>7087</v>
      </c>
      <c r="D2951" t="str">
        <f>TRIM(alias[[#This Row],[Column3]])</f>
        <v>Mitra Pack Tbk</v>
      </c>
      <c r="F2951" t="str">
        <f t="shared" si="46"/>
        <v>INSERT INTO stock_alias (stock, alias) VALUES ((SELECT id FROM stock WHERE ticker = 'PTMP'), 'Mitra Pack Tbk') ON CONFLICT DO NOTHING;</v>
      </c>
    </row>
    <row r="2952" spans="1:6" x14ac:dyDescent="0.2">
      <c r="A2952" t="s">
        <v>2278</v>
      </c>
      <c r="B2952" t="s">
        <v>2279</v>
      </c>
      <c r="C2952" t="s">
        <v>7088</v>
      </c>
      <c r="D2952" t="str">
        <f>TRIM(alias[[#This Row],[Column3]])</f>
        <v>PT Mitra Pack</v>
      </c>
      <c r="F2952" t="str">
        <f t="shared" si="46"/>
        <v>INSERT INTO stock_alias (stock, alias) VALUES ((SELECT id FROM stock WHERE ticker = 'PTMP'), 'PT Mitra Pack') ON CONFLICT DO NOTHING;</v>
      </c>
    </row>
    <row r="2953" spans="1:6" x14ac:dyDescent="0.2">
      <c r="A2953" t="s">
        <v>2491</v>
      </c>
      <c r="B2953" t="s">
        <v>2492</v>
      </c>
      <c r="C2953" t="s">
        <v>2491</v>
      </c>
      <c r="D2953" t="str">
        <f>TRIM(alias[[#This Row],[Column3]])</f>
        <v>PTMR</v>
      </c>
      <c r="F2953" t="str">
        <f t="shared" si="46"/>
        <v>INSERT INTO stock_alias (stock, alias) VALUES ((SELECT id FROM stock WHERE ticker = 'PTMR'), 'PTMR') ON CONFLICT DO NOTHING;</v>
      </c>
    </row>
    <row r="2954" spans="1:6" x14ac:dyDescent="0.2">
      <c r="A2954" t="s">
        <v>2491</v>
      </c>
      <c r="B2954" t="s">
        <v>2492</v>
      </c>
      <c r="C2954" t="s">
        <v>7089</v>
      </c>
      <c r="D2954" t="str">
        <f>TRIM(alias[[#This Row],[Column3]])</f>
        <v>Master Print</v>
      </c>
      <c r="F2954" t="str">
        <f t="shared" si="46"/>
        <v>INSERT INTO stock_alias (stock, alias) VALUES ((SELECT id FROM stock WHERE ticker = 'PTMR'), 'Master Print') ON CONFLICT DO NOTHING;</v>
      </c>
    </row>
    <row r="2955" spans="1:6" x14ac:dyDescent="0.2">
      <c r="A2955" t="s">
        <v>2491</v>
      </c>
      <c r="B2955" t="s">
        <v>2492</v>
      </c>
      <c r="C2955" t="s">
        <v>7090</v>
      </c>
      <c r="D2955" t="str">
        <f>TRIM(alias[[#This Row],[Column3]])</f>
        <v>Master Print Tbk</v>
      </c>
      <c r="F2955" t="str">
        <f t="shared" si="46"/>
        <v>INSERT INTO stock_alias (stock, alias) VALUES ((SELECT id FROM stock WHERE ticker = 'PTMR'), 'Master Print Tbk') ON CONFLICT DO NOTHING;</v>
      </c>
    </row>
    <row r="2956" spans="1:6" x14ac:dyDescent="0.2">
      <c r="A2956" t="s">
        <v>2491</v>
      </c>
      <c r="B2956" t="s">
        <v>2492</v>
      </c>
      <c r="C2956" t="s">
        <v>7091</v>
      </c>
      <c r="D2956" t="str">
        <f>TRIM(alias[[#This Row],[Column3]])</f>
        <v>PT Master Print</v>
      </c>
      <c r="F2956" t="str">
        <f t="shared" si="46"/>
        <v>INSERT INTO stock_alias (stock, alias) VALUES ((SELECT id FROM stock WHERE ticker = 'PTMR'), 'PT Master Print') ON CONFLICT DO NOTHING;</v>
      </c>
    </row>
    <row r="2957" spans="1:6" x14ac:dyDescent="0.2">
      <c r="A2957" t="s">
        <v>1010</v>
      </c>
      <c r="B2957" t="s">
        <v>1011</v>
      </c>
      <c r="C2957" t="s">
        <v>1010</v>
      </c>
      <c r="D2957" t="str">
        <f>TRIM(alias[[#This Row],[Column3]])</f>
        <v>PTPP</v>
      </c>
      <c r="F2957" t="str">
        <f t="shared" si="46"/>
        <v>INSERT INTO stock_alias (stock, alias) VALUES ((SELECT id FROM stock WHERE ticker = 'PTPP'), 'PTPP') ON CONFLICT DO NOTHING;</v>
      </c>
    </row>
    <row r="2958" spans="1:6" x14ac:dyDescent="0.2">
      <c r="A2958" t="s">
        <v>1010</v>
      </c>
      <c r="B2958" t="s">
        <v>1011</v>
      </c>
      <c r="C2958" t="s">
        <v>7092</v>
      </c>
      <c r="D2958" t="str">
        <f>TRIM(alias[[#This Row],[Column3]])</f>
        <v>PP (Persero)</v>
      </c>
      <c r="F2958" t="str">
        <f t="shared" si="46"/>
        <v>INSERT INTO stock_alias (stock, alias) VALUES ((SELECT id FROM stock WHERE ticker = 'PTPP'), 'PP (Persero)') ON CONFLICT DO NOTHING;</v>
      </c>
    </row>
    <row r="2959" spans="1:6" x14ac:dyDescent="0.2">
      <c r="A2959" t="s">
        <v>1010</v>
      </c>
      <c r="B2959" t="s">
        <v>1011</v>
      </c>
      <c r="C2959" t="s">
        <v>7093</v>
      </c>
      <c r="D2959" t="str">
        <f>TRIM(alias[[#This Row],[Column3]])</f>
        <v>PP (Persero) Tbk</v>
      </c>
      <c r="F2959" t="str">
        <f t="shared" si="46"/>
        <v>INSERT INTO stock_alias (stock, alias) VALUES ((SELECT id FROM stock WHERE ticker = 'PTPP'), 'PP (Persero) Tbk') ON CONFLICT DO NOTHING;</v>
      </c>
    </row>
    <row r="2960" spans="1:6" x14ac:dyDescent="0.2">
      <c r="A2960" t="s">
        <v>1010</v>
      </c>
      <c r="B2960" t="s">
        <v>1011</v>
      </c>
      <c r="C2960" t="s">
        <v>7094</v>
      </c>
      <c r="D2960" t="str">
        <f>TRIM(alias[[#This Row],[Column3]])</f>
        <v>PT PP (Persero)</v>
      </c>
      <c r="F2960" t="str">
        <f t="shared" si="46"/>
        <v>INSERT INTO stock_alias (stock, alias) VALUES ((SELECT id FROM stock WHERE ticker = 'PTPP'), 'PT PP (Persero)') ON CONFLICT DO NOTHING;</v>
      </c>
    </row>
    <row r="2961" spans="1:6" x14ac:dyDescent="0.2">
      <c r="A2961" t="s">
        <v>2384</v>
      </c>
      <c r="B2961" t="s">
        <v>2385</v>
      </c>
      <c r="C2961" t="s">
        <v>2384</v>
      </c>
      <c r="D2961" t="str">
        <f>TRIM(alias[[#This Row],[Column3]])</f>
        <v>PTPS</v>
      </c>
      <c r="F2961" t="str">
        <f t="shared" si="46"/>
        <v>INSERT INTO stock_alias (stock, alias) VALUES ((SELECT id FROM stock WHERE ticker = 'PTPS'), 'PTPS') ON CONFLICT DO NOTHING;</v>
      </c>
    </row>
    <row r="2962" spans="1:6" x14ac:dyDescent="0.2">
      <c r="A2962" t="s">
        <v>2384</v>
      </c>
      <c r="B2962" t="s">
        <v>2385</v>
      </c>
      <c r="C2962" t="s">
        <v>7095</v>
      </c>
      <c r="D2962" t="str">
        <f>TRIM(alias[[#This Row],[Column3]])</f>
        <v>PT Pulau Subur</v>
      </c>
      <c r="F2962" t="str">
        <f t="shared" si="46"/>
        <v>INSERT INTO stock_alias (stock, alias) VALUES ((SELECT id FROM stock WHERE ticker = 'PTPS'), 'PT Pulau Subur') ON CONFLICT DO NOTHING;</v>
      </c>
    </row>
    <row r="2963" spans="1:6" x14ac:dyDescent="0.2">
      <c r="A2963" t="s">
        <v>2384</v>
      </c>
      <c r="B2963" t="s">
        <v>2385</v>
      </c>
      <c r="C2963" t="s">
        <v>7096</v>
      </c>
      <c r="D2963" t="str">
        <f>TRIM(alias[[#This Row],[Column3]])</f>
        <v>Pulau Subur</v>
      </c>
      <c r="F2963" t="str">
        <f t="shared" si="46"/>
        <v>INSERT INTO stock_alias (stock, alias) VALUES ((SELECT id FROM stock WHERE ticker = 'PTPS'), 'Pulau Subur') ON CONFLICT DO NOTHING;</v>
      </c>
    </row>
    <row r="2964" spans="1:6" x14ac:dyDescent="0.2">
      <c r="A2964" t="s">
        <v>2384</v>
      </c>
      <c r="B2964" t="s">
        <v>2385</v>
      </c>
      <c r="C2964" t="s">
        <v>7097</v>
      </c>
      <c r="D2964" t="str">
        <f>TRIM(alias[[#This Row],[Column3]])</f>
        <v>Pulau Subur Tbk</v>
      </c>
      <c r="F2964" t="str">
        <f t="shared" si="46"/>
        <v>INSERT INTO stock_alias (stock, alias) VALUES ((SELECT id FROM stock WHERE ticker = 'PTPS'), 'Pulau Subur Tbk') ON CONFLICT DO NOTHING;</v>
      </c>
    </row>
    <row r="2965" spans="1:6" x14ac:dyDescent="0.2">
      <c r="A2965" t="s">
        <v>1816</v>
      </c>
      <c r="B2965" t="s">
        <v>1817</v>
      </c>
      <c r="C2965" t="s">
        <v>1816</v>
      </c>
      <c r="D2965" t="str">
        <f>TRIM(alias[[#This Row],[Column3]])</f>
        <v>PTPW</v>
      </c>
      <c r="F2965" t="str">
        <f t="shared" si="46"/>
        <v>INSERT INTO stock_alias (stock, alias) VALUES ((SELECT id FROM stock WHERE ticker = 'PTPW'), 'PTPW') ON CONFLICT DO NOTHING;</v>
      </c>
    </row>
    <row r="2966" spans="1:6" x14ac:dyDescent="0.2">
      <c r="A2966" t="s">
        <v>1816</v>
      </c>
      <c r="B2966" t="s">
        <v>1817</v>
      </c>
      <c r="C2966" t="s">
        <v>7098</v>
      </c>
      <c r="D2966" t="str">
        <f>TRIM(alias[[#This Row],[Column3]])</f>
        <v>PT Pratama Widya</v>
      </c>
      <c r="F2966" t="str">
        <f t="shared" si="46"/>
        <v>INSERT INTO stock_alias (stock, alias) VALUES ((SELECT id FROM stock WHERE ticker = 'PTPW'), 'PT Pratama Widya') ON CONFLICT DO NOTHING;</v>
      </c>
    </row>
    <row r="2967" spans="1:6" x14ac:dyDescent="0.2">
      <c r="A2967" t="s">
        <v>1816</v>
      </c>
      <c r="B2967" t="s">
        <v>1817</v>
      </c>
      <c r="C2967" t="s">
        <v>7099</v>
      </c>
      <c r="D2967" t="str">
        <f>TRIM(alias[[#This Row],[Column3]])</f>
        <v>Pratama Widya</v>
      </c>
      <c r="F2967" t="str">
        <f t="shared" si="46"/>
        <v>INSERT INTO stock_alias (stock, alias) VALUES ((SELECT id FROM stock WHERE ticker = 'PTPW'), 'Pratama Widya') ON CONFLICT DO NOTHING;</v>
      </c>
    </row>
    <row r="2968" spans="1:6" x14ac:dyDescent="0.2">
      <c r="A2968" t="s">
        <v>1816</v>
      </c>
      <c r="B2968" t="s">
        <v>1817</v>
      </c>
      <c r="C2968" t="s">
        <v>7100</v>
      </c>
      <c r="D2968" t="str">
        <f>TRIM(alias[[#This Row],[Column3]])</f>
        <v>Pratama Widya Tbk</v>
      </c>
      <c r="F2968" t="str">
        <f t="shared" si="46"/>
        <v>INSERT INTO stock_alias (stock, alias) VALUES ((SELECT id FROM stock WHERE ticker = 'PTPW'), 'Pratama Widya Tbk') ON CONFLICT DO NOTHING;</v>
      </c>
    </row>
    <row r="2969" spans="1:6" x14ac:dyDescent="0.2">
      <c r="A2969" t="s">
        <v>1013</v>
      </c>
      <c r="B2969" t="s">
        <v>1014</v>
      </c>
      <c r="C2969" t="s">
        <v>1013</v>
      </c>
      <c r="D2969" t="str">
        <f>TRIM(alias[[#This Row],[Column3]])</f>
        <v>PTRO</v>
      </c>
      <c r="F2969" t="str">
        <f t="shared" si="46"/>
        <v>INSERT INTO stock_alias (stock, alias) VALUES ((SELECT id FROM stock WHERE ticker = 'PTRO'), 'PTRO') ON CONFLICT DO NOTHING;</v>
      </c>
    </row>
    <row r="2970" spans="1:6" x14ac:dyDescent="0.2">
      <c r="A2970" t="s">
        <v>1013</v>
      </c>
      <c r="B2970" t="s">
        <v>1014</v>
      </c>
      <c r="C2970" t="s">
        <v>7101</v>
      </c>
      <c r="D2970" t="str">
        <f>TRIM(alias[[#This Row],[Column3]])</f>
        <v>PT Petrosea Tbk</v>
      </c>
      <c r="F2970" t="str">
        <f t="shared" si="46"/>
        <v>INSERT INTO stock_alias (stock, alias) VALUES ((SELECT id FROM stock WHERE ticker = 'PTRO'), 'PT Petrosea Tbk') ON CONFLICT DO NOTHING;</v>
      </c>
    </row>
    <row r="2971" spans="1:6" x14ac:dyDescent="0.2">
      <c r="A2971" t="s">
        <v>1016</v>
      </c>
      <c r="B2971" t="s">
        <v>3653</v>
      </c>
      <c r="C2971" t="s">
        <v>1016</v>
      </c>
      <c r="D2971" t="str">
        <f>TRIM(alias[[#This Row],[Column3]])</f>
        <v>PTSN</v>
      </c>
      <c r="F2971" t="str">
        <f t="shared" si="46"/>
        <v>INSERT INTO stock_alias (stock, alias) VALUES ((SELECT id FROM stock WHERE ticker = 'PTSN'), 'PTSN') ON CONFLICT DO NOTHING;</v>
      </c>
    </row>
    <row r="2972" spans="1:6" x14ac:dyDescent="0.2">
      <c r="A2972" t="s">
        <v>1016</v>
      </c>
      <c r="B2972" t="s">
        <v>3653</v>
      </c>
      <c r="C2972" t="s">
        <v>7102</v>
      </c>
      <c r="D2972" t="str">
        <f>TRIM(alias[[#This Row],[Column3]])</f>
        <v>PT Sat Nusapersada</v>
      </c>
      <c r="F2972" t="str">
        <f t="shared" si="46"/>
        <v>INSERT INTO stock_alias (stock, alias) VALUES ((SELECT id FROM stock WHERE ticker = 'PTSN'), 'PT Sat Nusapersada') ON CONFLICT DO NOTHING;</v>
      </c>
    </row>
    <row r="2973" spans="1:6" x14ac:dyDescent="0.2">
      <c r="A2973" t="s">
        <v>1016</v>
      </c>
      <c r="B2973" t="s">
        <v>3653</v>
      </c>
      <c r="C2973" t="s">
        <v>7103</v>
      </c>
      <c r="D2973" t="str">
        <f>TRIM(alias[[#This Row],[Column3]])</f>
        <v>Sat Nusapersada</v>
      </c>
      <c r="F2973" t="str">
        <f t="shared" si="46"/>
        <v>INSERT INTO stock_alias (stock, alias) VALUES ((SELECT id FROM stock WHERE ticker = 'PTSN'), 'Sat Nusapersada') ON CONFLICT DO NOTHING;</v>
      </c>
    </row>
    <row r="2974" spans="1:6" x14ac:dyDescent="0.2">
      <c r="A2974" t="s">
        <v>1016</v>
      </c>
      <c r="B2974" t="s">
        <v>3653</v>
      </c>
      <c r="C2974" t="s">
        <v>7104</v>
      </c>
      <c r="D2974" t="str">
        <f>TRIM(alias[[#This Row],[Column3]])</f>
        <v>Sat Nusapersada Tbk</v>
      </c>
      <c r="F2974" t="str">
        <f t="shared" si="46"/>
        <v>INSERT INTO stock_alias (stock, alias) VALUES ((SELECT id FROM stock WHERE ticker = 'PTSN'), 'Sat Nusapersada Tbk') ON CONFLICT DO NOTHING;</v>
      </c>
    </row>
    <row r="2975" spans="1:6" x14ac:dyDescent="0.2">
      <c r="A2975" t="s">
        <v>1019</v>
      </c>
      <c r="B2975" t="s">
        <v>3654</v>
      </c>
      <c r="C2975" t="s">
        <v>1019</v>
      </c>
      <c r="D2975" t="str">
        <f>TRIM(alias[[#This Row],[Column3]])</f>
        <v>PTSP</v>
      </c>
      <c r="F2975" t="str">
        <f t="shared" si="46"/>
        <v>INSERT INTO stock_alias (stock, alias) VALUES ((SELECT id FROM stock WHERE ticker = 'PTSP'), 'PTSP') ON CONFLICT DO NOTHING;</v>
      </c>
    </row>
    <row r="2976" spans="1:6" x14ac:dyDescent="0.2">
      <c r="A2976" t="s">
        <v>1019</v>
      </c>
      <c r="B2976" t="s">
        <v>3654</v>
      </c>
      <c r="C2976" t="s">
        <v>7105</v>
      </c>
      <c r="D2976" t="str">
        <f>TRIM(alias[[#This Row],[Column3]])</f>
        <v>PT Pioneerindo Gourmet International</v>
      </c>
      <c r="F2976" t="str">
        <f t="shared" si="46"/>
        <v>INSERT INTO stock_alias (stock, alias) VALUES ((SELECT id FROM stock WHERE ticker = 'PTSP'), 'PT Pioneerindo Gourmet International') ON CONFLICT DO NOTHING;</v>
      </c>
    </row>
    <row r="2977" spans="1:6" x14ac:dyDescent="0.2">
      <c r="A2977" t="s">
        <v>1019</v>
      </c>
      <c r="B2977" t="s">
        <v>3654</v>
      </c>
      <c r="C2977" t="s">
        <v>7106</v>
      </c>
      <c r="D2977" t="str">
        <f>TRIM(alias[[#This Row],[Column3]])</f>
        <v>Pioneerindo Gourmet International</v>
      </c>
      <c r="F2977" t="str">
        <f t="shared" si="46"/>
        <v>INSERT INTO stock_alias (stock, alias) VALUES ((SELECT id FROM stock WHERE ticker = 'PTSP'), 'Pioneerindo Gourmet International') ON CONFLICT DO NOTHING;</v>
      </c>
    </row>
    <row r="2978" spans="1:6" x14ac:dyDescent="0.2">
      <c r="A2978" t="s">
        <v>1019</v>
      </c>
      <c r="B2978" t="s">
        <v>3654</v>
      </c>
      <c r="C2978" t="s">
        <v>7107</v>
      </c>
      <c r="D2978" t="str">
        <f>TRIM(alias[[#This Row],[Column3]])</f>
        <v>Pioneerindo Gourmet International Tbk</v>
      </c>
      <c r="F2978" t="str">
        <f t="shared" si="46"/>
        <v>INSERT INTO stock_alias (stock, alias) VALUES ((SELECT id FROM stock WHERE ticker = 'PTSP'), 'Pioneerindo Gourmet International Tbk') ON CONFLICT DO NOTHING;</v>
      </c>
    </row>
    <row r="2979" spans="1:6" x14ac:dyDescent="0.2">
      <c r="A2979" t="s">
        <v>1021</v>
      </c>
      <c r="B2979" t="s">
        <v>1022</v>
      </c>
      <c r="C2979" t="s">
        <v>1021</v>
      </c>
      <c r="D2979" t="str">
        <f>TRIM(alias[[#This Row],[Column3]])</f>
        <v>PUDP</v>
      </c>
      <c r="F2979" t="str">
        <f t="shared" si="46"/>
        <v>INSERT INTO stock_alias (stock, alias) VALUES ((SELECT id FROM stock WHERE ticker = 'PUDP'), 'PUDP') ON CONFLICT DO NOTHING;</v>
      </c>
    </row>
    <row r="2980" spans="1:6" x14ac:dyDescent="0.2">
      <c r="A2980" t="s">
        <v>1021</v>
      </c>
      <c r="B2980" t="s">
        <v>1022</v>
      </c>
      <c r="C2980" t="s">
        <v>7108</v>
      </c>
      <c r="D2980" t="str">
        <f>TRIM(alias[[#This Row],[Column3]])</f>
        <v>PT Pudjiadi Prestige</v>
      </c>
      <c r="F2980" t="str">
        <f t="shared" si="46"/>
        <v>INSERT INTO stock_alias (stock, alias) VALUES ((SELECT id FROM stock WHERE ticker = 'PUDP'), 'PT Pudjiadi Prestige') ON CONFLICT DO NOTHING;</v>
      </c>
    </row>
    <row r="2981" spans="1:6" x14ac:dyDescent="0.2">
      <c r="A2981" t="s">
        <v>1021</v>
      </c>
      <c r="B2981" t="s">
        <v>1022</v>
      </c>
      <c r="C2981" t="s">
        <v>7109</v>
      </c>
      <c r="D2981" t="str">
        <f>TRIM(alias[[#This Row],[Column3]])</f>
        <v>Pudjiadi Prestige</v>
      </c>
      <c r="F2981" t="str">
        <f t="shared" si="46"/>
        <v>INSERT INTO stock_alias (stock, alias) VALUES ((SELECT id FROM stock WHERE ticker = 'PUDP'), 'Pudjiadi Prestige') ON CONFLICT DO NOTHING;</v>
      </c>
    </row>
    <row r="2982" spans="1:6" x14ac:dyDescent="0.2">
      <c r="A2982" t="s">
        <v>1021</v>
      </c>
      <c r="B2982" t="s">
        <v>1022</v>
      </c>
      <c r="C2982" t="s">
        <v>7110</v>
      </c>
      <c r="D2982" t="str">
        <f>TRIM(alias[[#This Row],[Column3]])</f>
        <v>Pudjiadi Prestige Tbk</v>
      </c>
      <c r="F2982" t="str">
        <f t="shared" si="46"/>
        <v>INSERT INTO stock_alias (stock, alias) VALUES ((SELECT id FROM stock WHERE ticker = 'PUDP'), 'Pudjiadi Prestige Tbk') ON CONFLICT DO NOTHING;</v>
      </c>
    </row>
    <row r="2983" spans="1:6" x14ac:dyDescent="0.2">
      <c r="A2983" t="s">
        <v>1813</v>
      </c>
      <c r="B2983" t="s">
        <v>1814</v>
      </c>
      <c r="C2983" t="s">
        <v>1813</v>
      </c>
      <c r="D2983" t="str">
        <f>TRIM(alias[[#This Row],[Column3]])</f>
        <v>PURA</v>
      </c>
      <c r="F2983" t="str">
        <f t="shared" si="46"/>
        <v>INSERT INTO stock_alias (stock, alias) VALUES ((SELECT id FROM stock WHERE ticker = 'PURA'), 'PURA') ON CONFLICT DO NOTHING;</v>
      </c>
    </row>
    <row r="2984" spans="1:6" x14ac:dyDescent="0.2">
      <c r="A2984" t="s">
        <v>1813</v>
      </c>
      <c r="B2984" t="s">
        <v>1814</v>
      </c>
      <c r="C2984" t="s">
        <v>7111</v>
      </c>
      <c r="D2984" t="str">
        <f>TRIM(alias[[#This Row],[Column3]])</f>
        <v>PT Putra Rajawali Kencana</v>
      </c>
      <c r="F2984" t="str">
        <f t="shared" si="46"/>
        <v>INSERT INTO stock_alias (stock, alias) VALUES ((SELECT id FROM stock WHERE ticker = 'PURA'), 'PT Putra Rajawali Kencana') ON CONFLICT DO NOTHING;</v>
      </c>
    </row>
    <row r="2985" spans="1:6" x14ac:dyDescent="0.2">
      <c r="A2985" t="s">
        <v>1813</v>
      </c>
      <c r="B2985" t="s">
        <v>1814</v>
      </c>
      <c r="C2985" t="s">
        <v>7112</v>
      </c>
      <c r="D2985" t="str">
        <f>TRIM(alias[[#This Row],[Column3]])</f>
        <v>Putra Rajawali Kencana</v>
      </c>
      <c r="F2985" t="str">
        <f t="shared" si="46"/>
        <v>INSERT INTO stock_alias (stock, alias) VALUES ((SELECT id FROM stock WHERE ticker = 'PURA'), 'Putra Rajawali Kencana') ON CONFLICT DO NOTHING;</v>
      </c>
    </row>
    <row r="2986" spans="1:6" x14ac:dyDescent="0.2">
      <c r="A2986" t="s">
        <v>1813</v>
      </c>
      <c r="B2986" t="s">
        <v>1814</v>
      </c>
      <c r="C2986" t="s">
        <v>7113</v>
      </c>
      <c r="D2986" t="str">
        <f>TRIM(alias[[#This Row],[Column3]])</f>
        <v>Putra Rajawali Kencana Tbk</v>
      </c>
      <c r="F2986" t="str">
        <f t="shared" si="46"/>
        <v>INSERT INTO stock_alias (stock, alias) VALUES ((SELECT id FROM stock WHERE ticker = 'PURA'), 'Putra Rajawali Kencana Tbk') ON CONFLICT DO NOTHING;</v>
      </c>
    </row>
    <row r="2987" spans="1:6" x14ac:dyDescent="0.2">
      <c r="A2987" t="s">
        <v>1749</v>
      </c>
      <c r="B2987" t="s">
        <v>3655</v>
      </c>
      <c r="C2987" t="s">
        <v>1749</v>
      </c>
      <c r="D2987" t="str">
        <f>TRIM(alias[[#This Row],[Column3]])</f>
        <v>PURE</v>
      </c>
      <c r="F2987" t="str">
        <f t="shared" si="46"/>
        <v>INSERT INTO stock_alias (stock, alias) VALUES ((SELECT id FROM stock WHERE ticker = 'PURE'), 'PURE') ON CONFLICT DO NOTHING;</v>
      </c>
    </row>
    <row r="2988" spans="1:6" x14ac:dyDescent="0.2">
      <c r="A2988" t="s">
        <v>1749</v>
      </c>
      <c r="B2988" t="s">
        <v>3655</v>
      </c>
      <c r="C2988" t="s">
        <v>7114</v>
      </c>
      <c r="D2988" t="str">
        <f>TRIM(alias[[#This Row],[Column3]])</f>
        <v>PT Trinitan Metals and Minerals</v>
      </c>
      <c r="F2988" t="str">
        <f t="shared" si="46"/>
        <v>INSERT INTO stock_alias (stock, alias) VALUES ((SELECT id FROM stock WHERE ticker = 'PURE'), 'PT Trinitan Metals and Minerals') ON CONFLICT DO NOTHING;</v>
      </c>
    </row>
    <row r="2989" spans="1:6" x14ac:dyDescent="0.2">
      <c r="A2989" t="s">
        <v>1749</v>
      </c>
      <c r="B2989" t="s">
        <v>3655</v>
      </c>
      <c r="C2989" t="s">
        <v>7115</v>
      </c>
      <c r="D2989" t="str">
        <f>TRIM(alias[[#This Row],[Column3]])</f>
        <v>Trinitan Metals and Minerals</v>
      </c>
      <c r="F2989" t="str">
        <f t="shared" si="46"/>
        <v>INSERT INTO stock_alias (stock, alias) VALUES ((SELECT id FROM stock WHERE ticker = 'PURE'), 'Trinitan Metals and Minerals') ON CONFLICT DO NOTHING;</v>
      </c>
    </row>
    <row r="2990" spans="1:6" x14ac:dyDescent="0.2">
      <c r="A2990" t="s">
        <v>1749</v>
      </c>
      <c r="B2990" t="s">
        <v>3655</v>
      </c>
      <c r="C2990" t="s">
        <v>7116</v>
      </c>
      <c r="D2990" t="str">
        <f>TRIM(alias[[#This Row],[Column3]])</f>
        <v>Trinitan Metals and Minerals Tbk</v>
      </c>
      <c r="F2990" t="str">
        <f t="shared" si="46"/>
        <v>INSERT INTO stock_alias (stock, alias) VALUES ((SELECT id FROM stock WHERE ticker = 'PURE'), 'Trinitan Metals and Minerals Tbk') ON CONFLICT DO NOTHING;</v>
      </c>
    </row>
    <row r="2991" spans="1:6" x14ac:dyDescent="0.2">
      <c r="A2991" t="s">
        <v>1883</v>
      </c>
      <c r="B2991" t="s">
        <v>1884</v>
      </c>
      <c r="C2991" t="s">
        <v>1883</v>
      </c>
      <c r="D2991" t="str">
        <f>TRIM(alias[[#This Row],[Column3]])</f>
        <v>PURI</v>
      </c>
      <c r="F2991" t="str">
        <f t="shared" si="46"/>
        <v>INSERT INTO stock_alias (stock, alias) VALUES ((SELECT id FROM stock WHERE ticker = 'PURI'), 'PURI') ON CONFLICT DO NOTHING;</v>
      </c>
    </row>
    <row r="2992" spans="1:6" x14ac:dyDescent="0.2">
      <c r="A2992" t="s">
        <v>1883</v>
      </c>
      <c r="B2992" t="s">
        <v>1884</v>
      </c>
      <c r="C2992" t="s">
        <v>7117</v>
      </c>
      <c r="D2992" t="str">
        <f>TRIM(alias[[#This Row],[Column3]])</f>
        <v>PT Puri Global Sukses</v>
      </c>
      <c r="F2992" t="str">
        <f t="shared" si="46"/>
        <v>INSERT INTO stock_alias (stock, alias) VALUES ((SELECT id FROM stock WHERE ticker = 'PURI'), 'PT Puri Global Sukses') ON CONFLICT DO NOTHING;</v>
      </c>
    </row>
    <row r="2993" spans="1:6" x14ac:dyDescent="0.2">
      <c r="A2993" t="s">
        <v>1883</v>
      </c>
      <c r="B2993" t="s">
        <v>1884</v>
      </c>
      <c r="C2993" t="s">
        <v>7118</v>
      </c>
      <c r="D2993" t="str">
        <f>TRIM(alias[[#This Row],[Column3]])</f>
        <v>Puri Global Sukses</v>
      </c>
      <c r="F2993" t="str">
        <f t="shared" si="46"/>
        <v>INSERT INTO stock_alias (stock, alias) VALUES ((SELECT id FROM stock WHERE ticker = 'PURI'), 'Puri Global Sukses') ON CONFLICT DO NOTHING;</v>
      </c>
    </row>
    <row r="2994" spans="1:6" x14ac:dyDescent="0.2">
      <c r="A2994" t="s">
        <v>1883</v>
      </c>
      <c r="B2994" t="s">
        <v>1884</v>
      </c>
      <c r="C2994" t="s">
        <v>7119</v>
      </c>
      <c r="D2994" t="str">
        <f>TRIM(alias[[#This Row],[Column3]])</f>
        <v>Puri Global Sukses Tbk</v>
      </c>
      <c r="F2994" t="str">
        <f t="shared" si="46"/>
        <v>INSERT INTO stock_alias (stock, alias) VALUES ((SELECT id FROM stock WHERE ticker = 'PURI'), 'Puri Global Sukses Tbk') ON CONFLICT DO NOTHING;</v>
      </c>
    </row>
    <row r="2995" spans="1:6" x14ac:dyDescent="0.2">
      <c r="A2995" t="s">
        <v>1024</v>
      </c>
      <c r="B2995" t="s">
        <v>1025</v>
      </c>
      <c r="C2995" t="s">
        <v>1024</v>
      </c>
      <c r="D2995" t="str">
        <f>TRIM(alias[[#This Row],[Column3]])</f>
        <v>PWON</v>
      </c>
      <c r="F2995" t="str">
        <f t="shared" si="46"/>
        <v>INSERT INTO stock_alias (stock, alias) VALUES ((SELECT id FROM stock WHERE ticker = 'PWON'), 'PWON') ON CONFLICT DO NOTHING;</v>
      </c>
    </row>
    <row r="2996" spans="1:6" x14ac:dyDescent="0.2">
      <c r="A2996" t="s">
        <v>1024</v>
      </c>
      <c r="B2996" t="s">
        <v>1025</v>
      </c>
      <c r="C2996" t="s">
        <v>7120</v>
      </c>
      <c r="D2996" t="str">
        <f>TRIM(alias[[#This Row],[Column3]])</f>
        <v>PT Pakuwon Jati</v>
      </c>
      <c r="F2996" t="str">
        <f t="shared" si="46"/>
        <v>INSERT INTO stock_alias (stock, alias) VALUES ((SELECT id FROM stock WHERE ticker = 'PWON'), 'PT Pakuwon Jati') ON CONFLICT DO NOTHING;</v>
      </c>
    </row>
    <row r="2997" spans="1:6" x14ac:dyDescent="0.2">
      <c r="A2997" t="s">
        <v>1024</v>
      </c>
      <c r="B2997" t="s">
        <v>1025</v>
      </c>
      <c r="C2997" t="s">
        <v>7121</v>
      </c>
      <c r="D2997" t="str">
        <f>TRIM(alias[[#This Row],[Column3]])</f>
        <v>Pakuwon Jati</v>
      </c>
      <c r="F2997" t="str">
        <f t="shared" si="46"/>
        <v>INSERT INTO stock_alias (stock, alias) VALUES ((SELECT id FROM stock WHERE ticker = 'PWON'), 'Pakuwon Jati') ON CONFLICT DO NOTHING;</v>
      </c>
    </row>
    <row r="2998" spans="1:6" x14ac:dyDescent="0.2">
      <c r="A2998" t="s">
        <v>1024</v>
      </c>
      <c r="B2998" t="s">
        <v>1025</v>
      </c>
      <c r="C2998" t="s">
        <v>7122</v>
      </c>
      <c r="D2998" t="str">
        <f>TRIM(alias[[#This Row],[Column3]])</f>
        <v>Pakuwon Jati Tbk</v>
      </c>
      <c r="F2998" t="str">
        <f t="shared" si="46"/>
        <v>INSERT INTO stock_alias (stock, alias) VALUES ((SELECT id FROM stock WHERE ticker = 'PWON'), 'Pakuwon Jati Tbk') ON CONFLICT DO NOTHING;</v>
      </c>
    </row>
    <row r="2999" spans="1:6" x14ac:dyDescent="0.2">
      <c r="A2999" t="s">
        <v>1027</v>
      </c>
      <c r="B2999" t="s">
        <v>3656</v>
      </c>
      <c r="C2999" t="s">
        <v>1027</v>
      </c>
      <c r="D2999" t="str">
        <f>TRIM(alias[[#This Row],[Column3]])</f>
        <v>PYFA</v>
      </c>
      <c r="F2999" t="str">
        <f t="shared" si="46"/>
        <v>INSERT INTO stock_alias (stock, alias) VALUES ((SELECT id FROM stock WHERE ticker = 'PYFA'), 'PYFA') ON CONFLICT DO NOTHING;</v>
      </c>
    </row>
    <row r="3000" spans="1:6" x14ac:dyDescent="0.2">
      <c r="A3000" t="s">
        <v>1027</v>
      </c>
      <c r="B3000" t="s">
        <v>3656</v>
      </c>
      <c r="C3000" t="s">
        <v>7123</v>
      </c>
      <c r="D3000" t="str">
        <f>TRIM(alias[[#This Row],[Column3]])</f>
        <v>PT Pyridam Farma</v>
      </c>
      <c r="F3000" t="str">
        <f t="shared" si="46"/>
        <v>INSERT INTO stock_alias (stock, alias) VALUES ((SELECT id FROM stock WHERE ticker = 'PYFA'), 'PT Pyridam Farma') ON CONFLICT DO NOTHING;</v>
      </c>
    </row>
    <row r="3001" spans="1:6" x14ac:dyDescent="0.2">
      <c r="A3001" t="s">
        <v>1027</v>
      </c>
      <c r="B3001" t="s">
        <v>3656</v>
      </c>
      <c r="C3001" t="s">
        <v>7124</v>
      </c>
      <c r="D3001" t="str">
        <f>TRIM(alias[[#This Row],[Column3]])</f>
        <v>Pyridam Farma</v>
      </c>
      <c r="F3001" t="str">
        <f t="shared" si="46"/>
        <v>INSERT INTO stock_alias (stock, alias) VALUES ((SELECT id FROM stock WHERE ticker = 'PYFA'), 'Pyridam Farma') ON CONFLICT DO NOTHING;</v>
      </c>
    </row>
    <row r="3002" spans="1:6" x14ac:dyDescent="0.2">
      <c r="A3002" t="s">
        <v>1027</v>
      </c>
      <c r="B3002" t="s">
        <v>3656</v>
      </c>
      <c r="C3002" t="s">
        <v>7125</v>
      </c>
      <c r="D3002" t="str">
        <f>TRIM(alias[[#This Row],[Column3]])</f>
        <v>Pyridam Farma Tbk</v>
      </c>
      <c r="F3002" t="str">
        <f t="shared" si="46"/>
        <v>INSERT INTO stock_alias (stock, alias) VALUES ((SELECT id FROM stock WHERE ticker = 'PYFA'), 'Pyridam Farma Tbk') ON CONFLICT DO NOTHING;</v>
      </c>
    </row>
    <row r="3003" spans="1:6" x14ac:dyDescent="0.2">
      <c r="A3003" t="s">
        <v>1530</v>
      </c>
      <c r="B3003" t="s">
        <v>1531</v>
      </c>
      <c r="C3003" t="s">
        <v>1530</v>
      </c>
      <c r="D3003" t="str">
        <f>TRIM(alias[[#This Row],[Column3]])</f>
        <v>PZZA</v>
      </c>
      <c r="F3003" t="str">
        <f t="shared" si="46"/>
        <v>INSERT INTO stock_alias (stock, alias) VALUES ((SELECT id FROM stock WHERE ticker = 'PZZA'), 'PZZA') ON CONFLICT DO NOTHING;</v>
      </c>
    </row>
    <row r="3004" spans="1:6" x14ac:dyDescent="0.2">
      <c r="A3004" t="s">
        <v>1530</v>
      </c>
      <c r="B3004" t="s">
        <v>1531</v>
      </c>
      <c r="C3004" t="s">
        <v>7126</v>
      </c>
      <c r="D3004" t="str">
        <f>TRIM(alias[[#This Row],[Column3]])</f>
        <v>PT Sarimelati Kencana</v>
      </c>
      <c r="F3004" t="str">
        <f t="shared" si="46"/>
        <v>INSERT INTO stock_alias (stock, alias) VALUES ((SELECT id FROM stock WHERE ticker = 'PZZA'), 'PT Sarimelati Kencana') ON CONFLICT DO NOTHING;</v>
      </c>
    </row>
    <row r="3005" spans="1:6" x14ac:dyDescent="0.2">
      <c r="A3005" t="s">
        <v>1530</v>
      </c>
      <c r="B3005" t="s">
        <v>1531</v>
      </c>
      <c r="C3005" t="s">
        <v>7127</v>
      </c>
      <c r="D3005" t="str">
        <f>TRIM(alias[[#This Row],[Column3]])</f>
        <v>Sarimelati Kencana</v>
      </c>
      <c r="F3005" t="str">
        <f t="shared" si="46"/>
        <v>INSERT INTO stock_alias (stock, alias) VALUES ((SELECT id FROM stock WHERE ticker = 'PZZA'), 'Sarimelati Kencana') ON CONFLICT DO NOTHING;</v>
      </c>
    </row>
    <row r="3006" spans="1:6" x14ac:dyDescent="0.2">
      <c r="A3006" t="s">
        <v>1530</v>
      </c>
      <c r="B3006" t="s">
        <v>1531</v>
      </c>
      <c r="C3006" t="s">
        <v>7128</v>
      </c>
      <c r="D3006" t="str">
        <f>TRIM(alias[[#This Row],[Column3]])</f>
        <v>Sarimelati Kencana Tbk</v>
      </c>
      <c r="F3006" t="str">
        <f t="shared" si="46"/>
        <v>INSERT INTO stock_alias (stock, alias) VALUES ((SELECT id FROM stock WHERE ticker = 'PZZA'), 'Sarimelati Kencana Tbk') ON CONFLICT DO NOTHING;</v>
      </c>
    </row>
    <row r="3007" spans="1:6" x14ac:dyDescent="0.2">
      <c r="A3007" t="s">
        <v>2619</v>
      </c>
      <c r="B3007" t="s">
        <v>2620</v>
      </c>
      <c r="C3007" t="s">
        <v>2619</v>
      </c>
      <c r="D3007" t="str">
        <f>TRIM(alias[[#This Row],[Column3]])</f>
        <v>RAAM</v>
      </c>
      <c r="F3007" t="str">
        <f t="shared" si="46"/>
        <v>INSERT INTO stock_alias (stock, alias) VALUES ((SELECT id FROM stock WHERE ticker = 'RAAM'), 'RAAM') ON CONFLICT DO NOTHING;</v>
      </c>
    </row>
    <row r="3008" spans="1:6" x14ac:dyDescent="0.2">
      <c r="A3008" t="s">
        <v>2619</v>
      </c>
      <c r="B3008" t="s">
        <v>2620</v>
      </c>
      <c r="C3008" t="s">
        <v>7129</v>
      </c>
      <c r="D3008" t="str">
        <f>TRIM(alias[[#This Row],[Column3]])</f>
        <v>PT Tripar Multivision Plus</v>
      </c>
      <c r="F3008" t="str">
        <f t="shared" si="46"/>
        <v>INSERT INTO stock_alias (stock, alias) VALUES ((SELECT id FROM stock WHERE ticker = 'RAAM'), 'PT Tripar Multivision Plus') ON CONFLICT DO NOTHING;</v>
      </c>
    </row>
    <row r="3009" spans="1:6" x14ac:dyDescent="0.2">
      <c r="A3009" t="s">
        <v>2619</v>
      </c>
      <c r="B3009" t="s">
        <v>2620</v>
      </c>
      <c r="C3009" t="s">
        <v>7130</v>
      </c>
      <c r="D3009" t="str">
        <f>TRIM(alias[[#This Row],[Column3]])</f>
        <v>Tripar Multivision Plus</v>
      </c>
      <c r="F3009" t="str">
        <f t="shared" si="46"/>
        <v>INSERT INTO stock_alias (stock, alias) VALUES ((SELECT id FROM stock WHERE ticker = 'RAAM'), 'Tripar Multivision Plus') ON CONFLICT DO NOTHING;</v>
      </c>
    </row>
    <row r="3010" spans="1:6" x14ac:dyDescent="0.2">
      <c r="A3010" t="s">
        <v>2619</v>
      </c>
      <c r="B3010" t="s">
        <v>2620</v>
      </c>
      <c r="C3010" t="s">
        <v>7131</v>
      </c>
      <c r="D3010" t="str">
        <f>TRIM(alias[[#This Row],[Column3]])</f>
        <v>Tripar Multivision Plus Tbk</v>
      </c>
      <c r="F3010" t="str">
        <f t="shared" si="46"/>
        <v>INSERT INTO stock_alias (stock, alias) VALUES ((SELECT id FROM stock WHERE ticker = 'RAAM'), 'Tripar Multivision Plus Tbk') ON CONFLICT DO NOTHING;</v>
      </c>
    </row>
    <row r="3011" spans="1:6" x14ac:dyDescent="0.2">
      <c r="A3011" t="s">
        <v>2149</v>
      </c>
      <c r="B3011" t="s">
        <v>2150</v>
      </c>
      <c r="C3011" t="s">
        <v>2149</v>
      </c>
      <c r="D3011" t="str">
        <f>TRIM(alias[[#This Row],[Column3]])</f>
        <v>RAFI</v>
      </c>
      <c r="F3011" t="str">
        <f t="shared" ref="F3011:F3074" si="47">_xlfn.CONCAT($F$1, _xlfn.CONCAT($G$1, A3011, "'), '", D3011, "') ON CONFLICT DO NOTHING;"))</f>
        <v>INSERT INTO stock_alias (stock, alias) VALUES ((SELECT id FROM stock WHERE ticker = 'RAFI'), 'RAFI') ON CONFLICT DO NOTHING;</v>
      </c>
    </row>
    <row r="3012" spans="1:6" x14ac:dyDescent="0.2">
      <c r="A3012" t="s">
        <v>2149</v>
      </c>
      <c r="B3012" t="s">
        <v>2150</v>
      </c>
      <c r="C3012" t="s">
        <v>7132</v>
      </c>
      <c r="D3012" t="str">
        <f>TRIM(alias[[#This Row],[Column3]])</f>
        <v>PT Sari Kreasi Boga</v>
      </c>
      <c r="F3012" t="str">
        <f t="shared" si="47"/>
        <v>INSERT INTO stock_alias (stock, alias) VALUES ((SELECT id FROM stock WHERE ticker = 'RAFI'), 'PT Sari Kreasi Boga') ON CONFLICT DO NOTHING;</v>
      </c>
    </row>
    <row r="3013" spans="1:6" x14ac:dyDescent="0.2">
      <c r="A3013" t="s">
        <v>2149</v>
      </c>
      <c r="B3013" t="s">
        <v>2150</v>
      </c>
      <c r="C3013" t="s">
        <v>7133</v>
      </c>
      <c r="D3013" t="str">
        <f>TRIM(alias[[#This Row],[Column3]])</f>
        <v>Sari Kreasi Boga</v>
      </c>
      <c r="F3013" t="str">
        <f t="shared" si="47"/>
        <v>INSERT INTO stock_alias (stock, alias) VALUES ((SELECT id FROM stock WHERE ticker = 'RAFI'), 'Sari Kreasi Boga') ON CONFLICT DO NOTHING;</v>
      </c>
    </row>
    <row r="3014" spans="1:6" x14ac:dyDescent="0.2">
      <c r="A3014" t="s">
        <v>2149</v>
      </c>
      <c r="B3014" t="s">
        <v>2150</v>
      </c>
      <c r="C3014" t="s">
        <v>7134</v>
      </c>
      <c r="D3014" t="str">
        <f>TRIM(alias[[#This Row],[Column3]])</f>
        <v>Sari Kreasi Boga Tbk</v>
      </c>
      <c r="F3014" t="str">
        <f t="shared" si="47"/>
        <v>INSERT INTO stock_alias (stock, alias) VALUES ((SELECT id FROM stock WHERE ticker = 'RAFI'), 'Sari Kreasi Boga Tbk') ON CONFLICT DO NOTHING;</v>
      </c>
    </row>
    <row r="3015" spans="1:6" x14ac:dyDescent="0.2">
      <c r="A3015" t="s">
        <v>1030</v>
      </c>
      <c r="B3015" t="s">
        <v>1031</v>
      </c>
      <c r="C3015" t="s">
        <v>1030</v>
      </c>
      <c r="D3015" t="str">
        <f>TRIM(alias[[#This Row],[Column3]])</f>
        <v>RAJA</v>
      </c>
      <c r="F3015" t="str">
        <f t="shared" si="47"/>
        <v>INSERT INTO stock_alias (stock, alias) VALUES ((SELECT id FROM stock WHERE ticker = 'RAJA'), 'RAJA') ON CONFLICT DO NOTHING;</v>
      </c>
    </row>
    <row r="3016" spans="1:6" x14ac:dyDescent="0.2">
      <c r="A3016" t="s">
        <v>1030</v>
      </c>
      <c r="B3016" t="s">
        <v>1031</v>
      </c>
      <c r="C3016" t="s">
        <v>7135</v>
      </c>
      <c r="D3016" t="str">
        <f>TRIM(alias[[#This Row],[Column3]])</f>
        <v>PT Rukun Raharja</v>
      </c>
      <c r="F3016" t="str">
        <f t="shared" si="47"/>
        <v>INSERT INTO stock_alias (stock, alias) VALUES ((SELECT id FROM stock WHERE ticker = 'RAJA'), 'PT Rukun Raharja') ON CONFLICT DO NOTHING;</v>
      </c>
    </row>
    <row r="3017" spans="1:6" x14ac:dyDescent="0.2">
      <c r="A3017" t="s">
        <v>1030</v>
      </c>
      <c r="B3017" t="s">
        <v>1031</v>
      </c>
      <c r="C3017" t="s">
        <v>7136</v>
      </c>
      <c r="D3017" t="str">
        <f>TRIM(alias[[#This Row],[Column3]])</f>
        <v>Rukun Raharja</v>
      </c>
      <c r="F3017" t="str">
        <f t="shared" si="47"/>
        <v>INSERT INTO stock_alias (stock, alias) VALUES ((SELECT id FROM stock WHERE ticker = 'RAJA'), 'Rukun Raharja') ON CONFLICT DO NOTHING;</v>
      </c>
    </row>
    <row r="3018" spans="1:6" x14ac:dyDescent="0.2">
      <c r="A3018" t="s">
        <v>1030</v>
      </c>
      <c r="B3018" t="s">
        <v>1031</v>
      </c>
      <c r="C3018" t="s">
        <v>7137</v>
      </c>
      <c r="D3018" t="str">
        <f>TRIM(alias[[#This Row],[Column3]])</f>
        <v>Rukun Raharja Tbk</v>
      </c>
      <c r="F3018" t="str">
        <f t="shared" si="47"/>
        <v>INSERT INTO stock_alias (stock, alias) VALUES ((SELECT id FROM stock WHERE ticker = 'RAJA'), 'Rukun Raharja Tbk') ON CONFLICT DO NOTHING;</v>
      </c>
    </row>
    <row r="3019" spans="1:6" x14ac:dyDescent="0.2">
      <c r="A3019" t="s">
        <v>1033</v>
      </c>
      <c r="B3019" t="s">
        <v>1034</v>
      </c>
      <c r="C3019" t="s">
        <v>1033</v>
      </c>
      <c r="D3019" t="str">
        <f>TRIM(alias[[#This Row],[Column3]])</f>
        <v>RALS</v>
      </c>
      <c r="F3019" t="str">
        <f t="shared" si="47"/>
        <v>INSERT INTO stock_alias (stock, alias) VALUES ((SELECT id FROM stock WHERE ticker = 'RALS'), 'RALS') ON CONFLICT DO NOTHING;</v>
      </c>
    </row>
    <row r="3020" spans="1:6" x14ac:dyDescent="0.2">
      <c r="A3020" t="s">
        <v>1033</v>
      </c>
      <c r="B3020" t="s">
        <v>1034</v>
      </c>
      <c r="C3020" t="s">
        <v>7138</v>
      </c>
      <c r="D3020" t="str">
        <f>TRIM(alias[[#This Row],[Column3]])</f>
        <v>PT Ramayana Lestari Sentosa</v>
      </c>
      <c r="F3020" t="str">
        <f t="shared" si="47"/>
        <v>INSERT INTO stock_alias (stock, alias) VALUES ((SELECT id FROM stock WHERE ticker = 'RALS'), 'PT Ramayana Lestari Sentosa') ON CONFLICT DO NOTHING;</v>
      </c>
    </row>
    <row r="3021" spans="1:6" x14ac:dyDescent="0.2">
      <c r="A3021" t="s">
        <v>1033</v>
      </c>
      <c r="B3021" t="s">
        <v>1034</v>
      </c>
      <c r="C3021" t="s">
        <v>7139</v>
      </c>
      <c r="D3021" t="str">
        <f>TRIM(alias[[#This Row],[Column3]])</f>
        <v>Ramayana Lestari Sentosa</v>
      </c>
      <c r="F3021" t="str">
        <f t="shared" si="47"/>
        <v>INSERT INTO stock_alias (stock, alias) VALUES ((SELECT id FROM stock WHERE ticker = 'RALS'), 'Ramayana Lestari Sentosa') ON CONFLICT DO NOTHING;</v>
      </c>
    </row>
    <row r="3022" spans="1:6" x14ac:dyDescent="0.2">
      <c r="A3022" t="s">
        <v>1033</v>
      </c>
      <c r="B3022" t="s">
        <v>1034</v>
      </c>
      <c r="C3022" t="s">
        <v>7140</v>
      </c>
      <c r="D3022" t="str">
        <f>TRIM(alias[[#This Row],[Column3]])</f>
        <v>Ramayana Lestari Sentosa Tbk</v>
      </c>
      <c r="F3022" t="str">
        <f t="shared" si="47"/>
        <v>INSERT INTO stock_alias (stock, alias) VALUES ((SELECT id FROM stock WHERE ticker = 'RALS'), 'Ramayana Lestari Sentosa Tbk') ON CONFLICT DO NOTHING;</v>
      </c>
    </row>
    <row r="3023" spans="1:6" x14ac:dyDescent="0.2">
      <c r="A3023" t="s">
        <v>1036</v>
      </c>
      <c r="B3023" t="s">
        <v>1037</v>
      </c>
      <c r="C3023" t="s">
        <v>1036</v>
      </c>
      <c r="D3023" t="str">
        <f>TRIM(alias[[#This Row],[Column3]])</f>
        <v>RANC</v>
      </c>
      <c r="F3023" t="str">
        <f t="shared" si="47"/>
        <v>INSERT INTO stock_alias (stock, alias) VALUES ((SELECT id FROM stock WHERE ticker = 'RANC'), 'RANC') ON CONFLICT DO NOTHING;</v>
      </c>
    </row>
    <row r="3024" spans="1:6" x14ac:dyDescent="0.2">
      <c r="A3024" t="s">
        <v>1036</v>
      </c>
      <c r="B3024" t="s">
        <v>1037</v>
      </c>
      <c r="C3024" t="s">
        <v>7141</v>
      </c>
      <c r="D3024" t="str">
        <f>TRIM(alias[[#This Row],[Column3]])</f>
        <v>PT Supra Boga Lestari</v>
      </c>
      <c r="F3024" t="str">
        <f t="shared" si="47"/>
        <v>INSERT INTO stock_alias (stock, alias) VALUES ((SELECT id FROM stock WHERE ticker = 'RANC'), 'PT Supra Boga Lestari') ON CONFLICT DO NOTHING;</v>
      </c>
    </row>
    <row r="3025" spans="1:6" x14ac:dyDescent="0.2">
      <c r="A3025" t="s">
        <v>1036</v>
      </c>
      <c r="B3025" t="s">
        <v>1037</v>
      </c>
      <c r="C3025" t="s">
        <v>7142</v>
      </c>
      <c r="D3025" t="str">
        <f>TRIM(alias[[#This Row],[Column3]])</f>
        <v>Supra Boga Lestari</v>
      </c>
      <c r="F3025" t="str">
        <f t="shared" si="47"/>
        <v>INSERT INTO stock_alias (stock, alias) VALUES ((SELECT id FROM stock WHERE ticker = 'RANC'), 'Supra Boga Lestari') ON CONFLICT DO NOTHING;</v>
      </c>
    </row>
    <row r="3026" spans="1:6" x14ac:dyDescent="0.2">
      <c r="A3026" t="s">
        <v>1036</v>
      </c>
      <c r="B3026" t="s">
        <v>1037</v>
      </c>
      <c r="C3026" t="s">
        <v>7143</v>
      </c>
      <c r="D3026" t="str">
        <f>TRIM(alias[[#This Row],[Column3]])</f>
        <v>Supra Boga Lestari Tbk</v>
      </c>
      <c r="F3026" t="str">
        <f t="shared" si="47"/>
        <v>INSERT INTO stock_alias (stock, alias) VALUES ((SELECT id FROM stock WHERE ticker = 'RANC'), 'Supra Boga Lestari Tbk') ON CONFLICT DO NOTHING;</v>
      </c>
    </row>
    <row r="3027" spans="1:6" x14ac:dyDescent="0.2">
      <c r="A3027" t="s">
        <v>2514</v>
      </c>
      <c r="B3027" t="s">
        <v>2515</v>
      </c>
      <c r="C3027" t="s">
        <v>2514</v>
      </c>
      <c r="D3027" t="str">
        <f>TRIM(alias[[#This Row],[Column3]])</f>
        <v>RATU</v>
      </c>
      <c r="F3027" t="str">
        <f t="shared" si="47"/>
        <v>INSERT INTO stock_alias (stock, alias) VALUES ((SELECT id FROM stock WHERE ticker = 'RATU'), 'RATU') ON CONFLICT DO NOTHING;</v>
      </c>
    </row>
    <row r="3028" spans="1:6" x14ac:dyDescent="0.2">
      <c r="A3028" t="s">
        <v>2514</v>
      </c>
      <c r="B3028" t="s">
        <v>2515</v>
      </c>
      <c r="C3028" t="s">
        <v>7144</v>
      </c>
      <c r="D3028" t="str">
        <f>TRIM(alias[[#This Row],[Column3]])</f>
        <v>PT Raharja Energi Cepu</v>
      </c>
      <c r="F3028" t="str">
        <f t="shared" si="47"/>
        <v>INSERT INTO stock_alias (stock, alias) VALUES ((SELECT id FROM stock WHERE ticker = 'RATU'), 'PT Raharja Energi Cepu') ON CONFLICT DO NOTHING;</v>
      </c>
    </row>
    <row r="3029" spans="1:6" x14ac:dyDescent="0.2">
      <c r="A3029" t="s">
        <v>2514</v>
      </c>
      <c r="B3029" t="s">
        <v>2515</v>
      </c>
      <c r="C3029" t="s">
        <v>7145</v>
      </c>
      <c r="D3029" t="str">
        <f>TRIM(alias[[#This Row],[Column3]])</f>
        <v>Raharja Energi Cepu</v>
      </c>
      <c r="F3029" t="str">
        <f t="shared" si="47"/>
        <v>INSERT INTO stock_alias (stock, alias) VALUES ((SELECT id FROM stock WHERE ticker = 'RATU'), 'Raharja Energi Cepu') ON CONFLICT DO NOTHING;</v>
      </c>
    </row>
    <row r="3030" spans="1:6" x14ac:dyDescent="0.2">
      <c r="A3030" t="s">
        <v>2514</v>
      </c>
      <c r="B3030" t="s">
        <v>2515</v>
      </c>
      <c r="C3030" t="s">
        <v>7146</v>
      </c>
      <c r="D3030" t="str">
        <f>TRIM(alias[[#This Row],[Column3]])</f>
        <v>Raharja Energi Cepu Tbk</v>
      </c>
      <c r="F3030" t="str">
        <f t="shared" si="47"/>
        <v>INSERT INTO stock_alias (stock, alias) VALUES ((SELECT id FROM stock WHERE ticker = 'RATU'), 'Raharja Energi Cepu Tbk') ON CONFLICT DO NOTHING;</v>
      </c>
    </row>
    <row r="3031" spans="1:6" x14ac:dyDescent="0.2">
      <c r="A3031" t="s">
        <v>1039</v>
      </c>
      <c r="B3031" t="s">
        <v>3657</v>
      </c>
      <c r="C3031" t="s">
        <v>1039</v>
      </c>
      <c r="D3031" t="str">
        <f>TRIM(alias[[#This Row],[Column3]])</f>
        <v>RBMS</v>
      </c>
      <c r="F3031" t="str">
        <f t="shared" si="47"/>
        <v>INSERT INTO stock_alias (stock, alias) VALUES ((SELECT id FROM stock WHERE ticker = 'RBMS'), 'RBMS') ON CONFLICT DO NOTHING;</v>
      </c>
    </row>
    <row r="3032" spans="1:6" x14ac:dyDescent="0.2">
      <c r="A3032" t="s">
        <v>1039</v>
      </c>
      <c r="B3032" t="s">
        <v>3657</v>
      </c>
      <c r="C3032" t="s">
        <v>7147</v>
      </c>
      <c r="D3032" t="str">
        <f>TRIM(alias[[#This Row],[Column3]])</f>
        <v>PT Ristia Bintang Mahkotasejati</v>
      </c>
      <c r="F3032" t="str">
        <f t="shared" si="47"/>
        <v>INSERT INTO stock_alias (stock, alias) VALUES ((SELECT id FROM stock WHERE ticker = 'RBMS'), 'PT Ristia Bintang Mahkotasejati') ON CONFLICT DO NOTHING;</v>
      </c>
    </row>
    <row r="3033" spans="1:6" x14ac:dyDescent="0.2">
      <c r="A3033" t="s">
        <v>1039</v>
      </c>
      <c r="B3033" t="s">
        <v>3657</v>
      </c>
      <c r="C3033" t="s">
        <v>7148</v>
      </c>
      <c r="D3033" t="str">
        <f>TRIM(alias[[#This Row],[Column3]])</f>
        <v>Ristia Bintang Mahkotasejati</v>
      </c>
      <c r="F3033" t="str">
        <f t="shared" si="47"/>
        <v>INSERT INTO stock_alias (stock, alias) VALUES ((SELECT id FROM stock WHERE ticker = 'RBMS'), 'Ristia Bintang Mahkotasejati') ON CONFLICT DO NOTHING;</v>
      </c>
    </row>
    <row r="3034" spans="1:6" x14ac:dyDescent="0.2">
      <c r="A3034" t="s">
        <v>1039</v>
      </c>
      <c r="B3034" t="s">
        <v>3657</v>
      </c>
      <c r="C3034" t="s">
        <v>7149</v>
      </c>
      <c r="D3034" t="str">
        <f>TRIM(alias[[#This Row],[Column3]])</f>
        <v>Ristia Bintang Mahkotasejati Tbk</v>
      </c>
      <c r="F3034" t="str">
        <f t="shared" si="47"/>
        <v>INSERT INTO stock_alias (stock, alias) VALUES ((SELECT id FROM stock WHERE ticker = 'RBMS'), 'Ristia Bintang Mahkotasejati Tbk') ON CONFLICT DO NOTHING;</v>
      </c>
    </row>
    <row r="3035" spans="1:6" x14ac:dyDescent="0.2">
      <c r="A3035" t="s">
        <v>2137</v>
      </c>
      <c r="B3035" t="s">
        <v>2138</v>
      </c>
      <c r="C3035" t="s">
        <v>2137</v>
      </c>
      <c r="D3035" t="str">
        <f>TRIM(alias[[#This Row],[Column3]])</f>
        <v>RCCC</v>
      </c>
      <c r="F3035" t="str">
        <f t="shared" si="47"/>
        <v>INSERT INTO stock_alias (stock, alias) VALUES ((SELECT id FROM stock WHERE ticker = 'RCCC'), 'RCCC') ON CONFLICT DO NOTHING;</v>
      </c>
    </row>
    <row r="3036" spans="1:6" x14ac:dyDescent="0.2">
      <c r="A3036" t="s">
        <v>2137</v>
      </c>
      <c r="B3036" t="s">
        <v>2138</v>
      </c>
      <c r="C3036" t="s">
        <v>7150</v>
      </c>
      <c r="D3036" t="str">
        <f>TRIM(alias[[#This Row],[Column3]])</f>
        <v>PT Utama Radar Cahaya</v>
      </c>
      <c r="F3036" t="str">
        <f t="shared" si="47"/>
        <v>INSERT INTO stock_alias (stock, alias) VALUES ((SELECT id FROM stock WHERE ticker = 'RCCC'), 'PT Utama Radar Cahaya') ON CONFLICT DO NOTHING;</v>
      </c>
    </row>
    <row r="3037" spans="1:6" x14ac:dyDescent="0.2">
      <c r="A3037" t="s">
        <v>2137</v>
      </c>
      <c r="B3037" t="s">
        <v>2138</v>
      </c>
      <c r="C3037" t="s">
        <v>7151</v>
      </c>
      <c r="D3037" t="str">
        <f>TRIM(alias[[#This Row],[Column3]])</f>
        <v>Utama Radar Cahaya</v>
      </c>
      <c r="F3037" t="str">
        <f t="shared" si="47"/>
        <v>INSERT INTO stock_alias (stock, alias) VALUES ((SELECT id FROM stock WHERE ticker = 'RCCC'), 'Utama Radar Cahaya') ON CONFLICT DO NOTHING;</v>
      </c>
    </row>
    <row r="3038" spans="1:6" x14ac:dyDescent="0.2">
      <c r="A3038" t="s">
        <v>2137</v>
      </c>
      <c r="B3038" t="s">
        <v>2138</v>
      </c>
      <c r="C3038" t="s">
        <v>7152</v>
      </c>
      <c r="D3038" t="str">
        <f>TRIM(alias[[#This Row],[Column3]])</f>
        <v>Utama Radar Cahaya Tbk</v>
      </c>
      <c r="F3038" t="str">
        <f t="shared" si="47"/>
        <v>INSERT INTO stock_alias (stock, alias) VALUES ((SELECT id FROM stock WHERE ticker = 'RCCC'), 'Utama Radar Cahaya Tbk') ON CONFLICT DO NOTHING;</v>
      </c>
    </row>
    <row r="3039" spans="1:6" x14ac:dyDescent="0.2">
      <c r="A3039" t="s">
        <v>1041</v>
      </c>
      <c r="B3039" t="s">
        <v>3658</v>
      </c>
      <c r="C3039" t="s">
        <v>1041</v>
      </c>
      <c r="D3039" t="str">
        <f>TRIM(alias[[#This Row],[Column3]])</f>
        <v>RDTX</v>
      </c>
      <c r="F3039" t="str">
        <f t="shared" si="47"/>
        <v>INSERT INTO stock_alias (stock, alias) VALUES ((SELECT id FROM stock WHERE ticker = 'RDTX'), 'RDTX') ON CONFLICT DO NOTHING;</v>
      </c>
    </row>
    <row r="3040" spans="1:6" x14ac:dyDescent="0.2">
      <c r="A3040" t="s">
        <v>1041</v>
      </c>
      <c r="B3040" t="s">
        <v>3658</v>
      </c>
      <c r="C3040" t="s">
        <v>7153</v>
      </c>
      <c r="D3040" t="str">
        <f>TRIM(alias[[#This Row],[Column3]])</f>
        <v>PT Roda Vivatex</v>
      </c>
      <c r="F3040" t="str">
        <f t="shared" si="47"/>
        <v>INSERT INTO stock_alias (stock, alias) VALUES ((SELECT id FROM stock WHERE ticker = 'RDTX'), 'PT Roda Vivatex') ON CONFLICT DO NOTHING;</v>
      </c>
    </row>
    <row r="3041" spans="1:6" x14ac:dyDescent="0.2">
      <c r="A3041" t="s">
        <v>1041</v>
      </c>
      <c r="B3041" t="s">
        <v>3658</v>
      </c>
      <c r="C3041" t="s">
        <v>7154</v>
      </c>
      <c r="D3041" t="str">
        <f>TRIM(alias[[#This Row],[Column3]])</f>
        <v>Roda Vivatex</v>
      </c>
      <c r="F3041" t="str">
        <f t="shared" si="47"/>
        <v>INSERT INTO stock_alias (stock, alias) VALUES ((SELECT id FROM stock WHERE ticker = 'RDTX'), 'Roda Vivatex') ON CONFLICT DO NOTHING;</v>
      </c>
    </row>
    <row r="3042" spans="1:6" x14ac:dyDescent="0.2">
      <c r="A3042" t="s">
        <v>1041</v>
      </c>
      <c r="B3042" t="s">
        <v>3658</v>
      </c>
      <c r="C3042" t="s">
        <v>7155</v>
      </c>
      <c r="D3042" t="str">
        <f>TRIM(alias[[#This Row],[Column3]])</f>
        <v>Roda Vivatex Tbk</v>
      </c>
      <c r="F3042" t="str">
        <f t="shared" si="47"/>
        <v>INSERT INTO stock_alias (stock, alias) VALUES ((SELECT id FROM stock WHERE ticker = 'RDTX'), 'Roda Vivatex Tbk') ON CONFLICT DO NOTHING;</v>
      </c>
    </row>
    <row r="3043" spans="1:6" x14ac:dyDescent="0.2">
      <c r="A3043" t="s">
        <v>1779</v>
      </c>
      <c r="B3043" t="s">
        <v>1780</v>
      </c>
      <c r="C3043" t="s">
        <v>1779</v>
      </c>
      <c r="D3043" t="str">
        <f>TRIM(alias[[#This Row],[Column3]])</f>
        <v>REAL</v>
      </c>
      <c r="F3043" t="str">
        <f t="shared" si="47"/>
        <v>INSERT INTO stock_alias (stock, alias) VALUES ((SELECT id FROM stock WHERE ticker = 'REAL'), 'REAL') ON CONFLICT DO NOTHING;</v>
      </c>
    </row>
    <row r="3044" spans="1:6" x14ac:dyDescent="0.2">
      <c r="A3044" t="s">
        <v>1779</v>
      </c>
      <c r="B3044" t="s">
        <v>1780</v>
      </c>
      <c r="C3044" t="s">
        <v>7156</v>
      </c>
      <c r="D3044" t="str">
        <f>TRIM(alias[[#This Row],[Column3]])</f>
        <v>PT Repower Asia Indonesia</v>
      </c>
      <c r="F3044" t="str">
        <f t="shared" si="47"/>
        <v>INSERT INTO stock_alias (stock, alias) VALUES ((SELECT id FROM stock WHERE ticker = 'REAL'), 'PT Repower Asia Indonesia') ON CONFLICT DO NOTHING;</v>
      </c>
    </row>
    <row r="3045" spans="1:6" x14ac:dyDescent="0.2">
      <c r="A3045" t="s">
        <v>1779</v>
      </c>
      <c r="B3045" t="s">
        <v>1780</v>
      </c>
      <c r="C3045" t="s">
        <v>7157</v>
      </c>
      <c r="D3045" t="str">
        <f>TRIM(alias[[#This Row],[Column3]])</f>
        <v>Repower Asia Indonesia</v>
      </c>
      <c r="F3045" t="str">
        <f t="shared" si="47"/>
        <v>INSERT INTO stock_alias (stock, alias) VALUES ((SELECT id FROM stock WHERE ticker = 'REAL'), 'Repower Asia Indonesia') ON CONFLICT DO NOTHING;</v>
      </c>
    </row>
    <row r="3046" spans="1:6" x14ac:dyDescent="0.2">
      <c r="A3046" t="s">
        <v>1779</v>
      </c>
      <c r="B3046" t="s">
        <v>1780</v>
      </c>
      <c r="C3046" t="s">
        <v>7158</v>
      </c>
      <c r="D3046" t="str">
        <f>TRIM(alias[[#This Row],[Column3]])</f>
        <v>Repower Asia Indonesia Tbk</v>
      </c>
      <c r="F3046" t="str">
        <f t="shared" si="47"/>
        <v>INSERT INTO stock_alias (stock, alias) VALUES ((SELECT id FROM stock WHERE ticker = 'REAL'), 'Repower Asia Indonesia Tbk') ON CONFLICT DO NOTHING;</v>
      </c>
    </row>
    <row r="3047" spans="1:6" x14ac:dyDescent="0.2">
      <c r="A3047" t="s">
        <v>2316</v>
      </c>
      <c r="B3047" t="s">
        <v>2317</v>
      </c>
      <c r="C3047" t="s">
        <v>2316</v>
      </c>
      <c r="D3047" t="str">
        <f>TRIM(alias[[#This Row],[Column3]])</f>
        <v>RELF</v>
      </c>
      <c r="F3047" t="str">
        <f t="shared" si="47"/>
        <v>INSERT INTO stock_alias (stock, alias) VALUES ((SELECT id FROM stock WHERE ticker = 'RELF'), 'RELF') ON CONFLICT DO NOTHING;</v>
      </c>
    </row>
    <row r="3048" spans="1:6" x14ac:dyDescent="0.2">
      <c r="A3048" t="s">
        <v>2316</v>
      </c>
      <c r="B3048" t="s">
        <v>2317</v>
      </c>
      <c r="C3048" t="s">
        <v>7159</v>
      </c>
      <c r="D3048" t="str">
        <f>TRIM(alias[[#This Row],[Column3]])</f>
        <v>Graha Mitra Asia</v>
      </c>
      <c r="F3048" t="str">
        <f t="shared" si="47"/>
        <v>INSERT INTO stock_alias (stock, alias) VALUES ((SELECT id FROM stock WHERE ticker = 'RELF'), 'Graha Mitra Asia') ON CONFLICT DO NOTHING;</v>
      </c>
    </row>
    <row r="3049" spans="1:6" x14ac:dyDescent="0.2">
      <c r="A3049" t="s">
        <v>2316</v>
      </c>
      <c r="B3049" t="s">
        <v>2317</v>
      </c>
      <c r="C3049" t="s">
        <v>7160</v>
      </c>
      <c r="D3049" t="str">
        <f>TRIM(alias[[#This Row],[Column3]])</f>
        <v>Graha Mitra Asia Tbk</v>
      </c>
      <c r="F3049" t="str">
        <f t="shared" si="47"/>
        <v>INSERT INTO stock_alias (stock, alias) VALUES ((SELECT id FROM stock WHERE ticker = 'RELF'), 'Graha Mitra Asia Tbk') ON CONFLICT DO NOTHING;</v>
      </c>
    </row>
    <row r="3050" spans="1:6" x14ac:dyDescent="0.2">
      <c r="A3050" t="s">
        <v>2316</v>
      </c>
      <c r="B3050" t="s">
        <v>2317</v>
      </c>
      <c r="C3050" t="s">
        <v>7161</v>
      </c>
      <c r="D3050" t="str">
        <f>TRIM(alias[[#This Row],[Column3]])</f>
        <v>PT Graha Mitra Asia</v>
      </c>
      <c r="F3050" t="str">
        <f t="shared" si="47"/>
        <v>INSERT INTO stock_alias (stock, alias) VALUES ((SELECT id FROM stock WHERE ticker = 'RELF'), 'PT Graha Mitra Asia') ON CONFLICT DO NOTHING;</v>
      </c>
    </row>
    <row r="3051" spans="1:6" x14ac:dyDescent="0.2">
      <c r="A3051" t="s">
        <v>1044</v>
      </c>
      <c r="B3051" t="s">
        <v>3659</v>
      </c>
      <c r="C3051" t="s">
        <v>1044</v>
      </c>
      <c r="D3051" t="str">
        <f>TRIM(alias[[#This Row],[Column3]])</f>
        <v>RELI</v>
      </c>
      <c r="F3051" t="str">
        <f t="shared" si="47"/>
        <v>INSERT INTO stock_alias (stock, alias) VALUES ((SELECT id FROM stock WHERE ticker = 'RELI'), 'RELI') ON CONFLICT DO NOTHING;</v>
      </c>
    </row>
    <row r="3052" spans="1:6" x14ac:dyDescent="0.2">
      <c r="A3052" t="s">
        <v>1044</v>
      </c>
      <c r="B3052" t="s">
        <v>3659</v>
      </c>
      <c r="C3052" t="s">
        <v>7162</v>
      </c>
      <c r="D3052" t="str">
        <f>TRIM(alias[[#This Row],[Column3]])</f>
        <v>PT Reliance Sekuritas Indonesia</v>
      </c>
      <c r="F3052" t="str">
        <f t="shared" si="47"/>
        <v>INSERT INTO stock_alias (stock, alias) VALUES ((SELECT id FROM stock WHERE ticker = 'RELI'), 'PT Reliance Sekuritas Indonesia') ON CONFLICT DO NOTHING;</v>
      </c>
    </row>
    <row r="3053" spans="1:6" x14ac:dyDescent="0.2">
      <c r="A3053" t="s">
        <v>1044</v>
      </c>
      <c r="B3053" t="s">
        <v>3659</v>
      </c>
      <c r="C3053" t="s">
        <v>7163</v>
      </c>
      <c r="D3053" t="str">
        <f>TRIM(alias[[#This Row],[Column3]])</f>
        <v>Reliance Sekuritas Indonesia</v>
      </c>
      <c r="F3053" t="str">
        <f t="shared" si="47"/>
        <v>INSERT INTO stock_alias (stock, alias) VALUES ((SELECT id FROM stock WHERE ticker = 'RELI'), 'Reliance Sekuritas Indonesia') ON CONFLICT DO NOTHING;</v>
      </c>
    </row>
    <row r="3054" spans="1:6" x14ac:dyDescent="0.2">
      <c r="A3054" t="s">
        <v>1044</v>
      </c>
      <c r="B3054" t="s">
        <v>3659</v>
      </c>
      <c r="C3054" t="s">
        <v>7164</v>
      </c>
      <c r="D3054" t="str">
        <f>TRIM(alias[[#This Row],[Column3]])</f>
        <v>Reliance Sekuritas Indonesia Tbk</v>
      </c>
      <c r="F3054" t="str">
        <f t="shared" si="47"/>
        <v>INSERT INTO stock_alias (stock, alias) VALUES ((SELECT id FROM stock WHERE ticker = 'RELI'), 'Reliance Sekuritas Indonesia Tbk') ON CONFLICT DO NOTHING;</v>
      </c>
    </row>
    <row r="3055" spans="1:6" x14ac:dyDescent="0.2">
      <c r="A3055" t="s">
        <v>2401</v>
      </c>
      <c r="B3055" t="s">
        <v>2402</v>
      </c>
      <c r="C3055" t="s">
        <v>2401</v>
      </c>
      <c r="D3055" t="str">
        <f>TRIM(alias[[#This Row],[Column3]])</f>
        <v>RGAS</v>
      </c>
      <c r="F3055" t="str">
        <f t="shared" si="47"/>
        <v>INSERT INTO stock_alias (stock, alias) VALUES ((SELECT id FROM stock WHERE ticker = 'RGAS'), 'RGAS') ON CONFLICT DO NOTHING;</v>
      </c>
    </row>
    <row r="3056" spans="1:6" x14ac:dyDescent="0.2">
      <c r="A3056" t="s">
        <v>2401</v>
      </c>
      <c r="B3056" t="s">
        <v>2402</v>
      </c>
      <c r="C3056" t="s">
        <v>7165</v>
      </c>
      <c r="D3056" t="str">
        <f>TRIM(alias[[#This Row],[Column3]])</f>
        <v>Kian Santang Muliatama</v>
      </c>
      <c r="F3056" t="str">
        <f t="shared" si="47"/>
        <v>INSERT INTO stock_alias (stock, alias) VALUES ((SELECT id FROM stock WHERE ticker = 'RGAS'), 'Kian Santang Muliatama') ON CONFLICT DO NOTHING;</v>
      </c>
    </row>
    <row r="3057" spans="1:6" x14ac:dyDescent="0.2">
      <c r="A3057" t="s">
        <v>2401</v>
      </c>
      <c r="B3057" t="s">
        <v>2402</v>
      </c>
      <c r="C3057" t="s">
        <v>7166</v>
      </c>
      <c r="D3057" t="str">
        <f>TRIM(alias[[#This Row],[Column3]])</f>
        <v>Kian Santang Muliatama Tbk</v>
      </c>
      <c r="F3057" t="str">
        <f t="shared" si="47"/>
        <v>INSERT INTO stock_alias (stock, alias) VALUES ((SELECT id FROM stock WHERE ticker = 'RGAS'), 'Kian Santang Muliatama Tbk') ON CONFLICT DO NOTHING;</v>
      </c>
    </row>
    <row r="3058" spans="1:6" x14ac:dyDescent="0.2">
      <c r="A3058" t="s">
        <v>2401</v>
      </c>
      <c r="B3058" t="s">
        <v>2402</v>
      </c>
      <c r="C3058" t="s">
        <v>7167</v>
      </c>
      <c r="D3058" t="str">
        <f>TRIM(alias[[#This Row],[Column3]])</f>
        <v>PT Kian Santang Muliatama</v>
      </c>
      <c r="F3058" t="str">
        <f t="shared" si="47"/>
        <v>INSERT INTO stock_alias (stock, alias) VALUES ((SELECT id FROM stock WHERE ticker = 'RGAS'), 'PT Kian Santang Muliatama') ON CONFLICT DO NOTHING;</v>
      </c>
    </row>
    <row r="3059" spans="1:6" x14ac:dyDescent="0.2">
      <c r="A3059" t="s">
        <v>1045</v>
      </c>
      <c r="B3059" t="s">
        <v>3660</v>
      </c>
      <c r="C3059" t="s">
        <v>1045</v>
      </c>
      <c r="D3059" t="str">
        <f>TRIM(alias[[#This Row],[Column3]])</f>
        <v>RICY</v>
      </c>
      <c r="F3059" t="str">
        <f t="shared" si="47"/>
        <v>INSERT INTO stock_alias (stock, alias) VALUES ((SELECT id FROM stock WHERE ticker = 'RICY'), 'RICY') ON CONFLICT DO NOTHING;</v>
      </c>
    </row>
    <row r="3060" spans="1:6" x14ac:dyDescent="0.2">
      <c r="A3060" t="s">
        <v>1045</v>
      </c>
      <c r="B3060" t="s">
        <v>3660</v>
      </c>
      <c r="C3060" t="s">
        <v>7168</v>
      </c>
      <c r="D3060" t="str">
        <f>TRIM(alias[[#This Row],[Column3]])</f>
        <v>PT Ricky Putra Globalindo</v>
      </c>
      <c r="F3060" t="str">
        <f t="shared" si="47"/>
        <v>INSERT INTO stock_alias (stock, alias) VALUES ((SELECT id FROM stock WHERE ticker = 'RICY'), 'PT Ricky Putra Globalindo') ON CONFLICT DO NOTHING;</v>
      </c>
    </row>
    <row r="3061" spans="1:6" x14ac:dyDescent="0.2">
      <c r="A3061" t="s">
        <v>1045</v>
      </c>
      <c r="B3061" t="s">
        <v>3660</v>
      </c>
      <c r="C3061" t="s">
        <v>7169</v>
      </c>
      <c r="D3061" t="str">
        <f>TRIM(alias[[#This Row],[Column3]])</f>
        <v>Ricky Putra Globalindo</v>
      </c>
      <c r="F3061" t="str">
        <f t="shared" si="47"/>
        <v>INSERT INTO stock_alias (stock, alias) VALUES ((SELECT id FROM stock WHERE ticker = 'RICY'), 'Ricky Putra Globalindo') ON CONFLICT DO NOTHING;</v>
      </c>
    </row>
    <row r="3062" spans="1:6" x14ac:dyDescent="0.2">
      <c r="A3062" t="s">
        <v>1045</v>
      </c>
      <c r="B3062" t="s">
        <v>3660</v>
      </c>
      <c r="C3062" t="s">
        <v>7170</v>
      </c>
      <c r="D3062" t="str">
        <f>TRIM(alias[[#This Row],[Column3]])</f>
        <v>Ricky Putra Globalindo Tbk</v>
      </c>
      <c r="F3062" t="str">
        <f t="shared" si="47"/>
        <v>INSERT INTO stock_alias (stock, alias) VALUES ((SELECT id FROM stock WHERE ticker = 'RICY'), 'Ricky Putra Globalindo Tbk') ON CONFLICT DO NOTHING;</v>
      </c>
    </row>
    <row r="3063" spans="1:6" x14ac:dyDescent="0.2">
      <c r="A3063" t="s">
        <v>1048</v>
      </c>
      <c r="B3063" t="s">
        <v>1049</v>
      </c>
      <c r="C3063" t="s">
        <v>1048</v>
      </c>
      <c r="D3063" t="str">
        <f>TRIM(alias[[#This Row],[Column3]])</f>
        <v>RIGS</v>
      </c>
      <c r="F3063" t="str">
        <f t="shared" si="47"/>
        <v>INSERT INTO stock_alias (stock, alias) VALUES ((SELECT id FROM stock WHERE ticker = 'RIGS'), 'RIGS') ON CONFLICT DO NOTHING;</v>
      </c>
    </row>
    <row r="3064" spans="1:6" x14ac:dyDescent="0.2">
      <c r="A3064" t="s">
        <v>1048</v>
      </c>
      <c r="B3064" t="s">
        <v>1049</v>
      </c>
      <c r="C3064" t="s">
        <v>7171</v>
      </c>
      <c r="D3064" t="str">
        <f>TRIM(alias[[#This Row],[Column3]])</f>
        <v>PT Rig Tenders Indonesia</v>
      </c>
      <c r="F3064" t="str">
        <f t="shared" si="47"/>
        <v>INSERT INTO stock_alias (stock, alias) VALUES ((SELECT id FROM stock WHERE ticker = 'RIGS'), 'PT Rig Tenders Indonesia') ON CONFLICT DO NOTHING;</v>
      </c>
    </row>
    <row r="3065" spans="1:6" x14ac:dyDescent="0.2">
      <c r="A3065" t="s">
        <v>1048</v>
      </c>
      <c r="B3065" t="s">
        <v>1049</v>
      </c>
      <c r="C3065" t="s">
        <v>7172</v>
      </c>
      <c r="D3065" t="str">
        <f>TRIM(alias[[#This Row],[Column3]])</f>
        <v>Rig Tenders Indonesia</v>
      </c>
      <c r="F3065" t="str">
        <f t="shared" si="47"/>
        <v>INSERT INTO stock_alias (stock, alias) VALUES ((SELECT id FROM stock WHERE ticker = 'RIGS'), 'Rig Tenders Indonesia') ON CONFLICT DO NOTHING;</v>
      </c>
    </row>
    <row r="3066" spans="1:6" x14ac:dyDescent="0.2">
      <c r="A3066" t="s">
        <v>1048</v>
      </c>
      <c r="B3066" t="s">
        <v>1049</v>
      </c>
      <c r="C3066" t="s">
        <v>7173</v>
      </c>
      <c r="D3066" t="str">
        <f>TRIM(alias[[#This Row],[Column3]])</f>
        <v>Rig Tenders Indonesia Tbk</v>
      </c>
      <c r="F3066" t="str">
        <f t="shared" si="47"/>
        <v>INSERT INTO stock_alias (stock, alias) VALUES ((SELECT id FROM stock WHERE ticker = 'RIGS'), 'Rig Tenders Indonesia Tbk') ON CONFLICT DO NOTHING;</v>
      </c>
    </row>
    <row r="3067" spans="1:6" x14ac:dyDescent="0.2">
      <c r="A3067" t="s">
        <v>1051</v>
      </c>
      <c r="B3067" t="s">
        <v>3661</v>
      </c>
      <c r="C3067" t="s">
        <v>1051</v>
      </c>
      <c r="D3067" t="str">
        <f>TRIM(alias[[#This Row],[Column3]])</f>
        <v>RIMO</v>
      </c>
      <c r="F3067" t="str">
        <f t="shared" si="47"/>
        <v>INSERT INTO stock_alias (stock, alias) VALUES ((SELECT id FROM stock WHERE ticker = 'RIMO'), 'RIMO') ON CONFLICT DO NOTHING;</v>
      </c>
    </row>
    <row r="3068" spans="1:6" x14ac:dyDescent="0.2">
      <c r="A3068" t="s">
        <v>1051</v>
      </c>
      <c r="B3068" t="s">
        <v>3661</v>
      </c>
      <c r="C3068" t="s">
        <v>7174</v>
      </c>
      <c r="D3068" t="str">
        <f>TRIM(alias[[#This Row],[Column3]])</f>
        <v>PT Rimo International Lestari</v>
      </c>
      <c r="F3068" t="str">
        <f t="shared" si="47"/>
        <v>INSERT INTO stock_alias (stock, alias) VALUES ((SELECT id FROM stock WHERE ticker = 'RIMO'), 'PT Rimo International Lestari') ON CONFLICT DO NOTHING;</v>
      </c>
    </row>
    <row r="3069" spans="1:6" x14ac:dyDescent="0.2">
      <c r="A3069" t="s">
        <v>1051</v>
      </c>
      <c r="B3069" t="s">
        <v>3661</v>
      </c>
      <c r="C3069" t="s">
        <v>7175</v>
      </c>
      <c r="D3069" t="str">
        <f>TRIM(alias[[#This Row],[Column3]])</f>
        <v>Rimo International Lestari</v>
      </c>
      <c r="F3069" t="str">
        <f t="shared" si="47"/>
        <v>INSERT INTO stock_alias (stock, alias) VALUES ((SELECT id FROM stock WHERE ticker = 'RIMO'), 'Rimo International Lestari') ON CONFLICT DO NOTHING;</v>
      </c>
    </row>
    <row r="3070" spans="1:6" x14ac:dyDescent="0.2">
      <c r="A3070" t="s">
        <v>1051</v>
      </c>
      <c r="B3070" t="s">
        <v>3661</v>
      </c>
      <c r="C3070" t="s">
        <v>7176</v>
      </c>
      <c r="D3070" t="str">
        <f>TRIM(alias[[#This Row],[Column3]])</f>
        <v>Rimo International Lestari Tbk</v>
      </c>
      <c r="F3070" t="str">
        <f t="shared" si="47"/>
        <v>INSERT INTO stock_alias (stock, alias) VALUES ((SELECT id FROM stock WHERE ticker = 'RIMO'), 'Rimo International Lestari Tbk') ON CONFLICT DO NOTHING;</v>
      </c>
    </row>
    <row r="3071" spans="1:6" x14ac:dyDescent="0.2">
      <c r="A3071" t="s">
        <v>1551</v>
      </c>
      <c r="B3071" t="s">
        <v>3662</v>
      </c>
      <c r="C3071" t="s">
        <v>1551</v>
      </c>
      <c r="D3071" t="str">
        <f>TRIM(alias[[#This Row],[Column3]])</f>
        <v>RISE</v>
      </c>
      <c r="F3071" t="str">
        <f t="shared" si="47"/>
        <v>INSERT INTO stock_alias (stock, alias) VALUES ((SELECT id FROM stock WHERE ticker = 'RISE'), 'RISE') ON CONFLICT DO NOTHING;</v>
      </c>
    </row>
    <row r="3072" spans="1:6" x14ac:dyDescent="0.2">
      <c r="A3072" t="s">
        <v>1551</v>
      </c>
      <c r="B3072" t="s">
        <v>3662</v>
      </c>
      <c r="C3072" t="s">
        <v>7177</v>
      </c>
      <c r="D3072" t="str">
        <f>TRIM(alias[[#This Row],[Column3]])</f>
        <v>Jaya Sukses Makmur Sentosa</v>
      </c>
      <c r="F3072" t="str">
        <f t="shared" si="47"/>
        <v>INSERT INTO stock_alias (stock, alias) VALUES ((SELECT id FROM stock WHERE ticker = 'RISE'), 'Jaya Sukses Makmur Sentosa') ON CONFLICT DO NOTHING;</v>
      </c>
    </row>
    <row r="3073" spans="1:6" x14ac:dyDescent="0.2">
      <c r="A3073" t="s">
        <v>1551</v>
      </c>
      <c r="B3073" t="s">
        <v>3662</v>
      </c>
      <c r="C3073" t="s">
        <v>7178</v>
      </c>
      <c r="D3073" t="str">
        <f>TRIM(alias[[#This Row],[Column3]])</f>
        <v>Jaya Sukses Makmur Sentosa Tbk</v>
      </c>
      <c r="F3073" t="str">
        <f t="shared" si="47"/>
        <v>INSERT INTO stock_alias (stock, alias) VALUES ((SELECT id FROM stock WHERE ticker = 'RISE'), 'Jaya Sukses Makmur Sentosa Tbk') ON CONFLICT DO NOTHING;</v>
      </c>
    </row>
    <row r="3074" spans="1:6" x14ac:dyDescent="0.2">
      <c r="A3074" t="s">
        <v>1551</v>
      </c>
      <c r="B3074" t="s">
        <v>3662</v>
      </c>
      <c r="C3074" t="s">
        <v>7179</v>
      </c>
      <c r="D3074" t="str">
        <f>TRIM(alias[[#This Row],[Column3]])</f>
        <v>PT Jaya Sukses Makmur Sentosa</v>
      </c>
      <c r="F3074" t="str">
        <f t="shared" si="47"/>
        <v>INSERT INTO stock_alias (stock, alias) VALUES ((SELECT id FROM stock WHERE ticker = 'RISE'), 'PT Jaya Sukses Makmur Sentosa') ON CONFLICT DO NOTHING;</v>
      </c>
    </row>
    <row r="3075" spans="1:6" x14ac:dyDescent="0.2">
      <c r="A3075" t="s">
        <v>2564</v>
      </c>
      <c r="B3075" t="s">
        <v>2565</v>
      </c>
      <c r="C3075" t="s">
        <v>2564</v>
      </c>
      <c r="D3075" t="str">
        <f>TRIM(alias[[#This Row],[Column3]])</f>
        <v>RLCO</v>
      </c>
      <c r="F3075" t="str">
        <f t="shared" ref="F3075:F3138" si="48">_xlfn.CONCAT($F$1, _xlfn.CONCAT($G$1, A3075, "'), '", D3075, "') ON CONFLICT DO NOTHING;"))</f>
        <v>INSERT INTO stock_alias (stock, alias) VALUES ((SELECT id FROM stock WHERE ticker = 'RLCO'), 'RLCO') ON CONFLICT DO NOTHING;</v>
      </c>
    </row>
    <row r="3076" spans="1:6" x14ac:dyDescent="0.2">
      <c r="A3076" t="s">
        <v>2564</v>
      </c>
      <c r="B3076" t="s">
        <v>2565</v>
      </c>
      <c r="C3076" t="s">
        <v>7180</v>
      </c>
      <c r="D3076" t="str">
        <f>TRIM(alias[[#This Row],[Column3]])</f>
        <v>Abadi Lestari Indonesia</v>
      </c>
      <c r="F3076" t="str">
        <f t="shared" si="48"/>
        <v>INSERT INTO stock_alias (stock, alias) VALUES ((SELECT id FROM stock WHERE ticker = 'RLCO'), 'Abadi Lestari Indonesia') ON CONFLICT DO NOTHING;</v>
      </c>
    </row>
    <row r="3077" spans="1:6" x14ac:dyDescent="0.2">
      <c r="A3077" t="s">
        <v>2564</v>
      </c>
      <c r="B3077" t="s">
        <v>2565</v>
      </c>
      <c r="C3077" t="s">
        <v>7181</v>
      </c>
      <c r="D3077" t="str">
        <f>TRIM(alias[[#This Row],[Column3]])</f>
        <v>Abadi Lestari Indonesia Tbk</v>
      </c>
      <c r="F3077" t="str">
        <f t="shared" si="48"/>
        <v>INSERT INTO stock_alias (stock, alias) VALUES ((SELECT id FROM stock WHERE ticker = 'RLCO'), 'Abadi Lestari Indonesia Tbk') ON CONFLICT DO NOTHING;</v>
      </c>
    </row>
    <row r="3078" spans="1:6" x14ac:dyDescent="0.2">
      <c r="A3078" t="s">
        <v>2564</v>
      </c>
      <c r="B3078" t="s">
        <v>2565</v>
      </c>
      <c r="C3078" t="s">
        <v>7182</v>
      </c>
      <c r="D3078" t="str">
        <f>TRIM(alias[[#This Row],[Column3]])</f>
        <v>PT Abadi Lestari Indonesia</v>
      </c>
      <c r="F3078" t="str">
        <f t="shared" si="48"/>
        <v>INSERT INTO stock_alias (stock, alias) VALUES ((SELECT id FROM stock WHERE ticker = 'RLCO'), 'PT Abadi Lestari Indonesia') ON CONFLICT DO NOTHING;</v>
      </c>
    </row>
    <row r="3079" spans="1:6" x14ac:dyDescent="0.2">
      <c r="A3079" t="s">
        <v>2040</v>
      </c>
      <c r="B3079" t="s">
        <v>2041</v>
      </c>
      <c r="C3079" t="s">
        <v>2040</v>
      </c>
      <c r="D3079" t="str">
        <f>TRIM(alias[[#This Row],[Column3]])</f>
        <v>RMKE</v>
      </c>
      <c r="F3079" t="str">
        <f t="shared" si="48"/>
        <v>INSERT INTO stock_alias (stock, alias) VALUES ((SELECT id FROM stock WHERE ticker = 'RMKE'), 'RMKE') ON CONFLICT DO NOTHING;</v>
      </c>
    </row>
    <row r="3080" spans="1:6" x14ac:dyDescent="0.2">
      <c r="A3080" t="s">
        <v>2040</v>
      </c>
      <c r="B3080" t="s">
        <v>2041</v>
      </c>
      <c r="C3080" t="s">
        <v>7183</v>
      </c>
      <c r="D3080" t="str">
        <f>TRIM(alias[[#This Row],[Column3]])</f>
        <v>PT RMK Energy</v>
      </c>
      <c r="F3080" t="str">
        <f t="shared" si="48"/>
        <v>INSERT INTO stock_alias (stock, alias) VALUES ((SELECT id FROM stock WHERE ticker = 'RMKE'), 'PT RMK Energy') ON CONFLICT DO NOTHING;</v>
      </c>
    </row>
    <row r="3081" spans="1:6" x14ac:dyDescent="0.2">
      <c r="A3081" t="s">
        <v>2040</v>
      </c>
      <c r="B3081" t="s">
        <v>2041</v>
      </c>
      <c r="C3081" t="s">
        <v>7184</v>
      </c>
      <c r="D3081" t="str">
        <f>TRIM(alias[[#This Row],[Column3]])</f>
        <v>RMK Energy</v>
      </c>
      <c r="F3081" t="str">
        <f t="shared" si="48"/>
        <v>INSERT INTO stock_alias (stock, alias) VALUES ((SELECT id FROM stock WHERE ticker = 'RMKE'), 'RMK Energy') ON CONFLICT DO NOTHING;</v>
      </c>
    </row>
    <row r="3082" spans="1:6" x14ac:dyDescent="0.2">
      <c r="A3082" t="s">
        <v>2040</v>
      </c>
      <c r="B3082" t="s">
        <v>2041</v>
      </c>
      <c r="C3082" t="s">
        <v>7185</v>
      </c>
      <c r="D3082" t="str">
        <f>TRIM(alias[[#This Row],[Column3]])</f>
        <v>RMK Energy Tbk</v>
      </c>
      <c r="F3082" t="str">
        <f t="shared" si="48"/>
        <v>INSERT INTO stock_alias (stock, alias) VALUES ((SELECT id FROM stock WHERE ticker = 'RMKE'), 'RMK Energy Tbk') ON CONFLICT DO NOTHING;</v>
      </c>
    </row>
    <row r="3083" spans="1:6" x14ac:dyDescent="0.2">
      <c r="A3083" t="s">
        <v>2338</v>
      </c>
      <c r="B3083" t="s">
        <v>3663</v>
      </c>
      <c r="C3083" t="s">
        <v>2338</v>
      </c>
      <c r="D3083" t="str">
        <f>TRIM(alias[[#This Row],[Column3]])</f>
        <v>RMKO</v>
      </c>
      <c r="F3083" t="str">
        <f t="shared" si="48"/>
        <v>INSERT INTO stock_alias (stock, alias) VALUES ((SELECT id FROM stock WHERE ticker = 'RMKO'), 'RMKO') ON CONFLICT DO NOTHING;</v>
      </c>
    </row>
    <row r="3084" spans="1:6" x14ac:dyDescent="0.2">
      <c r="A3084" t="s">
        <v>2338</v>
      </c>
      <c r="B3084" t="s">
        <v>3663</v>
      </c>
      <c r="C3084" t="s">
        <v>7186</v>
      </c>
      <c r="D3084" t="str">
        <f>TRIM(alias[[#This Row],[Column3]])</f>
        <v>PT Royaltama Mulia Kontraktorindo</v>
      </c>
      <c r="F3084" t="str">
        <f t="shared" si="48"/>
        <v>INSERT INTO stock_alias (stock, alias) VALUES ((SELECT id FROM stock WHERE ticker = 'RMKO'), 'PT Royaltama Mulia Kontraktorindo') ON CONFLICT DO NOTHING;</v>
      </c>
    </row>
    <row r="3085" spans="1:6" x14ac:dyDescent="0.2">
      <c r="A3085" t="s">
        <v>2338</v>
      </c>
      <c r="B3085" t="s">
        <v>3663</v>
      </c>
      <c r="C3085" t="s">
        <v>7187</v>
      </c>
      <c r="D3085" t="str">
        <f>TRIM(alias[[#This Row],[Column3]])</f>
        <v>Royaltama Mulia Kontraktorindo</v>
      </c>
      <c r="F3085" t="str">
        <f t="shared" si="48"/>
        <v>INSERT INTO stock_alias (stock, alias) VALUES ((SELECT id FROM stock WHERE ticker = 'RMKO'), 'Royaltama Mulia Kontraktorindo') ON CONFLICT DO NOTHING;</v>
      </c>
    </row>
    <row r="3086" spans="1:6" x14ac:dyDescent="0.2">
      <c r="A3086" t="s">
        <v>2338</v>
      </c>
      <c r="B3086" t="s">
        <v>3663</v>
      </c>
      <c r="C3086" t="s">
        <v>7188</v>
      </c>
      <c r="D3086" t="str">
        <f>TRIM(alias[[#This Row],[Column3]])</f>
        <v>Royaltama Mulia Kontraktorindo Tbk</v>
      </c>
      <c r="F3086" t="str">
        <f t="shared" si="48"/>
        <v>INSERT INTO stock_alias (stock, alias) VALUES ((SELECT id FROM stock WHERE ticker = 'RMKO'), 'Royaltama Mulia Kontraktorindo Tbk') ON CONFLICT DO NOTHING;</v>
      </c>
    </row>
    <row r="3087" spans="1:6" x14ac:dyDescent="0.2">
      <c r="A3087" t="s">
        <v>1891</v>
      </c>
      <c r="B3087" t="s">
        <v>3664</v>
      </c>
      <c r="C3087" t="s">
        <v>1891</v>
      </c>
      <c r="D3087" t="str">
        <f>TRIM(alias[[#This Row],[Column3]])</f>
        <v>ROCK</v>
      </c>
      <c r="F3087" t="str">
        <f t="shared" si="48"/>
        <v>INSERT INTO stock_alias (stock, alias) VALUES ((SELECT id FROM stock WHERE ticker = 'ROCK'), 'ROCK') ON CONFLICT DO NOTHING;</v>
      </c>
    </row>
    <row r="3088" spans="1:6" x14ac:dyDescent="0.2">
      <c r="A3088" t="s">
        <v>1891</v>
      </c>
      <c r="B3088" t="s">
        <v>3664</v>
      </c>
      <c r="C3088" t="s">
        <v>7189</v>
      </c>
      <c r="D3088" t="str">
        <f>TRIM(alias[[#This Row],[Column3]])</f>
        <v>PT Rockfields Properti Indonesia</v>
      </c>
      <c r="F3088" t="str">
        <f t="shared" si="48"/>
        <v>INSERT INTO stock_alias (stock, alias) VALUES ((SELECT id FROM stock WHERE ticker = 'ROCK'), 'PT Rockfields Properti Indonesia') ON CONFLICT DO NOTHING;</v>
      </c>
    </row>
    <row r="3089" spans="1:6" x14ac:dyDescent="0.2">
      <c r="A3089" t="s">
        <v>1891</v>
      </c>
      <c r="B3089" t="s">
        <v>3664</v>
      </c>
      <c r="C3089" t="s">
        <v>7190</v>
      </c>
      <c r="D3089" t="str">
        <f>TRIM(alias[[#This Row],[Column3]])</f>
        <v>Rockfields Properti Indonesia</v>
      </c>
      <c r="F3089" t="str">
        <f t="shared" si="48"/>
        <v>INSERT INTO stock_alias (stock, alias) VALUES ((SELECT id FROM stock WHERE ticker = 'ROCK'), 'Rockfields Properti Indonesia') ON CONFLICT DO NOTHING;</v>
      </c>
    </row>
    <row r="3090" spans="1:6" x14ac:dyDescent="0.2">
      <c r="A3090" t="s">
        <v>1891</v>
      </c>
      <c r="B3090" t="s">
        <v>3664</v>
      </c>
      <c r="C3090" t="s">
        <v>7191</v>
      </c>
      <c r="D3090" t="str">
        <f>TRIM(alias[[#This Row],[Column3]])</f>
        <v>Rockfields Properti Indonesia Tbk</v>
      </c>
      <c r="F3090" t="str">
        <f t="shared" si="48"/>
        <v>INSERT INTO stock_alias (stock, alias) VALUES ((SELECT id FROM stock WHERE ticker = 'ROCK'), 'Rockfields Properti Indonesia Tbk') ON CONFLICT DO NOTHING;</v>
      </c>
    </row>
    <row r="3091" spans="1:6" x14ac:dyDescent="0.2">
      <c r="A3091" t="s">
        <v>1054</v>
      </c>
      <c r="B3091" t="s">
        <v>1055</v>
      </c>
      <c r="C3091" t="s">
        <v>1054</v>
      </c>
      <c r="D3091" t="str">
        <f>TRIM(alias[[#This Row],[Column3]])</f>
        <v>RODA</v>
      </c>
      <c r="F3091" t="str">
        <f t="shared" si="48"/>
        <v>INSERT INTO stock_alias (stock, alias) VALUES ((SELECT id FROM stock WHERE ticker = 'RODA'), 'RODA') ON CONFLICT DO NOTHING;</v>
      </c>
    </row>
    <row r="3092" spans="1:6" x14ac:dyDescent="0.2">
      <c r="A3092" t="s">
        <v>1054</v>
      </c>
      <c r="B3092" t="s">
        <v>1055</v>
      </c>
      <c r="C3092" t="s">
        <v>7192</v>
      </c>
      <c r="D3092" t="str">
        <f>TRIM(alias[[#This Row],[Column3]])</f>
        <v>PT Pikko Land Development</v>
      </c>
      <c r="F3092" t="str">
        <f t="shared" si="48"/>
        <v>INSERT INTO stock_alias (stock, alias) VALUES ((SELECT id FROM stock WHERE ticker = 'RODA'), 'PT Pikko Land Development') ON CONFLICT DO NOTHING;</v>
      </c>
    </row>
    <row r="3093" spans="1:6" x14ac:dyDescent="0.2">
      <c r="A3093" t="s">
        <v>1054</v>
      </c>
      <c r="B3093" t="s">
        <v>1055</v>
      </c>
      <c r="C3093" t="s">
        <v>7193</v>
      </c>
      <c r="D3093" t="str">
        <f>TRIM(alias[[#This Row],[Column3]])</f>
        <v>Pikko Land Development</v>
      </c>
      <c r="F3093" t="str">
        <f t="shared" si="48"/>
        <v>INSERT INTO stock_alias (stock, alias) VALUES ((SELECT id FROM stock WHERE ticker = 'RODA'), 'Pikko Land Development') ON CONFLICT DO NOTHING;</v>
      </c>
    </row>
    <row r="3094" spans="1:6" x14ac:dyDescent="0.2">
      <c r="A3094" t="s">
        <v>1054</v>
      </c>
      <c r="B3094" t="s">
        <v>1055</v>
      </c>
      <c r="C3094" t="s">
        <v>7194</v>
      </c>
      <c r="D3094" t="str">
        <f>TRIM(alias[[#This Row],[Column3]])</f>
        <v>Pikko Land Development Tbk</v>
      </c>
      <c r="F3094" t="str">
        <f t="shared" si="48"/>
        <v>INSERT INTO stock_alias (stock, alias) VALUES ((SELECT id FROM stock WHERE ticker = 'RODA'), 'Pikko Land Development Tbk') ON CONFLICT DO NOTHING;</v>
      </c>
    </row>
    <row r="3095" spans="1:6" x14ac:dyDescent="0.2">
      <c r="A3095" t="s">
        <v>1835</v>
      </c>
      <c r="B3095" t="s">
        <v>1836</v>
      </c>
      <c r="C3095" t="s">
        <v>1835</v>
      </c>
      <c r="D3095" t="str">
        <f>TRIM(alias[[#This Row],[Column3]])</f>
        <v>RONY</v>
      </c>
      <c r="F3095" t="str">
        <f t="shared" si="48"/>
        <v>INSERT INTO stock_alias (stock, alias) VALUES ((SELECT id FROM stock WHERE ticker = 'RONY'), 'RONY') ON CONFLICT DO NOTHING;</v>
      </c>
    </row>
    <row r="3096" spans="1:6" x14ac:dyDescent="0.2">
      <c r="A3096" t="s">
        <v>1835</v>
      </c>
      <c r="B3096" t="s">
        <v>1836</v>
      </c>
      <c r="C3096" t="s">
        <v>7195</v>
      </c>
      <c r="D3096" t="str">
        <f>TRIM(alias[[#This Row],[Column3]])</f>
        <v>Aracord Nusantara Group</v>
      </c>
      <c r="F3096" t="str">
        <f t="shared" si="48"/>
        <v>INSERT INTO stock_alias (stock, alias) VALUES ((SELECT id FROM stock WHERE ticker = 'RONY'), 'Aracord Nusantara Group') ON CONFLICT DO NOTHING;</v>
      </c>
    </row>
    <row r="3097" spans="1:6" x14ac:dyDescent="0.2">
      <c r="A3097" t="s">
        <v>1835</v>
      </c>
      <c r="B3097" t="s">
        <v>1836</v>
      </c>
      <c r="C3097" t="s">
        <v>7196</v>
      </c>
      <c r="D3097" t="str">
        <f>TRIM(alias[[#This Row],[Column3]])</f>
        <v>Aracord Nusantara Group Tbk</v>
      </c>
      <c r="F3097" t="str">
        <f t="shared" si="48"/>
        <v>INSERT INTO stock_alias (stock, alias) VALUES ((SELECT id FROM stock WHERE ticker = 'RONY'), 'Aracord Nusantara Group Tbk') ON CONFLICT DO NOTHING;</v>
      </c>
    </row>
    <row r="3098" spans="1:6" x14ac:dyDescent="0.2">
      <c r="A3098" t="s">
        <v>1835</v>
      </c>
      <c r="B3098" t="s">
        <v>1836</v>
      </c>
      <c r="C3098" t="s">
        <v>7197</v>
      </c>
      <c r="D3098" t="str">
        <f>TRIM(alias[[#This Row],[Column3]])</f>
        <v>PT Aracord Nusantara Group</v>
      </c>
      <c r="F3098" t="str">
        <f t="shared" si="48"/>
        <v>INSERT INTO stock_alias (stock, alias) VALUES ((SELECT id FROM stock WHERE ticker = 'RONY'), 'PT Aracord Nusantara Group') ON CONFLICT DO NOTHING;</v>
      </c>
    </row>
    <row r="3099" spans="1:6" x14ac:dyDescent="0.2">
      <c r="A3099" t="s">
        <v>1057</v>
      </c>
      <c r="B3099" t="s">
        <v>1058</v>
      </c>
      <c r="C3099" t="s">
        <v>1057</v>
      </c>
      <c r="D3099" t="str">
        <f>TRIM(alias[[#This Row],[Column3]])</f>
        <v>ROTI</v>
      </c>
      <c r="F3099" t="str">
        <f t="shared" si="48"/>
        <v>INSERT INTO stock_alias (stock, alias) VALUES ((SELECT id FROM stock WHERE ticker = 'ROTI'), 'ROTI') ON CONFLICT DO NOTHING;</v>
      </c>
    </row>
    <row r="3100" spans="1:6" x14ac:dyDescent="0.2">
      <c r="A3100" t="s">
        <v>1057</v>
      </c>
      <c r="B3100" t="s">
        <v>1058</v>
      </c>
      <c r="C3100" t="s">
        <v>7198</v>
      </c>
      <c r="D3100" t="str">
        <f>TRIM(alias[[#This Row],[Column3]])</f>
        <v>Nippon Indosari Corpindo</v>
      </c>
      <c r="F3100" t="str">
        <f t="shared" si="48"/>
        <v>INSERT INTO stock_alias (stock, alias) VALUES ((SELECT id FROM stock WHERE ticker = 'ROTI'), 'Nippon Indosari Corpindo') ON CONFLICT DO NOTHING;</v>
      </c>
    </row>
    <row r="3101" spans="1:6" x14ac:dyDescent="0.2">
      <c r="A3101" t="s">
        <v>1057</v>
      </c>
      <c r="B3101" t="s">
        <v>1058</v>
      </c>
      <c r="C3101" t="s">
        <v>7199</v>
      </c>
      <c r="D3101" t="str">
        <f>TRIM(alias[[#This Row],[Column3]])</f>
        <v>Nippon Indosari Corpindo Tbk</v>
      </c>
      <c r="F3101" t="str">
        <f t="shared" si="48"/>
        <v>INSERT INTO stock_alias (stock, alias) VALUES ((SELECT id FROM stock WHERE ticker = 'ROTI'), 'Nippon Indosari Corpindo Tbk') ON CONFLICT DO NOTHING;</v>
      </c>
    </row>
    <row r="3102" spans="1:6" x14ac:dyDescent="0.2">
      <c r="A3102" t="s">
        <v>1057</v>
      </c>
      <c r="B3102" t="s">
        <v>1058</v>
      </c>
      <c r="C3102" t="s">
        <v>7200</v>
      </c>
      <c r="D3102" t="str">
        <f>TRIM(alias[[#This Row],[Column3]])</f>
        <v>PT Nippon Indosari Corpindo</v>
      </c>
      <c r="F3102" t="str">
        <f t="shared" si="48"/>
        <v>INSERT INTO stock_alias (stock, alias) VALUES ((SELECT id FROM stock WHERE ticker = 'ROTI'), 'PT Nippon Indosari Corpindo') ON CONFLICT DO NOTHING;</v>
      </c>
    </row>
    <row r="3103" spans="1:6" x14ac:dyDescent="0.2">
      <c r="A3103" t="s">
        <v>2370</v>
      </c>
      <c r="B3103" t="s">
        <v>2371</v>
      </c>
      <c r="C3103" t="s">
        <v>2370</v>
      </c>
      <c r="D3103" t="str">
        <f>TRIM(alias[[#This Row],[Column3]])</f>
        <v>RSCH</v>
      </c>
      <c r="F3103" t="str">
        <f t="shared" si="48"/>
        <v>INSERT INTO stock_alias (stock, alias) VALUES ((SELECT id FROM stock WHERE ticker = 'RSCH'), 'RSCH') ON CONFLICT DO NOTHING;</v>
      </c>
    </row>
    <row r="3104" spans="1:6" x14ac:dyDescent="0.2">
      <c r="A3104" t="s">
        <v>2370</v>
      </c>
      <c r="B3104" t="s">
        <v>2371</v>
      </c>
      <c r="C3104" t="s">
        <v>7201</v>
      </c>
      <c r="D3104" t="str">
        <f>TRIM(alias[[#This Row],[Column3]])</f>
        <v>Charlie Hospital Semarang</v>
      </c>
      <c r="F3104" t="str">
        <f t="shared" si="48"/>
        <v>INSERT INTO stock_alias (stock, alias) VALUES ((SELECT id FROM stock WHERE ticker = 'RSCH'), 'Charlie Hospital Semarang') ON CONFLICT DO NOTHING;</v>
      </c>
    </row>
    <row r="3105" spans="1:6" x14ac:dyDescent="0.2">
      <c r="A3105" t="s">
        <v>2370</v>
      </c>
      <c r="B3105" t="s">
        <v>2371</v>
      </c>
      <c r="C3105" t="s">
        <v>7202</v>
      </c>
      <c r="D3105" t="str">
        <f>TRIM(alias[[#This Row],[Column3]])</f>
        <v>Charlie Hospital Semarang Tbk</v>
      </c>
      <c r="F3105" t="str">
        <f t="shared" si="48"/>
        <v>INSERT INTO stock_alias (stock, alias) VALUES ((SELECT id FROM stock WHERE ticker = 'RSCH'), 'Charlie Hospital Semarang Tbk') ON CONFLICT DO NOTHING;</v>
      </c>
    </row>
    <row r="3106" spans="1:6" x14ac:dyDescent="0.2">
      <c r="A3106" t="s">
        <v>2370</v>
      </c>
      <c r="B3106" t="s">
        <v>2371</v>
      </c>
      <c r="C3106" t="s">
        <v>7203</v>
      </c>
      <c r="D3106" t="str">
        <f>TRIM(alias[[#This Row],[Column3]])</f>
        <v>PT Charlie Hospital Semarang</v>
      </c>
      <c r="F3106" t="str">
        <f t="shared" si="48"/>
        <v>INSERT INTO stock_alias (stock, alias) VALUES ((SELECT id FROM stock WHERE ticker = 'RSCH'), 'PT Charlie Hospital Semarang') ON CONFLICT DO NOTHING;</v>
      </c>
    </row>
    <row r="3107" spans="1:6" x14ac:dyDescent="0.2">
      <c r="A3107" t="s">
        <v>1995</v>
      </c>
      <c r="B3107" t="s">
        <v>1996</v>
      </c>
      <c r="C3107" t="s">
        <v>1995</v>
      </c>
      <c r="D3107" t="str">
        <f>TRIM(alias[[#This Row],[Column3]])</f>
        <v>RSGK</v>
      </c>
      <c r="F3107" t="str">
        <f t="shared" si="48"/>
        <v>INSERT INTO stock_alias (stock, alias) VALUES ((SELECT id FROM stock WHERE ticker = 'RSGK'), 'RSGK') ON CONFLICT DO NOTHING;</v>
      </c>
    </row>
    <row r="3108" spans="1:6" x14ac:dyDescent="0.2">
      <c r="A3108" t="s">
        <v>1995</v>
      </c>
      <c r="B3108" t="s">
        <v>1996</v>
      </c>
      <c r="C3108" t="s">
        <v>7204</v>
      </c>
      <c r="D3108" t="str">
        <f>TRIM(alias[[#This Row],[Column3]])</f>
        <v>Kedoya Adyaraya</v>
      </c>
      <c r="F3108" t="str">
        <f t="shared" si="48"/>
        <v>INSERT INTO stock_alias (stock, alias) VALUES ((SELECT id FROM stock WHERE ticker = 'RSGK'), 'Kedoya Adyaraya') ON CONFLICT DO NOTHING;</v>
      </c>
    </row>
    <row r="3109" spans="1:6" x14ac:dyDescent="0.2">
      <c r="A3109" t="s">
        <v>1995</v>
      </c>
      <c r="B3109" t="s">
        <v>1996</v>
      </c>
      <c r="C3109" t="s">
        <v>7205</v>
      </c>
      <c r="D3109" t="str">
        <f>TRIM(alias[[#This Row],[Column3]])</f>
        <v>Kedoya Adyaraya Tbk</v>
      </c>
      <c r="F3109" t="str">
        <f t="shared" si="48"/>
        <v>INSERT INTO stock_alias (stock, alias) VALUES ((SELECT id FROM stock WHERE ticker = 'RSGK'), 'Kedoya Adyaraya Tbk') ON CONFLICT DO NOTHING;</v>
      </c>
    </row>
    <row r="3110" spans="1:6" x14ac:dyDescent="0.2">
      <c r="A3110" t="s">
        <v>1995</v>
      </c>
      <c r="B3110" t="s">
        <v>1996</v>
      </c>
      <c r="C3110" t="s">
        <v>7206</v>
      </c>
      <c r="D3110" t="str">
        <f>TRIM(alias[[#This Row],[Column3]])</f>
        <v>PT Kedoya Adyaraya</v>
      </c>
      <c r="F3110" t="str">
        <f t="shared" si="48"/>
        <v>INSERT INTO stock_alias (stock, alias) VALUES ((SELECT id FROM stock WHERE ticker = 'RSGK'), 'PT Kedoya Adyaraya') ON CONFLICT DO NOTHING;</v>
      </c>
    </row>
    <row r="3111" spans="1:6" x14ac:dyDescent="0.2">
      <c r="A3111" t="s">
        <v>1060</v>
      </c>
      <c r="B3111" t="s">
        <v>1061</v>
      </c>
      <c r="C3111" t="s">
        <v>1060</v>
      </c>
      <c r="D3111" t="str">
        <f>TRIM(alias[[#This Row],[Column3]])</f>
        <v>RUIS</v>
      </c>
      <c r="F3111" t="str">
        <f t="shared" si="48"/>
        <v>INSERT INTO stock_alias (stock, alias) VALUES ((SELECT id FROM stock WHERE ticker = 'RUIS'), 'RUIS') ON CONFLICT DO NOTHING;</v>
      </c>
    </row>
    <row r="3112" spans="1:6" x14ac:dyDescent="0.2">
      <c r="A3112" t="s">
        <v>1060</v>
      </c>
      <c r="B3112" t="s">
        <v>1061</v>
      </c>
      <c r="C3112" t="s">
        <v>7207</v>
      </c>
      <c r="D3112" t="str">
        <f>TRIM(alias[[#This Row],[Column3]])</f>
        <v>PT Radiant Utama Interinsco</v>
      </c>
      <c r="F3112" t="str">
        <f t="shared" si="48"/>
        <v>INSERT INTO stock_alias (stock, alias) VALUES ((SELECT id FROM stock WHERE ticker = 'RUIS'), 'PT Radiant Utama Interinsco') ON CONFLICT DO NOTHING;</v>
      </c>
    </row>
    <row r="3113" spans="1:6" x14ac:dyDescent="0.2">
      <c r="A3113" t="s">
        <v>1060</v>
      </c>
      <c r="B3113" t="s">
        <v>1061</v>
      </c>
      <c r="C3113" t="s">
        <v>7208</v>
      </c>
      <c r="D3113" t="str">
        <f>TRIM(alias[[#This Row],[Column3]])</f>
        <v>Radiant Utama Interinsco</v>
      </c>
      <c r="F3113" t="str">
        <f t="shared" si="48"/>
        <v>INSERT INTO stock_alias (stock, alias) VALUES ((SELECT id FROM stock WHERE ticker = 'RUIS'), 'Radiant Utama Interinsco') ON CONFLICT DO NOTHING;</v>
      </c>
    </row>
    <row r="3114" spans="1:6" x14ac:dyDescent="0.2">
      <c r="A3114" t="s">
        <v>1060</v>
      </c>
      <c r="B3114" t="s">
        <v>1061</v>
      </c>
      <c r="C3114" t="s">
        <v>7209</v>
      </c>
      <c r="D3114" t="str">
        <f>TRIM(alias[[#This Row],[Column3]])</f>
        <v>Radiant Utama Interinsco Tbk</v>
      </c>
      <c r="F3114" t="str">
        <f t="shared" si="48"/>
        <v>INSERT INTO stock_alias (stock, alias) VALUES ((SELECT id FROM stock WHERE ticker = 'RUIS'), 'Radiant Utama Interinsco Tbk') ON CONFLICT DO NOTHING;</v>
      </c>
    </row>
    <row r="3115" spans="1:6" x14ac:dyDescent="0.2">
      <c r="A3115" t="s">
        <v>1998</v>
      </c>
      <c r="B3115" t="s">
        <v>1999</v>
      </c>
      <c r="C3115" t="s">
        <v>1998</v>
      </c>
      <c r="D3115" t="str">
        <f>TRIM(alias[[#This Row],[Column3]])</f>
        <v>RUNS</v>
      </c>
      <c r="F3115" t="str">
        <f t="shared" si="48"/>
        <v>INSERT INTO stock_alias (stock, alias) VALUES ((SELECT id FROM stock WHERE ticker = 'RUNS'), 'RUNS') ON CONFLICT DO NOTHING;</v>
      </c>
    </row>
    <row r="3116" spans="1:6" x14ac:dyDescent="0.2">
      <c r="A3116" t="s">
        <v>1998</v>
      </c>
      <c r="B3116" t="s">
        <v>1999</v>
      </c>
      <c r="C3116" t="s">
        <v>7210</v>
      </c>
      <c r="D3116" t="str">
        <f>TRIM(alias[[#This Row],[Column3]])</f>
        <v>Global Sukses Solusi</v>
      </c>
      <c r="F3116" t="str">
        <f t="shared" si="48"/>
        <v>INSERT INTO stock_alias (stock, alias) VALUES ((SELECT id FROM stock WHERE ticker = 'RUNS'), 'Global Sukses Solusi') ON CONFLICT DO NOTHING;</v>
      </c>
    </row>
    <row r="3117" spans="1:6" x14ac:dyDescent="0.2">
      <c r="A3117" t="s">
        <v>1998</v>
      </c>
      <c r="B3117" t="s">
        <v>1999</v>
      </c>
      <c r="C3117" t="s">
        <v>7211</v>
      </c>
      <c r="D3117" t="str">
        <f>TRIM(alias[[#This Row],[Column3]])</f>
        <v>Global Sukses Solusi Tbk</v>
      </c>
      <c r="F3117" t="str">
        <f t="shared" si="48"/>
        <v>INSERT INTO stock_alias (stock, alias) VALUES ((SELECT id FROM stock WHERE ticker = 'RUNS'), 'Global Sukses Solusi Tbk') ON CONFLICT DO NOTHING;</v>
      </c>
    </row>
    <row r="3118" spans="1:6" x14ac:dyDescent="0.2">
      <c r="A3118" t="s">
        <v>1998</v>
      </c>
      <c r="B3118" t="s">
        <v>1999</v>
      </c>
      <c r="C3118" t="s">
        <v>7212</v>
      </c>
      <c r="D3118" t="str">
        <f>TRIM(alias[[#This Row],[Column3]])</f>
        <v>PT Global Sukses Solusi</v>
      </c>
      <c r="F3118" t="str">
        <f t="shared" si="48"/>
        <v>INSERT INTO stock_alias (stock, alias) VALUES ((SELECT id FROM stock WHERE ticker = 'RUNS'), 'PT Global Sukses Solusi') ON CONFLICT DO NOTHING;</v>
      </c>
    </row>
    <row r="3119" spans="1:6" x14ac:dyDescent="0.2">
      <c r="A3119" t="s">
        <v>1063</v>
      </c>
      <c r="B3119" t="s">
        <v>3665</v>
      </c>
      <c r="C3119" t="s">
        <v>1063</v>
      </c>
      <c r="D3119" t="str">
        <f>TRIM(alias[[#This Row],[Column3]])</f>
        <v>SAFE</v>
      </c>
      <c r="F3119" t="str">
        <f t="shared" si="48"/>
        <v>INSERT INTO stock_alias (stock, alias) VALUES ((SELECT id FROM stock WHERE ticker = 'SAFE'), 'SAFE') ON CONFLICT DO NOTHING;</v>
      </c>
    </row>
    <row r="3120" spans="1:6" x14ac:dyDescent="0.2">
      <c r="A3120" t="s">
        <v>1063</v>
      </c>
      <c r="B3120" t="s">
        <v>3665</v>
      </c>
      <c r="C3120" t="s">
        <v>7213</v>
      </c>
      <c r="D3120" t="str">
        <f>TRIM(alias[[#This Row],[Column3]])</f>
        <v>PT Steady Safe</v>
      </c>
      <c r="F3120" t="str">
        <f t="shared" si="48"/>
        <v>INSERT INTO stock_alias (stock, alias) VALUES ((SELECT id FROM stock WHERE ticker = 'SAFE'), 'PT Steady Safe') ON CONFLICT DO NOTHING;</v>
      </c>
    </row>
    <row r="3121" spans="1:6" x14ac:dyDescent="0.2">
      <c r="A3121" t="s">
        <v>1063</v>
      </c>
      <c r="B3121" t="s">
        <v>3665</v>
      </c>
      <c r="C3121" t="s">
        <v>7214</v>
      </c>
      <c r="D3121" t="str">
        <f>TRIM(alias[[#This Row],[Column3]])</f>
        <v>Steady Safe</v>
      </c>
      <c r="F3121" t="str">
        <f t="shared" si="48"/>
        <v>INSERT INTO stock_alias (stock, alias) VALUES ((SELECT id FROM stock WHERE ticker = 'SAFE'), 'Steady Safe') ON CONFLICT DO NOTHING;</v>
      </c>
    </row>
    <row r="3122" spans="1:6" x14ac:dyDescent="0.2">
      <c r="A3122" t="s">
        <v>1063</v>
      </c>
      <c r="B3122" t="s">
        <v>3665</v>
      </c>
      <c r="C3122" t="s">
        <v>7215</v>
      </c>
      <c r="D3122" t="str">
        <f>TRIM(alias[[#This Row],[Column3]])</f>
        <v>Steady Safe Tbk</v>
      </c>
      <c r="F3122" t="str">
        <f t="shared" si="48"/>
        <v>INSERT INTO stock_alias (stock, alias) VALUES ((SELECT id FROM stock WHERE ticker = 'SAFE'), 'Steady Safe Tbk') ON CONFLICT DO NOTHING;</v>
      </c>
    </row>
    <row r="3123" spans="1:6" x14ac:dyDescent="0.2">
      <c r="A3123" t="s">
        <v>2281</v>
      </c>
      <c r="B3123" t="s">
        <v>2282</v>
      </c>
      <c r="C3123" t="s">
        <v>2281</v>
      </c>
      <c r="D3123" t="str">
        <f>TRIM(alias[[#This Row],[Column3]])</f>
        <v>SAGE</v>
      </c>
      <c r="F3123" t="str">
        <f t="shared" si="48"/>
        <v>INSERT INTO stock_alias (stock, alias) VALUES ((SELECT id FROM stock WHERE ticker = 'SAGE'), 'SAGE') ON CONFLICT DO NOTHING;</v>
      </c>
    </row>
    <row r="3124" spans="1:6" x14ac:dyDescent="0.2">
      <c r="A3124" t="s">
        <v>2281</v>
      </c>
      <c r="B3124" t="s">
        <v>2282</v>
      </c>
      <c r="C3124" t="s">
        <v>7216</v>
      </c>
      <c r="D3124" t="str">
        <f>TRIM(alias[[#This Row],[Column3]])</f>
        <v>PT Saausaha Gemilangindah</v>
      </c>
      <c r="F3124" t="str">
        <f t="shared" si="48"/>
        <v>INSERT INTO stock_alias (stock, alias) VALUES ((SELECT id FROM stock WHERE ticker = 'SAGE'), 'PT Saausaha Gemilangindah') ON CONFLICT DO NOTHING;</v>
      </c>
    </row>
    <row r="3125" spans="1:6" x14ac:dyDescent="0.2">
      <c r="A3125" t="s">
        <v>2281</v>
      </c>
      <c r="B3125" t="s">
        <v>2282</v>
      </c>
      <c r="C3125" t="s">
        <v>7217</v>
      </c>
      <c r="D3125" t="str">
        <f>TRIM(alias[[#This Row],[Column3]])</f>
        <v>SAAUSAHA GEMILANGINDAH</v>
      </c>
      <c r="F3125" t="str">
        <f t="shared" si="48"/>
        <v>INSERT INTO stock_alias (stock, alias) VALUES ((SELECT id FROM stock WHERE ticker = 'SAGE'), 'SAAUSAHA GEMILANGINDAH') ON CONFLICT DO NOTHING;</v>
      </c>
    </row>
    <row r="3126" spans="1:6" x14ac:dyDescent="0.2">
      <c r="A3126" t="s">
        <v>2281</v>
      </c>
      <c r="B3126" t="s">
        <v>2282</v>
      </c>
      <c r="C3126" t="s">
        <v>7218</v>
      </c>
      <c r="D3126" t="str">
        <f>TRIM(alias[[#This Row],[Column3]])</f>
        <v>Saausaha Gemilangindah</v>
      </c>
      <c r="F3126" t="str">
        <f t="shared" si="48"/>
        <v>INSERT INTO stock_alias (stock, alias) VALUES ((SELECT id FROM stock WHERE ticker = 'SAGE'), 'Saausaha Gemilangindah') ON CONFLICT DO NOTHING;</v>
      </c>
    </row>
    <row r="3127" spans="1:6" x14ac:dyDescent="0.2">
      <c r="A3127" t="s">
        <v>2281</v>
      </c>
      <c r="B3127" t="s">
        <v>2282</v>
      </c>
      <c r="C3127" t="s">
        <v>7219</v>
      </c>
      <c r="D3127" t="str">
        <f>TRIM(alias[[#This Row],[Column3]])</f>
        <v>Saausaha Gemilangindah Tbk</v>
      </c>
      <c r="F3127" t="str">
        <f t="shared" si="48"/>
        <v>INSERT INTO stock_alias (stock, alias) VALUES ((SELECT id FROM stock WHERE ticker = 'SAGE'), 'Saausaha Gemilangindah Tbk') ON CONFLICT DO NOTHING;</v>
      </c>
    </row>
    <row r="3128" spans="1:6" x14ac:dyDescent="0.2">
      <c r="A3128" t="s">
        <v>2281</v>
      </c>
      <c r="B3128" t="s">
        <v>2282</v>
      </c>
      <c r="C3128" t="s">
        <v>7220</v>
      </c>
      <c r="D3128" t="str">
        <f>TRIM(alias[[#This Row],[Column3]])</f>
        <v>SaausahaGemilangindah</v>
      </c>
      <c r="F3128" t="str">
        <f t="shared" si="48"/>
        <v>INSERT INTO stock_alias (stock, alias) VALUES ((SELECT id FROM stock WHERE ticker = 'SAGE'), 'SaausahaGemilangindah') ON CONFLICT DO NOTHING;</v>
      </c>
    </row>
    <row r="3129" spans="1:6" x14ac:dyDescent="0.2">
      <c r="A3129" t="s">
        <v>2281</v>
      </c>
      <c r="B3129" t="s">
        <v>2282</v>
      </c>
      <c r="C3129" t="s">
        <v>7221</v>
      </c>
      <c r="D3129" t="str">
        <f>TRIM(alias[[#This Row],[Column3]])</f>
        <v>saausaha gemilangindah</v>
      </c>
      <c r="F3129" t="str">
        <f t="shared" si="48"/>
        <v>INSERT INTO stock_alias (stock, alias) VALUES ((SELECT id FROM stock WHERE ticker = 'SAGE'), 'saausaha gemilangindah') ON CONFLICT DO NOTHING;</v>
      </c>
    </row>
    <row r="3130" spans="1:6" x14ac:dyDescent="0.2">
      <c r="A3130" t="s">
        <v>1066</v>
      </c>
      <c r="B3130" t="s">
        <v>3666</v>
      </c>
      <c r="C3130" t="s">
        <v>1066</v>
      </c>
      <c r="D3130" t="str">
        <f>TRIM(alias[[#This Row],[Column3]])</f>
        <v>SAME</v>
      </c>
      <c r="F3130" t="str">
        <f t="shared" si="48"/>
        <v>INSERT INTO stock_alias (stock, alias) VALUES ((SELECT id FROM stock WHERE ticker = 'SAME'), 'SAME') ON CONFLICT DO NOTHING;</v>
      </c>
    </row>
    <row r="3131" spans="1:6" x14ac:dyDescent="0.2">
      <c r="A3131" t="s">
        <v>1066</v>
      </c>
      <c r="B3131" t="s">
        <v>3666</v>
      </c>
      <c r="C3131" t="s">
        <v>7222</v>
      </c>
      <c r="D3131" t="str">
        <f>TRIM(alias[[#This Row],[Column3]])</f>
        <v>PT Sarana Meditama Metropolitan</v>
      </c>
      <c r="F3131" t="str">
        <f t="shared" si="48"/>
        <v>INSERT INTO stock_alias (stock, alias) VALUES ((SELECT id FROM stock WHERE ticker = 'SAME'), 'PT Sarana Meditama Metropolitan') ON CONFLICT DO NOTHING;</v>
      </c>
    </row>
    <row r="3132" spans="1:6" x14ac:dyDescent="0.2">
      <c r="A3132" t="s">
        <v>1066</v>
      </c>
      <c r="B3132" t="s">
        <v>3666</v>
      </c>
      <c r="C3132" t="s">
        <v>7223</v>
      </c>
      <c r="D3132" t="str">
        <f>TRIM(alias[[#This Row],[Column3]])</f>
        <v>Sarana Meditama Metropolitan</v>
      </c>
      <c r="F3132" t="str">
        <f t="shared" si="48"/>
        <v>INSERT INTO stock_alias (stock, alias) VALUES ((SELECT id FROM stock WHERE ticker = 'SAME'), 'Sarana Meditama Metropolitan') ON CONFLICT DO NOTHING;</v>
      </c>
    </row>
    <row r="3133" spans="1:6" x14ac:dyDescent="0.2">
      <c r="A3133" t="s">
        <v>1066</v>
      </c>
      <c r="B3133" t="s">
        <v>3666</v>
      </c>
      <c r="C3133" t="s">
        <v>7224</v>
      </c>
      <c r="D3133" t="str">
        <f>TRIM(alias[[#This Row],[Column3]])</f>
        <v>Sarana Meditama Metropolitan Tbk</v>
      </c>
      <c r="F3133" t="str">
        <f t="shared" si="48"/>
        <v>INSERT INTO stock_alias (stock, alias) VALUES ((SELECT id FROM stock WHERE ticker = 'SAME'), 'Sarana Meditama Metropolitan Tbk') ON CONFLICT DO NOTHING;</v>
      </c>
    </row>
    <row r="3134" spans="1:6" x14ac:dyDescent="0.2">
      <c r="A3134" t="s">
        <v>1825</v>
      </c>
      <c r="B3134" t="s">
        <v>3667</v>
      </c>
      <c r="C3134" t="s">
        <v>1825</v>
      </c>
      <c r="D3134" t="str">
        <f>TRIM(alias[[#This Row],[Column3]])</f>
        <v>SAMF</v>
      </c>
      <c r="F3134" t="str">
        <f t="shared" si="48"/>
        <v>INSERT INTO stock_alias (stock, alias) VALUES ((SELECT id FROM stock WHERE ticker = 'SAMF'), 'SAMF') ON CONFLICT DO NOTHING;</v>
      </c>
    </row>
    <row r="3135" spans="1:6" x14ac:dyDescent="0.2">
      <c r="A3135" t="s">
        <v>1825</v>
      </c>
      <c r="B3135" t="s">
        <v>3667</v>
      </c>
      <c r="C3135" t="s">
        <v>7225</v>
      </c>
      <c r="D3135" t="str">
        <f>TRIM(alias[[#This Row],[Column3]])</f>
        <v>PT Saraswanti Anugerah Makmur</v>
      </c>
      <c r="F3135" t="str">
        <f t="shared" si="48"/>
        <v>INSERT INTO stock_alias (stock, alias) VALUES ((SELECT id FROM stock WHERE ticker = 'SAMF'), 'PT Saraswanti Anugerah Makmur') ON CONFLICT DO NOTHING;</v>
      </c>
    </row>
    <row r="3136" spans="1:6" x14ac:dyDescent="0.2">
      <c r="A3136" t="s">
        <v>1825</v>
      </c>
      <c r="B3136" t="s">
        <v>3667</v>
      </c>
      <c r="C3136" t="s">
        <v>7226</v>
      </c>
      <c r="D3136" t="str">
        <f>TRIM(alias[[#This Row],[Column3]])</f>
        <v>Saraswanti Anugerah Makmur</v>
      </c>
      <c r="F3136" t="str">
        <f t="shared" si="48"/>
        <v>INSERT INTO stock_alias (stock, alias) VALUES ((SELECT id FROM stock WHERE ticker = 'SAMF'), 'Saraswanti Anugerah Makmur') ON CONFLICT DO NOTHING;</v>
      </c>
    </row>
    <row r="3137" spans="1:6" x14ac:dyDescent="0.2">
      <c r="A3137" t="s">
        <v>1825</v>
      </c>
      <c r="B3137" t="s">
        <v>3667</v>
      </c>
      <c r="C3137" t="s">
        <v>7227</v>
      </c>
      <c r="D3137" t="str">
        <f>TRIM(alias[[#This Row],[Column3]])</f>
        <v>Saraswanti Anugerah Makmur Tbk</v>
      </c>
      <c r="F3137" t="str">
        <f t="shared" si="48"/>
        <v>INSERT INTO stock_alias (stock, alias) VALUES ((SELECT id FROM stock WHERE ticker = 'SAMF'), 'Saraswanti Anugerah Makmur Tbk') ON CONFLICT DO NOTHING;</v>
      </c>
    </row>
    <row r="3138" spans="1:6" x14ac:dyDescent="0.2">
      <c r="A3138" t="s">
        <v>1589</v>
      </c>
      <c r="B3138" t="s">
        <v>1590</v>
      </c>
      <c r="C3138" t="s">
        <v>1589</v>
      </c>
      <c r="D3138" t="str">
        <f>TRIM(alias[[#This Row],[Column3]])</f>
        <v>SAPX</v>
      </c>
      <c r="F3138" t="str">
        <f t="shared" si="48"/>
        <v>INSERT INTO stock_alias (stock, alias) VALUES ((SELECT id FROM stock WHERE ticker = 'SAPX'), 'SAPX') ON CONFLICT DO NOTHING;</v>
      </c>
    </row>
    <row r="3139" spans="1:6" x14ac:dyDescent="0.2">
      <c r="A3139" t="s">
        <v>1589</v>
      </c>
      <c r="B3139" t="s">
        <v>1590</v>
      </c>
      <c r="C3139" t="s">
        <v>7228</v>
      </c>
      <c r="D3139" t="str">
        <f>TRIM(alias[[#This Row],[Column3]])</f>
        <v>PT Satria Antaran Prima</v>
      </c>
      <c r="F3139" t="str">
        <f t="shared" ref="F3139:F3202" si="49">_xlfn.CONCAT($F$1, _xlfn.CONCAT($G$1, A3139, "'), '", D3139, "') ON CONFLICT DO NOTHING;"))</f>
        <v>INSERT INTO stock_alias (stock, alias) VALUES ((SELECT id FROM stock WHERE ticker = 'SAPX'), 'PT Satria Antaran Prima') ON CONFLICT DO NOTHING;</v>
      </c>
    </row>
    <row r="3140" spans="1:6" x14ac:dyDescent="0.2">
      <c r="A3140" t="s">
        <v>1589</v>
      </c>
      <c r="B3140" t="s">
        <v>1590</v>
      </c>
      <c r="C3140" t="s">
        <v>7229</v>
      </c>
      <c r="D3140" t="str">
        <f>TRIM(alias[[#This Row],[Column3]])</f>
        <v>Satria Antaran Prima</v>
      </c>
      <c r="F3140" t="str">
        <f t="shared" si="49"/>
        <v>INSERT INTO stock_alias (stock, alias) VALUES ((SELECT id FROM stock WHERE ticker = 'SAPX'), 'Satria Antaran Prima') ON CONFLICT DO NOTHING;</v>
      </c>
    </row>
    <row r="3141" spans="1:6" x14ac:dyDescent="0.2">
      <c r="A3141" t="s">
        <v>1589</v>
      </c>
      <c r="B3141" t="s">
        <v>1590</v>
      </c>
      <c r="C3141" t="s">
        <v>7230</v>
      </c>
      <c r="D3141" t="str">
        <f>TRIM(alias[[#This Row],[Column3]])</f>
        <v>Satria Antaran Prima Tbk</v>
      </c>
      <c r="F3141" t="str">
        <f t="shared" si="49"/>
        <v>INSERT INTO stock_alias (stock, alias) VALUES ((SELECT id FROM stock WHERE ticker = 'SAPX'), 'Satria Antaran Prima Tbk') ON CONFLICT DO NOTHING;</v>
      </c>
    </row>
    <row r="3142" spans="1:6" x14ac:dyDescent="0.2">
      <c r="A3142" t="s">
        <v>1614</v>
      </c>
      <c r="B3142" t="s">
        <v>1615</v>
      </c>
      <c r="C3142" t="s">
        <v>1614</v>
      </c>
      <c r="D3142" t="str">
        <f>TRIM(alias[[#This Row],[Column3]])</f>
        <v>SATU</v>
      </c>
      <c r="F3142" t="str">
        <f t="shared" si="49"/>
        <v>INSERT INTO stock_alias (stock, alias) VALUES ((SELECT id FROM stock WHERE ticker = 'SATU'), 'SATU') ON CONFLICT DO NOTHING;</v>
      </c>
    </row>
    <row r="3143" spans="1:6" x14ac:dyDescent="0.2">
      <c r="A3143" t="s">
        <v>1614</v>
      </c>
      <c r="B3143" t="s">
        <v>1615</v>
      </c>
      <c r="C3143" t="s">
        <v>7231</v>
      </c>
      <c r="D3143" t="str">
        <f>TRIM(alias[[#This Row],[Column3]])</f>
        <v>Kota Satu Properti</v>
      </c>
      <c r="F3143" t="str">
        <f t="shared" si="49"/>
        <v>INSERT INTO stock_alias (stock, alias) VALUES ((SELECT id FROM stock WHERE ticker = 'SATU'), 'Kota Satu Properti') ON CONFLICT DO NOTHING;</v>
      </c>
    </row>
    <row r="3144" spans="1:6" x14ac:dyDescent="0.2">
      <c r="A3144" t="s">
        <v>1614</v>
      </c>
      <c r="B3144" t="s">
        <v>1615</v>
      </c>
      <c r="C3144" t="s">
        <v>7232</v>
      </c>
      <c r="D3144" t="str">
        <f>TRIM(alias[[#This Row],[Column3]])</f>
        <v>Kota Satu Properti Tbk</v>
      </c>
      <c r="F3144" t="str">
        <f t="shared" si="49"/>
        <v>INSERT INTO stock_alias (stock, alias) VALUES ((SELECT id FROM stock WHERE ticker = 'SATU'), 'Kota Satu Properti Tbk') ON CONFLICT DO NOTHING;</v>
      </c>
    </row>
    <row r="3145" spans="1:6" x14ac:dyDescent="0.2">
      <c r="A3145" t="s">
        <v>1614</v>
      </c>
      <c r="B3145" t="s">
        <v>1615</v>
      </c>
      <c r="C3145" t="s">
        <v>7233</v>
      </c>
      <c r="D3145" t="str">
        <f>TRIM(alias[[#This Row],[Column3]])</f>
        <v>PT Kota Satu Properti</v>
      </c>
      <c r="F3145" t="str">
        <f t="shared" si="49"/>
        <v>INSERT INTO stock_alias (stock, alias) VALUES ((SELECT id FROM stock WHERE ticker = 'SATU'), 'PT Kota Satu Properti') ON CONFLICT DO NOTHING;</v>
      </c>
    </row>
    <row r="3146" spans="1:6" x14ac:dyDescent="0.2">
      <c r="A3146" t="s">
        <v>1828</v>
      </c>
      <c r="B3146" t="s">
        <v>3668</v>
      </c>
      <c r="C3146" t="s">
        <v>1828</v>
      </c>
      <c r="D3146" t="str">
        <f>TRIM(alias[[#This Row],[Column3]])</f>
        <v>SBAT</v>
      </c>
      <c r="F3146" t="str">
        <f t="shared" si="49"/>
        <v>INSERT INTO stock_alias (stock, alias) VALUES ((SELECT id FROM stock WHERE ticker = 'SBAT'), 'SBAT') ON CONFLICT DO NOTHING;</v>
      </c>
    </row>
    <row r="3147" spans="1:6" x14ac:dyDescent="0.2">
      <c r="A3147" t="s">
        <v>1828</v>
      </c>
      <c r="B3147" t="s">
        <v>3668</v>
      </c>
      <c r="C3147" t="s">
        <v>7234</v>
      </c>
      <c r="D3147" t="str">
        <f>TRIM(alias[[#This Row],[Column3]])</f>
        <v>PT Sejahtera Bintang Abadi Textile</v>
      </c>
      <c r="F3147" t="str">
        <f t="shared" si="49"/>
        <v>INSERT INTO stock_alias (stock, alias) VALUES ((SELECT id FROM stock WHERE ticker = 'SBAT'), 'PT Sejahtera Bintang Abadi Textile') ON CONFLICT DO NOTHING;</v>
      </c>
    </row>
    <row r="3148" spans="1:6" x14ac:dyDescent="0.2">
      <c r="A3148" t="s">
        <v>1828</v>
      </c>
      <c r="B3148" t="s">
        <v>3668</v>
      </c>
      <c r="C3148" t="s">
        <v>7235</v>
      </c>
      <c r="D3148" t="str">
        <f>TRIM(alias[[#This Row],[Column3]])</f>
        <v>Sejahtera Bintang Abadi Textile</v>
      </c>
      <c r="F3148" t="str">
        <f t="shared" si="49"/>
        <v>INSERT INTO stock_alias (stock, alias) VALUES ((SELECT id FROM stock WHERE ticker = 'SBAT'), 'Sejahtera Bintang Abadi Textile') ON CONFLICT DO NOTHING;</v>
      </c>
    </row>
    <row r="3149" spans="1:6" x14ac:dyDescent="0.2">
      <c r="A3149" t="s">
        <v>1828</v>
      </c>
      <c r="B3149" t="s">
        <v>3668</v>
      </c>
      <c r="C3149" t="s">
        <v>7236</v>
      </c>
      <c r="D3149" t="str">
        <f>TRIM(alias[[#This Row],[Column3]])</f>
        <v>Sejahtera Bintang Abadi Textile Tbk</v>
      </c>
      <c r="F3149" t="str">
        <f t="shared" si="49"/>
        <v>INSERT INTO stock_alias (stock, alias) VALUES ((SELECT id FROM stock WHERE ticker = 'SBAT'), 'Sejahtera Bintang Abadi Textile Tbk') ON CONFLICT DO NOTHING;</v>
      </c>
    </row>
    <row r="3150" spans="1:6" x14ac:dyDescent="0.2">
      <c r="A3150" t="s">
        <v>2001</v>
      </c>
      <c r="B3150" t="s">
        <v>3669</v>
      </c>
      <c r="C3150" t="s">
        <v>2001</v>
      </c>
      <c r="D3150" t="str">
        <f>TRIM(alias[[#This Row],[Column3]])</f>
        <v>SBMA</v>
      </c>
      <c r="F3150" t="str">
        <f t="shared" si="49"/>
        <v>INSERT INTO stock_alias (stock, alias) VALUES ((SELECT id FROM stock WHERE ticker = 'SBMA'), 'SBMA') ON CONFLICT DO NOTHING;</v>
      </c>
    </row>
    <row r="3151" spans="1:6" x14ac:dyDescent="0.2">
      <c r="A3151" t="s">
        <v>2001</v>
      </c>
      <c r="B3151" t="s">
        <v>3669</v>
      </c>
      <c r="C3151" t="s">
        <v>7237</v>
      </c>
      <c r="D3151" t="str">
        <f>TRIM(alias[[#This Row],[Column3]])</f>
        <v>PT Surya Biru Murni Acetylene</v>
      </c>
      <c r="F3151" t="str">
        <f t="shared" si="49"/>
        <v>INSERT INTO stock_alias (stock, alias) VALUES ((SELECT id FROM stock WHERE ticker = 'SBMA'), 'PT Surya Biru Murni Acetylene') ON CONFLICT DO NOTHING;</v>
      </c>
    </row>
    <row r="3152" spans="1:6" x14ac:dyDescent="0.2">
      <c r="A3152" t="s">
        <v>2001</v>
      </c>
      <c r="B3152" t="s">
        <v>3669</v>
      </c>
      <c r="C3152" t="s">
        <v>7238</v>
      </c>
      <c r="D3152" t="str">
        <f>TRIM(alias[[#This Row],[Column3]])</f>
        <v>Surya Biru Murni Acetylene</v>
      </c>
      <c r="F3152" t="str">
        <f t="shared" si="49"/>
        <v>INSERT INTO stock_alias (stock, alias) VALUES ((SELECT id FROM stock WHERE ticker = 'SBMA'), 'Surya Biru Murni Acetylene') ON CONFLICT DO NOTHING;</v>
      </c>
    </row>
    <row r="3153" spans="1:6" x14ac:dyDescent="0.2">
      <c r="A3153" t="s">
        <v>2001</v>
      </c>
      <c r="B3153" t="s">
        <v>3669</v>
      </c>
      <c r="C3153" t="s">
        <v>7239</v>
      </c>
      <c r="D3153" t="str">
        <f>TRIM(alias[[#This Row],[Column3]])</f>
        <v>Surya Biru Murni Acetylene Tbk</v>
      </c>
      <c r="F3153" t="str">
        <f t="shared" si="49"/>
        <v>INSERT INTO stock_alias (stock, alias) VALUES ((SELECT id FROM stock WHERE ticker = 'SBMA'), 'Surya Biru Murni Acetylene Tbk') ON CONFLICT DO NOTHING;</v>
      </c>
    </row>
    <row r="3154" spans="1:6" x14ac:dyDescent="0.2">
      <c r="A3154" t="s">
        <v>1068</v>
      </c>
      <c r="B3154" t="s">
        <v>3670</v>
      </c>
      <c r="C3154" t="s">
        <v>1068</v>
      </c>
      <c r="D3154" t="str">
        <f>TRIM(alias[[#This Row],[Column3]])</f>
        <v>SCCO</v>
      </c>
      <c r="F3154" t="str">
        <f t="shared" si="49"/>
        <v>INSERT INTO stock_alias (stock, alias) VALUES ((SELECT id FROM stock WHERE ticker = 'SCCO'), 'SCCO') ON CONFLICT DO NOTHING;</v>
      </c>
    </row>
    <row r="3155" spans="1:6" x14ac:dyDescent="0.2">
      <c r="A3155" t="s">
        <v>1068</v>
      </c>
      <c r="B3155" t="s">
        <v>3670</v>
      </c>
      <c r="C3155" t="s">
        <v>7240</v>
      </c>
      <c r="D3155" t="str">
        <f>TRIM(alias[[#This Row],[Column3]])</f>
        <v>PT SUCACO Tbk</v>
      </c>
      <c r="F3155" t="str">
        <f t="shared" si="49"/>
        <v>INSERT INTO stock_alias (stock, alias) VALUES ((SELECT id FROM stock WHERE ticker = 'SCCO'), 'PT SUCACO Tbk') ON CONFLICT DO NOTHING;</v>
      </c>
    </row>
    <row r="3156" spans="1:6" x14ac:dyDescent="0.2">
      <c r="A3156" t="s">
        <v>1070</v>
      </c>
      <c r="B3156" t="s">
        <v>1071</v>
      </c>
      <c r="C3156" t="s">
        <v>1070</v>
      </c>
      <c r="D3156" t="str">
        <f>TRIM(alias[[#This Row],[Column3]])</f>
        <v>SCMA</v>
      </c>
      <c r="F3156" t="str">
        <f t="shared" si="49"/>
        <v>INSERT INTO stock_alias (stock, alias) VALUES ((SELECT id FROM stock WHERE ticker = 'SCMA'), 'SCMA') ON CONFLICT DO NOTHING;</v>
      </c>
    </row>
    <row r="3157" spans="1:6" x14ac:dyDescent="0.2">
      <c r="A3157" t="s">
        <v>1070</v>
      </c>
      <c r="B3157" t="s">
        <v>1071</v>
      </c>
      <c r="C3157" t="s">
        <v>7241</v>
      </c>
      <c r="D3157" t="str">
        <f>TRIM(alias[[#This Row],[Column3]])</f>
        <v>PT Surya Citra Media</v>
      </c>
      <c r="F3157" t="str">
        <f t="shared" si="49"/>
        <v>INSERT INTO stock_alias (stock, alias) VALUES ((SELECT id FROM stock WHERE ticker = 'SCMA'), 'PT Surya Citra Media') ON CONFLICT DO NOTHING;</v>
      </c>
    </row>
    <row r="3158" spans="1:6" x14ac:dyDescent="0.2">
      <c r="A3158" t="s">
        <v>1070</v>
      </c>
      <c r="B3158" t="s">
        <v>1071</v>
      </c>
      <c r="C3158" t="s">
        <v>7242</v>
      </c>
      <c r="D3158" t="str">
        <f>TRIM(alias[[#This Row],[Column3]])</f>
        <v>Surya Citra Media</v>
      </c>
      <c r="F3158" t="str">
        <f t="shared" si="49"/>
        <v>INSERT INTO stock_alias (stock, alias) VALUES ((SELECT id FROM stock WHERE ticker = 'SCMA'), 'Surya Citra Media') ON CONFLICT DO NOTHING;</v>
      </c>
    </row>
    <row r="3159" spans="1:6" x14ac:dyDescent="0.2">
      <c r="A3159" t="s">
        <v>1070</v>
      </c>
      <c r="B3159" t="s">
        <v>1071</v>
      </c>
      <c r="C3159" t="s">
        <v>7243</v>
      </c>
      <c r="D3159" t="str">
        <f>TRIM(alias[[#This Row],[Column3]])</f>
        <v>Surya Citra Media Tbk</v>
      </c>
      <c r="F3159" t="str">
        <f t="shared" si="49"/>
        <v>INSERT INTO stock_alias (stock, alias) VALUES ((SELECT id FROM stock WHERE ticker = 'SCMA'), 'Surya Citra Media Tbk') ON CONFLICT DO NOTHING;</v>
      </c>
    </row>
    <row r="3160" spans="1:6" x14ac:dyDescent="0.2">
      <c r="A3160" t="s">
        <v>1877</v>
      </c>
      <c r="B3160" t="s">
        <v>3671</v>
      </c>
      <c r="C3160" t="s">
        <v>1877</v>
      </c>
      <c r="D3160" t="str">
        <f>TRIM(alias[[#This Row],[Column3]])</f>
        <v>SCNP</v>
      </c>
      <c r="F3160" t="str">
        <f t="shared" si="49"/>
        <v>INSERT INTO stock_alias (stock, alias) VALUES ((SELECT id FROM stock WHERE ticker = 'SCNP'), 'SCNP') ON CONFLICT DO NOTHING;</v>
      </c>
    </row>
    <row r="3161" spans="1:6" x14ac:dyDescent="0.2">
      <c r="A3161" t="s">
        <v>1877</v>
      </c>
      <c r="B3161" t="s">
        <v>3671</v>
      </c>
      <c r="C3161" t="s">
        <v>7244</v>
      </c>
      <c r="D3161" t="str">
        <f>TRIM(alias[[#This Row],[Column3]])</f>
        <v>PT Selaras Citra Nusantara Perkasa</v>
      </c>
      <c r="F3161" t="str">
        <f t="shared" si="49"/>
        <v>INSERT INTO stock_alias (stock, alias) VALUES ((SELECT id FROM stock WHERE ticker = 'SCNP'), 'PT Selaras Citra Nusantara Perkasa') ON CONFLICT DO NOTHING;</v>
      </c>
    </row>
    <row r="3162" spans="1:6" x14ac:dyDescent="0.2">
      <c r="A3162" t="s">
        <v>1877</v>
      </c>
      <c r="B3162" t="s">
        <v>3671</v>
      </c>
      <c r="C3162" t="s">
        <v>7245</v>
      </c>
      <c r="D3162" t="str">
        <f>TRIM(alias[[#This Row],[Column3]])</f>
        <v>Selaras Citra Nusantara Perkasa</v>
      </c>
      <c r="F3162" t="str">
        <f t="shared" si="49"/>
        <v>INSERT INTO stock_alias (stock, alias) VALUES ((SELECT id FROM stock WHERE ticker = 'SCNP'), 'Selaras Citra Nusantara Perkasa') ON CONFLICT DO NOTHING;</v>
      </c>
    </row>
    <row r="3163" spans="1:6" x14ac:dyDescent="0.2">
      <c r="A3163" t="s">
        <v>1877</v>
      </c>
      <c r="B3163" t="s">
        <v>3671</v>
      </c>
      <c r="C3163" t="s">
        <v>7246</v>
      </c>
      <c r="D3163" t="str">
        <f>TRIM(alias[[#This Row],[Column3]])</f>
        <v>Selaras Citra Nusantara Perkasa Tbk</v>
      </c>
      <c r="F3163" t="str">
        <f t="shared" si="49"/>
        <v>INSERT INTO stock_alias (stock, alias) VALUES ((SELECT id FROM stock WHERE ticker = 'SCNP'), 'Selaras Citra Nusantara Perkasa Tbk') ON CONFLICT DO NOTHING;</v>
      </c>
    </row>
    <row r="3164" spans="1:6" x14ac:dyDescent="0.2">
      <c r="A3164" t="s">
        <v>1073</v>
      </c>
      <c r="B3164" t="s">
        <v>1074</v>
      </c>
      <c r="C3164" t="s">
        <v>1073</v>
      </c>
      <c r="D3164" t="str">
        <f>TRIM(alias[[#This Row],[Column3]])</f>
        <v>SCPI</v>
      </c>
      <c r="F3164" t="str">
        <f t="shared" si="49"/>
        <v>INSERT INTO stock_alias (stock, alias) VALUES ((SELECT id FROM stock WHERE ticker = 'SCPI'), 'SCPI') ON CONFLICT DO NOTHING;</v>
      </c>
    </row>
    <row r="3165" spans="1:6" x14ac:dyDescent="0.2">
      <c r="A3165" t="s">
        <v>1073</v>
      </c>
      <c r="B3165" t="s">
        <v>1074</v>
      </c>
      <c r="C3165" t="s">
        <v>7247</v>
      </c>
      <c r="D3165" t="str">
        <f>TRIM(alias[[#This Row],[Column3]])</f>
        <v>Organon Pharma Indonesia</v>
      </c>
      <c r="F3165" t="str">
        <f t="shared" si="49"/>
        <v>INSERT INTO stock_alias (stock, alias) VALUES ((SELECT id FROM stock WHERE ticker = 'SCPI'), 'Organon Pharma Indonesia') ON CONFLICT DO NOTHING;</v>
      </c>
    </row>
    <row r="3166" spans="1:6" x14ac:dyDescent="0.2">
      <c r="A3166" t="s">
        <v>1073</v>
      </c>
      <c r="B3166" t="s">
        <v>1074</v>
      </c>
      <c r="C3166" t="s">
        <v>7248</v>
      </c>
      <c r="D3166" t="str">
        <f>TRIM(alias[[#This Row],[Column3]])</f>
        <v>Organon Pharma Indonesia Tbk</v>
      </c>
      <c r="F3166" t="str">
        <f t="shared" si="49"/>
        <v>INSERT INTO stock_alias (stock, alias) VALUES ((SELECT id FROM stock WHERE ticker = 'SCPI'), 'Organon Pharma Indonesia Tbk') ON CONFLICT DO NOTHING;</v>
      </c>
    </row>
    <row r="3167" spans="1:6" x14ac:dyDescent="0.2">
      <c r="A3167" t="s">
        <v>1073</v>
      </c>
      <c r="B3167" t="s">
        <v>1074</v>
      </c>
      <c r="C3167" t="s">
        <v>7249</v>
      </c>
      <c r="D3167" t="str">
        <f>TRIM(alias[[#This Row],[Column3]])</f>
        <v>PT Organon Pharma Indonesia</v>
      </c>
      <c r="F3167" t="str">
        <f t="shared" si="49"/>
        <v>INSERT INTO stock_alias (stock, alias) VALUES ((SELECT id FROM stock WHERE ticker = 'SCPI'), 'PT Organon Pharma Indonesia') ON CONFLICT DO NOTHING;</v>
      </c>
    </row>
    <row r="3168" spans="1:6" x14ac:dyDescent="0.2">
      <c r="A3168" t="s">
        <v>1076</v>
      </c>
      <c r="B3168" t="s">
        <v>1077</v>
      </c>
      <c r="C3168" t="s">
        <v>1076</v>
      </c>
      <c r="D3168" t="str">
        <f>TRIM(alias[[#This Row],[Column3]])</f>
        <v>SDMU</v>
      </c>
      <c r="F3168" t="str">
        <f t="shared" si="49"/>
        <v>INSERT INTO stock_alias (stock, alias) VALUES ((SELECT id FROM stock WHERE ticker = 'SDMU'), 'SDMU') ON CONFLICT DO NOTHING;</v>
      </c>
    </row>
    <row r="3169" spans="1:6" x14ac:dyDescent="0.2">
      <c r="A3169" t="s">
        <v>1076</v>
      </c>
      <c r="B3169" t="s">
        <v>1077</v>
      </c>
      <c r="C3169" t="s">
        <v>7250</v>
      </c>
      <c r="D3169" t="str">
        <f>TRIM(alias[[#This Row],[Column3]])</f>
        <v>PT Sidomulyo Selaras</v>
      </c>
      <c r="F3169" t="str">
        <f t="shared" si="49"/>
        <v>INSERT INTO stock_alias (stock, alias) VALUES ((SELECT id FROM stock WHERE ticker = 'SDMU'), 'PT Sidomulyo Selaras') ON CONFLICT DO NOTHING;</v>
      </c>
    </row>
    <row r="3170" spans="1:6" x14ac:dyDescent="0.2">
      <c r="A3170" t="s">
        <v>1076</v>
      </c>
      <c r="B3170" t="s">
        <v>1077</v>
      </c>
      <c r="C3170" t="s">
        <v>7251</v>
      </c>
      <c r="D3170" t="str">
        <f>TRIM(alias[[#This Row],[Column3]])</f>
        <v>Sidomulyo Selaras</v>
      </c>
      <c r="F3170" t="str">
        <f t="shared" si="49"/>
        <v>INSERT INTO stock_alias (stock, alias) VALUES ((SELECT id FROM stock WHERE ticker = 'SDMU'), 'Sidomulyo Selaras') ON CONFLICT DO NOTHING;</v>
      </c>
    </row>
    <row r="3171" spans="1:6" x14ac:dyDescent="0.2">
      <c r="A3171" t="s">
        <v>1076</v>
      </c>
      <c r="B3171" t="s">
        <v>1077</v>
      </c>
      <c r="C3171" t="s">
        <v>7252</v>
      </c>
      <c r="D3171" t="str">
        <f>TRIM(alias[[#This Row],[Column3]])</f>
        <v>Sidomulyo Selaras Tbk</v>
      </c>
      <c r="F3171" t="str">
        <f t="shared" si="49"/>
        <v>INSERT INTO stock_alias (stock, alias) VALUES ((SELECT id FROM stock WHERE ticker = 'SDMU'), 'Sidomulyo Selaras Tbk') ON CONFLICT DO NOTHING;</v>
      </c>
    </row>
    <row r="3172" spans="1:6" x14ac:dyDescent="0.2">
      <c r="A3172" t="s">
        <v>1079</v>
      </c>
      <c r="B3172" t="s">
        <v>3672</v>
      </c>
      <c r="C3172" t="s">
        <v>1079</v>
      </c>
      <c r="D3172" t="str">
        <f>TRIM(alias[[#This Row],[Column3]])</f>
        <v>SDPC</v>
      </c>
      <c r="F3172" t="str">
        <f t="shared" si="49"/>
        <v>INSERT INTO stock_alias (stock, alias) VALUES ((SELECT id FROM stock WHERE ticker = 'SDPC'), 'SDPC') ON CONFLICT DO NOTHING;</v>
      </c>
    </row>
    <row r="3173" spans="1:6" x14ac:dyDescent="0.2">
      <c r="A3173" t="s">
        <v>1079</v>
      </c>
      <c r="B3173" t="s">
        <v>3672</v>
      </c>
      <c r="C3173" t="s">
        <v>7253</v>
      </c>
      <c r="D3173" t="str">
        <f>TRIM(alias[[#This Row],[Column3]])</f>
        <v>Millennium Pharmacon International</v>
      </c>
      <c r="F3173" t="str">
        <f t="shared" si="49"/>
        <v>INSERT INTO stock_alias (stock, alias) VALUES ((SELECT id FROM stock WHERE ticker = 'SDPC'), 'Millennium Pharmacon International') ON CONFLICT DO NOTHING;</v>
      </c>
    </row>
    <row r="3174" spans="1:6" x14ac:dyDescent="0.2">
      <c r="A3174" t="s">
        <v>1079</v>
      </c>
      <c r="B3174" t="s">
        <v>3672</v>
      </c>
      <c r="C3174" t="s">
        <v>7254</v>
      </c>
      <c r="D3174" t="str">
        <f>TRIM(alias[[#This Row],[Column3]])</f>
        <v>Millennium Pharmacon International Tbk</v>
      </c>
      <c r="F3174" t="str">
        <f t="shared" si="49"/>
        <v>INSERT INTO stock_alias (stock, alias) VALUES ((SELECT id FROM stock WHERE ticker = 'SDPC'), 'Millennium Pharmacon International Tbk') ON CONFLICT DO NOTHING;</v>
      </c>
    </row>
    <row r="3175" spans="1:6" x14ac:dyDescent="0.2">
      <c r="A3175" t="s">
        <v>1079</v>
      </c>
      <c r="B3175" t="s">
        <v>3672</v>
      </c>
      <c r="C3175" t="s">
        <v>7255</v>
      </c>
      <c r="D3175" t="str">
        <f>TRIM(alias[[#This Row],[Column3]])</f>
        <v>PT Millennium Pharmacon International</v>
      </c>
      <c r="F3175" t="str">
        <f t="shared" si="49"/>
        <v>INSERT INTO stock_alias (stock, alias) VALUES ((SELECT id FROM stock WHERE ticker = 'SDPC'), 'PT Millennium Pharmacon International') ON CONFLICT DO NOTHING;</v>
      </c>
    </row>
    <row r="3176" spans="1:6" x14ac:dyDescent="0.2">
      <c r="A3176" t="s">
        <v>1081</v>
      </c>
      <c r="B3176" t="s">
        <v>3673</v>
      </c>
      <c r="C3176" t="s">
        <v>1081</v>
      </c>
      <c r="D3176" t="str">
        <f>TRIM(alias[[#This Row],[Column3]])</f>
        <v>SDRA</v>
      </c>
      <c r="F3176" t="str">
        <f t="shared" si="49"/>
        <v>INSERT INTO stock_alias (stock, alias) VALUES ((SELECT id FROM stock WHERE ticker = 'SDRA'), 'SDRA') ON CONFLICT DO NOTHING;</v>
      </c>
    </row>
    <row r="3177" spans="1:6" x14ac:dyDescent="0.2">
      <c r="A3177" t="s">
        <v>1081</v>
      </c>
      <c r="B3177" t="s">
        <v>3673</v>
      </c>
      <c r="C3177" t="s">
        <v>7256</v>
      </c>
      <c r="D3177" t="str">
        <f>TRIM(alias[[#This Row],[Column3]])</f>
        <v>Bank Woori Saudara Indonesia 1906</v>
      </c>
      <c r="F3177" t="str">
        <f t="shared" si="49"/>
        <v>INSERT INTO stock_alias (stock, alias) VALUES ((SELECT id FROM stock WHERE ticker = 'SDRA'), 'Bank Woori Saudara Indonesia 1906') ON CONFLICT DO NOTHING;</v>
      </c>
    </row>
    <row r="3178" spans="1:6" x14ac:dyDescent="0.2">
      <c r="A3178" t="s">
        <v>1081</v>
      </c>
      <c r="B3178" t="s">
        <v>3673</v>
      </c>
      <c r="C3178" t="s">
        <v>7257</v>
      </c>
      <c r="D3178" t="str">
        <f>TRIM(alias[[#This Row],[Column3]])</f>
        <v>Bank Woori Saudara Indonesia 1906 Tbk</v>
      </c>
      <c r="F3178" t="str">
        <f t="shared" si="49"/>
        <v>INSERT INTO stock_alias (stock, alias) VALUES ((SELECT id FROM stock WHERE ticker = 'SDRA'), 'Bank Woori Saudara Indonesia 1906 Tbk') ON CONFLICT DO NOTHING;</v>
      </c>
    </row>
    <row r="3179" spans="1:6" x14ac:dyDescent="0.2">
      <c r="A3179" t="s">
        <v>1081</v>
      </c>
      <c r="B3179" t="s">
        <v>3673</v>
      </c>
      <c r="C3179" t="s">
        <v>7258</v>
      </c>
      <c r="D3179" t="str">
        <f>TRIM(alias[[#This Row],[Column3]])</f>
        <v>PT Bank Woori Saudara Indonesia 1906</v>
      </c>
      <c r="F3179" t="str">
        <f t="shared" si="49"/>
        <v>INSERT INTO stock_alias (stock, alias) VALUES ((SELECT id FROM stock WHERE ticker = 'SDRA'), 'PT Bank Woori Saudara Indonesia 1906') ON CONFLICT DO NOTHING;</v>
      </c>
    </row>
    <row r="3180" spans="1:6" x14ac:dyDescent="0.2">
      <c r="A3180" t="s">
        <v>2062</v>
      </c>
      <c r="B3180" t="s">
        <v>2063</v>
      </c>
      <c r="C3180" t="s">
        <v>2062</v>
      </c>
      <c r="D3180" t="str">
        <f>TRIM(alias[[#This Row],[Column3]])</f>
        <v>SEMA</v>
      </c>
      <c r="F3180" t="str">
        <f t="shared" si="49"/>
        <v>INSERT INTO stock_alias (stock, alias) VALUES ((SELECT id FROM stock WHERE ticker = 'SEMA'), 'SEMA') ON CONFLICT DO NOTHING;</v>
      </c>
    </row>
    <row r="3181" spans="1:6" x14ac:dyDescent="0.2">
      <c r="A3181" t="s">
        <v>2062</v>
      </c>
      <c r="B3181" t="s">
        <v>2063</v>
      </c>
      <c r="C3181" t="s">
        <v>7259</v>
      </c>
      <c r="D3181" t="str">
        <f>TRIM(alias[[#This Row],[Column3]])</f>
        <v>PT Semacom Integrated</v>
      </c>
      <c r="F3181" t="str">
        <f t="shared" si="49"/>
        <v>INSERT INTO stock_alias (stock, alias) VALUES ((SELECT id FROM stock WHERE ticker = 'SEMA'), 'PT Semacom Integrated') ON CONFLICT DO NOTHING;</v>
      </c>
    </row>
    <row r="3182" spans="1:6" x14ac:dyDescent="0.2">
      <c r="A3182" t="s">
        <v>2062</v>
      </c>
      <c r="B3182" t="s">
        <v>2063</v>
      </c>
      <c r="C3182" t="s">
        <v>7260</v>
      </c>
      <c r="D3182" t="str">
        <f>TRIM(alias[[#This Row],[Column3]])</f>
        <v>Semacom Integrated</v>
      </c>
      <c r="F3182" t="str">
        <f t="shared" si="49"/>
        <v>INSERT INTO stock_alias (stock, alias) VALUES ((SELECT id FROM stock WHERE ticker = 'SEMA'), 'Semacom Integrated') ON CONFLICT DO NOTHING;</v>
      </c>
    </row>
    <row r="3183" spans="1:6" x14ac:dyDescent="0.2">
      <c r="A3183" t="s">
        <v>2062</v>
      </c>
      <c r="B3183" t="s">
        <v>2063</v>
      </c>
      <c r="C3183" t="s">
        <v>7261</v>
      </c>
      <c r="D3183" t="str">
        <f>TRIM(alias[[#This Row],[Column3]])</f>
        <v>Semacom Integrated Tbk</v>
      </c>
      <c r="F3183" t="str">
        <f t="shared" si="49"/>
        <v>INSERT INTO stock_alias (stock, alias) VALUES ((SELECT id FROM stock WHERE ticker = 'SEMA'), 'Semacom Integrated Tbk') ON CONFLICT DO NOTHING;</v>
      </c>
    </row>
    <row r="3184" spans="1:6" x14ac:dyDescent="0.2">
      <c r="A3184" t="s">
        <v>1682</v>
      </c>
      <c r="B3184" t="s">
        <v>1683</v>
      </c>
      <c r="C3184" t="s">
        <v>1682</v>
      </c>
      <c r="D3184" t="str">
        <f>TRIM(alias[[#This Row],[Column3]])</f>
        <v>SFAN</v>
      </c>
      <c r="F3184" t="str">
        <f t="shared" si="49"/>
        <v>INSERT INTO stock_alias (stock, alias) VALUES ((SELECT id FROM stock WHERE ticker = 'SFAN'), 'SFAN') ON CONFLICT DO NOTHING;</v>
      </c>
    </row>
    <row r="3185" spans="1:6" x14ac:dyDescent="0.2">
      <c r="A3185" t="s">
        <v>1682</v>
      </c>
      <c r="B3185" t="s">
        <v>1683</v>
      </c>
      <c r="C3185" t="s">
        <v>7262</v>
      </c>
      <c r="D3185" t="str">
        <f>TRIM(alias[[#This Row],[Column3]])</f>
        <v>PT Surya Fajar Capital</v>
      </c>
      <c r="F3185" t="str">
        <f t="shared" si="49"/>
        <v>INSERT INTO stock_alias (stock, alias) VALUES ((SELECT id FROM stock WHERE ticker = 'SFAN'), 'PT Surya Fajar Capital') ON CONFLICT DO NOTHING;</v>
      </c>
    </row>
    <row r="3186" spans="1:6" x14ac:dyDescent="0.2">
      <c r="A3186" t="s">
        <v>1682</v>
      </c>
      <c r="B3186" t="s">
        <v>1683</v>
      </c>
      <c r="C3186" t="s">
        <v>7263</v>
      </c>
      <c r="D3186" t="str">
        <f>TRIM(alias[[#This Row],[Column3]])</f>
        <v>Surya Fajar Capital</v>
      </c>
      <c r="F3186" t="str">
        <f t="shared" si="49"/>
        <v>INSERT INTO stock_alias (stock, alias) VALUES ((SELECT id FROM stock WHERE ticker = 'SFAN'), 'Surya Fajar Capital') ON CONFLICT DO NOTHING;</v>
      </c>
    </row>
    <row r="3187" spans="1:6" x14ac:dyDescent="0.2">
      <c r="A3187" t="s">
        <v>1682</v>
      </c>
      <c r="B3187" t="s">
        <v>1683</v>
      </c>
      <c r="C3187" t="s">
        <v>7264</v>
      </c>
      <c r="D3187" t="str">
        <f>TRIM(alias[[#This Row],[Column3]])</f>
        <v>Surya Fajar Capital Tbk</v>
      </c>
      <c r="F3187" t="str">
        <f t="shared" si="49"/>
        <v>INSERT INTO stock_alias (stock, alias) VALUES ((SELECT id FROM stock WHERE ticker = 'SFAN'), 'Surya Fajar Capital Tbk') ON CONFLICT DO NOTHING;</v>
      </c>
    </row>
    <row r="3188" spans="1:6" x14ac:dyDescent="0.2">
      <c r="A3188" t="s">
        <v>1868</v>
      </c>
      <c r="B3188" t="s">
        <v>1869</v>
      </c>
      <c r="C3188" t="s">
        <v>1868</v>
      </c>
      <c r="D3188" t="str">
        <f>TRIM(alias[[#This Row],[Column3]])</f>
        <v>SGER</v>
      </c>
      <c r="F3188" t="str">
        <f t="shared" si="49"/>
        <v>INSERT INTO stock_alias (stock, alias) VALUES ((SELECT id FROM stock WHERE ticker = 'SGER'), 'SGER') ON CONFLICT DO NOTHING;</v>
      </c>
    </row>
    <row r="3189" spans="1:6" x14ac:dyDescent="0.2">
      <c r="A3189" t="s">
        <v>1868</v>
      </c>
      <c r="B3189" t="s">
        <v>1869</v>
      </c>
      <c r="C3189" t="s">
        <v>7265</v>
      </c>
      <c r="D3189" t="str">
        <f>TRIM(alias[[#This Row],[Column3]])</f>
        <v>PT Sumber Global Energy</v>
      </c>
      <c r="F3189" t="str">
        <f t="shared" si="49"/>
        <v>INSERT INTO stock_alias (stock, alias) VALUES ((SELECT id FROM stock WHERE ticker = 'SGER'), 'PT Sumber Global Energy') ON CONFLICT DO NOTHING;</v>
      </c>
    </row>
    <row r="3190" spans="1:6" x14ac:dyDescent="0.2">
      <c r="A3190" t="s">
        <v>1868</v>
      </c>
      <c r="B3190" t="s">
        <v>1869</v>
      </c>
      <c r="C3190" t="s">
        <v>7266</v>
      </c>
      <c r="D3190" t="str">
        <f>TRIM(alias[[#This Row],[Column3]])</f>
        <v>Sumber Global Energy</v>
      </c>
      <c r="F3190" t="str">
        <f t="shared" si="49"/>
        <v>INSERT INTO stock_alias (stock, alias) VALUES ((SELECT id FROM stock WHERE ticker = 'SGER'), 'Sumber Global Energy') ON CONFLICT DO NOTHING;</v>
      </c>
    </row>
    <row r="3191" spans="1:6" x14ac:dyDescent="0.2">
      <c r="A3191" t="s">
        <v>1868</v>
      </c>
      <c r="B3191" t="s">
        <v>1869</v>
      </c>
      <c r="C3191" t="s">
        <v>7267</v>
      </c>
      <c r="D3191" t="str">
        <f>TRIM(alias[[#This Row],[Column3]])</f>
        <v>Sumber Global Energy Tbk</v>
      </c>
      <c r="F3191" t="str">
        <f t="shared" si="49"/>
        <v>INSERT INTO stock_alias (stock, alias) VALUES ((SELECT id FROM stock WHERE ticker = 'SGER'), 'Sumber Global Energy Tbk') ON CONFLICT DO NOTHING;</v>
      </c>
    </row>
    <row r="3192" spans="1:6" x14ac:dyDescent="0.2">
      <c r="A3192" t="s">
        <v>1083</v>
      </c>
      <c r="B3192" t="s">
        <v>1084</v>
      </c>
      <c r="C3192" t="s">
        <v>1083</v>
      </c>
      <c r="D3192" t="str">
        <f>TRIM(alias[[#This Row],[Column3]])</f>
        <v>SGRO</v>
      </c>
      <c r="F3192" t="str">
        <f t="shared" si="49"/>
        <v>INSERT INTO stock_alias (stock, alias) VALUES ((SELECT id FROM stock WHERE ticker = 'SGRO'), 'SGRO') ON CONFLICT DO NOTHING;</v>
      </c>
    </row>
    <row r="3193" spans="1:6" x14ac:dyDescent="0.2">
      <c r="A3193" t="s">
        <v>1083</v>
      </c>
      <c r="B3193" t="s">
        <v>1084</v>
      </c>
      <c r="C3193" t="s">
        <v>7268</v>
      </c>
      <c r="D3193" t="str">
        <f>TRIM(alias[[#This Row],[Column3]])</f>
        <v>PT Prime Agri Resources</v>
      </c>
      <c r="F3193" t="str">
        <f t="shared" si="49"/>
        <v>INSERT INTO stock_alias (stock, alias) VALUES ((SELECT id FROM stock WHERE ticker = 'SGRO'), 'PT Prime Agri Resources') ON CONFLICT DO NOTHING;</v>
      </c>
    </row>
    <row r="3194" spans="1:6" x14ac:dyDescent="0.2">
      <c r="A3194" t="s">
        <v>1083</v>
      </c>
      <c r="B3194" t="s">
        <v>1084</v>
      </c>
      <c r="C3194" t="s">
        <v>7269</v>
      </c>
      <c r="D3194" t="str">
        <f>TRIM(alias[[#This Row],[Column3]])</f>
        <v>Prime Agri Resources</v>
      </c>
      <c r="F3194" t="str">
        <f t="shared" si="49"/>
        <v>INSERT INTO stock_alias (stock, alias) VALUES ((SELECT id FROM stock WHERE ticker = 'SGRO'), 'Prime Agri Resources') ON CONFLICT DO NOTHING;</v>
      </c>
    </row>
    <row r="3195" spans="1:6" x14ac:dyDescent="0.2">
      <c r="A3195" t="s">
        <v>1083</v>
      </c>
      <c r="B3195" t="s">
        <v>1084</v>
      </c>
      <c r="C3195" t="s">
        <v>7270</v>
      </c>
      <c r="D3195" t="str">
        <f>TRIM(alias[[#This Row],[Column3]])</f>
        <v>Prime Agri Resources Tbk</v>
      </c>
      <c r="F3195" t="str">
        <f t="shared" si="49"/>
        <v>INSERT INTO stock_alias (stock, alias) VALUES ((SELECT id FROM stock WHERE ticker = 'SGRO'), 'Prime Agri Resources Tbk') ON CONFLICT DO NOTHING;</v>
      </c>
    </row>
    <row r="3196" spans="1:6" x14ac:dyDescent="0.2">
      <c r="A3196" t="s">
        <v>1086</v>
      </c>
      <c r="B3196" t="s">
        <v>3674</v>
      </c>
      <c r="C3196" t="s">
        <v>1086</v>
      </c>
      <c r="D3196" t="str">
        <f>TRIM(alias[[#This Row],[Column3]])</f>
        <v>SHID</v>
      </c>
      <c r="F3196" t="str">
        <f t="shared" si="49"/>
        <v>INSERT INTO stock_alias (stock, alias) VALUES ((SELECT id FROM stock WHERE ticker = 'SHID'), 'SHID') ON CONFLICT DO NOTHING;</v>
      </c>
    </row>
    <row r="3197" spans="1:6" x14ac:dyDescent="0.2">
      <c r="A3197" t="s">
        <v>1086</v>
      </c>
      <c r="B3197" t="s">
        <v>3674</v>
      </c>
      <c r="C3197" t="s">
        <v>7271</v>
      </c>
      <c r="D3197" t="str">
        <f>TRIM(alias[[#This Row],[Column3]])</f>
        <v>Hotel Sahid Jaya International</v>
      </c>
      <c r="F3197" t="str">
        <f t="shared" si="49"/>
        <v>INSERT INTO stock_alias (stock, alias) VALUES ((SELECT id FROM stock WHERE ticker = 'SHID'), 'Hotel Sahid Jaya International') ON CONFLICT DO NOTHING;</v>
      </c>
    </row>
    <row r="3198" spans="1:6" x14ac:dyDescent="0.2">
      <c r="A3198" t="s">
        <v>1086</v>
      </c>
      <c r="B3198" t="s">
        <v>3674</v>
      </c>
      <c r="C3198" t="s">
        <v>7272</v>
      </c>
      <c r="D3198" t="str">
        <f>TRIM(alias[[#This Row],[Column3]])</f>
        <v>Hotel Sahid Jaya International Tbk</v>
      </c>
      <c r="F3198" t="str">
        <f t="shared" si="49"/>
        <v>INSERT INTO stock_alias (stock, alias) VALUES ((SELECT id FROM stock WHERE ticker = 'SHID'), 'Hotel Sahid Jaya International Tbk') ON CONFLICT DO NOTHING;</v>
      </c>
    </row>
    <row r="3199" spans="1:6" x14ac:dyDescent="0.2">
      <c r="A3199" t="s">
        <v>1086</v>
      </c>
      <c r="B3199" t="s">
        <v>3674</v>
      </c>
      <c r="C3199" t="s">
        <v>7273</v>
      </c>
      <c r="D3199" t="str">
        <f>TRIM(alias[[#This Row],[Column3]])</f>
        <v>PT Hotel Sahid Jaya International</v>
      </c>
      <c r="F3199" t="str">
        <f t="shared" si="49"/>
        <v>INSERT INTO stock_alias (stock, alias) VALUES ((SELECT id FROM stock WHERE ticker = 'SHID'), 'PT Hotel Sahid Jaya International') ON CONFLICT DO NOTHING;</v>
      </c>
    </row>
    <row r="3200" spans="1:6" x14ac:dyDescent="0.2">
      <c r="A3200" t="s">
        <v>1342</v>
      </c>
      <c r="B3200" t="s">
        <v>1343</v>
      </c>
      <c r="C3200" t="s">
        <v>1342</v>
      </c>
      <c r="D3200" t="str">
        <f>TRIM(alias[[#This Row],[Column3]])</f>
        <v>SHIP</v>
      </c>
      <c r="F3200" t="str">
        <f t="shared" si="49"/>
        <v>INSERT INTO stock_alias (stock, alias) VALUES ((SELECT id FROM stock WHERE ticker = 'SHIP'), 'SHIP') ON CONFLICT DO NOTHING;</v>
      </c>
    </row>
    <row r="3201" spans="1:6" x14ac:dyDescent="0.2">
      <c r="A3201" t="s">
        <v>1342</v>
      </c>
      <c r="B3201" t="s">
        <v>1343</v>
      </c>
      <c r="C3201" t="s">
        <v>7274</v>
      </c>
      <c r="D3201" t="str">
        <f>TRIM(alias[[#This Row],[Column3]])</f>
        <v>PT Sillo Maritime Perdana</v>
      </c>
      <c r="F3201" t="str">
        <f t="shared" si="49"/>
        <v>INSERT INTO stock_alias (stock, alias) VALUES ((SELECT id FROM stock WHERE ticker = 'SHIP'), 'PT Sillo Maritime Perdana') ON CONFLICT DO NOTHING;</v>
      </c>
    </row>
    <row r="3202" spans="1:6" x14ac:dyDescent="0.2">
      <c r="A3202" t="s">
        <v>1342</v>
      </c>
      <c r="B3202" t="s">
        <v>1343</v>
      </c>
      <c r="C3202" t="s">
        <v>7275</v>
      </c>
      <c r="D3202" t="str">
        <f>TRIM(alias[[#This Row],[Column3]])</f>
        <v>Sillo Maritime Perdana</v>
      </c>
      <c r="F3202" t="str">
        <f t="shared" si="49"/>
        <v>INSERT INTO stock_alias (stock, alias) VALUES ((SELECT id FROM stock WHERE ticker = 'SHIP'), 'Sillo Maritime Perdana') ON CONFLICT DO NOTHING;</v>
      </c>
    </row>
    <row r="3203" spans="1:6" x14ac:dyDescent="0.2">
      <c r="A3203" t="s">
        <v>1342</v>
      </c>
      <c r="B3203" t="s">
        <v>1343</v>
      </c>
      <c r="C3203" t="s">
        <v>7276</v>
      </c>
      <c r="D3203" t="str">
        <f>TRIM(alias[[#This Row],[Column3]])</f>
        <v>Sillo Maritime Perdana Tbk</v>
      </c>
      <c r="F3203" t="str">
        <f t="shared" ref="F3203:F3266" si="50">_xlfn.CONCAT($F$1, _xlfn.CONCAT($G$1, A3203, "'), '", D3203, "') ON CONFLICT DO NOTHING;"))</f>
        <v>INSERT INTO stock_alias (stock, alias) VALUES ((SELECT id FROM stock WHERE ticker = 'SHIP'), 'Sillo Maritime Perdana Tbk') ON CONFLICT DO NOTHING;</v>
      </c>
    </row>
    <row r="3204" spans="1:6" x14ac:dyDescent="0.2">
      <c r="A3204" t="s">
        <v>2094</v>
      </c>
      <c r="B3204" t="s">
        <v>2095</v>
      </c>
      <c r="C3204" t="s">
        <v>2094</v>
      </c>
      <c r="D3204" t="str">
        <f>TRIM(alias[[#This Row],[Column3]])</f>
        <v>SICO</v>
      </c>
      <c r="F3204" t="str">
        <f t="shared" si="50"/>
        <v>INSERT INTO stock_alias (stock, alias) VALUES ((SELECT id FROM stock WHERE ticker = 'SICO'), 'SICO') ON CONFLICT DO NOTHING;</v>
      </c>
    </row>
    <row r="3205" spans="1:6" x14ac:dyDescent="0.2">
      <c r="A3205" t="s">
        <v>2094</v>
      </c>
      <c r="B3205" t="s">
        <v>2095</v>
      </c>
      <c r="C3205" t="s">
        <v>7277</v>
      </c>
      <c r="D3205" t="str">
        <f>TRIM(alias[[#This Row],[Column3]])</f>
        <v>PT Sigma Energy Compressindo</v>
      </c>
      <c r="F3205" t="str">
        <f t="shared" si="50"/>
        <v>INSERT INTO stock_alias (stock, alias) VALUES ((SELECT id FROM stock WHERE ticker = 'SICO'), 'PT Sigma Energy Compressindo') ON CONFLICT DO NOTHING;</v>
      </c>
    </row>
    <row r="3206" spans="1:6" x14ac:dyDescent="0.2">
      <c r="A3206" t="s">
        <v>2094</v>
      </c>
      <c r="B3206" t="s">
        <v>2095</v>
      </c>
      <c r="C3206" t="s">
        <v>7278</v>
      </c>
      <c r="D3206" t="str">
        <f>TRIM(alias[[#This Row],[Column3]])</f>
        <v>Sigma Energy Compressindo</v>
      </c>
      <c r="F3206" t="str">
        <f t="shared" si="50"/>
        <v>INSERT INTO stock_alias (stock, alias) VALUES ((SELECT id FROM stock WHERE ticker = 'SICO'), 'Sigma Energy Compressindo') ON CONFLICT DO NOTHING;</v>
      </c>
    </row>
    <row r="3207" spans="1:6" x14ac:dyDescent="0.2">
      <c r="A3207" t="s">
        <v>2094</v>
      </c>
      <c r="B3207" t="s">
        <v>2095</v>
      </c>
      <c r="C3207" t="s">
        <v>7279</v>
      </c>
      <c r="D3207" t="str">
        <f>TRIM(alias[[#This Row],[Column3]])</f>
        <v>Sigma Energy Compressindo Tbk</v>
      </c>
      <c r="F3207" t="str">
        <f t="shared" si="50"/>
        <v>INSERT INTO stock_alias (stock, alias) VALUES ((SELECT id FROM stock WHERE ticker = 'SICO'), 'Sigma Energy Compressindo Tbk') ON CONFLICT DO NOTHING;</v>
      </c>
    </row>
    <row r="3208" spans="1:6" x14ac:dyDescent="0.2">
      <c r="A3208" t="s">
        <v>1088</v>
      </c>
      <c r="B3208" t="s">
        <v>3675</v>
      </c>
      <c r="C3208" t="s">
        <v>1088</v>
      </c>
      <c r="D3208" t="str">
        <f>TRIM(alias[[#This Row],[Column3]])</f>
        <v>SIDO</v>
      </c>
      <c r="F3208" t="str">
        <f t="shared" si="50"/>
        <v>INSERT INTO stock_alias (stock, alias) VALUES ((SELECT id FROM stock WHERE ticker = 'SIDO'), 'SIDO') ON CONFLICT DO NOTHING;</v>
      </c>
    </row>
    <row r="3209" spans="1:6" x14ac:dyDescent="0.2">
      <c r="A3209" t="s">
        <v>1088</v>
      </c>
      <c r="B3209" t="s">
        <v>3675</v>
      </c>
      <c r="C3209" t="s">
        <v>7280</v>
      </c>
      <c r="D3209" t="str">
        <f>TRIM(alias[[#This Row],[Column3]])</f>
        <v>Industri Jamu dan Farmasi Sido Muncul</v>
      </c>
      <c r="F3209" t="str">
        <f t="shared" si="50"/>
        <v>INSERT INTO stock_alias (stock, alias) VALUES ((SELECT id FROM stock WHERE ticker = 'SIDO'), 'Industri Jamu dan Farmasi Sido Muncul') ON CONFLICT DO NOTHING;</v>
      </c>
    </row>
    <row r="3210" spans="1:6" x14ac:dyDescent="0.2">
      <c r="A3210" t="s">
        <v>1088</v>
      </c>
      <c r="B3210" t="s">
        <v>3675</v>
      </c>
      <c r="C3210" t="s">
        <v>7281</v>
      </c>
      <c r="D3210" t="str">
        <f>TRIM(alias[[#This Row],[Column3]])</f>
        <v>Industri Jamu dan Farmasi Sido Muncul Tbk</v>
      </c>
      <c r="F3210" t="str">
        <f t="shared" si="50"/>
        <v>INSERT INTO stock_alias (stock, alias) VALUES ((SELECT id FROM stock WHERE ticker = 'SIDO'), 'Industri Jamu dan Farmasi Sido Muncul Tbk') ON CONFLICT DO NOTHING;</v>
      </c>
    </row>
    <row r="3211" spans="1:6" x14ac:dyDescent="0.2">
      <c r="A3211" t="s">
        <v>1088</v>
      </c>
      <c r="B3211" t="s">
        <v>3675</v>
      </c>
      <c r="C3211" t="s">
        <v>7282</v>
      </c>
      <c r="D3211" t="str">
        <f>TRIM(alias[[#This Row],[Column3]])</f>
        <v>PT Industri Jamu dan Farmasi Sido Muncul</v>
      </c>
      <c r="F3211" t="str">
        <f t="shared" si="50"/>
        <v>INSERT INTO stock_alias (stock, alias) VALUES ((SELECT id FROM stock WHERE ticker = 'SIDO'), 'PT Industri Jamu dan Farmasi Sido Muncul') ON CONFLICT DO NOTHING;</v>
      </c>
    </row>
    <row r="3212" spans="1:6" x14ac:dyDescent="0.2">
      <c r="A3212" t="s">
        <v>1090</v>
      </c>
      <c r="B3212" t="s">
        <v>3676</v>
      </c>
      <c r="C3212" t="s">
        <v>1090</v>
      </c>
      <c r="D3212" t="str">
        <f>TRIM(alias[[#This Row],[Column3]])</f>
        <v>SILO</v>
      </c>
      <c r="F3212" t="str">
        <f t="shared" si="50"/>
        <v>INSERT INTO stock_alias (stock, alias) VALUES ((SELECT id FROM stock WHERE ticker = 'SILO'), 'SILO') ON CONFLICT DO NOTHING;</v>
      </c>
    </row>
    <row r="3213" spans="1:6" x14ac:dyDescent="0.2">
      <c r="A3213" t="s">
        <v>1090</v>
      </c>
      <c r="B3213" t="s">
        <v>3676</v>
      </c>
      <c r="C3213" t="s">
        <v>7283</v>
      </c>
      <c r="D3213" t="str">
        <f>TRIM(alias[[#This Row],[Column3]])</f>
        <v>PT Siloam International Hospitals</v>
      </c>
      <c r="F3213" t="str">
        <f t="shared" si="50"/>
        <v>INSERT INTO stock_alias (stock, alias) VALUES ((SELECT id FROM stock WHERE ticker = 'SILO'), 'PT Siloam International Hospitals') ON CONFLICT DO NOTHING;</v>
      </c>
    </row>
    <row r="3214" spans="1:6" x14ac:dyDescent="0.2">
      <c r="A3214" t="s">
        <v>1090</v>
      </c>
      <c r="B3214" t="s">
        <v>3676</v>
      </c>
      <c r="C3214" t="s">
        <v>7284</v>
      </c>
      <c r="D3214" t="str">
        <f>TRIM(alias[[#This Row],[Column3]])</f>
        <v>Siloam International Hospitals</v>
      </c>
      <c r="F3214" t="str">
        <f t="shared" si="50"/>
        <v>INSERT INTO stock_alias (stock, alias) VALUES ((SELECT id FROM stock WHERE ticker = 'SILO'), 'Siloam International Hospitals') ON CONFLICT DO NOTHING;</v>
      </c>
    </row>
    <row r="3215" spans="1:6" x14ac:dyDescent="0.2">
      <c r="A3215" t="s">
        <v>1090</v>
      </c>
      <c r="B3215" t="s">
        <v>3676</v>
      </c>
      <c r="C3215" t="s">
        <v>7285</v>
      </c>
      <c r="D3215" t="str">
        <f>TRIM(alias[[#This Row],[Column3]])</f>
        <v>Siloam International Hospitals Tbk</v>
      </c>
      <c r="F3215" t="str">
        <f t="shared" si="50"/>
        <v>INSERT INTO stock_alias (stock, alias) VALUES ((SELECT id FROM stock WHERE ticker = 'SILO'), 'Siloam International Hospitals Tbk') ON CONFLICT DO NOTHING;</v>
      </c>
    </row>
    <row r="3216" spans="1:6" x14ac:dyDescent="0.2">
      <c r="A3216" t="s">
        <v>1092</v>
      </c>
      <c r="B3216" t="s">
        <v>3677</v>
      </c>
      <c r="C3216" t="s">
        <v>1092</v>
      </c>
      <c r="D3216" t="str">
        <f>TRIM(alias[[#This Row],[Column3]])</f>
        <v>SIMA</v>
      </c>
      <c r="F3216" t="str">
        <f t="shared" si="50"/>
        <v>INSERT INTO stock_alias (stock, alias) VALUES ((SELECT id FROM stock WHERE ticker = 'SIMA'), 'SIMA') ON CONFLICT DO NOTHING;</v>
      </c>
    </row>
    <row r="3217" spans="1:6" x14ac:dyDescent="0.2">
      <c r="A3217" t="s">
        <v>1092</v>
      </c>
      <c r="B3217" t="s">
        <v>3677</v>
      </c>
      <c r="C3217" t="s">
        <v>7286</v>
      </c>
      <c r="D3217" t="str">
        <f>TRIM(alias[[#This Row],[Column3]])</f>
        <v>PT Siwani Makmur</v>
      </c>
      <c r="F3217" t="str">
        <f t="shared" si="50"/>
        <v>INSERT INTO stock_alias (stock, alias) VALUES ((SELECT id FROM stock WHERE ticker = 'SIMA'), 'PT Siwani Makmur') ON CONFLICT DO NOTHING;</v>
      </c>
    </row>
    <row r="3218" spans="1:6" x14ac:dyDescent="0.2">
      <c r="A3218" t="s">
        <v>1092</v>
      </c>
      <c r="B3218" t="s">
        <v>3677</v>
      </c>
      <c r="C3218" t="s">
        <v>7287</v>
      </c>
      <c r="D3218" t="str">
        <f>TRIM(alias[[#This Row],[Column3]])</f>
        <v>Siwani Makmur</v>
      </c>
      <c r="F3218" t="str">
        <f t="shared" si="50"/>
        <v>INSERT INTO stock_alias (stock, alias) VALUES ((SELECT id FROM stock WHERE ticker = 'SIMA'), 'Siwani Makmur') ON CONFLICT DO NOTHING;</v>
      </c>
    </row>
    <row r="3219" spans="1:6" x14ac:dyDescent="0.2">
      <c r="A3219" t="s">
        <v>1092</v>
      </c>
      <c r="B3219" t="s">
        <v>3677</v>
      </c>
      <c r="C3219" t="s">
        <v>7288</v>
      </c>
      <c r="D3219" t="str">
        <f>TRIM(alias[[#This Row],[Column3]])</f>
        <v>Siwani Makmur Tbk</v>
      </c>
      <c r="F3219" t="str">
        <f t="shared" si="50"/>
        <v>INSERT INTO stock_alias (stock, alias) VALUES ((SELECT id FROM stock WHERE ticker = 'SIMA'), 'Siwani Makmur Tbk') ON CONFLICT DO NOTHING;</v>
      </c>
    </row>
    <row r="3220" spans="1:6" x14ac:dyDescent="0.2">
      <c r="A3220" t="s">
        <v>1095</v>
      </c>
      <c r="B3220" t="s">
        <v>1096</v>
      </c>
      <c r="C3220" t="s">
        <v>1095</v>
      </c>
      <c r="D3220" t="str">
        <f>TRIM(alias[[#This Row],[Column3]])</f>
        <v>SIMP</v>
      </c>
      <c r="F3220" t="str">
        <f t="shared" si="50"/>
        <v>INSERT INTO stock_alias (stock, alias) VALUES ((SELECT id FROM stock WHERE ticker = 'SIMP'), 'SIMP') ON CONFLICT DO NOTHING;</v>
      </c>
    </row>
    <row r="3221" spans="1:6" x14ac:dyDescent="0.2">
      <c r="A3221" t="s">
        <v>1095</v>
      </c>
      <c r="B3221" t="s">
        <v>1096</v>
      </c>
      <c r="C3221" t="s">
        <v>7289</v>
      </c>
      <c r="D3221" t="str">
        <f>TRIM(alias[[#This Row],[Column3]])</f>
        <v>PT Salim Ivomas Pratama</v>
      </c>
      <c r="F3221" t="str">
        <f t="shared" si="50"/>
        <v>INSERT INTO stock_alias (stock, alias) VALUES ((SELECT id FROM stock WHERE ticker = 'SIMP'), 'PT Salim Ivomas Pratama') ON CONFLICT DO NOTHING;</v>
      </c>
    </row>
    <row r="3222" spans="1:6" x14ac:dyDescent="0.2">
      <c r="A3222" t="s">
        <v>1095</v>
      </c>
      <c r="B3222" t="s">
        <v>1096</v>
      </c>
      <c r="C3222" t="s">
        <v>7290</v>
      </c>
      <c r="D3222" t="str">
        <f>TRIM(alias[[#This Row],[Column3]])</f>
        <v>Salim Ivomas Pratama</v>
      </c>
      <c r="F3222" t="str">
        <f t="shared" si="50"/>
        <v>INSERT INTO stock_alias (stock, alias) VALUES ((SELECT id FROM stock WHERE ticker = 'SIMP'), 'Salim Ivomas Pratama') ON CONFLICT DO NOTHING;</v>
      </c>
    </row>
    <row r="3223" spans="1:6" x14ac:dyDescent="0.2">
      <c r="A3223" t="s">
        <v>1095</v>
      </c>
      <c r="B3223" t="s">
        <v>1096</v>
      </c>
      <c r="C3223" t="s">
        <v>7291</v>
      </c>
      <c r="D3223" t="str">
        <f>TRIM(alias[[#This Row],[Column3]])</f>
        <v>Salim Ivomas Pratama Tbk</v>
      </c>
      <c r="F3223" t="str">
        <f t="shared" si="50"/>
        <v>INSERT INTO stock_alias (stock, alias) VALUES ((SELECT id FROM stock WHERE ticker = 'SIMP'), 'Salim Ivomas Pratama Tbk') ON CONFLICT DO NOTHING;</v>
      </c>
    </row>
    <row r="3224" spans="1:6" x14ac:dyDescent="0.2">
      <c r="A3224" t="s">
        <v>1756</v>
      </c>
      <c r="B3224" t="s">
        <v>1757</v>
      </c>
      <c r="C3224" t="s">
        <v>1756</v>
      </c>
      <c r="D3224" t="str">
        <f>TRIM(alias[[#This Row],[Column3]])</f>
        <v>SINI</v>
      </c>
      <c r="F3224" t="str">
        <f t="shared" si="50"/>
        <v>INSERT INTO stock_alias (stock, alias) VALUES ((SELECT id FROM stock WHERE ticker = 'SINI'), 'SINI') ON CONFLICT DO NOTHING;</v>
      </c>
    </row>
    <row r="3225" spans="1:6" x14ac:dyDescent="0.2">
      <c r="A3225" t="s">
        <v>1756</v>
      </c>
      <c r="B3225" t="s">
        <v>1757</v>
      </c>
      <c r="C3225" t="s">
        <v>7292</v>
      </c>
      <c r="D3225" t="str">
        <f>TRIM(alias[[#This Row],[Column3]])</f>
        <v>PT Singaraja Putra</v>
      </c>
      <c r="F3225" t="str">
        <f t="shared" si="50"/>
        <v>INSERT INTO stock_alias (stock, alias) VALUES ((SELECT id FROM stock WHERE ticker = 'SINI'), 'PT Singaraja Putra') ON CONFLICT DO NOTHING;</v>
      </c>
    </row>
    <row r="3226" spans="1:6" x14ac:dyDescent="0.2">
      <c r="A3226" t="s">
        <v>1756</v>
      </c>
      <c r="B3226" t="s">
        <v>1757</v>
      </c>
      <c r="C3226" t="s">
        <v>7293</v>
      </c>
      <c r="D3226" t="str">
        <f>TRIM(alias[[#This Row],[Column3]])</f>
        <v>Singaraja Putra</v>
      </c>
      <c r="F3226" t="str">
        <f t="shared" si="50"/>
        <v>INSERT INTO stock_alias (stock, alias) VALUES ((SELECT id FROM stock WHERE ticker = 'SINI'), 'Singaraja Putra') ON CONFLICT DO NOTHING;</v>
      </c>
    </row>
    <row r="3227" spans="1:6" x14ac:dyDescent="0.2">
      <c r="A3227" t="s">
        <v>1756</v>
      </c>
      <c r="B3227" t="s">
        <v>1757</v>
      </c>
      <c r="C3227" t="s">
        <v>7294</v>
      </c>
      <c r="D3227" t="str">
        <f>TRIM(alias[[#This Row],[Column3]])</f>
        <v>Singaraja Putra Tbk</v>
      </c>
      <c r="F3227" t="str">
        <f t="shared" si="50"/>
        <v>INSERT INTO stock_alias (stock, alias) VALUES ((SELECT id FROM stock WHERE ticker = 'SINI'), 'Singaraja Putra Tbk') ON CONFLICT DO NOTHING;</v>
      </c>
    </row>
    <row r="3228" spans="1:6" x14ac:dyDescent="0.2">
      <c r="A3228" t="s">
        <v>1098</v>
      </c>
      <c r="B3228" t="s">
        <v>1099</v>
      </c>
      <c r="C3228" t="s">
        <v>1098</v>
      </c>
      <c r="D3228" t="str">
        <f>TRIM(alias[[#This Row],[Column3]])</f>
        <v>SIPD</v>
      </c>
      <c r="F3228" t="str">
        <f t="shared" si="50"/>
        <v>INSERT INTO stock_alias (stock, alias) VALUES ((SELECT id FROM stock WHERE ticker = 'SIPD'), 'SIPD') ON CONFLICT DO NOTHING;</v>
      </c>
    </row>
    <row r="3229" spans="1:6" x14ac:dyDescent="0.2">
      <c r="A3229" t="s">
        <v>1098</v>
      </c>
      <c r="B3229" t="s">
        <v>1099</v>
      </c>
      <c r="C3229" t="s">
        <v>7295</v>
      </c>
      <c r="D3229" t="str">
        <f>TRIM(alias[[#This Row],[Column3]])</f>
        <v>PT Sreeya Sewu Indonesia</v>
      </c>
      <c r="F3229" t="str">
        <f t="shared" si="50"/>
        <v>INSERT INTO stock_alias (stock, alias) VALUES ((SELECT id FROM stock WHERE ticker = 'SIPD'), 'PT Sreeya Sewu Indonesia') ON CONFLICT DO NOTHING;</v>
      </c>
    </row>
    <row r="3230" spans="1:6" x14ac:dyDescent="0.2">
      <c r="A3230" t="s">
        <v>1098</v>
      </c>
      <c r="B3230" t="s">
        <v>1099</v>
      </c>
      <c r="C3230" t="s">
        <v>7296</v>
      </c>
      <c r="D3230" t="str">
        <f>TRIM(alias[[#This Row],[Column3]])</f>
        <v>Sreeya Sewu Indonesia</v>
      </c>
      <c r="F3230" t="str">
        <f t="shared" si="50"/>
        <v>INSERT INTO stock_alias (stock, alias) VALUES ((SELECT id FROM stock WHERE ticker = 'SIPD'), 'Sreeya Sewu Indonesia') ON CONFLICT DO NOTHING;</v>
      </c>
    </row>
    <row r="3231" spans="1:6" x14ac:dyDescent="0.2">
      <c r="A3231" t="s">
        <v>1098</v>
      </c>
      <c r="B3231" t="s">
        <v>1099</v>
      </c>
      <c r="C3231" t="s">
        <v>7297</v>
      </c>
      <c r="D3231" t="str">
        <f>TRIM(alias[[#This Row],[Column3]])</f>
        <v>Sreeya Sewu Indonesia Tbk</v>
      </c>
      <c r="F3231" t="str">
        <f t="shared" si="50"/>
        <v>INSERT INTO stock_alias (stock, alias) VALUES ((SELECT id FROM stock WHERE ticker = 'SIPD'), 'Sreeya Sewu Indonesia Tbk') ON CONFLICT DO NOTHING;</v>
      </c>
    </row>
    <row r="3232" spans="1:6" x14ac:dyDescent="0.2">
      <c r="A3232" t="s">
        <v>1101</v>
      </c>
      <c r="B3232" t="s">
        <v>1102</v>
      </c>
      <c r="C3232" t="s">
        <v>1101</v>
      </c>
      <c r="D3232" t="str">
        <f>TRIM(alias[[#This Row],[Column3]])</f>
        <v>SKBM</v>
      </c>
      <c r="F3232" t="str">
        <f t="shared" si="50"/>
        <v>INSERT INTO stock_alias (stock, alias) VALUES ((SELECT id FROM stock WHERE ticker = 'SKBM'), 'SKBM') ON CONFLICT DO NOTHING;</v>
      </c>
    </row>
    <row r="3233" spans="1:6" x14ac:dyDescent="0.2">
      <c r="A3233" t="s">
        <v>1101</v>
      </c>
      <c r="B3233" t="s">
        <v>1102</v>
      </c>
      <c r="C3233" t="s">
        <v>7298</v>
      </c>
      <c r="D3233" t="str">
        <f>TRIM(alias[[#This Row],[Column3]])</f>
        <v>PT Sekar Bumi</v>
      </c>
      <c r="F3233" t="str">
        <f t="shared" si="50"/>
        <v>INSERT INTO stock_alias (stock, alias) VALUES ((SELECT id FROM stock WHERE ticker = 'SKBM'), 'PT Sekar Bumi') ON CONFLICT DO NOTHING;</v>
      </c>
    </row>
    <row r="3234" spans="1:6" x14ac:dyDescent="0.2">
      <c r="A3234" t="s">
        <v>1101</v>
      </c>
      <c r="B3234" t="s">
        <v>1102</v>
      </c>
      <c r="C3234" t="s">
        <v>7299</v>
      </c>
      <c r="D3234" t="str">
        <f>TRIM(alias[[#This Row],[Column3]])</f>
        <v>Sekar Bumi</v>
      </c>
      <c r="F3234" t="str">
        <f t="shared" si="50"/>
        <v>INSERT INTO stock_alias (stock, alias) VALUES ((SELECT id FROM stock WHERE ticker = 'SKBM'), 'Sekar Bumi') ON CONFLICT DO NOTHING;</v>
      </c>
    </row>
    <row r="3235" spans="1:6" x14ac:dyDescent="0.2">
      <c r="A3235" t="s">
        <v>1101</v>
      </c>
      <c r="B3235" t="s">
        <v>1102</v>
      </c>
      <c r="C3235" t="s">
        <v>7300</v>
      </c>
      <c r="D3235" t="str">
        <f>TRIM(alias[[#This Row],[Column3]])</f>
        <v>Sekar Bumi Tbk</v>
      </c>
      <c r="F3235" t="str">
        <f t="shared" si="50"/>
        <v>INSERT INTO stock_alias (stock, alias) VALUES ((SELECT id FROM stock WHERE ticker = 'SKBM'), 'Sekar Bumi Tbk') ON CONFLICT DO NOTHING;</v>
      </c>
    </row>
    <row r="3236" spans="1:6" x14ac:dyDescent="0.2">
      <c r="A3236" t="s">
        <v>1104</v>
      </c>
      <c r="B3236" t="s">
        <v>1105</v>
      </c>
      <c r="C3236" t="s">
        <v>1104</v>
      </c>
      <c r="D3236" t="str">
        <f>TRIM(alias[[#This Row],[Column3]])</f>
        <v>SKLT</v>
      </c>
      <c r="F3236" t="str">
        <f t="shared" si="50"/>
        <v>INSERT INTO stock_alias (stock, alias) VALUES ((SELECT id FROM stock WHERE ticker = 'SKLT'), 'SKLT') ON CONFLICT DO NOTHING;</v>
      </c>
    </row>
    <row r="3237" spans="1:6" x14ac:dyDescent="0.2">
      <c r="A3237" t="s">
        <v>1104</v>
      </c>
      <c r="B3237" t="s">
        <v>1105</v>
      </c>
      <c r="C3237" t="s">
        <v>7301</v>
      </c>
      <c r="D3237" t="str">
        <f>TRIM(alias[[#This Row],[Column3]])</f>
        <v>PT Sekar Laut</v>
      </c>
      <c r="F3237" t="str">
        <f t="shared" si="50"/>
        <v>INSERT INTO stock_alias (stock, alias) VALUES ((SELECT id FROM stock WHERE ticker = 'SKLT'), 'PT Sekar Laut') ON CONFLICT DO NOTHING;</v>
      </c>
    </row>
    <row r="3238" spans="1:6" x14ac:dyDescent="0.2">
      <c r="A3238" t="s">
        <v>1104</v>
      </c>
      <c r="B3238" t="s">
        <v>1105</v>
      </c>
      <c r="C3238" t="s">
        <v>7302</v>
      </c>
      <c r="D3238" t="str">
        <f>TRIM(alias[[#This Row],[Column3]])</f>
        <v>Sekar Laut</v>
      </c>
      <c r="F3238" t="str">
        <f t="shared" si="50"/>
        <v>INSERT INTO stock_alias (stock, alias) VALUES ((SELECT id FROM stock WHERE ticker = 'SKLT'), 'Sekar Laut') ON CONFLICT DO NOTHING;</v>
      </c>
    </row>
    <row r="3239" spans="1:6" x14ac:dyDescent="0.2">
      <c r="A3239" t="s">
        <v>1104</v>
      </c>
      <c r="B3239" t="s">
        <v>1105</v>
      </c>
      <c r="C3239" t="s">
        <v>7303</v>
      </c>
      <c r="D3239" t="str">
        <f>TRIM(alias[[#This Row],[Column3]])</f>
        <v>Sekar Laut Tbk</v>
      </c>
      <c r="F3239" t="str">
        <f t="shared" si="50"/>
        <v>INSERT INTO stock_alias (stock, alias) VALUES ((SELECT id FROM stock WHERE ticker = 'SKLT'), 'Sekar Laut Tbk') ON CONFLICT DO NOTHING;</v>
      </c>
    </row>
    <row r="3240" spans="1:6" x14ac:dyDescent="0.2">
      <c r="A3240" t="s">
        <v>1606</v>
      </c>
      <c r="B3240" t="s">
        <v>1607</v>
      </c>
      <c r="C3240" t="s">
        <v>1606</v>
      </c>
      <c r="D3240" t="str">
        <f>TRIM(alias[[#This Row],[Column3]])</f>
        <v>SKRN</v>
      </c>
      <c r="F3240" t="str">
        <f t="shared" si="50"/>
        <v>INSERT INTO stock_alias (stock, alias) VALUES ((SELECT id FROM stock WHERE ticker = 'SKRN'), 'SKRN') ON CONFLICT DO NOTHING;</v>
      </c>
    </row>
    <row r="3241" spans="1:6" x14ac:dyDescent="0.2">
      <c r="A3241" t="s">
        <v>1606</v>
      </c>
      <c r="B3241" t="s">
        <v>1607</v>
      </c>
      <c r="C3241" t="s">
        <v>7304</v>
      </c>
      <c r="D3241" t="str">
        <f>TRIM(alias[[#This Row],[Column3]])</f>
        <v>PT Superkrane Mitra Utama</v>
      </c>
      <c r="F3241" t="str">
        <f t="shared" si="50"/>
        <v>INSERT INTO stock_alias (stock, alias) VALUES ((SELECT id FROM stock WHERE ticker = 'SKRN'), 'PT Superkrane Mitra Utama') ON CONFLICT DO NOTHING;</v>
      </c>
    </row>
    <row r="3242" spans="1:6" x14ac:dyDescent="0.2">
      <c r="A3242" t="s">
        <v>1606</v>
      </c>
      <c r="B3242" t="s">
        <v>1607</v>
      </c>
      <c r="C3242" t="s">
        <v>7305</v>
      </c>
      <c r="D3242" t="str">
        <f>TRIM(alias[[#This Row],[Column3]])</f>
        <v>Superkrane Mitra Utama</v>
      </c>
      <c r="F3242" t="str">
        <f t="shared" si="50"/>
        <v>INSERT INTO stock_alias (stock, alias) VALUES ((SELECT id FROM stock WHERE ticker = 'SKRN'), 'Superkrane Mitra Utama') ON CONFLICT DO NOTHING;</v>
      </c>
    </row>
    <row r="3243" spans="1:6" x14ac:dyDescent="0.2">
      <c r="A3243" t="s">
        <v>1606</v>
      </c>
      <c r="B3243" t="s">
        <v>1607</v>
      </c>
      <c r="C3243" t="s">
        <v>7306</v>
      </c>
      <c r="D3243" t="str">
        <f>TRIM(alias[[#This Row],[Column3]])</f>
        <v>Superkrane Mitra Utama Tbk</v>
      </c>
      <c r="F3243" t="str">
        <f t="shared" si="50"/>
        <v>INSERT INTO stock_alias (stock, alias) VALUES ((SELECT id FROM stock WHERE ticker = 'SKRN'), 'Superkrane Mitra Utama Tbk') ON CONFLICT DO NOTHING;</v>
      </c>
    </row>
    <row r="3244" spans="1:6" x14ac:dyDescent="0.2">
      <c r="A3244" t="s">
        <v>1107</v>
      </c>
      <c r="B3244" t="s">
        <v>3678</v>
      </c>
      <c r="C3244" t="s">
        <v>1107</v>
      </c>
      <c r="D3244" t="str">
        <f>TRIM(alias[[#This Row],[Column3]])</f>
        <v>SKYB</v>
      </c>
      <c r="F3244" t="str">
        <f t="shared" si="50"/>
        <v>INSERT INTO stock_alias (stock, alias) VALUES ((SELECT id FROM stock WHERE ticker = 'SKYB'), 'SKYB') ON CONFLICT DO NOTHING;</v>
      </c>
    </row>
    <row r="3245" spans="1:6" x14ac:dyDescent="0.2">
      <c r="A3245" t="s">
        <v>1107</v>
      </c>
      <c r="B3245" t="s">
        <v>3678</v>
      </c>
      <c r="C3245" t="s">
        <v>7307</v>
      </c>
      <c r="D3245" t="str">
        <f>TRIM(alias[[#This Row],[Column3]])</f>
        <v>Northcliff Citranusa Indonesia</v>
      </c>
      <c r="F3245" t="str">
        <f t="shared" si="50"/>
        <v>INSERT INTO stock_alias (stock, alias) VALUES ((SELECT id FROM stock WHERE ticker = 'SKYB'), 'Northcliff Citranusa Indonesia') ON CONFLICT DO NOTHING;</v>
      </c>
    </row>
    <row r="3246" spans="1:6" x14ac:dyDescent="0.2">
      <c r="A3246" t="s">
        <v>1107</v>
      </c>
      <c r="B3246" t="s">
        <v>3678</v>
      </c>
      <c r="C3246" t="s">
        <v>7308</v>
      </c>
      <c r="D3246" t="str">
        <f>TRIM(alias[[#This Row],[Column3]])</f>
        <v>Northcliff Citranusa Indonesia Tbk</v>
      </c>
      <c r="F3246" t="str">
        <f t="shared" si="50"/>
        <v>INSERT INTO stock_alias (stock, alias) VALUES ((SELECT id FROM stock WHERE ticker = 'SKYB'), 'Northcliff Citranusa Indonesia Tbk') ON CONFLICT DO NOTHING;</v>
      </c>
    </row>
    <row r="3247" spans="1:6" x14ac:dyDescent="0.2">
      <c r="A3247" t="s">
        <v>1107</v>
      </c>
      <c r="B3247" t="s">
        <v>3678</v>
      </c>
      <c r="C3247" t="s">
        <v>7309</v>
      </c>
      <c r="D3247" t="str">
        <f>TRIM(alias[[#This Row],[Column3]])</f>
        <v>PT Northcliff Citranusa Indonesia</v>
      </c>
      <c r="F3247" t="str">
        <f t="shared" si="50"/>
        <v>INSERT INTO stock_alias (stock, alias) VALUES ((SELECT id FROM stock WHERE ticker = 'SKYB'), 'PT Northcliff Citranusa Indonesia') ON CONFLICT DO NOTHING;</v>
      </c>
    </row>
    <row r="3248" spans="1:6" x14ac:dyDescent="0.2">
      <c r="A3248" t="s">
        <v>1746</v>
      </c>
      <c r="B3248" t="s">
        <v>1747</v>
      </c>
      <c r="C3248" t="s">
        <v>1746</v>
      </c>
      <c r="D3248" t="str">
        <f>TRIM(alias[[#This Row],[Column3]])</f>
        <v>SLIS</v>
      </c>
      <c r="F3248" t="str">
        <f t="shared" si="50"/>
        <v>INSERT INTO stock_alias (stock, alias) VALUES ((SELECT id FROM stock WHERE ticker = 'SLIS'), 'SLIS') ON CONFLICT DO NOTHING;</v>
      </c>
    </row>
    <row r="3249" spans="1:6" x14ac:dyDescent="0.2">
      <c r="A3249" t="s">
        <v>1746</v>
      </c>
      <c r="B3249" t="s">
        <v>1747</v>
      </c>
      <c r="C3249" t="s">
        <v>7310</v>
      </c>
      <c r="D3249" t="str">
        <f>TRIM(alias[[#This Row],[Column3]])</f>
        <v>Gaya Abadi Sempurna</v>
      </c>
      <c r="F3249" t="str">
        <f t="shared" si="50"/>
        <v>INSERT INTO stock_alias (stock, alias) VALUES ((SELECT id FROM stock WHERE ticker = 'SLIS'), 'Gaya Abadi Sempurna') ON CONFLICT DO NOTHING;</v>
      </c>
    </row>
    <row r="3250" spans="1:6" x14ac:dyDescent="0.2">
      <c r="A3250" t="s">
        <v>1746</v>
      </c>
      <c r="B3250" t="s">
        <v>1747</v>
      </c>
      <c r="C3250" t="s">
        <v>7311</v>
      </c>
      <c r="D3250" t="str">
        <f>TRIM(alias[[#This Row],[Column3]])</f>
        <v>Gaya Abadi Sempurna Tbk</v>
      </c>
      <c r="F3250" t="str">
        <f t="shared" si="50"/>
        <v>INSERT INTO stock_alias (stock, alias) VALUES ((SELECT id FROM stock WHERE ticker = 'SLIS'), 'Gaya Abadi Sempurna Tbk') ON CONFLICT DO NOTHING;</v>
      </c>
    </row>
    <row r="3251" spans="1:6" x14ac:dyDescent="0.2">
      <c r="A3251" t="s">
        <v>1746</v>
      </c>
      <c r="B3251" t="s">
        <v>1747</v>
      </c>
      <c r="C3251" t="s">
        <v>7312</v>
      </c>
      <c r="D3251" t="str">
        <f>TRIM(alias[[#This Row],[Column3]])</f>
        <v>PT Gaya Abadi Sempurna</v>
      </c>
      <c r="F3251" t="str">
        <f t="shared" si="50"/>
        <v>INSERT INTO stock_alias (stock, alias) VALUES ((SELECT id FROM stock WHERE ticker = 'SLIS'), 'PT Gaya Abadi Sempurna') ON CONFLICT DO NOTHING;</v>
      </c>
    </row>
    <row r="3252" spans="1:6" x14ac:dyDescent="0.2">
      <c r="A3252" t="s">
        <v>1109</v>
      </c>
      <c r="B3252" t="s">
        <v>3891</v>
      </c>
      <c r="C3252" t="s">
        <v>1109</v>
      </c>
      <c r="D3252" t="str">
        <f>TRIM(alias[[#This Row],[Column3]])</f>
        <v>SMAR</v>
      </c>
      <c r="F3252" t="str">
        <f t="shared" si="50"/>
        <v>INSERT INTO stock_alias (stock, alias) VALUES ((SELECT id FROM stock WHERE ticker = 'SMAR'), 'SMAR') ON CONFLICT DO NOTHING;</v>
      </c>
    </row>
    <row r="3253" spans="1:6" x14ac:dyDescent="0.2">
      <c r="A3253" t="s">
        <v>1109</v>
      </c>
      <c r="B3253" t="s">
        <v>3891</v>
      </c>
      <c r="C3253" t="s">
        <v>7313</v>
      </c>
      <c r="D3253" t="str">
        <f>TRIM(alias[[#This Row],[Column3]])</f>
        <v>PT Sinar Mas Agro Resources and Technology</v>
      </c>
      <c r="F3253" t="str">
        <f t="shared" si="50"/>
        <v>INSERT INTO stock_alias (stock, alias) VALUES ((SELECT id FROM stock WHERE ticker = 'SMAR'), 'PT Sinar Mas Agro Resources and Technology') ON CONFLICT DO NOTHING;</v>
      </c>
    </row>
    <row r="3254" spans="1:6" x14ac:dyDescent="0.2">
      <c r="A3254" t="s">
        <v>1109</v>
      </c>
      <c r="B3254" t="s">
        <v>3891</v>
      </c>
      <c r="C3254" t="s">
        <v>7314</v>
      </c>
      <c r="D3254" t="str">
        <f>TRIM(alias[[#This Row],[Column3]])</f>
        <v>Sinar Mas Agro Resources and Technology</v>
      </c>
      <c r="F3254" t="str">
        <f t="shared" si="50"/>
        <v>INSERT INTO stock_alias (stock, alias) VALUES ((SELECT id FROM stock WHERE ticker = 'SMAR'), 'Sinar Mas Agro Resources and Technology') ON CONFLICT DO NOTHING;</v>
      </c>
    </row>
    <row r="3255" spans="1:6" x14ac:dyDescent="0.2">
      <c r="A3255" t="s">
        <v>1109</v>
      </c>
      <c r="B3255" t="s">
        <v>3891</v>
      </c>
      <c r="C3255" t="s">
        <v>7315</v>
      </c>
      <c r="D3255" t="str">
        <f>TRIM(alias[[#This Row],[Column3]])</f>
        <v>Sinar Mas Agro Resources and Technology Tbk</v>
      </c>
      <c r="F3255" t="str">
        <f t="shared" si="50"/>
        <v>INSERT INTO stock_alias (stock, alias) VALUES ((SELECT id FROM stock WHERE ticker = 'SMAR'), 'Sinar Mas Agro Resources and Technology Tbk') ON CONFLICT DO NOTHING;</v>
      </c>
    </row>
    <row r="3256" spans="1:6" x14ac:dyDescent="0.2">
      <c r="A3256" t="s">
        <v>1111</v>
      </c>
      <c r="B3256" t="s">
        <v>1112</v>
      </c>
      <c r="C3256" t="s">
        <v>1111</v>
      </c>
      <c r="D3256" t="str">
        <f>TRIM(alias[[#This Row],[Column3]])</f>
        <v>SMBR</v>
      </c>
      <c r="F3256" t="str">
        <f t="shared" si="50"/>
        <v>INSERT INTO stock_alias (stock, alias) VALUES ((SELECT id FROM stock WHERE ticker = 'SMBR'), 'SMBR') ON CONFLICT DO NOTHING;</v>
      </c>
    </row>
    <row r="3257" spans="1:6" x14ac:dyDescent="0.2">
      <c r="A3257" t="s">
        <v>1111</v>
      </c>
      <c r="B3257" t="s">
        <v>1112</v>
      </c>
      <c r="C3257" t="s">
        <v>7316</v>
      </c>
      <c r="D3257" t="str">
        <f>TRIM(alias[[#This Row],[Column3]])</f>
        <v>PT Semen Baturaja (Persero)</v>
      </c>
      <c r="F3257" t="str">
        <f t="shared" si="50"/>
        <v>INSERT INTO stock_alias (stock, alias) VALUES ((SELECT id FROM stock WHERE ticker = 'SMBR'), 'PT Semen Baturaja (Persero)') ON CONFLICT DO NOTHING;</v>
      </c>
    </row>
    <row r="3258" spans="1:6" x14ac:dyDescent="0.2">
      <c r="A3258" t="s">
        <v>1111</v>
      </c>
      <c r="B3258" t="s">
        <v>1112</v>
      </c>
      <c r="C3258" t="s">
        <v>7317</v>
      </c>
      <c r="D3258" t="str">
        <f>TRIM(alias[[#This Row],[Column3]])</f>
        <v>Semen Baturaja (Persero)</v>
      </c>
      <c r="F3258" t="str">
        <f t="shared" si="50"/>
        <v>INSERT INTO stock_alias (stock, alias) VALUES ((SELECT id FROM stock WHERE ticker = 'SMBR'), 'Semen Baturaja (Persero)') ON CONFLICT DO NOTHING;</v>
      </c>
    </row>
    <row r="3259" spans="1:6" x14ac:dyDescent="0.2">
      <c r="A3259" t="s">
        <v>1111</v>
      </c>
      <c r="B3259" t="s">
        <v>1112</v>
      </c>
      <c r="C3259" t="s">
        <v>7318</v>
      </c>
      <c r="D3259" t="str">
        <f>TRIM(alias[[#This Row],[Column3]])</f>
        <v>Semen Baturaja (Persero) Tbk</v>
      </c>
      <c r="F3259" t="str">
        <f t="shared" si="50"/>
        <v>INSERT INTO stock_alias (stock, alias) VALUES ((SELECT id FROM stock WHERE ticker = 'SMBR'), 'Semen Baturaja (Persero) Tbk') ON CONFLICT DO NOTHING;</v>
      </c>
    </row>
    <row r="3260" spans="1:6" x14ac:dyDescent="0.2">
      <c r="A3260" t="s">
        <v>1114</v>
      </c>
      <c r="B3260" t="s">
        <v>1115</v>
      </c>
      <c r="C3260" t="s">
        <v>1114</v>
      </c>
      <c r="D3260" t="str">
        <f>TRIM(alias[[#This Row],[Column3]])</f>
        <v>SMCB</v>
      </c>
      <c r="F3260" t="str">
        <f t="shared" si="50"/>
        <v>INSERT INTO stock_alias (stock, alias) VALUES ((SELECT id FROM stock WHERE ticker = 'SMCB'), 'SMCB') ON CONFLICT DO NOTHING;</v>
      </c>
    </row>
    <row r="3261" spans="1:6" x14ac:dyDescent="0.2">
      <c r="A3261" t="s">
        <v>1114</v>
      </c>
      <c r="B3261" t="s">
        <v>1115</v>
      </c>
      <c r="C3261" t="s">
        <v>7319</v>
      </c>
      <c r="D3261" t="str">
        <f>TRIM(alias[[#This Row],[Column3]])</f>
        <v>PT Solusi Bangun Indonesia</v>
      </c>
      <c r="F3261" t="str">
        <f t="shared" si="50"/>
        <v>INSERT INTO stock_alias (stock, alias) VALUES ((SELECT id FROM stock WHERE ticker = 'SMCB'), 'PT Solusi Bangun Indonesia') ON CONFLICT DO NOTHING;</v>
      </c>
    </row>
    <row r="3262" spans="1:6" x14ac:dyDescent="0.2">
      <c r="A3262" t="s">
        <v>1114</v>
      </c>
      <c r="B3262" t="s">
        <v>1115</v>
      </c>
      <c r="C3262" t="s">
        <v>7320</v>
      </c>
      <c r="D3262" t="str">
        <f>TRIM(alias[[#This Row],[Column3]])</f>
        <v>Solusi Bangun Indonesia</v>
      </c>
      <c r="F3262" t="str">
        <f t="shared" si="50"/>
        <v>INSERT INTO stock_alias (stock, alias) VALUES ((SELECT id FROM stock WHERE ticker = 'SMCB'), 'Solusi Bangun Indonesia') ON CONFLICT DO NOTHING;</v>
      </c>
    </row>
    <row r="3263" spans="1:6" x14ac:dyDescent="0.2">
      <c r="A3263" t="s">
        <v>1114</v>
      </c>
      <c r="B3263" t="s">
        <v>1115</v>
      </c>
      <c r="C3263" t="s">
        <v>7321</v>
      </c>
      <c r="D3263" t="str">
        <f>TRIM(alias[[#This Row],[Column3]])</f>
        <v>Solusi Bangun Indonesia Tbk</v>
      </c>
      <c r="F3263" t="str">
        <f t="shared" si="50"/>
        <v>INSERT INTO stock_alias (stock, alias) VALUES ((SELECT id FROM stock WHERE ticker = 'SMCB'), 'Solusi Bangun Indonesia Tbk') ON CONFLICT DO NOTHING;</v>
      </c>
    </row>
    <row r="3264" spans="1:6" x14ac:dyDescent="0.2">
      <c r="A3264" t="s">
        <v>1117</v>
      </c>
      <c r="B3264" t="s">
        <v>1118</v>
      </c>
      <c r="C3264" t="s">
        <v>1117</v>
      </c>
      <c r="D3264" t="str">
        <f>TRIM(alias[[#This Row],[Column3]])</f>
        <v>SMDM</v>
      </c>
      <c r="F3264" t="str">
        <f t="shared" si="50"/>
        <v>INSERT INTO stock_alias (stock, alias) VALUES ((SELECT id FROM stock WHERE ticker = 'SMDM'), 'SMDM') ON CONFLICT DO NOTHING;</v>
      </c>
    </row>
    <row r="3265" spans="1:6" x14ac:dyDescent="0.2">
      <c r="A3265" t="s">
        <v>1117</v>
      </c>
      <c r="B3265" t="s">
        <v>1118</v>
      </c>
      <c r="C3265" t="s">
        <v>7322</v>
      </c>
      <c r="D3265" t="str">
        <f>TRIM(alias[[#This Row],[Column3]])</f>
        <v>PT Suryamas Dutamakmur</v>
      </c>
      <c r="F3265" t="str">
        <f t="shared" si="50"/>
        <v>INSERT INTO stock_alias (stock, alias) VALUES ((SELECT id FROM stock WHERE ticker = 'SMDM'), 'PT Suryamas Dutamakmur') ON CONFLICT DO NOTHING;</v>
      </c>
    </row>
    <row r="3266" spans="1:6" x14ac:dyDescent="0.2">
      <c r="A3266" t="s">
        <v>1117</v>
      </c>
      <c r="B3266" t="s">
        <v>1118</v>
      </c>
      <c r="C3266" t="s">
        <v>7323</v>
      </c>
      <c r="D3266" t="str">
        <f>TRIM(alias[[#This Row],[Column3]])</f>
        <v>Suryamas Dutamakmur</v>
      </c>
      <c r="F3266" t="str">
        <f t="shared" si="50"/>
        <v>INSERT INTO stock_alias (stock, alias) VALUES ((SELECT id FROM stock WHERE ticker = 'SMDM'), 'Suryamas Dutamakmur') ON CONFLICT DO NOTHING;</v>
      </c>
    </row>
    <row r="3267" spans="1:6" x14ac:dyDescent="0.2">
      <c r="A3267" t="s">
        <v>1117</v>
      </c>
      <c r="B3267" t="s">
        <v>1118</v>
      </c>
      <c r="C3267" t="s">
        <v>7324</v>
      </c>
      <c r="D3267" t="str">
        <f>TRIM(alias[[#This Row],[Column3]])</f>
        <v>Suryamas Dutamakmur Tbk</v>
      </c>
      <c r="F3267" t="str">
        <f t="shared" ref="F3267:F3330" si="51">_xlfn.CONCAT($F$1, _xlfn.CONCAT($G$1, A3267, "'), '", D3267, "') ON CONFLICT DO NOTHING;"))</f>
        <v>INSERT INTO stock_alias (stock, alias) VALUES ((SELECT id FROM stock WHERE ticker = 'SMDM'), 'Suryamas Dutamakmur Tbk') ON CONFLICT DO NOTHING;</v>
      </c>
    </row>
    <row r="3268" spans="1:6" x14ac:dyDescent="0.2">
      <c r="A3268" t="s">
        <v>1120</v>
      </c>
      <c r="B3268" t="s">
        <v>3892</v>
      </c>
      <c r="C3268" t="s">
        <v>1120</v>
      </c>
      <c r="D3268" t="str">
        <f>TRIM(alias[[#This Row],[Column3]])</f>
        <v>SMDR</v>
      </c>
      <c r="F3268" t="str">
        <f t="shared" si="51"/>
        <v>INSERT INTO stock_alias (stock, alias) VALUES ((SELECT id FROM stock WHERE ticker = 'SMDR'), 'SMDR') ON CONFLICT DO NOTHING;</v>
      </c>
    </row>
    <row r="3269" spans="1:6" x14ac:dyDescent="0.2">
      <c r="A3269" t="s">
        <v>1120</v>
      </c>
      <c r="B3269" t="s">
        <v>3892</v>
      </c>
      <c r="C3269" t="s">
        <v>7325</v>
      </c>
      <c r="D3269" t="str">
        <f>TRIM(alias[[#This Row],[Column3]])</f>
        <v>PT Samudera Indonesia</v>
      </c>
      <c r="F3269" t="str">
        <f t="shared" si="51"/>
        <v>INSERT INTO stock_alias (stock, alias) VALUES ((SELECT id FROM stock WHERE ticker = 'SMDR'), 'PT Samudera Indonesia') ON CONFLICT DO NOTHING;</v>
      </c>
    </row>
    <row r="3270" spans="1:6" x14ac:dyDescent="0.2">
      <c r="A3270" t="s">
        <v>1120</v>
      </c>
      <c r="B3270" t="s">
        <v>3892</v>
      </c>
      <c r="C3270" t="s">
        <v>7326</v>
      </c>
      <c r="D3270" t="str">
        <f>TRIM(alias[[#This Row],[Column3]])</f>
        <v>Samudera Indonesia</v>
      </c>
      <c r="F3270" t="str">
        <f t="shared" si="51"/>
        <v>INSERT INTO stock_alias (stock, alias) VALUES ((SELECT id FROM stock WHERE ticker = 'SMDR'), 'Samudera Indonesia') ON CONFLICT DO NOTHING;</v>
      </c>
    </row>
    <row r="3271" spans="1:6" x14ac:dyDescent="0.2">
      <c r="A3271" t="s">
        <v>1120</v>
      </c>
      <c r="B3271" t="s">
        <v>3892</v>
      </c>
      <c r="C3271" t="s">
        <v>7327</v>
      </c>
      <c r="D3271" t="str">
        <f>TRIM(alias[[#This Row],[Column3]])</f>
        <v>Samudera Indonesia Tbk</v>
      </c>
      <c r="F3271" t="str">
        <f t="shared" si="51"/>
        <v>INSERT INTO stock_alias (stock, alias) VALUES ((SELECT id FROM stock WHERE ticker = 'SMDR'), 'Samudera Indonesia Tbk') ON CONFLICT DO NOTHING;</v>
      </c>
    </row>
    <row r="3272" spans="1:6" x14ac:dyDescent="0.2">
      <c r="A3272" t="s">
        <v>2419</v>
      </c>
      <c r="B3272" t="s">
        <v>3679</v>
      </c>
      <c r="C3272" t="s">
        <v>2419</v>
      </c>
      <c r="D3272" t="str">
        <f>TRIM(alias[[#This Row],[Column3]])</f>
        <v>SMGA</v>
      </c>
      <c r="F3272" t="str">
        <f t="shared" si="51"/>
        <v>INSERT INTO stock_alias (stock, alias) VALUES ((SELECT id FROM stock WHERE ticker = 'SMGA'), 'SMGA') ON CONFLICT DO NOTHING;</v>
      </c>
    </row>
    <row r="3273" spans="1:6" x14ac:dyDescent="0.2">
      <c r="A3273" t="s">
        <v>2419</v>
      </c>
      <c r="B3273" t="s">
        <v>3679</v>
      </c>
      <c r="C3273" t="s">
        <v>7328</v>
      </c>
      <c r="D3273" t="str">
        <f>TRIM(alias[[#This Row],[Column3]])</f>
        <v>PT Sumber Mineral Global Abadi</v>
      </c>
      <c r="F3273" t="str">
        <f t="shared" si="51"/>
        <v>INSERT INTO stock_alias (stock, alias) VALUES ((SELECT id FROM stock WHERE ticker = 'SMGA'), 'PT Sumber Mineral Global Abadi') ON CONFLICT DO NOTHING;</v>
      </c>
    </row>
    <row r="3274" spans="1:6" x14ac:dyDescent="0.2">
      <c r="A3274" t="s">
        <v>2419</v>
      </c>
      <c r="B3274" t="s">
        <v>3679</v>
      </c>
      <c r="C3274" t="s">
        <v>7329</v>
      </c>
      <c r="D3274" t="str">
        <f>TRIM(alias[[#This Row],[Column3]])</f>
        <v>Sumber Mineral Global Abadi</v>
      </c>
      <c r="F3274" t="str">
        <f t="shared" si="51"/>
        <v>INSERT INTO stock_alias (stock, alias) VALUES ((SELECT id FROM stock WHERE ticker = 'SMGA'), 'Sumber Mineral Global Abadi') ON CONFLICT DO NOTHING;</v>
      </c>
    </row>
    <row r="3275" spans="1:6" x14ac:dyDescent="0.2">
      <c r="A3275" t="s">
        <v>2419</v>
      </c>
      <c r="B3275" t="s">
        <v>3679</v>
      </c>
      <c r="C3275" t="s">
        <v>7330</v>
      </c>
      <c r="D3275" t="str">
        <f>TRIM(alias[[#This Row],[Column3]])</f>
        <v>Sumber Mineral Global Abadi Tbk</v>
      </c>
      <c r="F3275" t="str">
        <f t="shared" si="51"/>
        <v>INSERT INTO stock_alias (stock, alias) VALUES ((SELECT id FROM stock WHERE ticker = 'SMGA'), 'Sumber Mineral Global Abadi Tbk') ON CONFLICT DO NOTHING;</v>
      </c>
    </row>
    <row r="3276" spans="1:6" x14ac:dyDescent="0.2">
      <c r="A3276" t="s">
        <v>1122</v>
      </c>
      <c r="B3276" t="s">
        <v>1123</v>
      </c>
      <c r="C3276" t="s">
        <v>1122</v>
      </c>
      <c r="D3276" t="str">
        <f>TRIM(alias[[#This Row],[Column3]])</f>
        <v>SMGR</v>
      </c>
      <c r="F3276" t="str">
        <f t="shared" si="51"/>
        <v>INSERT INTO stock_alias (stock, alias) VALUES ((SELECT id FROM stock WHERE ticker = 'SMGR'), 'SMGR') ON CONFLICT DO NOTHING;</v>
      </c>
    </row>
    <row r="3277" spans="1:6" x14ac:dyDescent="0.2">
      <c r="A3277" t="s">
        <v>1122</v>
      </c>
      <c r="B3277" t="s">
        <v>1123</v>
      </c>
      <c r="C3277" t="s">
        <v>7331</v>
      </c>
      <c r="D3277" t="str">
        <f>TRIM(alias[[#This Row],[Column3]])</f>
        <v>PT Semen Indonesia (Persero)</v>
      </c>
      <c r="F3277" t="str">
        <f t="shared" si="51"/>
        <v>INSERT INTO stock_alias (stock, alias) VALUES ((SELECT id FROM stock WHERE ticker = 'SMGR'), 'PT Semen Indonesia (Persero)') ON CONFLICT DO NOTHING;</v>
      </c>
    </row>
    <row r="3278" spans="1:6" x14ac:dyDescent="0.2">
      <c r="A3278" t="s">
        <v>1122</v>
      </c>
      <c r="B3278" t="s">
        <v>1123</v>
      </c>
      <c r="C3278" t="s">
        <v>7332</v>
      </c>
      <c r="D3278" t="str">
        <f>TRIM(alias[[#This Row],[Column3]])</f>
        <v>Semen Indonesia (Persero)</v>
      </c>
      <c r="F3278" t="str">
        <f t="shared" si="51"/>
        <v>INSERT INTO stock_alias (stock, alias) VALUES ((SELECT id FROM stock WHERE ticker = 'SMGR'), 'Semen Indonesia (Persero)') ON CONFLICT DO NOTHING;</v>
      </c>
    </row>
    <row r="3279" spans="1:6" x14ac:dyDescent="0.2">
      <c r="A3279" t="s">
        <v>1122</v>
      </c>
      <c r="B3279" t="s">
        <v>1123</v>
      </c>
      <c r="C3279" t="s">
        <v>7333</v>
      </c>
      <c r="D3279" t="str">
        <f>TRIM(alias[[#This Row],[Column3]])</f>
        <v>Semen Indonesia (Persero) Tbk</v>
      </c>
      <c r="F3279" t="str">
        <f t="shared" si="51"/>
        <v>INSERT INTO stock_alias (stock, alias) VALUES ((SELECT id FROM stock WHERE ticker = 'SMGR'), 'Semen Indonesia (Persero) Tbk') ON CONFLICT DO NOTHING;</v>
      </c>
    </row>
    <row r="3280" spans="1:6" x14ac:dyDescent="0.2">
      <c r="A3280" t="s">
        <v>2305</v>
      </c>
      <c r="B3280" t="s">
        <v>2306</v>
      </c>
      <c r="C3280" t="s">
        <v>2305</v>
      </c>
      <c r="D3280" t="str">
        <f>TRIM(alias[[#This Row],[Column3]])</f>
        <v>SMIL</v>
      </c>
      <c r="F3280" t="str">
        <f t="shared" si="51"/>
        <v>INSERT INTO stock_alias (stock, alias) VALUES ((SELECT id FROM stock WHERE ticker = 'SMIL'), 'SMIL') ON CONFLICT DO NOTHING;</v>
      </c>
    </row>
    <row r="3281" spans="1:6" x14ac:dyDescent="0.2">
      <c r="A3281" t="s">
        <v>2305</v>
      </c>
      <c r="B3281" t="s">
        <v>2306</v>
      </c>
      <c r="C3281" t="s">
        <v>7334</v>
      </c>
      <c r="D3281" t="str">
        <f>TRIM(alias[[#This Row],[Column3]])</f>
        <v>PT Sarana Mitra Luas</v>
      </c>
      <c r="F3281" t="str">
        <f t="shared" si="51"/>
        <v>INSERT INTO stock_alias (stock, alias) VALUES ((SELECT id FROM stock WHERE ticker = 'SMIL'), 'PT Sarana Mitra Luas') ON CONFLICT DO NOTHING;</v>
      </c>
    </row>
    <row r="3282" spans="1:6" x14ac:dyDescent="0.2">
      <c r="A3282" t="s">
        <v>2305</v>
      </c>
      <c r="B3282" t="s">
        <v>2306</v>
      </c>
      <c r="C3282" t="s">
        <v>7335</v>
      </c>
      <c r="D3282" t="str">
        <f>TRIM(alias[[#This Row],[Column3]])</f>
        <v>Sarana Mitra Luas</v>
      </c>
      <c r="F3282" t="str">
        <f t="shared" si="51"/>
        <v>INSERT INTO stock_alias (stock, alias) VALUES ((SELECT id FROM stock WHERE ticker = 'SMIL'), 'Sarana Mitra Luas') ON CONFLICT DO NOTHING;</v>
      </c>
    </row>
    <row r="3283" spans="1:6" x14ac:dyDescent="0.2">
      <c r="A3283" t="s">
        <v>2305</v>
      </c>
      <c r="B3283" t="s">
        <v>2306</v>
      </c>
      <c r="C3283" t="s">
        <v>7336</v>
      </c>
      <c r="D3283" t="str">
        <f>TRIM(alias[[#This Row],[Column3]])</f>
        <v>Sarana Mitra Luas Tbk</v>
      </c>
      <c r="F3283" t="str">
        <f t="shared" si="51"/>
        <v>INSERT INTO stock_alias (stock, alias) VALUES ((SELECT id FROM stock WHERE ticker = 'SMIL'), 'Sarana Mitra Luas Tbk') ON CONFLICT DO NOTHING;</v>
      </c>
    </row>
    <row r="3284" spans="1:6" x14ac:dyDescent="0.2">
      <c r="A3284" t="s">
        <v>1723</v>
      </c>
      <c r="B3284" t="s">
        <v>1724</v>
      </c>
      <c r="C3284" t="s">
        <v>1723</v>
      </c>
      <c r="D3284" t="str">
        <f>TRIM(alias[[#This Row],[Column3]])</f>
        <v>SMKL</v>
      </c>
      <c r="F3284" t="str">
        <f t="shared" si="51"/>
        <v>INSERT INTO stock_alias (stock, alias) VALUES ((SELECT id FROM stock WHERE ticker = 'SMKL'), 'SMKL') ON CONFLICT DO NOTHING;</v>
      </c>
    </row>
    <row r="3285" spans="1:6" x14ac:dyDescent="0.2">
      <c r="A3285" t="s">
        <v>1723</v>
      </c>
      <c r="B3285" t="s">
        <v>1724</v>
      </c>
      <c r="C3285" t="s">
        <v>7337</v>
      </c>
      <c r="D3285" t="str">
        <f>TRIM(alias[[#This Row],[Column3]])</f>
        <v>PT Satyamitra Kemas Lestari</v>
      </c>
      <c r="F3285" t="str">
        <f t="shared" si="51"/>
        <v>INSERT INTO stock_alias (stock, alias) VALUES ((SELECT id FROM stock WHERE ticker = 'SMKL'), 'PT Satyamitra Kemas Lestari') ON CONFLICT DO NOTHING;</v>
      </c>
    </row>
    <row r="3286" spans="1:6" x14ac:dyDescent="0.2">
      <c r="A3286" t="s">
        <v>1723</v>
      </c>
      <c r="B3286" t="s">
        <v>1724</v>
      </c>
      <c r="C3286" t="s">
        <v>7338</v>
      </c>
      <c r="D3286" t="str">
        <f>TRIM(alias[[#This Row],[Column3]])</f>
        <v>Satyamitra Kemas Lestari</v>
      </c>
      <c r="F3286" t="str">
        <f t="shared" si="51"/>
        <v>INSERT INTO stock_alias (stock, alias) VALUES ((SELECT id FROM stock WHERE ticker = 'SMKL'), 'Satyamitra Kemas Lestari') ON CONFLICT DO NOTHING;</v>
      </c>
    </row>
    <row r="3287" spans="1:6" x14ac:dyDescent="0.2">
      <c r="A3287" t="s">
        <v>1723</v>
      </c>
      <c r="B3287" t="s">
        <v>1724</v>
      </c>
      <c r="C3287" t="s">
        <v>7339</v>
      </c>
      <c r="D3287" t="str">
        <f>TRIM(alias[[#This Row],[Column3]])</f>
        <v>Satyamitra Kemas Lestari Tbk</v>
      </c>
      <c r="F3287" t="str">
        <f t="shared" si="51"/>
        <v>INSERT INTO stock_alias (stock, alias) VALUES ((SELECT id FROM stock WHERE ticker = 'SMKL'), 'Satyamitra Kemas Lestari Tbk') ON CONFLICT DO NOTHING;</v>
      </c>
    </row>
    <row r="3288" spans="1:6" x14ac:dyDescent="0.2">
      <c r="A3288" t="s">
        <v>2080</v>
      </c>
      <c r="B3288" t="s">
        <v>2081</v>
      </c>
      <c r="C3288" t="s">
        <v>2080</v>
      </c>
      <c r="D3288" t="str">
        <f>TRIM(alias[[#This Row],[Column3]])</f>
        <v>SMKM</v>
      </c>
      <c r="F3288" t="str">
        <f t="shared" si="51"/>
        <v>INSERT INTO stock_alias (stock, alias) VALUES ((SELECT id FROM stock WHERE ticker = 'SMKM'), 'SMKM') ON CONFLICT DO NOTHING;</v>
      </c>
    </row>
    <row r="3289" spans="1:6" x14ac:dyDescent="0.2">
      <c r="A3289" t="s">
        <v>2080</v>
      </c>
      <c r="B3289" t="s">
        <v>2081</v>
      </c>
      <c r="C3289" t="s">
        <v>7340</v>
      </c>
      <c r="D3289" t="str">
        <f>TRIM(alias[[#This Row],[Column3]])</f>
        <v>PT Sumber Mas Konstruksi</v>
      </c>
      <c r="F3289" t="str">
        <f t="shared" si="51"/>
        <v>INSERT INTO stock_alias (stock, alias) VALUES ((SELECT id FROM stock WHERE ticker = 'SMKM'), 'PT Sumber Mas Konstruksi') ON CONFLICT DO NOTHING;</v>
      </c>
    </row>
    <row r="3290" spans="1:6" x14ac:dyDescent="0.2">
      <c r="A3290" t="s">
        <v>2080</v>
      </c>
      <c r="B3290" t="s">
        <v>2081</v>
      </c>
      <c r="C3290" t="s">
        <v>7341</v>
      </c>
      <c r="D3290" t="str">
        <f>TRIM(alias[[#This Row],[Column3]])</f>
        <v>Sumber Mas Konstruksi</v>
      </c>
      <c r="F3290" t="str">
        <f t="shared" si="51"/>
        <v>INSERT INTO stock_alias (stock, alias) VALUES ((SELECT id FROM stock WHERE ticker = 'SMKM'), 'Sumber Mas Konstruksi') ON CONFLICT DO NOTHING;</v>
      </c>
    </row>
    <row r="3291" spans="1:6" x14ac:dyDescent="0.2">
      <c r="A3291" t="s">
        <v>2080</v>
      </c>
      <c r="B3291" t="s">
        <v>2081</v>
      </c>
      <c r="C3291" t="s">
        <v>7342</v>
      </c>
      <c r="D3291" t="str">
        <f>TRIM(alias[[#This Row],[Column3]])</f>
        <v>Sumber Mas Konstruksi Tbk</v>
      </c>
      <c r="F3291" t="str">
        <f t="shared" si="51"/>
        <v>INSERT INTO stock_alias (stock, alias) VALUES ((SELECT id FROM stock WHERE ticker = 'SMKM'), 'Sumber Mas Konstruksi Tbk') ON CONFLICT DO NOTHING;</v>
      </c>
    </row>
    <row r="3292" spans="1:6" x14ac:dyDescent="0.2">
      <c r="A3292" t="s">
        <v>2634</v>
      </c>
      <c r="B3292" t="s">
        <v>2635</v>
      </c>
      <c r="C3292" t="s">
        <v>2634</v>
      </c>
      <c r="D3292" t="str">
        <f>TRIM(alias[[#This Row],[Column3]])</f>
        <v>SMLE</v>
      </c>
      <c r="F3292" t="str">
        <f t="shared" si="51"/>
        <v>INSERT INTO stock_alias (stock, alias) VALUES ((SELECT id FROM stock WHERE ticker = 'SMLE'), 'SMLE') ON CONFLICT DO NOTHING;</v>
      </c>
    </row>
    <row r="3293" spans="1:6" x14ac:dyDescent="0.2">
      <c r="A3293" t="s">
        <v>2634</v>
      </c>
      <c r="B3293" t="s">
        <v>2635</v>
      </c>
      <c r="C3293" t="s">
        <v>7343</v>
      </c>
      <c r="D3293" t="str">
        <f>TRIM(alias[[#This Row],[Column3]])</f>
        <v>PT Sinergi Multi Lestarindo</v>
      </c>
      <c r="F3293" t="str">
        <f t="shared" si="51"/>
        <v>INSERT INTO stock_alias (stock, alias) VALUES ((SELECT id FROM stock WHERE ticker = 'SMLE'), 'PT Sinergi Multi Lestarindo') ON CONFLICT DO NOTHING;</v>
      </c>
    </row>
    <row r="3294" spans="1:6" x14ac:dyDescent="0.2">
      <c r="A3294" t="s">
        <v>2634</v>
      </c>
      <c r="B3294" t="s">
        <v>2635</v>
      </c>
      <c r="C3294" t="s">
        <v>7344</v>
      </c>
      <c r="D3294" t="str">
        <f>TRIM(alias[[#This Row],[Column3]])</f>
        <v>Sinergi Multi Lestarindo</v>
      </c>
      <c r="F3294" t="str">
        <f t="shared" si="51"/>
        <v>INSERT INTO stock_alias (stock, alias) VALUES ((SELECT id FROM stock WHERE ticker = 'SMLE'), 'Sinergi Multi Lestarindo') ON CONFLICT DO NOTHING;</v>
      </c>
    </row>
    <row r="3295" spans="1:6" x14ac:dyDescent="0.2">
      <c r="A3295" t="s">
        <v>2634</v>
      </c>
      <c r="B3295" t="s">
        <v>2635</v>
      </c>
      <c r="C3295" t="s">
        <v>7345</v>
      </c>
      <c r="D3295" t="str">
        <f>TRIM(alias[[#This Row],[Column3]])</f>
        <v>Sinergi Multi Lestarindo Tbk</v>
      </c>
      <c r="F3295" t="str">
        <f t="shared" si="51"/>
        <v>INSERT INTO stock_alias (stock, alias) VALUES ((SELECT id FROM stock WHERE ticker = 'SMLE'), 'Sinergi Multi Lestarindo Tbk') ON CONFLICT DO NOTHING;</v>
      </c>
    </row>
    <row r="3296" spans="1:6" x14ac:dyDescent="0.2">
      <c r="A3296" t="s">
        <v>1125</v>
      </c>
      <c r="B3296" t="s">
        <v>1126</v>
      </c>
      <c r="C3296" t="s">
        <v>1125</v>
      </c>
      <c r="D3296" t="str">
        <f>TRIM(alias[[#This Row],[Column3]])</f>
        <v>SMMA</v>
      </c>
      <c r="F3296" t="str">
        <f t="shared" si="51"/>
        <v>INSERT INTO stock_alias (stock, alias) VALUES ((SELECT id FROM stock WHERE ticker = 'SMMA'), 'SMMA') ON CONFLICT DO NOTHING;</v>
      </c>
    </row>
    <row r="3297" spans="1:6" x14ac:dyDescent="0.2">
      <c r="A3297" t="s">
        <v>1125</v>
      </c>
      <c r="B3297" t="s">
        <v>1126</v>
      </c>
      <c r="C3297" t="s">
        <v>7346</v>
      </c>
      <c r="D3297" t="str">
        <f>TRIM(alias[[#This Row],[Column3]])</f>
        <v>PT Sinarmas Multiartha</v>
      </c>
      <c r="F3297" t="str">
        <f t="shared" si="51"/>
        <v>INSERT INTO stock_alias (stock, alias) VALUES ((SELECT id FROM stock WHERE ticker = 'SMMA'), 'PT Sinarmas Multiartha') ON CONFLICT DO NOTHING;</v>
      </c>
    </row>
    <row r="3298" spans="1:6" x14ac:dyDescent="0.2">
      <c r="A3298" t="s">
        <v>1125</v>
      </c>
      <c r="B3298" t="s">
        <v>1126</v>
      </c>
      <c r="C3298" t="s">
        <v>7347</v>
      </c>
      <c r="D3298" t="str">
        <f>TRIM(alias[[#This Row],[Column3]])</f>
        <v>Sinarmas Multiartha</v>
      </c>
      <c r="F3298" t="str">
        <f t="shared" si="51"/>
        <v>INSERT INTO stock_alias (stock, alias) VALUES ((SELECT id FROM stock WHERE ticker = 'SMMA'), 'Sinarmas Multiartha') ON CONFLICT DO NOTHING;</v>
      </c>
    </row>
    <row r="3299" spans="1:6" x14ac:dyDescent="0.2">
      <c r="A3299" t="s">
        <v>1125</v>
      </c>
      <c r="B3299" t="s">
        <v>1126</v>
      </c>
      <c r="C3299" t="s">
        <v>7348</v>
      </c>
      <c r="D3299" t="str">
        <f>TRIM(alias[[#This Row],[Column3]])</f>
        <v>Sinarmas Multiartha Tbk</v>
      </c>
      <c r="F3299" t="str">
        <f t="shared" si="51"/>
        <v>INSERT INTO stock_alias (stock, alias) VALUES ((SELECT id FROM stock WHERE ticker = 'SMMA'), 'Sinarmas Multiartha Tbk') ON CONFLICT DO NOTHING;</v>
      </c>
    </row>
    <row r="3300" spans="1:6" x14ac:dyDescent="0.2">
      <c r="A3300" t="s">
        <v>1128</v>
      </c>
      <c r="B3300" t="s">
        <v>1129</v>
      </c>
      <c r="C3300" t="s">
        <v>1128</v>
      </c>
      <c r="D3300" t="str">
        <f>TRIM(alias[[#This Row],[Column3]])</f>
        <v>SMMT</v>
      </c>
      <c r="F3300" t="str">
        <f t="shared" si="51"/>
        <v>INSERT INTO stock_alias (stock, alias) VALUES ((SELECT id FROM stock WHERE ticker = 'SMMT'), 'SMMT') ON CONFLICT DO NOTHING;</v>
      </c>
    </row>
    <row r="3301" spans="1:6" x14ac:dyDescent="0.2">
      <c r="A3301" t="s">
        <v>1128</v>
      </c>
      <c r="B3301" t="s">
        <v>1129</v>
      </c>
      <c r="C3301" t="s">
        <v>7349</v>
      </c>
      <c r="D3301" t="str">
        <f>TRIM(alias[[#This Row],[Column3]])</f>
        <v>Golden Eagle Energy</v>
      </c>
      <c r="F3301" t="str">
        <f t="shared" si="51"/>
        <v>INSERT INTO stock_alias (stock, alias) VALUES ((SELECT id FROM stock WHERE ticker = 'SMMT'), 'Golden Eagle Energy') ON CONFLICT DO NOTHING;</v>
      </c>
    </row>
    <row r="3302" spans="1:6" x14ac:dyDescent="0.2">
      <c r="A3302" t="s">
        <v>1128</v>
      </c>
      <c r="B3302" t="s">
        <v>1129</v>
      </c>
      <c r="C3302" t="s">
        <v>7350</v>
      </c>
      <c r="D3302" t="str">
        <f>TRIM(alias[[#This Row],[Column3]])</f>
        <v>Golden Eagle Energy Tbk</v>
      </c>
      <c r="F3302" t="str">
        <f t="shared" si="51"/>
        <v>INSERT INTO stock_alias (stock, alias) VALUES ((SELECT id FROM stock WHERE ticker = 'SMMT'), 'Golden Eagle Energy Tbk') ON CONFLICT DO NOTHING;</v>
      </c>
    </row>
    <row r="3303" spans="1:6" x14ac:dyDescent="0.2">
      <c r="A3303" t="s">
        <v>1128</v>
      </c>
      <c r="B3303" t="s">
        <v>1129</v>
      </c>
      <c r="C3303" t="s">
        <v>7351</v>
      </c>
      <c r="D3303" t="str">
        <f>TRIM(alias[[#This Row],[Column3]])</f>
        <v>PT Golden Eagle Energy</v>
      </c>
      <c r="F3303" t="str">
        <f t="shared" si="51"/>
        <v>INSERT INTO stock_alias (stock, alias) VALUES ((SELECT id FROM stock WHERE ticker = 'SMMT'), 'PT Golden Eagle Energy') ON CONFLICT DO NOTHING;</v>
      </c>
    </row>
    <row r="3304" spans="1:6" x14ac:dyDescent="0.2">
      <c r="A3304" t="s">
        <v>1131</v>
      </c>
      <c r="B3304" t="s">
        <v>1132</v>
      </c>
      <c r="C3304" t="s">
        <v>1131</v>
      </c>
      <c r="D3304" t="str">
        <f>TRIM(alias[[#This Row],[Column3]])</f>
        <v>SMRA</v>
      </c>
      <c r="F3304" t="str">
        <f t="shared" si="51"/>
        <v>INSERT INTO stock_alias (stock, alias) VALUES ((SELECT id FROM stock WHERE ticker = 'SMRA'), 'SMRA') ON CONFLICT DO NOTHING;</v>
      </c>
    </row>
    <row r="3305" spans="1:6" x14ac:dyDescent="0.2">
      <c r="A3305" t="s">
        <v>1131</v>
      </c>
      <c r="B3305" t="s">
        <v>1132</v>
      </c>
      <c r="C3305" t="s">
        <v>7352</v>
      </c>
      <c r="D3305" t="str">
        <f>TRIM(alias[[#This Row],[Column3]])</f>
        <v>PT Summarecon Agung</v>
      </c>
      <c r="F3305" t="str">
        <f t="shared" si="51"/>
        <v>INSERT INTO stock_alias (stock, alias) VALUES ((SELECT id FROM stock WHERE ticker = 'SMRA'), 'PT Summarecon Agung') ON CONFLICT DO NOTHING;</v>
      </c>
    </row>
    <row r="3306" spans="1:6" x14ac:dyDescent="0.2">
      <c r="A3306" t="s">
        <v>1131</v>
      </c>
      <c r="B3306" t="s">
        <v>1132</v>
      </c>
      <c r="C3306" t="s">
        <v>7353</v>
      </c>
      <c r="D3306" t="str">
        <f>TRIM(alias[[#This Row],[Column3]])</f>
        <v>Summarecon Agung</v>
      </c>
      <c r="F3306" t="str">
        <f t="shared" si="51"/>
        <v>INSERT INTO stock_alias (stock, alias) VALUES ((SELECT id FROM stock WHERE ticker = 'SMRA'), 'Summarecon Agung') ON CONFLICT DO NOTHING;</v>
      </c>
    </row>
    <row r="3307" spans="1:6" x14ac:dyDescent="0.2">
      <c r="A3307" t="s">
        <v>1131</v>
      </c>
      <c r="B3307" t="s">
        <v>1132</v>
      </c>
      <c r="C3307" t="s">
        <v>7354</v>
      </c>
      <c r="D3307" t="str">
        <f>TRIM(alias[[#This Row],[Column3]])</f>
        <v>Summarecon Agung Tbk</v>
      </c>
      <c r="F3307" t="str">
        <f t="shared" si="51"/>
        <v>INSERT INTO stock_alias (stock, alias) VALUES ((SELECT id FROM stock WHERE ticker = 'SMRA'), 'Summarecon Agung Tbk') ON CONFLICT DO NOTHING;</v>
      </c>
    </row>
    <row r="3308" spans="1:6" x14ac:dyDescent="0.2">
      <c r="A3308" t="s">
        <v>1134</v>
      </c>
      <c r="B3308" t="s">
        <v>1135</v>
      </c>
      <c r="C3308" t="s">
        <v>1134</v>
      </c>
      <c r="D3308" t="str">
        <f>TRIM(alias[[#This Row],[Column3]])</f>
        <v>SMRU</v>
      </c>
      <c r="F3308" t="str">
        <f t="shared" si="51"/>
        <v>INSERT INTO stock_alias (stock, alias) VALUES ((SELECT id FROM stock WHERE ticker = 'SMRU'), 'SMRU') ON CONFLICT DO NOTHING;</v>
      </c>
    </row>
    <row r="3309" spans="1:6" x14ac:dyDescent="0.2">
      <c r="A3309" t="s">
        <v>1134</v>
      </c>
      <c r="B3309" t="s">
        <v>1135</v>
      </c>
      <c r="C3309" t="s">
        <v>7355</v>
      </c>
      <c r="D3309" t="str">
        <f>TRIM(alias[[#This Row],[Column3]])</f>
        <v>PT SMR Utama</v>
      </c>
      <c r="F3309" t="str">
        <f t="shared" si="51"/>
        <v>INSERT INTO stock_alias (stock, alias) VALUES ((SELECT id FROM stock WHERE ticker = 'SMRU'), 'PT SMR Utama') ON CONFLICT DO NOTHING;</v>
      </c>
    </row>
    <row r="3310" spans="1:6" x14ac:dyDescent="0.2">
      <c r="A3310" t="s">
        <v>1134</v>
      </c>
      <c r="B3310" t="s">
        <v>1135</v>
      </c>
      <c r="C3310" t="s">
        <v>7356</v>
      </c>
      <c r="D3310" t="str">
        <f>TRIM(alias[[#This Row],[Column3]])</f>
        <v>SMR Utama</v>
      </c>
      <c r="F3310" t="str">
        <f t="shared" si="51"/>
        <v>INSERT INTO stock_alias (stock, alias) VALUES ((SELECT id FROM stock WHERE ticker = 'SMRU'), 'SMR Utama') ON CONFLICT DO NOTHING;</v>
      </c>
    </row>
    <row r="3311" spans="1:6" x14ac:dyDescent="0.2">
      <c r="A3311" t="s">
        <v>1134</v>
      </c>
      <c r="B3311" t="s">
        <v>1135</v>
      </c>
      <c r="C3311" t="s">
        <v>7357</v>
      </c>
      <c r="D3311" t="str">
        <f>TRIM(alias[[#This Row],[Column3]])</f>
        <v>SMR Utama Tbk</v>
      </c>
      <c r="F3311" t="str">
        <f t="shared" si="51"/>
        <v>INSERT INTO stock_alias (stock, alias) VALUES ((SELECT id FROM stock WHERE ticker = 'SMRU'), 'SMR Utama Tbk') ON CONFLICT DO NOTHING;</v>
      </c>
    </row>
    <row r="3312" spans="1:6" x14ac:dyDescent="0.2">
      <c r="A3312" t="s">
        <v>1137</v>
      </c>
      <c r="B3312" t="s">
        <v>1138</v>
      </c>
      <c r="C3312" t="s">
        <v>1137</v>
      </c>
      <c r="D3312" t="str">
        <f>TRIM(alias[[#This Row],[Column3]])</f>
        <v>SMSM</v>
      </c>
      <c r="F3312" t="str">
        <f t="shared" si="51"/>
        <v>INSERT INTO stock_alias (stock, alias) VALUES ((SELECT id FROM stock WHERE ticker = 'SMSM'), 'SMSM') ON CONFLICT DO NOTHING;</v>
      </c>
    </row>
    <row r="3313" spans="1:6" x14ac:dyDescent="0.2">
      <c r="A3313" t="s">
        <v>1137</v>
      </c>
      <c r="B3313" t="s">
        <v>1138</v>
      </c>
      <c r="C3313" t="s">
        <v>7358</v>
      </c>
      <c r="D3313" t="str">
        <f>TRIM(alias[[#This Row],[Column3]])</f>
        <v>PT Selamat Sempurna</v>
      </c>
      <c r="F3313" t="str">
        <f t="shared" si="51"/>
        <v>INSERT INTO stock_alias (stock, alias) VALUES ((SELECT id FROM stock WHERE ticker = 'SMSM'), 'PT Selamat Sempurna') ON CONFLICT DO NOTHING;</v>
      </c>
    </row>
    <row r="3314" spans="1:6" x14ac:dyDescent="0.2">
      <c r="A3314" t="s">
        <v>1137</v>
      </c>
      <c r="B3314" t="s">
        <v>1138</v>
      </c>
      <c r="C3314" t="s">
        <v>7359</v>
      </c>
      <c r="D3314" t="str">
        <f>TRIM(alias[[#This Row],[Column3]])</f>
        <v>Selamat Sempurna</v>
      </c>
      <c r="F3314" t="str">
        <f t="shared" si="51"/>
        <v>INSERT INTO stock_alias (stock, alias) VALUES ((SELECT id FROM stock WHERE ticker = 'SMSM'), 'Selamat Sempurna') ON CONFLICT DO NOTHING;</v>
      </c>
    </row>
    <row r="3315" spans="1:6" x14ac:dyDescent="0.2">
      <c r="A3315" t="s">
        <v>1137</v>
      </c>
      <c r="B3315" t="s">
        <v>1138</v>
      </c>
      <c r="C3315" t="s">
        <v>7360</v>
      </c>
      <c r="D3315" t="str">
        <f>TRIM(alias[[#This Row],[Column3]])</f>
        <v>Selamat Sempurna Tbk</v>
      </c>
      <c r="F3315" t="str">
        <f t="shared" si="51"/>
        <v>INSERT INTO stock_alias (stock, alias) VALUES ((SELECT id FROM stock WHERE ticker = 'SMSM'), 'Selamat Sempurna Tbk') ON CONFLICT DO NOTHING;</v>
      </c>
    </row>
    <row r="3316" spans="1:6" x14ac:dyDescent="0.2">
      <c r="A3316" t="s">
        <v>1924</v>
      </c>
      <c r="B3316" t="s">
        <v>1925</v>
      </c>
      <c r="C3316" t="s">
        <v>1924</v>
      </c>
      <c r="D3316" t="str">
        <f>TRIM(alias[[#This Row],[Column3]])</f>
        <v>SNLK</v>
      </c>
      <c r="F3316" t="str">
        <f t="shared" si="51"/>
        <v>INSERT INTO stock_alias (stock, alias) VALUES ((SELECT id FROM stock WHERE ticker = 'SNLK'), 'SNLK') ON CONFLICT DO NOTHING;</v>
      </c>
    </row>
    <row r="3317" spans="1:6" x14ac:dyDescent="0.2">
      <c r="A3317" t="s">
        <v>1924</v>
      </c>
      <c r="B3317" t="s">
        <v>1925</v>
      </c>
      <c r="C3317" t="s">
        <v>7361</v>
      </c>
      <c r="D3317" t="str">
        <f>TRIM(alias[[#This Row],[Column3]])</f>
        <v>PT Sunter Lakeside Hotel</v>
      </c>
      <c r="F3317" t="str">
        <f t="shared" si="51"/>
        <v>INSERT INTO stock_alias (stock, alias) VALUES ((SELECT id FROM stock WHERE ticker = 'SNLK'), 'PT Sunter Lakeside Hotel') ON CONFLICT DO NOTHING;</v>
      </c>
    </row>
    <row r="3318" spans="1:6" x14ac:dyDescent="0.2">
      <c r="A3318" t="s">
        <v>1924</v>
      </c>
      <c r="B3318" t="s">
        <v>1925</v>
      </c>
      <c r="C3318" t="s">
        <v>7362</v>
      </c>
      <c r="D3318" t="str">
        <f>TRIM(alias[[#This Row],[Column3]])</f>
        <v>Sunter Lakeside Hotel</v>
      </c>
      <c r="F3318" t="str">
        <f t="shared" si="51"/>
        <v>INSERT INTO stock_alias (stock, alias) VALUES ((SELECT id FROM stock WHERE ticker = 'SNLK'), 'Sunter Lakeside Hotel') ON CONFLICT DO NOTHING;</v>
      </c>
    </row>
    <row r="3319" spans="1:6" x14ac:dyDescent="0.2">
      <c r="A3319" t="s">
        <v>1924</v>
      </c>
      <c r="B3319" t="s">
        <v>1925</v>
      </c>
      <c r="C3319" t="s">
        <v>7363</v>
      </c>
      <c r="D3319" t="str">
        <f>TRIM(alias[[#This Row],[Column3]])</f>
        <v>Sunter Lakeside Hotel Tbk</v>
      </c>
      <c r="F3319" t="str">
        <f t="shared" si="51"/>
        <v>INSERT INTO stock_alias (stock, alias) VALUES ((SELECT id FROM stock WHERE ticker = 'SNLK'), 'Sunter Lakeside Hotel Tbk') ON CONFLICT DO NOTHING;</v>
      </c>
    </row>
    <row r="3320" spans="1:6" x14ac:dyDescent="0.2">
      <c r="A3320" t="s">
        <v>1140</v>
      </c>
      <c r="B3320" t="s">
        <v>1141</v>
      </c>
      <c r="C3320" t="s">
        <v>1140</v>
      </c>
      <c r="D3320" t="str">
        <f>TRIM(alias[[#This Row],[Column3]])</f>
        <v>SOCI</v>
      </c>
      <c r="F3320" t="str">
        <f t="shared" si="51"/>
        <v>INSERT INTO stock_alias (stock, alias) VALUES ((SELECT id FROM stock WHERE ticker = 'SOCI'), 'SOCI') ON CONFLICT DO NOTHING;</v>
      </c>
    </row>
    <row r="3321" spans="1:6" x14ac:dyDescent="0.2">
      <c r="A3321" t="s">
        <v>1140</v>
      </c>
      <c r="B3321" t="s">
        <v>1141</v>
      </c>
      <c r="C3321" t="s">
        <v>7364</v>
      </c>
      <c r="D3321" t="str">
        <f>TRIM(alias[[#This Row],[Column3]])</f>
        <v>PT Soechi Lines</v>
      </c>
      <c r="F3321" t="str">
        <f t="shared" si="51"/>
        <v>INSERT INTO stock_alias (stock, alias) VALUES ((SELECT id FROM stock WHERE ticker = 'SOCI'), 'PT Soechi Lines') ON CONFLICT DO NOTHING;</v>
      </c>
    </row>
    <row r="3322" spans="1:6" x14ac:dyDescent="0.2">
      <c r="A3322" t="s">
        <v>1140</v>
      </c>
      <c r="B3322" t="s">
        <v>1141</v>
      </c>
      <c r="C3322" t="s">
        <v>7365</v>
      </c>
      <c r="D3322" t="str">
        <f>TRIM(alias[[#This Row],[Column3]])</f>
        <v>Soechi Lines</v>
      </c>
      <c r="F3322" t="str">
        <f t="shared" si="51"/>
        <v>INSERT INTO stock_alias (stock, alias) VALUES ((SELECT id FROM stock WHERE ticker = 'SOCI'), 'Soechi Lines') ON CONFLICT DO NOTHING;</v>
      </c>
    </row>
    <row r="3323" spans="1:6" x14ac:dyDescent="0.2">
      <c r="A3323" t="s">
        <v>1140</v>
      </c>
      <c r="B3323" t="s">
        <v>1141</v>
      </c>
      <c r="C3323" t="s">
        <v>7366</v>
      </c>
      <c r="D3323" t="str">
        <f>TRIM(alias[[#This Row],[Column3]])</f>
        <v>Soechi Lines Tbk</v>
      </c>
      <c r="F3323" t="str">
        <f t="shared" si="51"/>
        <v>INSERT INTO stock_alias (stock, alias) VALUES ((SELECT id FROM stock WHERE ticker = 'SOCI'), 'Soechi Lines Tbk') ON CONFLICT DO NOTHING;</v>
      </c>
    </row>
    <row r="3324" spans="1:6" x14ac:dyDescent="0.2">
      <c r="A3324" t="s">
        <v>1859</v>
      </c>
      <c r="B3324" t="s">
        <v>1860</v>
      </c>
      <c r="C3324" t="s">
        <v>1859</v>
      </c>
      <c r="D3324" t="str">
        <f>TRIM(alias[[#This Row],[Column3]])</f>
        <v>SOFA</v>
      </c>
      <c r="F3324" t="str">
        <f t="shared" si="51"/>
        <v>INSERT INTO stock_alias (stock, alias) VALUES ((SELECT id FROM stock WHERE ticker = 'SOFA'), 'SOFA') ON CONFLICT DO NOTHING;</v>
      </c>
    </row>
    <row r="3325" spans="1:6" x14ac:dyDescent="0.2">
      <c r="A3325" t="s">
        <v>1859</v>
      </c>
      <c r="B3325" t="s">
        <v>1860</v>
      </c>
      <c r="C3325" t="s">
        <v>7367</v>
      </c>
      <c r="D3325" t="str">
        <f>TRIM(alias[[#This Row],[Column3]])</f>
        <v>PT Solusi Environment Asia</v>
      </c>
      <c r="F3325" t="str">
        <f t="shared" si="51"/>
        <v>INSERT INTO stock_alias (stock, alias) VALUES ((SELECT id FROM stock WHERE ticker = 'SOFA'), 'PT Solusi Environment Asia') ON CONFLICT DO NOTHING;</v>
      </c>
    </row>
    <row r="3326" spans="1:6" x14ac:dyDescent="0.2">
      <c r="A3326" t="s">
        <v>1859</v>
      </c>
      <c r="B3326" t="s">
        <v>1860</v>
      </c>
      <c r="C3326" t="s">
        <v>7368</v>
      </c>
      <c r="D3326" t="str">
        <f>TRIM(alias[[#This Row],[Column3]])</f>
        <v>Solusi Environment Asia</v>
      </c>
      <c r="F3326" t="str">
        <f t="shared" si="51"/>
        <v>INSERT INTO stock_alias (stock, alias) VALUES ((SELECT id FROM stock WHERE ticker = 'SOFA'), 'Solusi Environment Asia') ON CONFLICT DO NOTHING;</v>
      </c>
    </row>
    <row r="3327" spans="1:6" x14ac:dyDescent="0.2">
      <c r="A3327" t="s">
        <v>1859</v>
      </c>
      <c r="B3327" t="s">
        <v>1860</v>
      </c>
      <c r="C3327" t="s">
        <v>7369</v>
      </c>
      <c r="D3327" t="str">
        <f>TRIM(alias[[#This Row],[Column3]])</f>
        <v>Solusi Environment Asia Tbk</v>
      </c>
      <c r="F3327" t="str">
        <f t="shared" si="51"/>
        <v>INSERT INTO stock_alias (stock, alias) VALUES ((SELECT id FROM stock WHERE ticker = 'SOFA'), 'Solusi Environment Asia Tbk') ON CONFLICT DO NOTHING;</v>
      </c>
    </row>
    <row r="3328" spans="1:6" x14ac:dyDescent="0.2">
      <c r="A3328" t="s">
        <v>1885</v>
      </c>
      <c r="B3328" t="s">
        <v>1886</v>
      </c>
      <c r="C3328" t="s">
        <v>1885</v>
      </c>
      <c r="D3328" t="str">
        <f>TRIM(alias[[#This Row],[Column3]])</f>
        <v>SOHO</v>
      </c>
      <c r="F3328" t="str">
        <f t="shared" si="51"/>
        <v>INSERT INTO stock_alias (stock, alias) VALUES ((SELECT id FROM stock WHERE ticker = 'SOHO'), 'SOHO') ON CONFLICT DO NOTHING;</v>
      </c>
    </row>
    <row r="3329" spans="1:6" x14ac:dyDescent="0.2">
      <c r="A3329" t="s">
        <v>1885</v>
      </c>
      <c r="B3329" t="s">
        <v>1886</v>
      </c>
      <c r="C3329" t="s">
        <v>7370</v>
      </c>
      <c r="D3329" t="str">
        <f>TRIM(alias[[#This Row],[Column3]])</f>
        <v>PT Soho Global Health</v>
      </c>
      <c r="F3329" t="str">
        <f t="shared" si="51"/>
        <v>INSERT INTO stock_alias (stock, alias) VALUES ((SELECT id FROM stock WHERE ticker = 'SOHO'), 'PT Soho Global Health') ON CONFLICT DO NOTHING;</v>
      </c>
    </row>
    <row r="3330" spans="1:6" x14ac:dyDescent="0.2">
      <c r="A3330" t="s">
        <v>1885</v>
      </c>
      <c r="B3330" t="s">
        <v>1886</v>
      </c>
      <c r="C3330" t="s">
        <v>7371</v>
      </c>
      <c r="D3330" t="str">
        <f>TRIM(alias[[#This Row],[Column3]])</f>
        <v>Soho Global Health</v>
      </c>
      <c r="F3330" t="str">
        <f t="shared" si="51"/>
        <v>INSERT INTO stock_alias (stock, alias) VALUES ((SELECT id FROM stock WHERE ticker = 'SOHO'), 'Soho Global Health') ON CONFLICT DO NOTHING;</v>
      </c>
    </row>
    <row r="3331" spans="1:6" x14ac:dyDescent="0.2">
      <c r="A3331" t="s">
        <v>1885</v>
      </c>
      <c r="B3331" t="s">
        <v>1886</v>
      </c>
      <c r="C3331" t="s">
        <v>7372</v>
      </c>
      <c r="D3331" t="str">
        <f>TRIM(alias[[#This Row],[Column3]])</f>
        <v>Soho Global Health Tbk</v>
      </c>
      <c r="F3331" t="str">
        <f t="shared" ref="F3331:F3394" si="52">_xlfn.CONCAT($F$1, _xlfn.CONCAT($G$1, A3331, "'), '", D3331, "') ON CONFLICT DO NOTHING;"))</f>
        <v>INSERT INTO stock_alias (stock, alias) VALUES ((SELECT id FROM stock WHERE ticker = 'SOHO'), 'Soho Global Health Tbk') ON CONFLICT DO NOTHING;</v>
      </c>
    </row>
    <row r="3332" spans="1:6" x14ac:dyDescent="0.2">
      <c r="A3332" t="s">
        <v>2460</v>
      </c>
      <c r="B3332" t="s">
        <v>2461</v>
      </c>
      <c r="C3332" t="s">
        <v>2460</v>
      </c>
      <c r="D3332" t="str">
        <f>TRIM(alias[[#This Row],[Column3]])</f>
        <v>SOLA</v>
      </c>
      <c r="F3332" t="str">
        <f t="shared" si="52"/>
        <v>INSERT INTO stock_alias (stock, alias) VALUES ((SELECT id FROM stock WHERE ticker = 'SOLA'), 'SOLA') ON CONFLICT DO NOTHING;</v>
      </c>
    </row>
    <row r="3333" spans="1:6" x14ac:dyDescent="0.2">
      <c r="A3333" t="s">
        <v>2460</v>
      </c>
      <c r="B3333" t="s">
        <v>2461</v>
      </c>
      <c r="C3333" t="s">
        <v>7373</v>
      </c>
      <c r="D3333" t="str">
        <f>TRIM(alias[[#This Row],[Column3]])</f>
        <v>PT Xolare RCR Energy</v>
      </c>
      <c r="F3333" t="str">
        <f t="shared" si="52"/>
        <v>INSERT INTO stock_alias (stock, alias) VALUES ((SELECT id FROM stock WHERE ticker = 'SOLA'), 'PT Xolare RCR Energy') ON CONFLICT DO NOTHING;</v>
      </c>
    </row>
    <row r="3334" spans="1:6" x14ac:dyDescent="0.2">
      <c r="A3334" t="s">
        <v>2460</v>
      </c>
      <c r="B3334" t="s">
        <v>2461</v>
      </c>
      <c r="C3334" t="s">
        <v>7374</v>
      </c>
      <c r="D3334" t="str">
        <f>TRIM(alias[[#This Row],[Column3]])</f>
        <v>Xolare RCR Energy</v>
      </c>
      <c r="F3334" t="str">
        <f t="shared" si="52"/>
        <v>INSERT INTO stock_alias (stock, alias) VALUES ((SELECT id FROM stock WHERE ticker = 'SOLA'), 'Xolare RCR Energy') ON CONFLICT DO NOTHING;</v>
      </c>
    </row>
    <row r="3335" spans="1:6" x14ac:dyDescent="0.2">
      <c r="A3335" t="s">
        <v>2460</v>
      </c>
      <c r="B3335" t="s">
        <v>2461</v>
      </c>
      <c r="C3335" t="s">
        <v>7375</v>
      </c>
      <c r="D3335" t="str">
        <f>TRIM(alias[[#This Row],[Column3]])</f>
        <v>Xolare RCR Energy Tbk</v>
      </c>
      <c r="F3335" t="str">
        <f t="shared" si="52"/>
        <v>INSERT INTO stock_alias (stock, alias) VALUES ((SELECT id FROM stock WHERE ticker = 'SOLA'), 'Xolare RCR Energy Tbk') ON CONFLICT DO NOTHING;</v>
      </c>
    </row>
    <row r="3336" spans="1:6" x14ac:dyDescent="0.2">
      <c r="A3336" t="s">
        <v>1143</v>
      </c>
      <c r="B3336" t="s">
        <v>3680</v>
      </c>
      <c r="C3336" t="s">
        <v>1143</v>
      </c>
      <c r="D3336" t="str">
        <f>TRIM(alias[[#This Row],[Column3]])</f>
        <v>SONA</v>
      </c>
      <c r="F3336" t="str">
        <f t="shared" si="52"/>
        <v>INSERT INTO stock_alias (stock, alias) VALUES ((SELECT id FROM stock WHERE ticker = 'SONA'), 'SONA') ON CONFLICT DO NOTHING;</v>
      </c>
    </row>
    <row r="3337" spans="1:6" x14ac:dyDescent="0.2">
      <c r="A3337" t="s">
        <v>1143</v>
      </c>
      <c r="B3337" t="s">
        <v>3680</v>
      </c>
      <c r="C3337" t="s">
        <v>7376</v>
      </c>
      <c r="D3337" t="str">
        <f>TRIM(alias[[#This Row],[Column3]])</f>
        <v>PT Sona Topas Tourism Industry</v>
      </c>
      <c r="F3337" t="str">
        <f t="shared" si="52"/>
        <v>INSERT INTO stock_alias (stock, alias) VALUES ((SELECT id FROM stock WHERE ticker = 'SONA'), 'PT Sona Topas Tourism Industry') ON CONFLICT DO NOTHING;</v>
      </c>
    </row>
    <row r="3338" spans="1:6" x14ac:dyDescent="0.2">
      <c r="A3338" t="s">
        <v>1143</v>
      </c>
      <c r="B3338" t="s">
        <v>3680</v>
      </c>
      <c r="C3338" t="s">
        <v>7377</v>
      </c>
      <c r="D3338" t="str">
        <f>TRIM(alias[[#This Row],[Column3]])</f>
        <v>Sona Topas Tourism Industry</v>
      </c>
      <c r="F3338" t="str">
        <f t="shared" si="52"/>
        <v>INSERT INTO stock_alias (stock, alias) VALUES ((SELECT id FROM stock WHERE ticker = 'SONA'), 'Sona Topas Tourism Industry') ON CONFLICT DO NOTHING;</v>
      </c>
    </row>
    <row r="3339" spans="1:6" x14ac:dyDescent="0.2">
      <c r="A3339" t="s">
        <v>1143</v>
      </c>
      <c r="B3339" t="s">
        <v>3680</v>
      </c>
      <c r="C3339" t="s">
        <v>7378</v>
      </c>
      <c r="D3339" t="str">
        <f>TRIM(alias[[#This Row],[Column3]])</f>
        <v>Sona Topas Tourism Industry Tbk</v>
      </c>
      <c r="F3339" t="str">
        <f t="shared" si="52"/>
        <v>INSERT INTO stock_alias (stock, alias) VALUES ((SELECT id FROM stock WHERE ticker = 'SONA'), 'Sona Topas Tourism Industry Tbk') ON CONFLICT DO NOTHING;</v>
      </c>
    </row>
    <row r="3340" spans="1:6" x14ac:dyDescent="0.2">
      <c r="A3340" t="s">
        <v>1617</v>
      </c>
      <c r="B3340" t="s">
        <v>1618</v>
      </c>
      <c r="C3340" t="s">
        <v>1617</v>
      </c>
      <c r="D3340" t="str">
        <f>TRIM(alias[[#This Row],[Column3]])</f>
        <v>SOSS</v>
      </c>
      <c r="F3340" t="str">
        <f t="shared" si="52"/>
        <v>INSERT INTO stock_alias (stock, alias) VALUES ((SELECT id FROM stock WHERE ticker = 'SOSS'), 'SOSS') ON CONFLICT DO NOTHING;</v>
      </c>
    </row>
    <row r="3341" spans="1:6" x14ac:dyDescent="0.2">
      <c r="A3341" t="s">
        <v>1617</v>
      </c>
      <c r="B3341" t="s">
        <v>1618</v>
      </c>
      <c r="C3341" t="s">
        <v>7379</v>
      </c>
      <c r="D3341" t="str">
        <f>TRIM(alias[[#This Row],[Column3]])</f>
        <v>PT Shield On Service</v>
      </c>
      <c r="F3341" t="str">
        <f t="shared" si="52"/>
        <v>INSERT INTO stock_alias (stock, alias) VALUES ((SELECT id FROM stock WHERE ticker = 'SOSS'), 'PT Shield On Service') ON CONFLICT DO NOTHING;</v>
      </c>
    </row>
    <row r="3342" spans="1:6" x14ac:dyDescent="0.2">
      <c r="A3342" t="s">
        <v>1617</v>
      </c>
      <c r="B3342" t="s">
        <v>1618</v>
      </c>
      <c r="C3342" t="s">
        <v>7380</v>
      </c>
      <c r="D3342" t="str">
        <f>TRIM(alias[[#This Row],[Column3]])</f>
        <v>Shield On Service</v>
      </c>
      <c r="F3342" t="str">
        <f t="shared" si="52"/>
        <v>INSERT INTO stock_alias (stock, alias) VALUES ((SELECT id FROM stock WHERE ticker = 'SOSS'), 'Shield On Service') ON CONFLICT DO NOTHING;</v>
      </c>
    </row>
    <row r="3343" spans="1:6" x14ac:dyDescent="0.2">
      <c r="A3343" t="s">
        <v>1617</v>
      </c>
      <c r="B3343" t="s">
        <v>1618</v>
      </c>
      <c r="C3343" t="s">
        <v>7381</v>
      </c>
      <c r="D3343" t="str">
        <f>TRIM(alias[[#This Row],[Column3]])</f>
        <v>Shield On Service Tbk</v>
      </c>
      <c r="F3343" t="str">
        <f t="shared" si="52"/>
        <v>INSERT INTO stock_alias (stock, alias) VALUES ((SELECT id FROM stock WHERE ticker = 'SOSS'), 'Shield On Service Tbk') ON CONFLICT DO NOTHING;</v>
      </c>
    </row>
    <row r="3344" spans="1:6" x14ac:dyDescent="0.2">
      <c r="A3344" t="s">
        <v>1633</v>
      </c>
      <c r="B3344" t="s">
        <v>1634</v>
      </c>
      <c r="C3344" t="s">
        <v>1633</v>
      </c>
      <c r="D3344" t="str">
        <f>TRIM(alias[[#This Row],[Column3]])</f>
        <v>SOTS</v>
      </c>
      <c r="F3344" t="str">
        <f t="shared" si="52"/>
        <v>INSERT INTO stock_alias (stock, alias) VALUES ((SELECT id FROM stock WHERE ticker = 'SOTS'), 'SOTS') ON CONFLICT DO NOTHING;</v>
      </c>
    </row>
    <row r="3345" spans="1:6" x14ac:dyDescent="0.2">
      <c r="A3345" t="s">
        <v>1633</v>
      </c>
      <c r="B3345" t="s">
        <v>1634</v>
      </c>
      <c r="C3345" t="s">
        <v>7382</v>
      </c>
      <c r="D3345" t="str">
        <f>TRIM(alias[[#This Row],[Column3]])</f>
        <v>PT Satria Mega Kencana</v>
      </c>
      <c r="F3345" t="str">
        <f t="shared" si="52"/>
        <v>INSERT INTO stock_alias (stock, alias) VALUES ((SELECT id FROM stock WHERE ticker = 'SOTS'), 'PT Satria Mega Kencana') ON CONFLICT DO NOTHING;</v>
      </c>
    </row>
    <row r="3346" spans="1:6" x14ac:dyDescent="0.2">
      <c r="A3346" t="s">
        <v>1633</v>
      </c>
      <c r="B3346" t="s">
        <v>1634</v>
      </c>
      <c r="C3346" t="s">
        <v>7383</v>
      </c>
      <c r="D3346" t="str">
        <f>TRIM(alias[[#This Row],[Column3]])</f>
        <v>Satria Mega Kencana</v>
      </c>
      <c r="F3346" t="str">
        <f t="shared" si="52"/>
        <v>INSERT INTO stock_alias (stock, alias) VALUES ((SELECT id FROM stock WHERE ticker = 'SOTS'), 'Satria Mega Kencana') ON CONFLICT DO NOTHING;</v>
      </c>
    </row>
    <row r="3347" spans="1:6" x14ac:dyDescent="0.2">
      <c r="A3347" t="s">
        <v>1633</v>
      </c>
      <c r="B3347" t="s">
        <v>1634</v>
      </c>
      <c r="C3347" t="s">
        <v>7384</v>
      </c>
      <c r="D3347" t="str">
        <f>TRIM(alias[[#This Row],[Column3]])</f>
        <v>Satria Mega Kencana Tbk</v>
      </c>
      <c r="F3347" t="str">
        <f t="shared" si="52"/>
        <v>INSERT INTO stock_alias (stock, alias) VALUES ((SELECT id FROM stock WHERE ticker = 'SOTS'), 'Satria Mega Kencana Tbk') ON CONFLICT DO NOTHING;</v>
      </c>
    </row>
    <row r="3348" spans="1:6" x14ac:dyDescent="0.2">
      <c r="A3348" t="s">
        <v>2216</v>
      </c>
      <c r="B3348" t="s">
        <v>2217</v>
      </c>
      <c r="C3348" t="s">
        <v>2216</v>
      </c>
      <c r="D3348" t="str">
        <f>TRIM(alias[[#This Row],[Column3]])</f>
        <v>SOUL</v>
      </c>
      <c r="F3348" t="str">
        <f t="shared" si="52"/>
        <v>INSERT INTO stock_alias (stock, alias) VALUES ((SELECT id FROM stock WHERE ticker = 'SOUL'), 'SOUL') ON CONFLICT DO NOTHING;</v>
      </c>
    </row>
    <row r="3349" spans="1:6" x14ac:dyDescent="0.2">
      <c r="A3349" t="s">
        <v>2216</v>
      </c>
      <c r="B3349" t="s">
        <v>2217</v>
      </c>
      <c r="C3349" t="s">
        <v>7385</v>
      </c>
      <c r="D3349" t="str">
        <f>TRIM(alias[[#This Row],[Column3]])</f>
        <v>Mitra Tirta Buwana</v>
      </c>
      <c r="F3349" t="str">
        <f t="shared" si="52"/>
        <v>INSERT INTO stock_alias (stock, alias) VALUES ((SELECT id FROM stock WHERE ticker = 'SOUL'), 'Mitra Tirta Buwana') ON CONFLICT DO NOTHING;</v>
      </c>
    </row>
    <row r="3350" spans="1:6" x14ac:dyDescent="0.2">
      <c r="A3350" t="s">
        <v>2216</v>
      </c>
      <c r="B3350" t="s">
        <v>2217</v>
      </c>
      <c r="C3350" t="s">
        <v>7386</v>
      </c>
      <c r="D3350" t="str">
        <f>TRIM(alias[[#This Row],[Column3]])</f>
        <v>Mitra Tirta Buwana Tbk</v>
      </c>
      <c r="F3350" t="str">
        <f t="shared" si="52"/>
        <v>INSERT INTO stock_alias (stock, alias) VALUES ((SELECT id FROM stock WHERE ticker = 'SOUL'), 'Mitra Tirta Buwana Tbk') ON CONFLICT DO NOTHING;</v>
      </c>
    </row>
    <row r="3351" spans="1:6" x14ac:dyDescent="0.2">
      <c r="A3351" t="s">
        <v>2216</v>
      </c>
      <c r="B3351" t="s">
        <v>2217</v>
      </c>
      <c r="C3351" t="s">
        <v>7387</v>
      </c>
      <c r="D3351" t="str">
        <f>TRIM(alias[[#This Row],[Column3]])</f>
        <v>PT Mitra Tirta Buwana</v>
      </c>
      <c r="F3351" t="str">
        <f t="shared" si="52"/>
        <v>INSERT INTO stock_alias (stock, alias) VALUES ((SELECT id FROM stock WHERE ticker = 'SOUL'), 'PT Mitra Tirta Buwana') ON CONFLICT DO NOTHING;</v>
      </c>
    </row>
    <row r="3352" spans="1:6" x14ac:dyDescent="0.2">
      <c r="A3352" t="s">
        <v>1145</v>
      </c>
      <c r="B3352" t="s">
        <v>1146</v>
      </c>
      <c r="C3352" t="s">
        <v>1145</v>
      </c>
      <c r="D3352" t="str">
        <f>TRIM(alias[[#This Row],[Column3]])</f>
        <v>SPMA</v>
      </c>
      <c r="F3352" t="str">
        <f t="shared" si="52"/>
        <v>INSERT INTO stock_alias (stock, alias) VALUES ((SELECT id FROM stock WHERE ticker = 'SPMA'), 'SPMA') ON CONFLICT DO NOTHING;</v>
      </c>
    </row>
    <row r="3353" spans="1:6" x14ac:dyDescent="0.2">
      <c r="A3353" t="s">
        <v>1145</v>
      </c>
      <c r="B3353" t="s">
        <v>1146</v>
      </c>
      <c r="C3353" t="s">
        <v>7388</v>
      </c>
      <c r="D3353" t="str">
        <f>TRIM(alias[[#This Row],[Column3]])</f>
        <v>PT Suparma Tbk</v>
      </c>
      <c r="F3353" t="str">
        <f t="shared" si="52"/>
        <v>INSERT INTO stock_alias (stock, alias) VALUES ((SELECT id FROM stock WHERE ticker = 'SPMA'), 'PT Suparma Tbk') ON CONFLICT DO NOTHING;</v>
      </c>
    </row>
    <row r="3354" spans="1:6" x14ac:dyDescent="0.2">
      <c r="A3354" t="s">
        <v>2466</v>
      </c>
      <c r="B3354" t="s">
        <v>2467</v>
      </c>
      <c r="C3354" t="s">
        <v>2466</v>
      </c>
      <c r="D3354" t="str">
        <f>TRIM(alias[[#This Row],[Column3]])</f>
        <v>SPRE</v>
      </c>
      <c r="F3354" t="str">
        <f t="shared" si="52"/>
        <v>INSERT INTO stock_alias (stock, alias) VALUES ((SELECT id FROM stock WHERE ticker = 'SPRE'), 'SPRE') ON CONFLICT DO NOTHING;</v>
      </c>
    </row>
    <row r="3355" spans="1:6" x14ac:dyDescent="0.2">
      <c r="A3355" t="s">
        <v>2466</v>
      </c>
      <c r="B3355" t="s">
        <v>2467</v>
      </c>
      <c r="C3355" t="s">
        <v>7389</v>
      </c>
      <c r="D3355" t="str">
        <f>TRIM(alias[[#This Row],[Column3]])</f>
        <v>PT Soraya Berjaya Indonesia</v>
      </c>
      <c r="F3355" t="str">
        <f t="shared" si="52"/>
        <v>INSERT INTO stock_alias (stock, alias) VALUES ((SELECT id FROM stock WHERE ticker = 'SPRE'), 'PT Soraya Berjaya Indonesia') ON CONFLICT DO NOTHING;</v>
      </c>
    </row>
    <row r="3356" spans="1:6" x14ac:dyDescent="0.2">
      <c r="A3356" t="s">
        <v>2466</v>
      </c>
      <c r="B3356" t="s">
        <v>2467</v>
      </c>
      <c r="C3356" t="s">
        <v>7390</v>
      </c>
      <c r="D3356" t="str">
        <f>TRIM(alias[[#This Row],[Column3]])</f>
        <v>Soraya Berjaya Indonesia</v>
      </c>
      <c r="F3356" t="str">
        <f t="shared" si="52"/>
        <v>INSERT INTO stock_alias (stock, alias) VALUES ((SELECT id FROM stock WHERE ticker = 'SPRE'), 'Soraya Berjaya Indonesia') ON CONFLICT DO NOTHING;</v>
      </c>
    </row>
    <row r="3357" spans="1:6" x14ac:dyDescent="0.2">
      <c r="A3357" t="s">
        <v>2466</v>
      </c>
      <c r="B3357" t="s">
        <v>2467</v>
      </c>
      <c r="C3357" t="s">
        <v>7391</v>
      </c>
      <c r="D3357" t="str">
        <f>TRIM(alias[[#This Row],[Column3]])</f>
        <v>Soraya Berjaya Indonesia Tbk</v>
      </c>
      <c r="F3357" t="str">
        <f t="shared" si="52"/>
        <v>INSERT INTO stock_alias (stock, alias) VALUES ((SELECT id FROM stock WHERE ticker = 'SPRE'), 'Soraya Berjaya Indonesia Tbk') ON CONFLICT DO NOTHING;</v>
      </c>
    </row>
    <row r="3358" spans="1:6" x14ac:dyDescent="0.2">
      <c r="A3358" t="s">
        <v>1518</v>
      </c>
      <c r="B3358" t="s">
        <v>1519</v>
      </c>
      <c r="C3358" t="s">
        <v>1518</v>
      </c>
      <c r="D3358" t="str">
        <f>TRIM(alias[[#This Row],[Column3]])</f>
        <v>SPTO</v>
      </c>
      <c r="F3358" t="str">
        <f t="shared" si="52"/>
        <v>INSERT INTO stock_alias (stock, alias) VALUES ((SELECT id FROM stock WHERE ticker = 'SPTO'), 'SPTO') ON CONFLICT DO NOTHING;</v>
      </c>
    </row>
    <row r="3359" spans="1:6" x14ac:dyDescent="0.2">
      <c r="A3359" t="s">
        <v>1518</v>
      </c>
      <c r="B3359" t="s">
        <v>1519</v>
      </c>
      <c r="C3359" t="s">
        <v>7392</v>
      </c>
      <c r="D3359" t="str">
        <f>TRIM(alias[[#This Row],[Column3]])</f>
        <v>PT Surya Pertiwi</v>
      </c>
      <c r="F3359" t="str">
        <f t="shared" si="52"/>
        <v>INSERT INTO stock_alias (stock, alias) VALUES ((SELECT id FROM stock WHERE ticker = 'SPTO'), 'PT Surya Pertiwi') ON CONFLICT DO NOTHING;</v>
      </c>
    </row>
    <row r="3360" spans="1:6" x14ac:dyDescent="0.2">
      <c r="A3360" t="s">
        <v>1518</v>
      </c>
      <c r="B3360" t="s">
        <v>1519</v>
      </c>
      <c r="C3360" t="s">
        <v>7393</v>
      </c>
      <c r="D3360" t="str">
        <f>TRIM(alias[[#This Row],[Column3]])</f>
        <v>Surya Pertiwi</v>
      </c>
      <c r="F3360" t="str">
        <f t="shared" si="52"/>
        <v>INSERT INTO stock_alias (stock, alias) VALUES ((SELECT id FROM stock WHERE ticker = 'SPTO'), 'Surya Pertiwi') ON CONFLICT DO NOTHING;</v>
      </c>
    </row>
    <row r="3361" spans="1:6" x14ac:dyDescent="0.2">
      <c r="A3361" t="s">
        <v>1518</v>
      </c>
      <c r="B3361" t="s">
        <v>1519</v>
      </c>
      <c r="C3361" t="s">
        <v>7394</v>
      </c>
      <c r="D3361" t="str">
        <f>TRIM(alias[[#This Row],[Column3]])</f>
        <v>Surya Pertiwi Tbk</v>
      </c>
      <c r="F3361" t="str">
        <f t="shared" si="52"/>
        <v>INSERT INTO stock_alias (stock, alias) VALUES ((SELECT id FROM stock WHERE ticker = 'SPTO'), 'Surya Pertiwi Tbk') ON CONFLICT DO NOTHING;</v>
      </c>
    </row>
    <row r="3362" spans="1:6" x14ac:dyDescent="0.2">
      <c r="A3362" t="s">
        <v>1148</v>
      </c>
      <c r="B3362" t="s">
        <v>1149</v>
      </c>
      <c r="C3362" t="s">
        <v>1148</v>
      </c>
      <c r="D3362" t="str">
        <f>TRIM(alias[[#This Row],[Column3]])</f>
        <v>SQMI</v>
      </c>
      <c r="F3362" t="str">
        <f t="shared" si="52"/>
        <v>INSERT INTO stock_alias (stock, alias) VALUES ((SELECT id FROM stock WHERE ticker = 'SQMI'), 'SQMI') ON CONFLICT DO NOTHING;</v>
      </c>
    </row>
    <row r="3363" spans="1:6" x14ac:dyDescent="0.2">
      <c r="A3363" t="s">
        <v>1148</v>
      </c>
      <c r="B3363" t="s">
        <v>1149</v>
      </c>
      <c r="C3363" t="s">
        <v>7395</v>
      </c>
      <c r="D3363" t="str">
        <f>TRIM(alias[[#This Row],[Column3]])</f>
        <v>PT Wilton Makmur Indonesia</v>
      </c>
      <c r="F3363" t="str">
        <f t="shared" si="52"/>
        <v>INSERT INTO stock_alias (stock, alias) VALUES ((SELECT id FROM stock WHERE ticker = 'SQMI'), 'PT Wilton Makmur Indonesia') ON CONFLICT DO NOTHING;</v>
      </c>
    </row>
    <row r="3364" spans="1:6" x14ac:dyDescent="0.2">
      <c r="A3364" t="s">
        <v>1148</v>
      </c>
      <c r="B3364" t="s">
        <v>1149</v>
      </c>
      <c r="C3364" t="s">
        <v>7396</v>
      </c>
      <c r="D3364" t="str">
        <f>TRIM(alias[[#This Row],[Column3]])</f>
        <v>Wilton Makmur Indonesia</v>
      </c>
      <c r="F3364" t="str">
        <f t="shared" si="52"/>
        <v>INSERT INTO stock_alias (stock, alias) VALUES ((SELECT id FROM stock WHERE ticker = 'SQMI'), 'Wilton Makmur Indonesia') ON CONFLICT DO NOTHING;</v>
      </c>
    </row>
    <row r="3365" spans="1:6" x14ac:dyDescent="0.2">
      <c r="A3365" t="s">
        <v>1148</v>
      </c>
      <c r="B3365" t="s">
        <v>1149</v>
      </c>
      <c r="C3365" t="s">
        <v>7397</v>
      </c>
      <c r="D3365" t="str">
        <f>TRIM(alias[[#This Row],[Column3]])</f>
        <v>Wilton Makmur Indonesia Tbk</v>
      </c>
      <c r="F3365" t="str">
        <f t="shared" si="52"/>
        <v>INSERT INTO stock_alias (stock, alias) VALUES ((SELECT id FROM stock WHERE ticker = 'SQMI'), 'Wilton Makmur Indonesia Tbk') ON CONFLICT DO NOTHING;</v>
      </c>
    </row>
    <row r="3366" spans="1:6" x14ac:dyDescent="0.2">
      <c r="A3366" t="s">
        <v>1151</v>
      </c>
      <c r="B3366" t="s">
        <v>1152</v>
      </c>
      <c r="C3366" t="s">
        <v>1151</v>
      </c>
      <c r="D3366" t="str">
        <f>TRIM(alias[[#This Row],[Column3]])</f>
        <v>SRAJ</v>
      </c>
      <c r="F3366" t="str">
        <f t="shared" si="52"/>
        <v>INSERT INTO stock_alias (stock, alias) VALUES ((SELECT id FROM stock WHERE ticker = 'SRAJ'), 'SRAJ') ON CONFLICT DO NOTHING;</v>
      </c>
    </row>
    <row r="3367" spans="1:6" x14ac:dyDescent="0.2">
      <c r="A3367" t="s">
        <v>1151</v>
      </c>
      <c r="B3367" t="s">
        <v>1152</v>
      </c>
      <c r="C3367" t="s">
        <v>7398</v>
      </c>
      <c r="D3367" t="str">
        <f>TRIM(alias[[#This Row],[Column3]])</f>
        <v>PT Sejahteraraya Anugrahjaya</v>
      </c>
      <c r="F3367" t="str">
        <f t="shared" si="52"/>
        <v>INSERT INTO stock_alias (stock, alias) VALUES ((SELECT id FROM stock WHERE ticker = 'SRAJ'), 'PT Sejahteraraya Anugrahjaya') ON CONFLICT DO NOTHING;</v>
      </c>
    </row>
    <row r="3368" spans="1:6" x14ac:dyDescent="0.2">
      <c r="A3368" t="s">
        <v>1151</v>
      </c>
      <c r="B3368" t="s">
        <v>1152</v>
      </c>
      <c r="C3368" t="s">
        <v>7399</v>
      </c>
      <c r="D3368" t="str">
        <f>TRIM(alias[[#This Row],[Column3]])</f>
        <v>Sejahteraraya Anugrahjaya</v>
      </c>
      <c r="F3368" t="str">
        <f t="shared" si="52"/>
        <v>INSERT INTO stock_alias (stock, alias) VALUES ((SELECT id FROM stock WHERE ticker = 'SRAJ'), 'Sejahteraraya Anugrahjaya') ON CONFLICT DO NOTHING;</v>
      </c>
    </row>
    <row r="3369" spans="1:6" x14ac:dyDescent="0.2">
      <c r="A3369" t="s">
        <v>1151</v>
      </c>
      <c r="B3369" t="s">
        <v>1152</v>
      </c>
      <c r="C3369" t="s">
        <v>7400</v>
      </c>
      <c r="D3369" t="str">
        <f>TRIM(alias[[#This Row],[Column3]])</f>
        <v>Sejahteraraya Anugrahjaya Tbk</v>
      </c>
      <c r="F3369" t="str">
        <f t="shared" si="52"/>
        <v>INSERT INTO stock_alias (stock, alias) VALUES ((SELECT id FROM stock WHERE ticker = 'SRAJ'), 'Sejahteraraya Anugrahjaya Tbk') ON CONFLICT DO NOTHING;</v>
      </c>
    </row>
    <row r="3370" spans="1:6" x14ac:dyDescent="0.2">
      <c r="A3370" t="s">
        <v>1154</v>
      </c>
      <c r="B3370" t="s">
        <v>1155</v>
      </c>
      <c r="C3370" t="s">
        <v>1154</v>
      </c>
      <c r="D3370" t="str">
        <f>TRIM(alias[[#This Row],[Column3]])</f>
        <v>SRIL</v>
      </c>
      <c r="F3370" t="str">
        <f t="shared" si="52"/>
        <v>INSERT INTO stock_alias (stock, alias) VALUES ((SELECT id FROM stock WHERE ticker = 'SRIL'), 'SRIL') ON CONFLICT DO NOTHING;</v>
      </c>
    </row>
    <row r="3371" spans="1:6" x14ac:dyDescent="0.2">
      <c r="A3371" t="s">
        <v>1154</v>
      </c>
      <c r="B3371" t="s">
        <v>1155</v>
      </c>
      <c r="C3371" t="s">
        <v>7401</v>
      </c>
      <c r="D3371" t="str">
        <f>TRIM(alias[[#This Row],[Column3]])</f>
        <v>PT Sri Rejeki Isman</v>
      </c>
      <c r="F3371" t="str">
        <f t="shared" si="52"/>
        <v>INSERT INTO stock_alias (stock, alias) VALUES ((SELECT id FROM stock WHERE ticker = 'SRIL'), 'PT Sri Rejeki Isman') ON CONFLICT DO NOTHING;</v>
      </c>
    </row>
    <row r="3372" spans="1:6" x14ac:dyDescent="0.2">
      <c r="A3372" t="s">
        <v>1154</v>
      </c>
      <c r="B3372" t="s">
        <v>1155</v>
      </c>
      <c r="C3372" t="s">
        <v>7402</v>
      </c>
      <c r="D3372" t="str">
        <f>TRIM(alias[[#This Row],[Column3]])</f>
        <v>Sri Rejeki Isman</v>
      </c>
      <c r="F3372" t="str">
        <f t="shared" si="52"/>
        <v>INSERT INTO stock_alias (stock, alias) VALUES ((SELECT id FROM stock WHERE ticker = 'SRIL'), 'Sri Rejeki Isman') ON CONFLICT DO NOTHING;</v>
      </c>
    </row>
    <row r="3373" spans="1:6" x14ac:dyDescent="0.2">
      <c r="A3373" t="s">
        <v>1154</v>
      </c>
      <c r="B3373" t="s">
        <v>1155</v>
      </c>
      <c r="C3373" t="s">
        <v>7403</v>
      </c>
      <c r="D3373" t="str">
        <f>TRIM(alias[[#This Row],[Column3]])</f>
        <v>Sri Rejeki Isman Tbk</v>
      </c>
      <c r="F3373" t="str">
        <f t="shared" si="52"/>
        <v>INSERT INTO stock_alias (stock, alias) VALUES ((SELECT id FROM stock WHERE ticker = 'SRIL'), 'Sri Rejeki Isman Tbk') ON CONFLICT DO NOTHING;</v>
      </c>
    </row>
    <row r="3374" spans="1:6" x14ac:dyDescent="0.2">
      <c r="A3374" t="s">
        <v>1157</v>
      </c>
      <c r="B3374" t="s">
        <v>3681</v>
      </c>
      <c r="C3374" t="s">
        <v>1157</v>
      </c>
      <c r="D3374" t="str">
        <f>TRIM(alias[[#This Row],[Column3]])</f>
        <v>SRSN</v>
      </c>
      <c r="F3374" t="str">
        <f t="shared" si="52"/>
        <v>INSERT INTO stock_alias (stock, alias) VALUES ((SELECT id FROM stock WHERE ticker = 'SRSN'), 'SRSN') ON CONFLICT DO NOTHING;</v>
      </c>
    </row>
    <row r="3375" spans="1:6" x14ac:dyDescent="0.2">
      <c r="A3375" t="s">
        <v>1157</v>
      </c>
      <c r="B3375" t="s">
        <v>3681</v>
      </c>
      <c r="C3375" t="s">
        <v>7404</v>
      </c>
      <c r="D3375" t="str">
        <f>TRIM(alias[[#This Row],[Column3]])</f>
        <v>Indo Acidatama</v>
      </c>
      <c r="F3375" t="str">
        <f t="shared" si="52"/>
        <v>INSERT INTO stock_alias (stock, alias) VALUES ((SELECT id FROM stock WHERE ticker = 'SRSN'), 'Indo Acidatama') ON CONFLICT DO NOTHING;</v>
      </c>
    </row>
    <row r="3376" spans="1:6" x14ac:dyDescent="0.2">
      <c r="A3376" t="s">
        <v>1157</v>
      </c>
      <c r="B3376" t="s">
        <v>3681</v>
      </c>
      <c r="C3376" t="s">
        <v>7405</v>
      </c>
      <c r="D3376" t="str">
        <f>TRIM(alias[[#This Row],[Column3]])</f>
        <v>Indo Acidatama Tbk</v>
      </c>
      <c r="F3376" t="str">
        <f t="shared" si="52"/>
        <v>INSERT INTO stock_alias (stock, alias) VALUES ((SELECT id FROM stock WHERE ticker = 'SRSN'), 'Indo Acidatama Tbk') ON CONFLICT DO NOTHING;</v>
      </c>
    </row>
    <row r="3377" spans="1:6" x14ac:dyDescent="0.2">
      <c r="A3377" t="s">
        <v>1157</v>
      </c>
      <c r="B3377" t="s">
        <v>3681</v>
      </c>
      <c r="C3377" t="s">
        <v>7406</v>
      </c>
      <c r="D3377" t="str">
        <f>TRIM(alias[[#This Row],[Column3]])</f>
        <v>PT Indo Acidatama</v>
      </c>
      <c r="F3377" t="str">
        <f t="shared" si="52"/>
        <v>INSERT INTO stock_alias (stock, alias) VALUES ((SELECT id FROM stock WHERE ticker = 'SRSN'), 'PT Indo Acidatama') ON CONFLICT DO NOTHING;</v>
      </c>
    </row>
    <row r="3378" spans="1:6" x14ac:dyDescent="0.2">
      <c r="A3378" t="s">
        <v>1160</v>
      </c>
      <c r="B3378" t="s">
        <v>1161</v>
      </c>
      <c r="C3378" t="s">
        <v>1160</v>
      </c>
      <c r="D3378" t="str">
        <f>TRIM(alias[[#This Row],[Column3]])</f>
        <v>SRTG</v>
      </c>
      <c r="F3378" t="str">
        <f t="shared" si="52"/>
        <v>INSERT INTO stock_alias (stock, alias) VALUES ((SELECT id FROM stock WHERE ticker = 'SRTG'), 'SRTG') ON CONFLICT DO NOTHING;</v>
      </c>
    </row>
    <row r="3379" spans="1:6" x14ac:dyDescent="0.2">
      <c r="A3379" t="s">
        <v>1160</v>
      </c>
      <c r="B3379" t="s">
        <v>1161</v>
      </c>
      <c r="C3379" t="s">
        <v>7407</v>
      </c>
      <c r="D3379" t="str">
        <f>TRIM(alias[[#This Row],[Column3]])</f>
        <v>PT Saratoga Investama Sedaya</v>
      </c>
      <c r="F3379" t="str">
        <f t="shared" si="52"/>
        <v>INSERT INTO stock_alias (stock, alias) VALUES ((SELECT id FROM stock WHERE ticker = 'SRTG'), 'PT Saratoga Investama Sedaya') ON CONFLICT DO NOTHING;</v>
      </c>
    </row>
    <row r="3380" spans="1:6" x14ac:dyDescent="0.2">
      <c r="A3380" t="s">
        <v>1160</v>
      </c>
      <c r="B3380" t="s">
        <v>1161</v>
      </c>
      <c r="C3380" t="s">
        <v>7408</v>
      </c>
      <c r="D3380" t="str">
        <f>TRIM(alias[[#This Row],[Column3]])</f>
        <v>Saratoga Investama Sedaya</v>
      </c>
      <c r="F3380" t="str">
        <f t="shared" si="52"/>
        <v>INSERT INTO stock_alias (stock, alias) VALUES ((SELECT id FROM stock WHERE ticker = 'SRTG'), 'Saratoga Investama Sedaya') ON CONFLICT DO NOTHING;</v>
      </c>
    </row>
    <row r="3381" spans="1:6" x14ac:dyDescent="0.2">
      <c r="A3381" t="s">
        <v>1160</v>
      </c>
      <c r="B3381" t="s">
        <v>1161</v>
      </c>
      <c r="C3381" t="s">
        <v>7409</v>
      </c>
      <c r="D3381" t="str">
        <f>TRIM(alias[[#This Row],[Column3]])</f>
        <v>Saratoga Investama Sedaya Tbk</v>
      </c>
      <c r="F3381" t="str">
        <f t="shared" si="52"/>
        <v>INSERT INTO stock_alias (stock, alias) VALUES ((SELECT id FROM stock WHERE ticker = 'SRTG'), 'Saratoga Investama Sedaya Tbk') ON CONFLICT DO NOTHING;</v>
      </c>
    </row>
    <row r="3382" spans="1:6" x14ac:dyDescent="0.2">
      <c r="A3382" t="s">
        <v>1163</v>
      </c>
      <c r="B3382" t="s">
        <v>1164</v>
      </c>
      <c r="C3382" t="s">
        <v>1163</v>
      </c>
      <c r="D3382" t="str">
        <f>TRIM(alias[[#This Row],[Column3]])</f>
        <v>SSIA</v>
      </c>
      <c r="F3382" t="str">
        <f t="shared" si="52"/>
        <v>INSERT INTO stock_alias (stock, alias) VALUES ((SELECT id FROM stock WHERE ticker = 'SSIA'), 'SSIA') ON CONFLICT DO NOTHING;</v>
      </c>
    </row>
    <row r="3383" spans="1:6" x14ac:dyDescent="0.2">
      <c r="A3383" t="s">
        <v>1163</v>
      </c>
      <c r="B3383" t="s">
        <v>1164</v>
      </c>
      <c r="C3383" t="s">
        <v>7410</v>
      </c>
      <c r="D3383" t="str">
        <f>TRIM(alias[[#This Row],[Column3]])</f>
        <v>PT Surya Semesta Internusa</v>
      </c>
      <c r="F3383" t="str">
        <f t="shared" si="52"/>
        <v>INSERT INTO stock_alias (stock, alias) VALUES ((SELECT id FROM stock WHERE ticker = 'SSIA'), 'PT Surya Semesta Internusa') ON CONFLICT DO NOTHING;</v>
      </c>
    </row>
    <row r="3384" spans="1:6" x14ac:dyDescent="0.2">
      <c r="A3384" t="s">
        <v>1163</v>
      </c>
      <c r="B3384" t="s">
        <v>1164</v>
      </c>
      <c r="C3384" t="s">
        <v>7411</v>
      </c>
      <c r="D3384" t="str">
        <f>TRIM(alias[[#This Row],[Column3]])</f>
        <v>Surya Semesta Internusa</v>
      </c>
      <c r="F3384" t="str">
        <f t="shared" si="52"/>
        <v>INSERT INTO stock_alias (stock, alias) VALUES ((SELECT id FROM stock WHERE ticker = 'SSIA'), 'Surya Semesta Internusa') ON CONFLICT DO NOTHING;</v>
      </c>
    </row>
    <row r="3385" spans="1:6" x14ac:dyDescent="0.2">
      <c r="A3385" t="s">
        <v>1163</v>
      </c>
      <c r="B3385" t="s">
        <v>1164</v>
      </c>
      <c r="C3385" t="s">
        <v>7412</v>
      </c>
      <c r="D3385" t="str">
        <f>TRIM(alias[[#This Row],[Column3]])</f>
        <v>Surya Semesta Internusa Tbk</v>
      </c>
      <c r="F3385" t="str">
        <f t="shared" si="52"/>
        <v>INSERT INTO stock_alias (stock, alias) VALUES ((SELECT id FROM stock WHERE ticker = 'SSIA'), 'Surya Semesta Internusa Tbk') ON CONFLICT DO NOTHING;</v>
      </c>
    </row>
    <row r="3386" spans="1:6" x14ac:dyDescent="0.2">
      <c r="A3386" t="s">
        <v>1166</v>
      </c>
      <c r="B3386" t="s">
        <v>1167</v>
      </c>
      <c r="C3386" t="s">
        <v>1166</v>
      </c>
      <c r="D3386" t="str">
        <f>TRIM(alias[[#This Row],[Column3]])</f>
        <v>SSMS</v>
      </c>
      <c r="F3386" t="str">
        <f t="shared" si="52"/>
        <v>INSERT INTO stock_alias (stock, alias) VALUES ((SELECT id FROM stock WHERE ticker = 'SSMS'), 'SSMS') ON CONFLICT DO NOTHING;</v>
      </c>
    </row>
    <row r="3387" spans="1:6" x14ac:dyDescent="0.2">
      <c r="A3387" t="s">
        <v>1166</v>
      </c>
      <c r="B3387" t="s">
        <v>1167</v>
      </c>
      <c r="C3387" t="s">
        <v>7413</v>
      </c>
      <c r="D3387" t="str">
        <f>TRIM(alias[[#This Row],[Column3]])</f>
        <v>PT Sawit Sumbermas Sarana</v>
      </c>
      <c r="F3387" t="str">
        <f t="shared" si="52"/>
        <v>INSERT INTO stock_alias (stock, alias) VALUES ((SELECT id FROM stock WHERE ticker = 'SSMS'), 'PT Sawit Sumbermas Sarana') ON CONFLICT DO NOTHING;</v>
      </c>
    </row>
    <row r="3388" spans="1:6" x14ac:dyDescent="0.2">
      <c r="A3388" t="s">
        <v>1166</v>
      </c>
      <c r="B3388" t="s">
        <v>1167</v>
      </c>
      <c r="C3388" t="s">
        <v>7414</v>
      </c>
      <c r="D3388" t="str">
        <f>TRIM(alias[[#This Row],[Column3]])</f>
        <v>Sawit Sumbermas Sarana</v>
      </c>
      <c r="F3388" t="str">
        <f t="shared" si="52"/>
        <v>INSERT INTO stock_alias (stock, alias) VALUES ((SELECT id FROM stock WHERE ticker = 'SSMS'), 'Sawit Sumbermas Sarana') ON CONFLICT DO NOTHING;</v>
      </c>
    </row>
    <row r="3389" spans="1:6" x14ac:dyDescent="0.2">
      <c r="A3389" t="s">
        <v>1166</v>
      </c>
      <c r="B3389" t="s">
        <v>1167</v>
      </c>
      <c r="C3389" t="s">
        <v>7415</v>
      </c>
      <c r="D3389" t="str">
        <f>TRIM(alias[[#This Row],[Column3]])</f>
        <v>Sawit Sumbermas Sarana Tbk</v>
      </c>
      <c r="F3389" t="str">
        <f t="shared" si="52"/>
        <v>INSERT INTO stock_alias (stock, alias) VALUES ((SELECT id FROM stock WHERE ticker = 'SSMS'), 'Sawit Sumbermas Sarana Tbk') ON CONFLICT DO NOTHING;</v>
      </c>
    </row>
    <row r="3390" spans="1:6" x14ac:dyDescent="0.2">
      <c r="A3390" t="s">
        <v>1169</v>
      </c>
      <c r="B3390" t="s">
        <v>3682</v>
      </c>
      <c r="C3390" t="s">
        <v>1169</v>
      </c>
      <c r="D3390" t="str">
        <f>TRIM(alias[[#This Row],[Column3]])</f>
        <v>SSTM</v>
      </c>
      <c r="F3390" t="str">
        <f t="shared" si="52"/>
        <v>INSERT INTO stock_alias (stock, alias) VALUES ((SELECT id FROM stock WHERE ticker = 'SSTM'), 'SSTM') ON CONFLICT DO NOTHING;</v>
      </c>
    </row>
    <row r="3391" spans="1:6" x14ac:dyDescent="0.2">
      <c r="A3391" t="s">
        <v>1169</v>
      </c>
      <c r="B3391" t="s">
        <v>3682</v>
      </c>
      <c r="C3391" t="s">
        <v>7416</v>
      </c>
      <c r="D3391" t="str">
        <f>TRIM(alias[[#This Row],[Column3]])</f>
        <v>PT Sunson Textile Manufacture</v>
      </c>
      <c r="F3391" t="str">
        <f t="shared" si="52"/>
        <v>INSERT INTO stock_alias (stock, alias) VALUES ((SELECT id FROM stock WHERE ticker = 'SSTM'), 'PT Sunson Textile Manufacture') ON CONFLICT DO NOTHING;</v>
      </c>
    </row>
    <row r="3392" spans="1:6" x14ac:dyDescent="0.2">
      <c r="A3392" t="s">
        <v>1169</v>
      </c>
      <c r="B3392" t="s">
        <v>3682</v>
      </c>
      <c r="C3392" t="s">
        <v>7417</v>
      </c>
      <c r="D3392" t="str">
        <f>TRIM(alias[[#This Row],[Column3]])</f>
        <v>Sunson Textile Manufacture</v>
      </c>
      <c r="F3392" t="str">
        <f t="shared" si="52"/>
        <v>INSERT INTO stock_alias (stock, alias) VALUES ((SELECT id FROM stock WHERE ticker = 'SSTM'), 'Sunson Textile Manufacture') ON CONFLICT DO NOTHING;</v>
      </c>
    </row>
    <row r="3393" spans="1:6" x14ac:dyDescent="0.2">
      <c r="A3393" t="s">
        <v>1169</v>
      </c>
      <c r="B3393" t="s">
        <v>3682</v>
      </c>
      <c r="C3393" t="s">
        <v>7418</v>
      </c>
      <c r="D3393" t="str">
        <f>TRIM(alias[[#This Row],[Column3]])</f>
        <v>Sunson Textile Manufacture Tbk</v>
      </c>
      <c r="F3393" t="str">
        <f t="shared" si="52"/>
        <v>INSERT INTO stock_alias (stock, alias) VALUES ((SELECT id FROM stock WHERE ticker = 'SSTM'), 'Sunson Textile Manufacture Tbk') ON CONFLICT DO NOTHING;</v>
      </c>
    </row>
    <row r="3394" spans="1:6" x14ac:dyDescent="0.2">
      <c r="A3394" t="s">
        <v>2083</v>
      </c>
      <c r="B3394" t="s">
        <v>3683</v>
      </c>
      <c r="C3394" t="s">
        <v>2083</v>
      </c>
      <c r="D3394" t="str">
        <f>TRIM(alias[[#This Row],[Column3]])</f>
        <v>STAA</v>
      </c>
      <c r="F3394" t="str">
        <f t="shared" si="52"/>
        <v>INSERT INTO stock_alias (stock, alias) VALUES ((SELECT id FROM stock WHERE ticker = 'STAA'), 'STAA') ON CONFLICT DO NOTHING;</v>
      </c>
    </row>
    <row r="3395" spans="1:6" x14ac:dyDescent="0.2">
      <c r="A3395" t="s">
        <v>2083</v>
      </c>
      <c r="B3395" t="s">
        <v>3683</v>
      </c>
      <c r="C3395" t="s">
        <v>7419</v>
      </c>
      <c r="D3395" t="str">
        <f>TRIM(alias[[#This Row],[Column3]])</f>
        <v>PT Sumber Tani Agung Resources</v>
      </c>
      <c r="F3395" t="str">
        <f t="shared" ref="F3395:F3458" si="53">_xlfn.CONCAT($F$1, _xlfn.CONCAT($G$1, A3395, "'), '", D3395, "') ON CONFLICT DO NOTHING;"))</f>
        <v>INSERT INTO stock_alias (stock, alias) VALUES ((SELECT id FROM stock WHERE ticker = 'STAA'), 'PT Sumber Tani Agung Resources') ON CONFLICT DO NOTHING;</v>
      </c>
    </row>
    <row r="3396" spans="1:6" x14ac:dyDescent="0.2">
      <c r="A3396" t="s">
        <v>2083</v>
      </c>
      <c r="B3396" t="s">
        <v>3683</v>
      </c>
      <c r="C3396" t="s">
        <v>7420</v>
      </c>
      <c r="D3396" t="str">
        <f>TRIM(alias[[#This Row],[Column3]])</f>
        <v>Sumber Tani Agung Resources</v>
      </c>
      <c r="F3396" t="str">
        <f t="shared" si="53"/>
        <v>INSERT INTO stock_alias (stock, alias) VALUES ((SELECT id FROM stock WHERE ticker = 'STAA'), 'Sumber Tani Agung Resources') ON CONFLICT DO NOTHING;</v>
      </c>
    </row>
    <row r="3397" spans="1:6" x14ac:dyDescent="0.2">
      <c r="A3397" t="s">
        <v>2083</v>
      </c>
      <c r="B3397" t="s">
        <v>3683</v>
      </c>
      <c r="C3397" t="s">
        <v>7421</v>
      </c>
      <c r="D3397" t="str">
        <f>TRIM(alias[[#This Row],[Column3]])</f>
        <v>Sumber Tani Agung Resources Tbk</v>
      </c>
      <c r="F3397" t="str">
        <f t="shared" si="53"/>
        <v>INSERT INTO stock_alias (stock, alias) VALUES ((SELECT id FROM stock WHERE ticker = 'STAA'), 'Sumber Tani Agung Resources Tbk') ON CONFLICT DO NOTHING;</v>
      </c>
    </row>
    <row r="3398" spans="1:6" x14ac:dyDescent="0.2">
      <c r="A3398" t="s">
        <v>1171</v>
      </c>
      <c r="B3398" t="s">
        <v>1172</v>
      </c>
      <c r="C3398" t="s">
        <v>1171</v>
      </c>
      <c r="D3398" t="str">
        <f>TRIM(alias[[#This Row],[Column3]])</f>
        <v>STAR</v>
      </c>
      <c r="F3398" t="str">
        <f t="shared" si="53"/>
        <v>INSERT INTO stock_alias (stock, alias) VALUES ((SELECT id FROM stock WHERE ticker = 'STAR'), 'STAR') ON CONFLICT DO NOTHING;</v>
      </c>
    </row>
    <row r="3399" spans="1:6" x14ac:dyDescent="0.2">
      <c r="A3399" t="s">
        <v>1171</v>
      </c>
      <c r="B3399" t="s">
        <v>1172</v>
      </c>
      <c r="C3399" t="s">
        <v>7422</v>
      </c>
      <c r="D3399" t="str">
        <f>TRIM(alias[[#This Row],[Column3]])</f>
        <v>Buana Artha Anugerah</v>
      </c>
      <c r="F3399" t="str">
        <f t="shared" si="53"/>
        <v>INSERT INTO stock_alias (stock, alias) VALUES ((SELECT id FROM stock WHERE ticker = 'STAR'), 'Buana Artha Anugerah') ON CONFLICT DO NOTHING;</v>
      </c>
    </row>
    <row r="3400" spans="1:6" x14ac:dyDescent="0.2">
      <c r="A3400" t="s">
        <v>1171</v>
      </c>
      <c r="B3400" t="s">
        <v>1172</v>
      </c>
      <c r="C3400" t="s">
        <v>7423</v>
      </c>
      <c r="D3400" t="str">
        <f>TRIM(alias[[#This Row],[Column3]])</f>
        <v>Buana Artha Anugerah Tbk</v>
      </c>
      <c r="F3400" t="str">
        <f t="shared" si="53"/>
        <v>INSERT INTO stock_alias (stock, alias) VALUES ((SELECT id FROM stock WHERE ticker = 'STAR'), 'Buana Artha Anugerah Tbk') ON CONFLICT DO NOTHING;</v>
      </c>
    </row>
    <row r="3401" spans="1:6" x14ac:dyDescent="0.2">
      <c r="A3401" t="s">
        <v>1171</v>
      </c>
      <c r="B3401" t="s">
        <v>1172</v>
      </c>
      <c r="C3401" t="s">
        <v>7424</v>
      </c>
      <c r="D3401" t="str">
        <f>TRIM(alias[[#This Row],[Column3]])</f>
        <v>PT Buana Artha Anugerah</v>
      </c>
      <c r="F3401" t="str">
        <f t="shared" si="53"/>
        <v>INSERT INTO stock_alias (stock, alias) VALUES ((SELECT id FROM stock WHERE ticker = 'STAR'), 'PT Buana Artha Anugerah') ON CONFLICT DO NOTHING;</v>
      </c>
    </row>
    <row r="3402" spans="1:6" x14ac:dyDescent="0.2">
      <c r="A3402" t="s">
        <v>2390</v>
      </c>
      <c r="B3402" t="s">
        <v>2391</v>
      </c>
      <c r="C3402" t="s">
        <v>2390</v>
      </c>
      <c r="D3402" t="str">
        <f>TRIM(alias[[#This Row],[Column3]])</f>
        <v>STRK</v>
      </c>
      <c r="F3402" t="str">
        <f t="shared" si="53"/>
        <v>INSERT INTO stock_alias (stock, alias) VALUES ((SELECT id FROM stock WHERE ticker = 'STRK'), 'STRK') ON CONFLICT DO NOTHING;</v>
      </c>
    </row>
    <row r="3403" spans="1:6" x14ac:dyDescent="0.2">
      <c r="A3403" t="s">
        <v>2390</v>
      </c>
      <c r="B3403" t="s">
        <v>2391</v>
      </c>
      <c r="C3403" t="s">
        <v>7425</v>
      </c>
      <c r="D3403" t="str">
        <f>TRIM(alias[[#This Row],[Column3]])</f>
        <v>Lovina Beach Brewery</v>
      </c>
      <c r="F3403" t="str">
        <f t="shared" si="53"/>
        <v>INSERT INTO stock_alias (stock, alias) VALUES ((SELECT id FROM stock WHERE ticker = 'STRK'), 'Lovina Beach Brewery') ON CONFLICT DO NOTHING;</v>
      </c>
    </row>
    <row r="3404" spans="1:6" x14ac:dyDescent="0.2">
      <c r="A3404" t="s">
        <v>2390</v>
      </c>
      <c r="B3404" t="s">
        <v>2391</v>
      </c>
      <c r="C3404" t="s">
        <v>7426</v>
      </c>
      <c r="D3404" t="str">
        <f>TRIM(alias[[#This Row],[Column3]])</f>
        <v>Lovina Beach Brewery Tbk</v>
      </c>
      <c r="F3404" t="str">
        <f t="shared" si="53"/>
        <v>INSERT INTO stock_alias (stock, alias) VALUES ((SELECT id FROM stock WHERE ticker = 'STRK'), 'Lovina Beach Brewery Tbk') ON CONFLICT DO NOTHING;</v>
      </c>
    </row>
    <row r="3405" spans="1:6" x14ac:dyDescent="0.2">
      <c r="A3405" t="s">
        <v>2390</v>
      </c>
      <c r="B3405" t="s">
        <v>2391</v>
      </c>
      <c r="C3405" t="s">
        <v>7427</v>
      </c>
      <c r="D3405" t="str">
        <f>TRIM(alias[[#This Row],[Column3]])</f>
        <v>PT Lovina Beach Brewery</v>
      </c>
      <c r="F3405" t="str">
        <f t="shared" si="53"/>
        <v>INSERT INTO stock_alias (stock, alias) VALUES ((SELECT id FROM stock WHERE ticker = 'STRK'), 'PT Lovina Beach Brewery') ON CONFLICT DO NOTHING;</v>
      </c>
    </row>
    <row r="3406" spans="1:6" x14ac:dyDescent="0.2">
      <c r="A3406" t="s">
        <v>1174</v>
      </c>
      <c r="B3406" t="s">
        <v>1175</v>
      </c>
      <c r="C3406" t="s">
        <v>1174</v>
      </c>
      <c r="D3406" t="str">
        <f>TRIM(alias[[#This Row],[Column3]])</f>
        <v>STTP</v>
      </c>
      <c r="F3406" t="str">
        <f t="shared" si="53"/>
        <v>INSERT INTO stock_alias (stock, alias) VALUES ((SELECT id FROM stock WHERE ticker = 'STTP'), 'STTP') ON CONFLICT DO NOTHING;</v>
      </c>
    </row>
    <row r="3407" spans="1:6" x14ac:dyDescent="0.2">
      <c r="A3407" t="s">
        <v>1174</v>
      </c>
      <c r="B3407" t="s">
        <v>1175</v>
      </c>
      <c r="C3407" t="s">
        <v>7428</v>
      </c>
      <c r="D3407" t="str">
        <f>TRIM(alias[[#This Row],[Column3]])</f>
        <v>PT Siantar Top</v>
      </c>
      <c r="F3407" t="str">
        <f t="shared" si="53"/>
        <v>INSERT INTO stock_alias (stock, alias) VALUES ((SELECT id FROM stock WHERE ticker = 'STTP'), 'PT Siantar Top') ON CONFLICT DO NOTHING;</v>
      </c>
    </row>
    <row r="3408" spans="1:6" x14ac:dyDescent="0.2">
      <c r="A3408" t="s">
        <v>1174</v>
      </c>
      <c r="B3408" t="s">
        <v>1175</v>
      </c>
      <c r="C3408" t="s">
        <v>7429</v>
      </c>
      <c r="D3408" t="str">
        <f>TRIM(alias[[#This Row],[Column3]])</f>
        <v>Siantar Top</v>
      </c>
      <c r="F3408" t="str">
        <f t="shared" si="53"/>
        <v>INSERT INTO stock_alias (stock, alias) VALUES ((SELECT id FROM stock WHERE ticker = 'STTP'), 'Siantar Top') ON CONFLICT DO NOTHING;</v>
      </c>
    </row>
    <row r="3409" spans="1:6" x14ac:dyDescent="0.2">
      <c r="A3409" t="s">
        <v>1174</v>
      </c>
      <c r="B3409" t="s">
        <v>1175</v>
      </c>
      <c r="C3409" t="s">
        <v>7430</v>
      </c>
      <c r="D3409" t="str">
        <f>TRIM(alias[[#This Row],[Column3]])</f>
        <v>Siantar Top Tbk</v>
      </c>
      <c r="F3409" t="str">
        <f t="shared" si="53"/>
        <v>INSERT INTO stock_alias (stock, alias) VALUES ((SELECT id FROM stock WHERE ticker = 'STTP'), 'Siantar Top Tbk') ON CONFLICT DO NOTHING;</v>
      </c>
    </row>
    <row r="3410" spans="1:6" x14ac:dyDescent="0.2">
      <c r="A3410" t="s">
        <v>1177</v>
      </c>
      <c r="B3410" t="s">
        <v>1178</v>
      </c>
      <c r="C3410" t="s">
        <v>1177</v>
      </c>
      <c r="D3410" t="str">
        <f>TRIM(alias[[#This Row],[Column3]])</f>
        <v>SUGI</v>
      </c>
      <c r="F3410" t="str">
        <f t="shared" si="53"/>
        <v>INSERT INTO stock_alias (stock, alias) VALUES ((SELECT id FROM stock WHERE ticker = 'SUGI'), 'SUGI') ON CONFLICT DO NOTHING;</v>
      </c>
    </row>
    <row r="3411" spans="1:6" x14ac:dyDescent="0.2">
      <c r="A3411" t="s">
        <v>1177</v>
      </c>
      <c r="B3411" t="s">
        <v>1178</v>
      </c>
      <c r="C3411" t="s">
        <v>7431</v>
      </c>
      <c r="D3411" t="str">
        <f>TRIM(alias[[#This Row],[Column3]])</f>
        <v>PT Sugih Energy</v>
      </c>
      <c r="F3411" t="str">
        <f t="shared" si="53"/>
        <v>INSERT INTO stock_alias (stock, alias) VALUES ((SELECT id FROM stock WHERE ticker = 'SUGI'), 'PT Sugih Energy') ON CONFLICT DO NOTHING;</v>
      </c>
    </row>
    <row r="3412" spans="1:6" x14ac:dyDescent="0.2">
      <c r="A3412" t="s">
        <v>1177</v>
      </c>
      <c r="B3412" t="s">
        <v>1178</v>
      </c>
      <c r="C3412" t="s">
        <v>7432</v>
      </c>
      <c r="D3412" t="str">
        <f>TRIM(alias[[#This Row],[Column3]])</f>
        <v>Sugih Energy</v>
      </c>
      <c r="F3412" t="str">
        <f t="shared" si="53"/>
        <v>INSERT INTO stock_alias (stock, alias) VALUES ((SELECT id FROM stock WHERE ticker = 'SUGI'), 'Sugih Energy') ON CONFLICT DO NOTHING;</v>
      </c>
    </row>
    <row r="3413" spans="1:6" x14ac:dyDescent="0.2">
      <c r="A3413" t="s">
        <v>1177</v>
      </c>
      <c r="B3413" t="s">
        <v>1178</v>
      </c>
      <c r="C3413" t="s">
        <v>7433</v>
      </c>
      <c r="D3413" t="str">
        <f>TRIM(alias[[#This Row],[Column3]])</f>
        <v>Sugih Energy Tbk</v>
      </c>
      <c r="F3413" t="str">
        <f t="shared" si="53"/>
        <v>INSERT INTO stock_alias (stock, alias) VALUES ((SELECT id FROM stock WHERE ticker = 'SUGI'), 'Sugih Energy Tbk') ON CONFLICT DO NOTHING;</v>
      </c>
    </row>
    <row r="3414" spans="1:6" x14ac:dyDescent="0.2">
      <c r="A3414" t="s">
        <v>1180</v>
      </c>
      <c r="B3414" t="s">
        <v>1181</v>
      </c>
      <c r="C3414" t="s">
        <v>1180</v>
      </c>
      <c r="D3414" t="str">
        <f>TRIM(alias[[#This Row],[Column3]])</f>
        <v>SULI</v>
      </c>
      <c r="F3414" t="str">
        <f t="shared" si="53"/>
        <v>INSERT INTO stock_alias (stock, alias) VALUES ((SELECT id FROM stock WHERE ticker = 'SULI'), 'SULI') ON CONFLICT DO NOTHING;</v>
      </c>
    </row>
    <row r="3415" spans="1:6" x14ac:dyDescent="0.2">
      <c r="A3415" t="s">
        <v>1180</v>
      </c>
      <c r="B3415" t="s">
        <v>1181</v>
      </c>
      <c r="C3415" t="s">
        <v>7434</v>
      </c>
      <c r="D3415" t="str">
        <f>TRIM(alias[[#This Row],[Column3]])</f>
        <v>PT SLJ Global</v>
      </c>
      <c r="F3415" t="str">
        <f t="shared" si="53"/>
        <v>INSERT INTO stock_alias (stock, alias) VALUES ((SELECT id FROM stock WHERE ticker = 'SULI'), 'PT SLJ Global') ON CONFLICT DO NOTHING;</v>
      </c>
    </row>
    <row r="3416" spans="1:6" x14ac:dyDescent="0.2">
      <c r="A3416" t="s">
        <v>1180</v>
      </c>
      <c r="B3416" t="s">
        <v>1181</v>
      </c>
      <c r="C3416" t="s">
        <v>7435</v>
      </c>
      <c r="D3416" t="str">
        <f>TRIM(alias[[#This Row],[Column3]])</f>
        <v>SLJ Global</v>
      </c>
      <c r="F3416" t="str">
        <f t="shared" si="53"/>
        <v>INSERT INTO stock_alias (stock, alias) VALUES ((SELECT id FROM stock WHERE ticker = 'SULI'), 'SLJ Global') ON CONFLICT DO NOTHING;</v>
      </c>
    </row>
    <row r="3417" spans="1:6" x14ac:dyDescent="0.2">
      <c r="A3417" t="s">
        <v>1180</v>
      </c>
      <c r="B3417" t="s">
        <v>1181</v>
      </c>
      <c r="C3417" t="s">
        <v>7436</v>
      </c>
      <c r="D3417" t="str">
        <f>TRIM(alias[[#This Row],[Column3]])</f>
        <v>SLJ Global Tbk</v>
      </c>
      <c r="F3417" t="str">
        <f t="shared" si="53"/>
        <v>INSERT INTO stock_alias (stock, alias) VALUES ((SELECT id FROM stock WHERE ticker = 'SULI'), 'SLJ Global Tbk') ON CONFLICT DO NOTHING;</v>
      </c>
    </row>
    <row r="3418" spans="1:6" x14ac:dyDescent="0.2">
      <c r="A3418" t="s">
        <v>2228</v>
      </c>
      <c r="B3418" t="s">
        <v>2229</v>
      </c>
      <c r="C3418" t="s">
        <v>2228</v>
      </c>
      <c r="D3418" t="str">
        <f>TRIM(alias[[#This Row],[Column3]])</f>
        <v>SUNI</v>
      </c>
      <c r="F3418" t="str">
        <f t="shared" si="53"/>
        <v>INSERT INTO stock_alias (stock, alias) VALUES ((SELECT id FROM stock WHERE ticker = 'SUNI'), 'SUNI') ON CONFLICT DO NOTHING;</v>
      </c>
    </row>
    <row r="3419" spans="1:6" x14ac:dyDescent="0.2">
      <c r="A3419" t="s">
        <v>2228</v>
      </c>
      <c r="B3419" t="s">
        <v>2229</v>
      </c>
      <c r="C3419" t="s">
        <v>7437</v>
      </c>
      <c r="D3419" t="str">
        <f>TRIM(alias[[#This Row],[Column3]])</f>
        <v>PT Sunindo Pratama</v>
      </c>
      <c r="F3419" t="str">
        <f t="shared" si="53"/>
        <v>INSERT INTO stock_alias (stock, alias) VALUES ((SELECT id FROM stock WHERE ticker = 'SUNI'), 'PT Sunindo Pratama') ON CONFLICT DO NOTHING;</v>
      </c>
    </row>
    <row r="3420" spans="1:6" x14ac:dyDescent="0.2">
      <c r="A3420" t="s">
        <v>2228</v>
      </c>
      <c r="B3420" t="s">
        <v>2229</v>
      </c>
      <c r="C3420" t="s">
        <v>7438</v>
      </c>
      <c r="D3420" t="str">
        <f>TRIM(alias[[#This Row],[Column3]])</f>
        <v>Sunindo Pratama</v>
      </c>
      <c r="F3420" t="str">
        <f t="shared" si="53"/>
        <v>INSERT INTO stock_alias (stock, alias) VALUES ((SELECT id FROM stock WHERE ticker = 'SUNI'), 'Sunindo Pratama') ON CONFLICT DO NOTHING;</v>
      </c>
    </row>
    <row r="3421" spans="1:6" x14ac:dyDescent="0.2">
      <c r="A3421" t="s">
        <v>2228</v>
      </c>
      <c r="B3421" t="s">
        <v>2229</v>
      </c>
      <c r="C3421" t="s">
        <v>7439</v>
      </c>
      <c r="D3421" t="str">
        <f>TRIM(alias[[#This Row],[Column3]])</f>
        <v>Sunindo Pratama Tbk</v>
      </c>
      <c r="F3421" t="str">
        <f t="shared" si="53"/>
        <v>INSERT INTO stock_alias (stock, alias) VALUES ((SELECT id FROM stock WHERE ticker = 'SUNI'), 'Sunindo Pratama Tbk') ON CONFLICT DO NOTHING;</v>
      </c>
    </row>
    <row r="3422" spans="1:6" x14ac:dyDescent="0.2">
      <c r="A3422" t="s">
        <v>2566</v>
      </c>
      <c r="B3422" t="s">
        <v>2567</v>
      </c>
      <c r="C3422" t="s">
        <v>2566</v>
      </c>
      <c r="D3422" t="str">
        <f>TRIM(alias[[#This Row],[Column3]])</f>
        <v>SUPA</v>
      </c>
      <c r="F3422" t="str">
        <f t="shared" si="53"/>
        <v>INSERT INTO stock_alias (stock, alias) VALUES ((SELECT id FROM stock WHERE ticker = 'SUPA'), 'SUPA') ON CONFLICT DO NOTHING;</v>
      </c>
    </row>
    <row r="3423" spans="1:6" x14ac:dyDescent="0.2">
      <c r="A3423" t="s">
        <v>2566</v>
      </c>
      <c r="B3423" t="s">
        <v>2567</v>
      </c>
      <c r="C3423" t="s">
        <v>7440</v>
      </c>
      <c r="D3423" t="str">
        <f>TRIM(alias[[#This Row],[Column3]])</f>
        <v>PT Super Bank Indonesia</v>
      </c>
      <c r="F3423" t="str">
        <f t="shared" si="53"/>
        <v>INSERT INTO stock_alias (stock, alias) VALUES ((SELECT id FROM stock WHERE ticker = 'SUPA'), 'PT Super Bank Indonesia') ON CONFLICT DO NOTHING;</v>
      </c>
    </row>
    <row r="3424" spans="1:6" x14ac:dyDescent="0.2">
      <c r="A3424" t="s">
        <v>2566</v>
      </c>
      <c r="B3424" t="s">
        <v>2567</v>
      </c>
      <c r="C3424" t="s">
        <v>7441</v>
      </c>
      <c r="D3424" t="str">
        <f>TRIM(alias[[#This Row],[Column3]])</f>
        <v>Super Bank Indonesia</v>
      </c>
      <c r="F3424" t="str">
        <f t="shared" si="53"/>
        <v>INSERT INTO stock_alias (stock, alias) VALUES ((SELECT id FROM stock WHERE ticker = 'SUPA'), 'Super Bank Indonesia') ON CONFLICT DO NOTHING;</v>
      </c>
    </row>
    <row r="3425" spans="1:6" x14ac:dyDescent="0.2">
      <c r="A3425" t="s">
        <v>2566</v>
      </c>
      <c r="B3425" t="s">
        <v>2567</v>
      </c>
      <c r="C3425" t="s">
        <v>7442</v>
      </c>
      <c r="D3425" t="str">
        <f>TRIM(alias[[#This Row],[Column3]])</f>
        <v>Super Bank Indonesia Tbk</v>
      </c>
      <c r="F3425" t="str">
        <f t="shared" si="53"/>
        <v>INSERT INTO stock_alias (stock, alias) VALUES ((SELECT id FROM stock WHERE ticker = 'SUPA'), 'Super Bank Indonesia Tbk') ON CONFLICT DO NOTHING;</v>
      </c>
    </row>
    <row r="3426" spans="1:6" x14ac:dyDescent="0.2">
      <c r="A3426" t="s">
        <v>1183</v>
      </c>
      <c r="B3426" t="s">
        <v>1184</v>
      </c>
      <c r="C3426" t="s">
        <v>1183</v>
      </c>
      <c r="D3426" t="str">
        <f>TRIM(alias[[#This Row],[Column3]])</f>
        <v>SUPR</v>
      </c>
      <c r="F3426" t="str">
        <f t="shared" si="53"/>
        <v>INSERT INTO stock_alias (stock, alias) VALUES ((SELECT id FROM stock WHERE ticker = 'SUPR'), 'SUPR') ON CONFLICT DO NOTHING;</v>
      </c>
    </row>
    <row r="3427" spans="1:6" x14ac:dyDescent="0.2">
      <c r="A3427" t="s">
        <v>1183</v>
      </c>
      <c r="B3427" t="s">
        <v>1184</v>
      </c>
      <c r="C3427" t="s">
        <v>7443</v>
      </c>
      <c r="D3427" t="str">
        <f>TRIM(alias[[#This Row],[Column3]])</f>
        <v>PT Solusi Tunas Pratama</v>
      </c>
      <c r="F3427" t="str">
        <f t="shared" si="53"/>
        <v>INSERT INTO stock_alias (stock, alias) VALUES ((SELECT id FROM stock WHERE ticker = 'SUPR'), 'PT Solusi Tunas Pratama') ON CONFLICT DO NOTHING;</v>
      </c>
    </row>
    <row r="3428" spans="1:6" x14ac:dyDescent="0.2">
      <c r="A3428" t="s">
        <v>1183</v>
      </c>
      <c r="B3428" t="s">
        <v>1184</v>
      </c>
      <c r="C3428" t="s">
        <v>7444</v>
      </c>
      <c r="D3428" t="str">
        <f>TRIM(alias[[#This Row],[Column3]])</f>
        <v>Solusi Tunas Pratama</v>
      </c>
      <c r="F3428" t="str">
        <f t="shared" si="53"/>
        <v>INSERT INTO stock_alias (stock, alias) VALUES ((SELECT id FROM stock WHERE ticker = 'SUPR'), 'Solusi Tunas Pratama') ON CONFLICT DO NOTHING;</v>
      </c>
    </row>
    <row r="3429" spans="1:6" x14ac:dyDescent="0.2">
      <c r="A3429" t="s">
        <v>1183</v>
      </c>
      <c r="B3429" t="s">
        <v>1184</v>
      </c>
      <c r="C3429" t="s">
        <v>7445</v>
      </c>
      <c r="D3429" t="str">
        <f>TRIM(alias[[#This Row],[Column3]])</f>
        <v>Solusi Tunas Pratama Tbk</v>
      </c>
      <c r="F3429" t="str">
        <f t="shared" si="53"/>
        <v>INSERT INTO stock_alias (stock, alias) VALUES ((SELECT id FROM stock WHERE ticker = 'SUPR'), 'Solusi Tunas Pratama Tbk') ON CONFLICT DO NOTHING;</v>
      </c>
    </row>
    <row r="3430" spans="1:6" x14ac:dyDescent="0.2">
      <c r="A3430" t="s">
        <v>1592</v>
      </c>
      <c r="B3430" t="s">
        <v>1593</v>
      </c>
      <c r="C3430" t="s">
        <v>1592</v>
      </c>
      <c r="D3430" t="str">
        <f>TRIM(alias[[#This Row],[Column3]])</f>
        <v>SURE</v>
      </c>
      <c r="F3430" t="str">
        <f t="shared" si="53"/>
        <v>INSERT INTO stock_alias (stock, alias) VALUES ((SELECT id FROM stock WHERE ticker = 'SURE'), 'SURE') ON CONFLICT DO NOTHING;</v>
      </c>
    </row>
    <row r="3431" spans="1:6" x14ac:dyDescent="0.2">
      <c r="A3431" t="s">
        <v>1592</v>
      </c>
      <c r="B3431" t="s">
        <v>1593</v>
      </c>
      <c r="C3431" t="s">
        <v>7446</v>
      </c>
      <c r="D3431" t="str">
        <f>TRIM(alias[[#This Row],[Column3]])</f>
        <v>PT Super Energy</v>
      </c>
      <c r="F3431" t="str">
        <f t="shared" si="53"/>
        <v>INSERT INTO stock_alias (stock, alias) VALUES ((SELECT id FROM stock WHERE ticker = 'SURE'), 'PT Super Energy') ON CONFLICT DO NOTHING;</v>
      </c>
    </row>
    <row r="3432" spans="1:6" x14ac:dyDescent="0.2">
      <c r="A3432" t="s">
        <v>1592</v>
      </c>
      <c r="B3432" t="s">
        <v>1593</v>
      </c>
      <c r="C3432" t="s">
        <v>7447</v>
      </c>
      <c r="D3432" t="str">
        <f>TRIM(alias[[#This Row],[Column3]])</f>
        <v>Super Energy</v>
      </c>
      <c r="F3432" t="str">
        <f t="shared" si="53"/>
        <v>INSERT INTO stock_alias (stock, alias) VALUES ((SELECT id FROM stock WHERE ticker = 'SURE'), 'Super Energy') ON CONFLICT DO NOTHING;</v>
      </c>
    </row>
    <row r="3433" spans="1:6" x14ac:dyDescent="0.2">
      <c r="A3433" t="s">
        <v>1592</v>
      </c>
      <c r="B3433" t="s">
        <v>1593</v>
      </c>
      <c r="C3433" t="s">
        <v>7448</v>
      </c>
      <c r="D3433" t="str">
        <f>TRIM(alias[[#This Row],[Column3]])</f>
        <v>Super Energy Tbk</v>
      </c>
      <c r="F3433" t="str">
        <f t="shared" si="53"/>
        <v>INSERT INTO stock_alias (stock, alias) VALUES ((SELECT id FROM stock WHERE ticker = 'SURE'), 'Super Energy Tbk') ON CONFLICT DO NOTHING;</v>
      </c>
    </row>
    <row r="3434" spans="1:6" x14ac:dyDescent="0.2">
      <c r="A3434" t="s">
        <v>2412</v>
      </c>
      <c r="B3434" t="s">
        <v>2413</v>
      </c>
      <c r="C3434" t="s">
        <v>2412</v>
      </c>
      <c r="D3434" t="str">
        <f>TRIM(alias[[#This Row],[Column3]])</f>
        <v>SURI</v>
      </c>
      <c r="F3434" t="str">
        <f t="shared" si="53"/>
        <v>INSERT INTO stock_alias (stock, alias) VALUES ((SELECT id FROM stock WHERE ticker = 'SURI'), 'SURI') ON CONFLICT DO NOTHING;</v>
      </c>
    </row>
    <row r="3435" spans="1:6" x14ac:dyDescent="0.2">
      <c r="A3435" t="s">
        <v>2412</v>
      </c>
      <c r="B3435" t="s">
        <v>2413</v>
      </c>
      <c r="C3435" t="s">
        <v>7449</v>
      </c>
      <c r="D3435" t="str">
        <f>TRIM(alias[[#This Row],[Column3]])</f>
        <v>Maja Agung Latexindo</v>
      </c>
      <c r="F3435" t="str">
        <f t="shared" si="53"/>
        <v>INSERT INTO stock_alias (stock, alias) VALUES ((SELECT id FROM stock WHERE ticker = 'SURI'), 'Maja Agung Latexindo') ON CONFLICT DO NOTHING;</v>
      </c>
    </row>
    <row r="3436" spans="1:6" x14ac:dyDescent="0.2">
      <c r="A3436" t="s">
        <v>2412</v>
      </c>
      <c r="B3436" t="s">
        <v>2413</v>
      </c>
      <c r="C3436" t="s">
        <v>7450</v>
      </c>
      <c r="D3436" t="str">
        <f>TRIM(alias[[#This Row],[Column3]])</f>
        <v>Maja Agung Latexindo Tbk</v>
      </c>
      <c r="F3436" t="str">
        <f t="shared" si="53"/>
        <v>INSERT INTO stock_alias (stock, alias) VALUES ((SELECT id FROM stock WHERE ticker = 'SURI'), 'Maja Agung Latexindo Tbk') ON CONFLICT DO NOTHING;</v>
      </c>
    </row>
    <row r="3437" spans="1:6" x14ac:dyDescent="0.2">
      <c r="A3437" t="s">
        <v>2412</v>
      </c>
      <c r="B3437" t="s">
        <v>2413</v>
      </c>
      <c r="C3437" t="s">
        <v>7451</v>
      </c>
      <c r="D3437" t="str">
        <f>TRIM(alias[[#This Row],[Column3]])</f>
        <v>PT Maja Agung Latexindo</v>
      </c>
      <c r="F3437" t="str">
        <f t="shared" si="53"/>
        <v>INSERT INTO stock_alias (stock, alias) VALUES ((SELECT id FROM stock WHERE ticker = 'SURI'), 'PT Maja Agung Latexindo') ON CONFLICT DO NOTHING;</v>
      </c>
    </row>
    <row r="3438" spans="1:6" x14ac:dyDescent="0.2">
      <c r="A3438" t="s">
        <v>1538</v>
      </c>
      <c r="B3438" t="s">
        <v>1539</v>
      </c>
      <c r="C3438" t="s">
        <v>1538</v>
      </c>
      <c r="D3438" t="str">
        <f>TRIM(alias[[#This Row],[Column3]])</f>
        <v>SWAT</v>
      </c>
      <c r="F3438" t="str">
        <f t="shared" si="53"/>
        <v>INSERT INTO stock_alias (stock, alias) VALUES ((SELECT id FROM stock WHERE ticker = 'SWAT'), 'SWAT') ON CONFLICT DO NOTHING;</v>
      </c>
    </row>
    <row r="3439" spans="1:6" x14ac:dyDescent="0.2">
      <c r="A3439" t="s">
        <v>1538</v>
      </c>
      <c r="B3439" t="s">
        <v>1539</v>
      </c>
      <c r="C3439" t="s">
        <v>7452</v>
      </c>
      <c r="D3439" t="str">
        <f>TRIM(alias[[#This Row],[Column3]])</f>
        <v>PT Sriwahana Adityakarta</v>
      </c>
      <c r="F3439" t="str">
        <f t="shared" si="53"/>
        <v>INSERT INTO stock_alias (stock, alias) VALUES ((SELECT id FROM stock WHERE ticker = 'SWAT'), 'PT Sriwahana Adityakarta') ON CONFLICT DO NOTHING;</v>
      </c>
    </row>
    <row r="3440" spans="1:6" x14ac:dyDescent="0.2">
      <c r="A3440" t="s">
        <v>1538</v>
      </c>
      <c r="B3440" t="s">
        <v>1539</v>
      </c>
      <c r="C3440" t="s">
        <v>7453</v>
      </c>
      <c r="D3440" t="str">
        <f>TRIM(alias[[#This Row],[Column3]])</f>
        <v>Sriwahana Adityakarta</v>
      </c>
      <c r="F3440" t="str">
        <f t="shared" si="53"/>
        <v>INSERT INTO stock_alias (stock, alias) VALUES ((SELECT id FROM stock WHERE ticker = 'SWAT'), 'Sriwahana Adityakarta') ON CONFLICT DO NOTHING;</v>
      </c>
    </row>
    <row r="3441" spans="1:6" x14ac:dyDescent="0.2">
      <c r="A3441" t="s">
        <v>1538</v>
      </c>
      <c r="B3441" t="s">
        <v>1539</v>
      </c>
      <c r="C3441" t="s">
        <v>7454</v>
      </c>
      <c r="D3441" t="str">
        <f>TRIM(alias[[#This Row],[Column3]])</f>
        <v>Sriwahana Adityakarta Tbk</v>
      </c>
      <c r="F3441" t="str">
        <f t="shared" si="53"/>
        <v>INSERT INTO stock_alias (stock, alias) VALUES ((SELECT id FROM stock WHERE ticker = 'SWAT'), 'Sriwahana Adityakarta Tbk') ON CONFLICT DO NOTHING;</v>
      </c>
    </row>
    <row r="3442" spans="1:6" x14ac:dyDescent="0.2">
      <c r="A3442" t="s">
        <v>2115</v>
      </c>
      <c r="B3442" t="s">
        <v>3684</v>
      </c>
      <c r="C3442" t="s">
        <v>2115</v>
      </c>
      <c r="D3442" t="str">
        <f>TRIM(alias[[#This Row],[Column3]])</f>
        <v>SWID</v>
      </c>
      <c r="F3442" t="str">
        <f t="shared" si="53"/>
        <v>INSERT INTO stock_alias (stock, alias) VALUES ((SELECT id FROM stock WHERE ticker = 'SWID'), 'SWID') ON CONFLICT DO NOTHING;</v>
      </c>
    </row>
    <row r="3443" spans="1:6" x14ac:dyDescent="0.2">
      <c r="A3443" t="s">
        <v>2115</v>
      </c>
      <c r="B3443" t="s">
        <v>3684</v>
      </c>
      <c r="C3443" t="s">
        <v>7455</v>
      </c>
      <c r="D3443" t="str">
        <f>TRIM(alias[[#This Row],[Column3]])</f>
        <v>PT Saraswanti Indoland Development</v>
      </c>
      <c r="F3443" t="str">
        <f t="shared" si="53"/>
        <v>INSERT INTO stock_alias (stock, alias) VALUES ((SELECT id FROM stock WHERE ticker = 'SWID'), 'PT Saraswanti Indoland Development') ON CONFLICT DO NOTHING;</v>
      </c>
    </row>
    <row r="3444" spans="1:6" x14ac:dyDescent="0.2">
      <c r="A3444" t="s">
        <v>2115</v>
      </c>
      <c r="B3444" t="s">
        <v>3684</v>
      </c>
      <c r="C3444" t="s">
        <v>7456</v>
      </c>
      <c r="D3444" t="str">
        <f>TRIM(alias[[#This Row],[Column3]])</f>
        <v>Saraswanti Indoland Development</v>
      </c>
      <c r="F3444" t="str">
        <f t="shared" si="53"/>
        <v>INSERT INTO stock_alias (stock, alias) VALUES ((SELECT id FROM stock WHERE ticker = 'SWID'), 'Saraswanti Indoland Development') ON CONFLICT DO NOTHING;</v>
      </c>
    </row>
    <row r="3445" spans="1:6" x14ac:dyDescent="0.2">
      <c r="A3445" t="s">
        <v>2115</v>
      </c>
      <c r="B3445" t="s">
        <v>3684</v>
      </c>
      <c r="C3445" t="s">
        <v>7457</v>
      </c>
      <c r="D3445" t="str">
        <f>TRIM(alias[[#This Row],[Column3]])</f>
        <v>Saraswanti Indoland Development Tbk</v>
      </c>
      <c r="F3445" t="str">
        <f t="shared" si="53"/>
        <v>INSERT INTO stock_alias (stock, alias) VALUES ((SELECT id FROM stock WHERE ticker = 'SWID'), 'Saraswanti Indoland Development Tbk') ON CONFLICT DO NOTHING;</v>
      </c>
    </row>
    <row r="3446" spans="1:6" x14ac:dyDescent="0.2">
      <c r="A3446" t="s">
        <v>1186</v>
      </c>
      <c r="B3446" t="s">
        <v>1187</v>
      </c>
      <c r="C3446" t="s">
        <v>1186</v>
      </c>
      <c r="D3446" t="str">
        <f>TRIM(alias[[#This Row],[Column3]])</f>
        <v>TALF</v>
      </c>
      <c r="F3446" t="str">
        <f t="shared" si="53"/>
        <v>INSERT INTO stock_alias (stock, alias) VALUES ((SELECT id FROM stock WHERE ticker = 'TALF'), 'TALF') ON CONFLICT DO NOTHING;</v>
      </c>
    </row>
    <row r="3447" spans="1:6" x14ac:dyDescent="0.2">
      <c r="A3447" t="s">
        <v>1186</v>
      </c>
      <c r="B3447" t="s">
        <v>1187</v>
      </c>
      <c r="C3447" t="s">
        <v>7458</v>
      </c>
      <c r="D3447" t="str">
        <f>TRIM(alias[[#This Row],[Column3]])</f>
        <v>PT Tunas Alfin</v>
      </c>
      <c r="F3447" t="str">
        <f t="shared" si="53"/>
        <v>INSERT INTO stock_alias (stock, alias) VALUES ((SELECT id FROM stock WHERE ticker = 'TALF'), 'PT Tunas Alfin') ON CONFLICT DO NOTHING;</v>
      </c>
    </row>
    <row r="3448" spans="1:6" x14ac:dyDescent="0.2">
      <c r="A3448" t="s">
        <v>1186</v>
      </c>
      <c r="B3448" t="s">
        <v>1187</v>
      </c>
      <c r="C3448" t="s">
        <v>7459</v>
      </c>
      <c r="D3448" t="str">
        <f>TRIM(alias[[#This Row],[Column3]])</f>
        <v>Tunas Alfin</v>
      </c>
      <c r="F3448" t="str">
        <f t="shared" si="53"/>
        <v>INSERT INTO stock_alias (stock, alias) VALUES ((SELECT id FROM stock WHERE ticker = 'TALF'), 'Tunas Alfin') ON CONFLICT DO NOTHING;</v>
      </c>
    </row>
    <row r="3449" spans="1:6" x14ac:dyDescent="0.2">
      <c r="A3449" t="s">
        <v>1186</v>
      </c>
      <c r="B3449" t="s">
        <v>1187</v>
      </c>
      <c r="C3449" t="s">
        <v>7460</v>
      </c>
      <c r="D3449" t="str">
        <f>TRIM(alias[[#This Row],[Column3]])</f>
        <v>Tunas Alfin Tbk</v>
      </c>
      <c r="F3449" t="str">
        <f t="shared" si="53"/>
        <v>INSERT INTO stock_alias (stock, alias) VALUES ((SELECT id FROM stock WHERE ticker = 'TALF'), 'Tunas Alfin Tbk') ON CONFLICT DO NOTHING;</v>
      </c>
    </row>
    <row r="3450" spans="1:6" x14ac:dyDescent="0.2">
      <c r="A3450" t="s">
        <v>1819</v>
      </c>
      <c r="B3450" t="s">
        <v>1820</v>
      </c>
      <c r="C3450" t="s">
        <v>1819</v>
      </c>
      <c r="D3450" t="str">
        <f>TRIM(alias[[#This Row],[Column3]])</f>
        <v>TAMA</v>
      </c>
      <c r="F3450" t="str">
        <f t="shared" si="53"/>
        <v>INSERT INTO stock_alias (stock, alias) VALUES ((SELECT id FROM stock WHERE ticker = 'TAMA'), 'TAMA') ON CONFLICT DO NOTHING;</v>
      </c>
    </row>
    <row r="3451" spans="1:6" x14ac:dyDescent="0.2">
      <c r="A3451" t="s">
        <v>1819</v>
      </c>
      <c r="B3451" t="s">
        <v>1820</v>
      </c>
      <c r="C3451" t="s">
        <v>7461</v>
      </c>
      <c r="D3451" t="str">
        <f>TRIM(alias[[#This Row],[Column3]])</f>
        <v>Lancartama Sejati</v>
      </c>
      <c r="F3451" t="str">
        <f t="shared" si="53"/>
        <v>INSERT INTO stock_alias (stock, alias) VALUES ((SELECT id FROM stock WHERE ticker = 'TAMA'), 'Lancartama Sejati') ON CONFLICT DO NOTHING;</v>
      </c>
    </row>
    <row r="3452" spans="1:6" x14ac:dyDescent="0.2">
      <c r="A3452" t="s">
        <v>1819</v>
      </c>
      <c r="B3452" t="s">
        <v>1820</v>
      </c>
      <c r="C3452" t="s">
        <v>7462</v>
      </c>
      <c r="D3452" t="str">
        <f>TRIM(alias[[#This Row],[Column3]])</f>
        <v>Lancartama Sejati Tbk</v>
      </c>
      <c r="F3452" t="str">
        <f t="shared" si="53"/>
        <v>INSERT INTO stock_alias (stock, alias) VALUES ((SELECT id FROM stock WHERE ticker = 'TAMA'), 'Lancartama Sejati Tbk') ON CONFLICT DO NOTHING;</v>
      </c>
    </row>
    <row r="3453" spans="1:6" x14ac:dyDescent="0.2">
      <c r="A3453" t="s">
        <v>1819</v>
      </c>
      <c r="B3453" t="s">
        <v>1820</v>
      </c>
      <c r="C3453" t="s">
        <v>7463</v>
      </c>
      <c r="D3453" t="str">
        <f>TRIM(alias[[#This Row],[Column3]])</f>
        <v>PT Lancartama Sejati</v>
      </c>
      <c r="F3453" t="str">
        <f t="shared" si="53"/>
        <v>INSERT INTO stock_alias (stock, alias) VALUES ((SELECT id FROM stock WHERE ticker = 'TAMA'), 'PT Lancartama Sejati') ON CONFLICT DO NOTHING;</v>
      </c>
    </row>
    <row r="3454" spans="1:6" x14ac:dyDescent="0.2">
      <c r="A3454" t="s">
        <v>1402</v>
      </c>
      <c r="B3454" t="s">
        <v>1403</v>
      </c>
      <c r="C3454" t="s">
        <v>1402</v>
      </c>
      <c r="D3454" t="str">
        <f>TRIM(alias[[#This Row],[Column3]])</f>
        <v>TAMU</v>
      </c>
      <c r="F3454" t="str">
        <f t="shared" si="53"/>
        <v>INSERT INTO stock_alias (stock, alias) VALUES ((SELECT id FROM stock WHERE ticker = 'TAMU'), 'TAMU') ON CONFLICT DO NOTHING;</v>
      </c>
    </row>
    <row r="3455" spans="1:6" x14ac:dyDescent="0.2">
      <c r="A3455" t="s">
        <v>1402</v>
      </c>
      <c r="B3455" t="s">
        <v>1403</v>
      </c>
      <c r="C3455" t="s">
        <v>7464</v>
      </c>
      <c r="D3455" t="str">
        <f>TRIM(alias[[#This Row],[Column3]])</f>
        <v>PT Pelayaran Tamarin Samudra</v>
      </c>
      <c r="F3455" t="str">
        <f t="shared" si="53"/>
        <v>INSERT INTO stock_alias (stock, alias) VALUES ((SELECT id FROM stock WHERE ticker = 'TAMU'), 'PT Pelayaran Tamarin Samudra') ON CONFLICT DO NOTHING;</v>
      </c>
    </row>
    <row r="3456" spans="1:6" x14ac:dyDescent="0.2">
      <c r="A3456" t="s">
        <v>1402</v>
      </c>
      <c r="B3456" t="s">
        <v>1403</v>
      </c>
      <c r="C3456" t="s">
        <v>7465</v>
      </c>
      <c r="D3456" t="str">
        <f>TRIM(alias[[#This Row],[Column3]])</f>
        <v>Pelayaran Tamarin Samudra</v>
      </c>
      <c r="F3456" t="str">
        <f t="shared" si="53"/>
        <v>INSERT INTO stock_alias (stock, alias) VALUES ((SELECT id FROM stock WHERE ticker = 'TAMU'), 'Pelayaran Tamarin Samudra') ON CONFLICT DO NOTHING;</v>
      </c>
    </row>
    <row r="3457" spans="1:6" x14ac:dyDescent="0.2">
      <c r="A3457" t="s">
        <v>1402</v>
      </c>
      <c r="B3457" t="s">
        <v>1403</v>
      </c>
      <c r="C3457" t="s">
        <v>7466</v>
      </c>
      <c r="D3457" t="str">
        <f>TRIM(alias[[#This Row],[Column3]])</f>
        <v>Pelayaran Tamarin Samudra Tbk</v>
      </c>
      <c r="F3457" t="str">
        <f t="shared" si="53"/>
        <v>INSERT INTO stock_alias (stock, alias) VALUES ((SELECT id FROM stock WHERE ticker = 'TAMU'), 'Pelayaran Tamarin Samudra Tbk') ON CONFLICT DO NOTHING;</v>
      </c>
    </row>
    <row r="3458" spans="1:6" x14ac:dyDescent="0.2">
      <c r="A3458" t="s">
        <v>1936</v>
      </c>
      <c r="B3458" t="s">
        <v>1937</v>
      </c>
      <c r="C3458" t="s">
        <v>1936</v>
      </c>
      <c r="D3458" t="str">
        <f>TRIM(alias[[#This Row],[Column3]])</f>
        <v>TAPG</v>
      </c>
      <c r="F3458" t="str">
        <f t="shared" si="53"/>
        <v>INSERT INTO stock_alias (stock, alias) VALUES ((SELECT id FROM stock WHERE ticker = 'TAPG'), 'TAPG') ON CONFLICT DO NOTHING;</v>
      </c>
    </row>
    <row r="3459" spans="1:6" x14ac:dyDescent="0.2">
      <c r="A3459" t="s">
        <v>1936</v>
      </c>
      <c r="B3459" t="s">
        <v>1937</v>
      </c>
      <c r="C3459" t="s">
        <v>7467</v>
      </c>
      <c r="D3459" t="str">
        <f>TRIM(alias[[#This Row],[Column3]])</f>
        <v>PT Triputra Agro Persada</v>
      </c>
      <c r="F3459" t="str">
        <f t="shared" ref="F3459:F3522" si="54">_xlfn.CONCAT($F$1, _xlfn.CONCAT($G$1, A3459, "'), '", D3459, "') ON CONFLICT DO NOTHING;"))</f>
        <v>INSERT INTO stock_alias (stock, alias) VALUES ((SELECT id FROM stock WHERE ticker = 'TAPG'), 'PT Triputra Agro Persada') ON CONFLICT DO NOTHING;</v>
      </c>
    </row>
    <row r="3460" spans="1:6" x14ac:dyDescent="0.2">
      <c r="A3460" t="s">
        <v>1936</v>
      </c>
      <c r="B3460" t="s">
        <v>1937</v>
      </c>
      <c r="C3460" t="s">
        <v>7468</v>
      </c>
      <c r="D3460" t="str">
        <f>TRIM(alias[[#This Row],[Column3]])</f>
        <v>Triputra Agro Persada</v>
      </c>
      <c r="F3460" t="str">
        <f t="shared" si="54"/>
        <v>INSERT INTO stock_alias (stock, alias) VALUES ((SELECT id FROM stock WHERE ticker = 'TAPG'), 'Triputra Agro Persada') ON CONFLICT DO NOTHING;</v>
      </c>
    </row>
    <row r="3461" spans="1:6" x14ac:dyDescent="0.2">
      <c r="A3461" t="s">
        <v>1936</v>
      </c>
      <c r="B3461" t="s">
        <v>1937</v>
      </c>
      <c r="C3461" t="s">
        <v>7469</v>
      </c>
      <c r="D3461" t="str">
        <f>TRIM(alias[[#This Row],[Column3]])</f>
        <v>Triputra Agro Persada Tbk</v>
      </c>
      <c r="F3461" t="str">
        <f t="shared" si="54"/>
        <v>INSERT INTO stock_alias (stock, alias) VALUES ((SELECT id FROM stock WHERE ticker = 'TAPG'), 'Triputra Agro Persada Tbk') ON CONFLICT DO NOTHING;</v>
      </c>
    </row>
    <row r="3462" spans="1:6" x14ac:dyDescent="0.2">
      <c r="A3462" t="s">
        <v>1189</v>
      </c>
      <c r="B3462" t="s">
        <v>1190</v>
      </c>
      <c r="C3462" t="s">
        <v>1189</v>
      </c>
      <c r="D3462" t="str">
        <f>TRIM(alias[[#This Row],[Column3]])</f>
        <v>TARA</v>
      </c>
      <c r="F3462" t="str">
        <f t="shared" si="54"/>
        <v>INSERT INTO stock_alias (stock, alias) VALUES ((SELECT id FROM stock WHERE ticker = 'TARA'), 'TARA') ON CONFLICT DO NOTHING;</v>
      </c>
    </row>
    <row r="3463" spans="1:6" x14ac:dyDescent="0.2">
      <c r="A3463" t="s">
        <v>1189</v>
      </c>
      <c r="B3463" t="s">
        <v>1190</v>
      </c>
      <c r="C3463" t="s">
        <v>7470</v>
      </c>
      <c r="D3463" t="str">
        <f>TRIM(alias[[#This Row],[Column3]])</f>
        <v>Agung Semesta Sejahtera</v>
      </c>
      <c r="F3463" t="str">
        <f t="shared" si="54"/>
        <v>INSERT INTO stock_alias (stock, alias) VALUES ((SELECT id FROM stock WHERE ticker = 'TARA'), 'Agung Semesta Sejahtera') ON CONFLICT DO NOTHING;</v>
      </c>
    </row>
    <row r="3464" spans="1:6" x14ac:dyDescent="0.2">
      <c r="A3464" t="s">
        <v>1189</v>
      </c>
      <c r="B3464" t="s">
        <v>1190</v>
      </c>
      <c r="C3464" t="s">
        <v>7471</v>
      </c>
      <c r="D3464" t="str">
        <f>TRIM(alias[[#This Row],[Column3]])</f>
        <v>Agung Semesta Sejahtera Tbk</v>
      </c>
      <c r="F3464" t="str">
        <f t="shared" si="54"/>
        <v>INSERT INTO stock_alias (stock, alias) VALUES ((SELECT id FROM stock WHERE ticker = 'TARA'), 'Agung Semesta Sejahtera Tbk') ON CONFLICT DO NOTHING;</v>
      </c>
    </row>
    <row r="3465" spans="1:6" x14ac:dyDescent="0.2">
      <c r="A3465" t="s">
        <v>1189</v>
      </c>
      <c r="B3465" t="s">
        <v>1190</v>
      </c>
      <c r="C3465" t="s">
        <v>7472</v>
      </c>
      <c r="D3465" t="str">
        <f>TRIM(alias[[#This Row],[Column3]])</f>
        <v>PT Agung Semesta Sejahtera</v>
      </c>
      <c r="F3465" t="str">
        <f t="shared" si="54"/>
        <v>INSERT INTO stock_alias (stock, alias) VALUES ((SELECT id FROM stock WHERE ticker = 'TARA'), 'PT Agung Semesta Sejahtera') ON CONFLICT DO NOTHING;</v>
      </c>
    </row>
    <row r="3466" spans="1:6" x14ac:dyDescent="0.2">
      <c r="A3466" t="s">
        <v>1192</v>
      </c>
      <c r="B3466" t="s">
        <v>1193</v>
      </c>
      <c r="C3466" t="s">
        <v>1192</v>
      </c>
      <c r="D3466" t="str">
        <f>TRIM(alias[[#This Row],[Column3]])</f>
        <v>TAXI</v>
      </c>
      <c r="F3466" t="str">
        <f t="shared" si="54"/>
        <v>INSERT INTO stock_alias (stock, alias) VALUES ((SELECT id FROM stock WHERE ticker = 'TAXI'), 'TAXI') ON CONFLICT DO NOTHING;</v>
      </c>
    </row>
    <row r="3467" spans="1:6" x14ac:dyDescent="0.2">
      <c r="A3467" t="s">
        <v>1192</v>
      </c>
      <c r="B3467" t="s">
        <v>1193</v>
      </c>
      <c r="C3467" t="s">
        <v>7473</v>
      </c>
      <c r="D3467" t="str">
        <f>TRIM(alias[[#This Row],[Column3]])</f>
        <v>Express Transindo Utama</v>
      </c>
      <c r="F3467" t="str">
        <f t="shared" si="54"/>
        <v>INSERT INTO stock_alias (stock, alias) VALUES ((SELECT id FROM stock WHERE ticker = 'TAXI'), 'Express Transindo Utama') ON CONFLICT DO NOTHING;</v>
      </c>
    </row>
    <row r="3468" spans="1:6" x14ac:dyDescent="0.2">
      <c r="A3468" t="s">
        <v>1192</v>
      </c>
      <c r="B3468" t="s">
        <v>1193</v>
      </c>
      <c r="C3468" t="s">
        <v>7474</v>
      </c>
      <c r="D3468" t="str">
        <f>TRIM(alias[[#This Row],[Column3]])</f>
        <v>Express Transindo Utama Tbk</v>
      </c>
      <c r="F3468" t="str">
        <f t="shared" si="54"/>
        <v>INSERT INTO stock_alias (stock, alias) VALUES ((SELECT id FROM stock WHERE ticker = 'TAXI'), 'Express Transindo Utama Tbk') ON CONFLICT DO NOTHING;</v>
      </c>
    </row>
    <row r="3469" spans="1:6" x14ac:dyDescent="0.2">
      <c r="A3469" t="s">
        <v>1192</v>
      </c>
      <c r="B3469" t="s">
        <v>1193</v>
      </c>
      <c r="C3469" t="s">
        <v>7475</v>
      </c>
      <c r="D3469" t="str">
        <f>TRIM(alias[[#This Row],[Column3]])</f>
        <v>PT Express Transindo Utama</v>
      </c>
      <c r="F3469" t="str">
        <f t="shared" si="54"/>
        <v>INSERT INTO stock_alias (stock, alias) VALUES ((SELECT id FROM stock WHERE ticker = 'TAXI'), 'PT Express Transindo Utama') ON CONFLICT DO NOTHING;</v>
      </c>
    </row>
    <row r="3470" spans="1:6" x14ac:dyDescent="0.2">
      <c r="A3470" t="s">
        <v>2034</v>
      </c>
      <c r="B3470" t="s">
        <v>2035</v>
      </c>
      <c r="C3470" t="s">
        <v>2034</v>
      </c>
      <c r="D3470" t="str">
        <f>TRIM(alias[[#This Row],[Column3]])</f>
        <v>TAYS</v>
      </c>
      <c r="F3470" t="str">
        <f t="shared" si="54"/>
        <v>INSERT INTO stock_alias (stock, alias) VALUES ((SELECT id FROM stock WHERE ticker = 'TAYS'), 'TAYS') ON CONFLICT DO NOTHING;</v>
      </c>
    </row>
    <row r="3471" spans="1:6" x14ac:dyDescent="0.2">
      <c r="A3471" t="s">
        <v>2034</v>
      </c>
      <c r="B3471" t="s">
        <v>2035</v>
      </c>
      <c r="C3471" t="s">
        <v>7476</v>
      </c>
      <c r="D3471" t="str">
        <f>TRIM(alias[[#This Row],[Column3]])</f>
        <v>Jaya Swarasa Agung</v>
      </c>
      <c r="F3471" t="str">
        <f t="shared" si="54"/>
        <v>INSERT INTO stock_alias (stock, alias) VALUES ((SELECT id FROM stock WHERE ticker = 'TAYS'), 'Jaya Swarasa Agung') ON CONFLICT DO NOTHING;</v>
      </c>
    </row>
    <row r="3472" spans="1:6" x14ac:dyDescent="0.2">
      <c r="A3472" t="s">
        <v>2034</v>
      </c>
      <c r="B3472" t="s">
        <v>2035</v>
      </c>
      <c r="C3472" t="s">
        <v>7477</v>
      </c>
      <c r="D3472" t="str">
        <f>TRIM(alias[[#This Row],[Column3]])</f>
        <v>Jaya Swarasa Agung Tbk</v>
      </c>
      <c r="F3472" t="str">
        <f t="shared" si="54"/>
        <v>INSERT INTO stock_alias (stock, alias) VALUES ((SELECT id FROM stock WHERE ticker = 'TAYS'), 'Jaya Swarasa Agung Tbk') ON CONFLICT DO NOTHING;</v>
      </c>
    </row>
    <row r="3473" spans="1:6" x14ac:dyDescent="0.2">
      <c r="A3473" t="s">
        <v>2034</v>
      </c>
      <c r="B3473" t="s">
        <v>2035</v>
      </c>
      <c r="C3473" t="s">
        <v>7478</v>
      </c>
      <c r="D3473" t="str">
        <f>TRIM(alias[[#This Row],[Column3]])</f>
        <v>PT Jaya Swarasa Agung</v>
      </c>
      <c r="F3473" t="str">
        <f t="shared" si="54"/>
        <v>INSERT INTO stock_alias (stock, alias) VALUES ((SELECT id FROM stock WHERE ticker = 'TAYS'), 'PT Jaya Swarasa Agung') ON CONFLICT DO NOTHING;</v>
      </c>
    </row>
    <row r="3474" spans="1:6" x14ac:dyDescent="0.2">
      <c r="A3474" t="s">
        <v>1195</v>
      </c>
      <c r="B3474" t="s">
        <v>3685</v>
      </c>
      <c r="C3474" t="s">
        <v>1195</v>
      </c>
      <c r="D3474" t="str">
        <f>TRIM(alias[[#This Row],[Column3]])</f>
        <v>TBIG</v>
      </c>
      <c r="F3474" t="str">
        <f t="shared" si="54"/>
        <v>INSERT INTO stock_alias (stock, alias) VALUES ((SELECT id FROM stock WHERE ticker = 'TBIG'), 'TBIG') ON CONFLICT DO NOTHING;</v>
      </c>
    </row>
    <row r="3475" spans="1:6" x14ac:dyDescent="0.2">
      <c r="A3475" t="s">
        <v>1195</v>
      </c>
      <c r="B3475" t="s">
        <v>3685</v>
      </c>
      <c r="C3475" t="s">
        <v>7479</v>
      </c>
      <c r="D3475" t="str">
        <f>TRIM(alias[[#This Row],[Column3]])</f>
        <v>PT Tower Bersama Infrastructure</v>
      </c>
      <c r="F3475" t="str">
        <f t="shared" si="54"/>
        <v>INSERT INTO stock_alias (stock, alias) VALUES ((SELECT id FROM stock WHERE ticker = 'TBIG'), 'PT Tower Bersama Infrastructure') ON CONFLICT DO NOTHING;</v>
      </c>
    </row>
    <row r="3476" spans="1:6" x14ac:dyDescent="0.2">
      <c r="A3476" t="s">
        <v>1195</v>
      </c>
      <c r="B3476" t="s">
        <v>3685</v>
      </c>
      <c r="C3476" t="s">
        <v>7480</v>
      </c>
      <c r="D3476" t="str">
        <f>TRIM(alias[[#This Row],[Column3]])</f>
        <v>Tower Bersama Infrastructure</v>
      </c>
      <c r="F3476" t="str">
        <f t="shared" si="54"/>
        <v>INSERT INTO stock_alias (stock, alias) VALUES ((SELECT id FROM stock WHERE ticker = 'TBIG'), 'Tower Bersama Infrastructure') ON CONFLICT DO NOTHING;</v>
      </c>
    </row>
    <row r="3477" spans="1:6" x14ac:dyDescent="0.2">
      <c r="A3477" t="s">
        <v>1195</v>
      </c>
      <c r="B3477" t="s">
        <v>3685</v>
      </c>
      <c r="C3477" t="s">
        <v>7481</v>
      </c>
      <c r="D3477" t="str">
        <f>TRIM(alias[[#This Row],[Column3]])</f>
        <v>Tower Bersama Infrastructure Tbk</v>
      </c>
      <c r="F3477" t="str">
        <f t="shared" si="54"/>
        <v>INSERT INTO stock_alias (stock, alias) VALUES ((SELECT id FROM stock WHERE ticker = 'TBIG'), 'Tower Bersama Infrastructure Tbk') ON CONFLICT DO NOTHING;</v>
      </c>
    </row>
    <row r="3478" spans="1:6" x14ac:dyDescent="0.2">
      <c r="A3478" t="s">
        <v>1197</v>
      </c>
      <c r="B3478" t="s">
        <v>1198</v>
      </c>
      <c r="C3478" t="s">
        <v>1197</v>
      </c>
      <c r="D3478" t="str">
        <f>TRIM(alias[[#This Row],[Column3]])</f>
        <v>TBLA</v>
      </c>
      <c r="F3478" t="str">
        <f t="shared" si="54"/>
        <v>INSERT INTO stock_alias (stock, alias) VALUES ((SELECT id FROM stock WHERE ticker = 'TBLA'), 'TBLA') ON CONFLICT DO NOTHING;</v>
      </c>
    </row>
    <row r="3479" spans="1:6" x14ac:dyDescent="0.2">
      <c r="A3479" t="s">
        <v>1197</v>
      </c>
      <c r="B3479" t="s">
        <v>1198</v>
      </c>
      <c r="C3479" t="s">
        <v>7482</v>
      </c>
      <c r="D3479" t="str">
        <f>TRIM(alias[[#This Row],[Column3]])</f>
        <v>PT Tunas Baru Lampung</v>
      </c>
      <c r="F3479" t="str">
        <f t="shared" si="54"/>
        <v>INSERT INTO stock_alias (stock, alias) VALUES ((SELECT id FROM stock WHERE ticker = 'TBLA'), 'PT Tunas Baru Lampung') ON CONFLICT DO NOTHING;</v>
      </c>
    </row>
    <row r="3480" spans="1:6" x14ac:dyDescent="0.2">
      <c r="A3480" t="s">
        <v>1197</v>
      </c>
      <c r="B3480" t="s">
        <v>1198</v>
      </c>
      <c r="C3480" t="s">
        <v>7483</v>
      </c>
      <c r="D3480" t="str">
        <f>TRIM(alias[[#This Row],[Column3]])</f>
        <v>Tunas Baru Lampung</v>
      </c>
      <c r="F3480" t="str">
        <f t="shared" si="54"/>
        <v>INSERT INTO stock_alias (stock, alias) VALUES ((SELECT id FROM stock WHERE ticker = 'TBLA'), 'Tunas Baru Lampung') ON CONFLICT DO NOTHING;</v>
      </c>
    </row>
    <row r="3481" spans="1:6" x14ac:dyDescent="0.2">
      <c r="A3481" t="s">
        <v>1197</v>
      </c>
      <c r="B3481" t="s">
        <v>1198</v>
      </c>
      <c r="C3481" t="s">
        <v>7484</v>
      </c>
      <c r="D3481" t="str">
        <f>TRIM(alias[[#This Row],[Column3]])</f>
        <v>Tunas Baru Lampung Tbk</v>
      </c>
      <c r="F3481" t="str">
        <f t="shared" si="54"/>
        <v>INSERT INTO stock_alias (stock, alias) VALUES ((SELECT id FROM stock WHERE ticker = 'TBLA'), 'Tunas Baru Lampung Tbk') ON CONFLICT DO NOTHING;</v>
      </c>
    </row>
    <row r="3482" spans="1:6" x14ac:dyDescent="0.2">
      <c r="A3482" t="s">
        <v>1200</v>
      </c>
      <c r="B3482" t="s">
        <v>1201</v>
      </c>
      <c r="C3482" t="s">
        <v>1200</v>
      </c>
      <c r="D3482" t="str">
        <f>TRIM(alias[[#This Row],[Column3]])</f>
        <v>TBMS</v>
      </c>
      <c r="F3482" t="str">
        <f t="shared" si="54"/>
        <v>INSERT INTO stock_alias (stock, alias) VALUES ((SELECT id FROM stock WHERE ticker = 'TBMS'), 'TBMS') ON CONFLICT DO NOTHING;</v>
      </c>
    </row>
    <row r="3483" spans="1:6" x14ac:dyDescent="0.2">
      <c r="A3483" t="s">
        <v>1200</v>
      </c>
      <c r="B3483" t="s">
        <v>1201</v>
      </c>
      <c r="C3483" t="s">
        <v>7485</v>
      </c>
      <c r="D3483" t="str">
        <f>TRIM(alias[[#This Row],[Column3]])</f>
        <v>PT Tembaga Mulia Semanan</v>
      </c>
      <c r="F3483" t="str">
        <f t="shared" si="54"/>
        <v>INSERT INTO stock_alias (stock, alias) VALUES ((SELECT id FROM stock WHERE ticker = 'TBMS'), 'PT Tembaga Mulia Semanan') ON CONFLICT DO NOTHING;</v>
      </c>
    </row>
    <row r="3484" spans="1:6" x14ac:dyDescent="0.2">
      <c r="A3484" t="s">
        <v>1200</v>
      </c>
      <c r="B3484" t="s">
        <v>1201</v>
      </c>
      <c r="C3484" t="s">
        <v>7486</v>
      </c>
      <c r="D3484" t="str">
        <f>TRIM(alias[[#This Row],[Column3]])</f>
        <v>Tembaga Mulia Semanan</v>
      </c>
      <c r="F3484" t="str">
        <f t="shared" si="54"/>
        <v>INSERT INTO stock_alias (stock, alias) VALUES ((SELECT id FROM stock WHERE ticker = 'TBMS'), 'Tembaga Mulia Semanan') ON CONFLICT DO NOTHING;</v>
      </c>
    </row>
    <row r="3485" spans="1:6" x14ac:dyDescent="0.2">
      <c r="A3485" t="s">
        <v>1200</v>
      </c>
      <c r="B3485" t="s">
        <v>1201</v>
      </c>
      <c r="C3485" t="s">
        <v>7487</v>
      </c>
      <c r="D3485" t="str">
        <f>TRIM(alias[[#This Row],[Column3]])</f>
        <v>Tembaga Mulia Semanan Tbk</v>
      </c>
      <c r="F3485" t="str">
        <f t="shared" si="54"/>
        <v>INSERT INTO stock_alias (stock, alias) VALUES ((SELECT id FROM stock WHERE ticker = 'TBMS'), 'Tembaga Mulia Semanan Tbk') ON CONFLICT DO NOTHING;</v>
      </c>
    </row>
    <row r="3486" spans="1:6" x14ac:dyDescent="0.2">
      <c r="A3486" t="s">
        <v>1203</v>
      </c>
      <c r="B3486" t="s">
        <v>1204</v>
      </c>
      <c r="C3486" t="s">
        <v>1203</v>
      </c>
      <c r="D3486" t="str">
        <f>TRIM(alias[[#This Row],[Column3]])</f>
        <v>TCID</v>
      </c>
      <c r="F3486" t="str">
        <f t="shared" si="54"/>
        <v>INSERT INTO stock_alias (stock, alias) VALUES ((SELECT id FROM stock WHERE ticker = 'TCID'), 'TCID') ON CONFLICT DO NOTHING;</v>
      </c>
    </row>
    <row r="3487" spans="1:6" x14ac:dyDescent="0.2">
      <c r="A3487" t="s">
        <v>1203</v>
      </c>
      <c r="B3487" t="s">
        <v>1204</v>
      </c>
      <c r="C3487" t="s">
        <v>7488</v>
      </c>
      <c r="D3487" t="str">
        <f>TRIM(alias[[#This Row],[Column3]])</f>
        <v>Mandom Indonesia</v>
      </c>
      <c r="F3487" t="str">
        <f t="shared" si="54"/>
        <v>INSERT INTO stock_alias (stock, alias) VALUES ((SELECT id FROM stock WHERE ticker = 'TCID'), 'Mandom Indonesia') ON CONFLICT DO NOTHING;</v>
      </c>
    </row>
    <row r="3488" spans="1:6" x14ac:dyDescent="0.2">
      <c r="A3488" t="s">
        <v>1203</v>
      </c>
      <c r="B3488" t="s">
        <v>1204</v>
      </c>
      <c r="C3488" t="s">
        <v>7489</v>
      </c>
      <c r="D3488" t="str">
        <f>TRIM(alias[[#This Row],[Column3]])</f>
        <v>Mandom Indonesia Tbk</v>
      </c>
      <c r="F3488" t="str">
        <f t="shared" si="54"/>
        <v>INSERT INTO stock_alias (stock, alias) VALUES ((SELECT id FROM stock WHERE ticker = 'TCID'), 'Mandom Indonesia Tbk') ON CONFLICT DO NOTHING;</v>
      </c>
    </row>
    <row r="3489" spans="1:6" x14ac:dyDescent="0.2">
      <c r="A3489" t="s">
        <v>1203</v>
      </c>
      <c r="B3489" t="s">
        <v>1204</v>
      </c>
      <c r="C3489" t="s">
        <v>7490</v>
      </c>
      <c r="D3489" t="str">
        <f>TRIM(alias[[#This Row],[Column3]])</f>
        <v>PT Mandom Indonesia</v>
      </c>
      <c r="F3489" t="str">
        <f t="shared" si="54"/>
        <v>INSERT INTO stock_alias (stock, alias) VALUES ((SELECT id FROM stock WHERE ticker = 'TCID'), 'PT Mandom Indonesia') ON CONFLICT DO NOTHING;</v>
      </c>
    </row>
    <row r="3490" spans="1:6" x14ac:dyDescent="0.2">
      <c r="A3490" t="s">
        <v>1547</v>
      </c>
      <c r="B3490" t="s">
        <v>1548</v>
      </c>
      <c r="C3490" t="s">
        <v>1547</v>
      </c>
      <c r="D3490" t="str">
        <f>TRIM(alias[[#This Row],[Column3]])</f>
        <v>TCPI</v>
      </c>
      <c r="F3490" t="str">
        <f t="shared" si="54"/>
        <v>INSERT INTO stock_alias (stock, alias) VALUES ((SELECT id FROM stock WHERE ticker = 'TCPI'), 'TCPI') ON CONFLICT DO NOTHING;</v>
      </c>
    </row>
    <row r="3491" spans="1:6" x14ac:dyDescent="0.2">
      <c r="A3491" t="s">
        <v>1547</v>
      </c>
      <c r="B3491" t="s">
        <v>1548</v>
      </c>
      <c r="C3491" t="s">
        <v>7491</v>
      </c>
      <c r="D3491" t="str">
        <f>TRIM(alias[[#This Row],[Column3]])</f>
        <v>PT Transcoal Pacific</v>
      </c>
      <c r="F3491" t="str">
        <f t="shared" si="54"/>
        <v>INSERT INTO stock_alias (stock, alias) VALUES ((SELECT id FROM stock WHERE ticker = 'TCPI'), 'PT Transcoal Pacific') ON CONFLICT DO NOTHING;</v>
      </c>
    </row>
    <row r="3492" spans="1:6" x14ac:dyDescent="0.2">
      <c r="A3492" t="s">
        <v>1547</v>
      </c>
      <c r="B3492" t="s">
        <v>1548</v>
      </c>
      <c r="C3492" t="s">
        <v>7492</v>
      </c>
      <c r="D3492" t="str">
        <f>TRIM(alias[[#This Row],[Column3]])</f>
        <v>Transcoal Pacific</v>
      </c>
      <c r="F3492" t="str">
        <f t="shared" si="54"/>
        <v>INSERT INTO stock_alias (stock, alias) VALUES ((SELECT id FROM stock WHERE ticker = 'TCPI'), 'Transcoal Pacific') ON CONFLICT DO NOTHING;</v>
      </c>
    </row>
    <row r="3493" spans="1:6" x14ac:dyDescent="0.2">
      <c r="A3493" t="s">
        <v>1547</v>
      </c>
      <c r="B3493" t="s">
        <v>1548</v>
      </c>
      <c r="C3493" t="s">
        <v>7493</v>
      </c>
      <c r="D3493" t="str">
        <f>TRIM(alias[[#This Row],[Column3]])</f>
        <v>Transcoal Pacific Tbk</v>
      </c>
      <c r="F3493" t="str">
        <f t="shared" si="54"/>
        <v>INSERT INTO stock_alias (stock, alias) VALUES ((SELECT id FROM stock WHERE ticker = 'TCPI'), 'Transcoal Pacific Tbk') ON CONFLICT DO NOTHING;</v>
      </c>
    </row>
    <row r="3494" spans="1:6" x14ac:dyDescent="0.2">
      <c r="A3494" t="s">
        <v>1507</v>
      </c>
      <c r="B3494" t="s">
        <v>3686</v>
      </c>
      <c r="C3494" t="s">
        <v>1507</v>
      </c>
      <c r="D3494" t="str">
        <f>TRIM(alias[[#This Row],[Column3]])</f>
        <v>TDPM</v>
      </c>
      <c r="F3494" t="str">
        <f t="shared" si="54"/>
        <v>INSERT INTO stock_alias (stock, alias) VALUES ((SELECT id FROM stock WHERE ticker = 'TDPM'), 'TDPM') ON CONFLICT DO NOTHING;</v>
      </c>
    </row>
    <row r="3495" spans="1:6" x14ac:dyDescent="0.2">
      <c r="A3495" t="s">
        <v>1507</v>
      </c>
      <c r="B3495" t="s">
        <v>3686</v>
      </c>
      <c r="C3495" t="s">
        <v>7494</v>
      </c>
      <c r="D3495" t="str">
        <f>TRIM(alias[[#This Row],[Column3]])</f>
        <v>PT Tianrong Chemicals Industry</v>
      </c>
      <c r="F3495" t="str">
        <f t="shared" si="54"/>
        <v>INSERT INTO stock_alias (stock, alias) VALUES ((SELECT id FROM stock WHERE ticker = 'TDPM'), 'PT Tianrong Chemicals Industry') ON CONFLICT DO NOTHING;</v>
      </c>
    </row>
    <row r="3496" spans="1:6" x14ac:dyDescent="0.2">
      <c r="A3496" t="s">
        <v>1507</v>
      </c>
      <c r="B3496" t="s">
        <v>3686</v>
      </c>
      <c r="C3496" t="s">
        <v>7495</v>
      </c>
      <c r="D3496" t="str">
        <f>TRIM(alias[[#This Row],[Column3]])</f>
        <v>Tianrong Chemicals Industry</v>
      </c>
      <c r="F3496" t="str">
        <f t="shared" si="54"/>
        <v>INSERT INTO stock_alias (stock, alias) VALUES ((SELECT id FROM stock WHERE ticker = 'TDPM'), 'Tianrong Chemicals Industry') ON CONFLICT DO NOTHING;</v>
      </c>
    </row>
    <row r="3497" spans="1:6" x14ac:dyDescent="0.2">
      <c r="A3497" t="s">
        <v>1507</v>
      </c>
      <c r="B3497" t="s">
        <v>3686</v>
      </c>
      <c r="C3497" t="s">
        <v>7496</v>
      </c>
      <c r="D3497" t="str">
        <f>TRIM(alias[[#This Row],[Column3]])</f>
        <v>Tianrong Chemicals Industry Tbk</v>
      </c>
      <c r="F3497" t="str">
        <f t="shared" si="54"/>
        <v>INSERT INTO stock_alias (stock, alias) VALUES ((SELECT id FROM stock WHERE ticker = 'TDPM'), 'Tianrong Chemicals Industry Tbk') ON CONFLICT DO NOTHING;</v>
      </c>
    </row>
    <row r="3498" spans="1:6" x14ac:dyDescent="0.2">
      <c r="A3498" t="s">
        <v>1765</v>
      </c>
      <c r="B3498" t="s">
        <v>1766</v>
      </c>
      <c r="C3498" t="s">
        <v>1765</v>
      </c>
      <c r="D3498" t="str">
        <f>TRIM(alias[[#This Row],[Column3]])</f>
        <v>TEBE</v>
      </c>
      <c r="F3498" t="str">
        <f t="shared" si="54"/>
        <v>INSERT INTO stock_alias (stock, alias) VALUES ((SELECT id FROM stock WHERE ticker = 'TEBE'), 'TEBE') ON CONFLICT DO NOTHING;</v>
      </c>
    </row>
    <row r="3499" spans="1:6" x14ac:dyDescent="0.2">
      <c r="A3499" t="s">
        <v>1765</v>
      </c>
      <c r="B3499" t="s">
        <v>1766</v>
      </c>
      <c r="C3499" t="s">
        <v>7497</v>
      </c>
      <c r="D3499" t="str">
        <f>TRIM(alias[[#This Row],[Column3]])</f>
        <v>Dana Brata Luhur</v>
      </c>
      <c r="F3499" t="str">
        <f t="shared" si="54"/>
        <v>INSERT INTO stock_alias (stock, alias) VALUES ((SELECT id FROM stock WHERE ticker = 'TEBE'), 'Dana Brata Luhur') ON CONFLICT DO NOTHING;</v>
      </c>
    </row>
    <row r="3500" spans="1:6" x14ac:dyDescent="0.2">
      <c r="A3500" t="s">
        <v>1765</v>
      </c>
      <c r="B3500" t="s">
        <v>1766</v>
      </c>
      <c r="C3500" t="s">
        <v>7498</v>
      </c>
      <c r="D3500" t="str">
        <f>TRIM(alias[[#This Row],[Column3]])</f>
        <v>Dana Brata Luhur Tbk</v>
      </c>
      <c r="F3500" t="str">
        <f t="shared" si="54"/>
        <v>INSERT INTO stock_alias (stock, alias) VALUES ((SELECT id FROM stock WHERE ticker = 'TEBE'), 'Dana Brata Luhur Tbk') ON CONFLICT DO NOTHING;</v>
      </c>
    </row>
    <row r="3501" spans="1:6" x14ac:dyDescent="0.2">
      <c r="A3501" t="s">
        <v>1765</v>
      </c>
      <c r="B3501" t="s">
        <v>1766</v>
      </c>
      <c r="C3501" t="s">
        <v>7499</v>
      </c>
      <c r="D3501" t="str">
        <f>TRIM(alias[[#This Row],[Column3]])</f>
        <v>PT Dana Brata Luhur</v>
      </c>
      <c r="F3501" t="str">
        <f t="shared" si="54"/>
        <v>INSERT INTO stock_alias (stock, alias) VALUES ((SELECT id FROM stock WHERE ticker = 'TEBE'), 'PT Dana Brata Luhur') ON CONFLICT DO NOTHING;</v>
      </c>
    </row>
    <row r="3502" spans="1:6" x14ac:dyDescent="0.2">
      <c r="A3502" t="s">
        <v>1848</v>
      </c>
      <c r="B3502" t="s">
        <v>1849</v>
      </c>
      <c r="C3502" t="s">
        <v>1848</v>
      </c>
      <c r="D3502" t="str">
        <f>TRIM(alias[[#This Row],[Column3]])</f>
        <v>TECH</v>
      </c>
      <c r="F3502" t="str">
        <f t="shared" si="54"/>
        <v>INSERT INTO stock_alias (stock, alias) VALUES ((SELECT id FROM stock WHERE ticker = 'TECH'), 'TECH') ON CONFLICT DO NOTHING;</v>
      </c>
    </row>
    <row r="3503" spans="1:6" x14ac:dyDescent="0.2">
      <c r="A3503" t="s">
        <v>1848</v>
      </c>
      <c r="B3503" t="s">
        <v>1849</v>
      </c>
      <c r="C3503" t="s">
        <v>7500</v>
      </c>
      <c r="D3503" t="str">
        <f>TRIM(alias[[#This Row],[Column3]])</f>
        <v>Indosterling Technomedia</v>
      </c>
      <c r="F3503" t="str">
        <f t="shared" si="54"/>
        <v>INSERT INTO stock_alias (stock, alias) VALUES ((SELECT id FROM stock WHERE ticker = 'TECH'), 'Indosterling Technomedia') ON CONFLICT DO NOTHING;</v>
      </c>
    </row>
    <row r="3504" spans="1:6" x14ac:dyDescent="0.2">
      <c r="A3504" t="s">
        <v>1848</v>
      </c>
      <c r="B3504" t="s">
        <v>1849</v>
      </c>
      <c r="C3504" t="s">
        <v>7501</v>
      </c>
      <c r="D3504" t="str">
        <f>TRIM(alias[[#This Row],[Column3]])</f>
        <v>Indosterling Technomedia Tbk</v>
      </c>
      <c r="F3504" t="str">
        <f t="shared" si="54"/>
        <v>INSERT INTO stock_alias (stock, alias) VALUES ((SELECT id FROM stock WHERE ticker = 'TECH'), 'Indosterling Technomedia Tbk') ON CONFLICT DO NOTHING;</v>
      </c>
    </row>
    <row r="3505" spans="1:6" x14ac:dyDescent="0.2">
      <c r="A3505" t="s">
        <v>1848</v>
      </c>
      <c r="B3505" t="s">
        <v>1849</v>
      </c>
      <c r="C3505" t="s">
        <v>7502</v>
      </c>
      <c r="D3505" t="str">
        <f>TRIM(alias[[#This Row],[Column3]])</f>
        <v>PT Indosterling Technomedia</v>
      </c>
      <c r="F3505" t="str">
        <f t="shared" si="54"/>
        <v>INSERT INTO stock_alias (stock, alias) VALUES ((SELECT id FROM stock WHERE ticker = 'TECH'), 'PT Indosterling Technomedia') ON CONFLICT DO NOTHING;</v>
      </c>
    </row>
    <row r="3506" spans="1:6" x14ac:dyDescent="0.2">
      <c r="A3506" t="s">
        <v>1206</v>
      </c>
      <c r="B3506" t="s">
        <v>1207</v>
      </c>
      <c r="C3506" t="s">
        <v>1206</v>
      </c>
      <c r="D3506" t="str">
        <f>TRIM(alias[[#This Row],[Column3]])</f>
        <v>TELE</v>
      </c>
      <c r="F3506" t="str">
        <f t="shared" si="54"/>
        <v>INSERT INTO stock_alias (stock, alias) VALUES ((SELECT id FROM stock WHERE ticker = 'TELE'), 'TELE') ON CONFLICT DO NOTHING;</v>
      </c>
    </row>
    <row r="3507" spans="1:6" x14ac:dyDescent="0.2">
      <c r="A3507" t="s">
        <v>1206</v>
      </c>
      <c r="B3507" t="s">
        <v>1207</v>
      </c>
      <c r="C3507" t="s">
        <v>7503</v>
      </c>
      <c r="D3507" t="str">
        <f>TRIM(alias[[#This Row],[Column3]])</f>
        <v>Omni Inovasi Indonesia</v>
      </c>
      <c r="F3507" t="str">
        <f t="shared" si="54"/>
        <v>INSERT INTO stock_alias (stock, alias) VALUES ((SELECT id FROM stock WHERE ticker = 'TELE'), 'Omni Inovasi Indonesia') ON CONFLICT DO NOTHING;</v>
      </c>
    </row>
    <row r="3508" spans="1:6" x14ac:dyDescent="0.2">
      <c r="A3508" t="s">
        <v>1206</v>
      </c>
      <c r="B3508" t="s">
        <v>1207</v>
      </c>
      <c r="C3508" t="s">
        <v>7504</v>
      </c>
      <c r="D3508" t="str">
        <f>TRIM(alias[[#This Row],[Column3]])</f>
        <v>Omni Inovasi Indonesia Tbk</v>
      </c>
      <c r="F3508" t="str">
        <f t="shared" si="54"/>
        <v>INSERT INTO stock_alias (stock, alias) VALUES ((SELECT id FROM stock WHERE ticker = 'TELE'), 'Omni Inovasi Indonesia Tbk') ON CONFLICT DO NOTHING;</v>
      </c>
    </row>
    <row r="3509" spans="1:6" x14ac:dyDescent="0.2">
      <c r="A3509" t="s">
        <v>1206</v>
      </c>
      <c r="B3509" t="s">
        <v>1207</v>
      </c>
      <c r="C3509" t="s">
        <v>7505</v>
      </c>
      <c r="D3509" t="str">
        <f>TRIM(alias[[#This Row],[Column3]])</f>
        <v>PT Omni Inovasi Indonesia</v>
      </c>
      <c r="F3509" t="str">
        <f t="shared" si="54"/>
        <v>INSERT INTO stock_alias (stock, alias) VALUES ((SELECT id FROM stock WHERE ticker = 'TELE'), 'PT Omni Inovasi Indonesia') ON CONFLICT DO NOTHING;</v>
      </c>
    </row>
    <row r="3510" spans="1:6" x14ac:dyDescent="0.2">
      <c r="A3510" t="s">
        <v>1735</v>
      </c>
      <c r="B3510" t="s">
        <v>1736</v>
      </c>
      <c r="C3510" t="s">
        <v>1735</v>
      </c>
      <c r="D3510" t="str">
        <f>TRIM(alias[[#This Row],[Column3]])</f>
        <v>TFAS</v>
      </c>
      <c r="F3510" t="str">
        <f t="shared" si="54"/>
        <v>INSERT INTO stock_alias (stock, alias) VALUES ((SELECT id FROM stock WHERE ticker = 'TFAS'), 'TFAS') ON CONFLICT DO NOTHING;</v>
      </c>
    </row>
    <row r="3511" spans="1:6" x14ac:dyDescent="0.2">
      <c r="A3511" t="s">
        <v>1735</v>
      </c>
      <c r="B3511" t="s">
        <v>1736</v>
      </c>
      <c r="C3511" t="s">
        <v>7506</v>
      </c>
      <c r="D3511" t="str">
        <f>TRIM(alias[[#This Row],[Column3]])</f>
        <v>PT Telefast Indonesia</v>
      </c>
      <c r="F3511" t="str">
        <f t="shared" si="54"/>
        <v>INSERT INTO stock_alias (stock, alias) VALUES ((SELECT id FROM stock WHERE ticker = 'TFAS'), 'PT Telefast Indonesia') ON CONFLICT DO NOTHING;</v>
      </c>
    </row>
    <row r="3512" spans="1:6" x14ac:dyDescent="0.2">
      <c r="A3512" t="s">
        <v>1735</v>
      </c>
      <c r="B3512" t="s">
        <v>1736</v>
      </c>
      <c r="C3512" t="s">
        <v>7507</v>
      </c>
      <c r="D3512" t="str">
        <f>TRIM(alias[[#This Row],[Column3]])</f>
        <v>Telefast Indonesia</v>
      </c>
      <c r="F3512" t="str">
        <f t="shared" si="54"/>
        <v>INSERT INTO stock_alias (stock, alias) VALUES ((SELECT id FROM stock WHERE ticker = 'TFAS'), 'Telefast Indonesia') ON CONFLICT DO NOTHING;</v>
      </c>
    </row>
    <row r="3513" spans="1:6" x14ac:dyDescent="0.2">
      <c r="A3513" t="s">
        <v>1735</v>
      </c>
      <c r="B3513" t="s">
        <v>1736</v>
      </c>
      <c r="C3513" t="s">
        <v>7508</v>
      </c>
      <c r="D3513" t="str">
        <f>TRIM(alias[[#This Row],[Column3]])</f>
        <v>Telefast Indonesia Tbk</v>
      </c>
      <c r="F3513" t="str">
        <f t="shared" si="54"/>
        <v>INSERT INTO stock_alias (stock, alias) VALUES ((SELECT id FROM stock WHERE ticker = 'TFAS'), 'Telefast Indonesia Tbk') ON CONFLICT DO NOTHING;</v>
      </c>
    </row>
    <row r="3514" spans="1:6" x14ac:dyDescent="0.2">
      <c r="A3514" t="s">
        <v>1209</v>
      </c>
      <c r="B3514" t="s">
        <v>1210</v>
      </c>
      <c r="C3514" t="s">
        <v>1209</v>
      </c>
      <c r="D3514" t="str">
        <f>TRIM(alias[[#This Row],[Column3]])</f>
        <v>TFCO</v>
      </c>
      <c r="F3514" t="str">
        <f t="shared" si="54"/>
        <v>INSERT INTO stock_alias (stock, alias) VALUES ((SELECT id FROM stock WHERE ticker = 'TFCO'), 'TFCO') ON CONFLICT DO NOTHING;</v>
      </c>
    </row>
    <row r="3515" spans="1:6" x14ac:dyDescent="0.2">
      <c r="A3515" t="s">
        <v>1209</v>
      </c>
      <c r="B3515" t="s">
        <v>1210</v>
      </c>
      <c r="C3515" t="s">
        <v>7509</v>
      </c>
      <c r="D3515" t="str">
        <f>TRIM(alias[[#This Row],[Column3]])</f>
        <v>PT Tifico Fiber Indonesia</v>
      </c>
      <c r="F3515" t="str">
        <f t="shared" si="54"/>
        <v>INSERT INTO stock_alias (stock, alias) VALUES ((SELECT id FROM stock WHERE ticker = 'TFCO'), 'PT Tifico Fiber Indonesia') ON CONFLICT DO NOTHING;</v>
      </c>
    </row>
    <row r="3516" spans="1:6" x14ac:dyDescent="0.2">
      <c r="A3516" t="s">
        <v>1209</v>
      </c>
      <c r="B3516" t="s">
        <v>1210</v>
      </c>
      <c r="C3516" t="s">
        <v>7510</v>
      </c>
      <c r="D3516" t="str">
        <f>TRIM(alias[[#This Row],[Column3]])</f>
        <v>Tifico Fiber Indonesia</v>
      </c>
      <c r="F3516" t="str">
        <f t="shared" si="54"/>
        <v>INSERT INTO stock_alias (stock, alias) VALUES ((SELECT id FROM stock WHERE ticker = 'TFCO'), 'Tifico Fiber Indonesia') ON CONFLICT DO NOTHING;</v>
      </c>
    </row>
    <row r="3517" spans="1:6" x14ac:dyDescent="0.2">
      <c r="A3517" t="s">
        <v>1209</v>
      </c>
      <c r="B3517" t="s">
        <v>1210</v>
      </c>
      <c r="C3517" t="s">
        <v>7511</v>
      </c>
      <c r="D3517" t="str">
        <f>TRIM(alias[[#This Row],[Column3]])</f>
        <v>Tifico Fiber Indonesia Tbk</v>
      </c>
      <c r="F3517" t="str">
        <f t="shared" si="54"/>
        <v>INSERT INTO stock_alias (stock, alias) VALUES ((SELECT id FROM stock WHERE ticker = 'TFCO'), 'Tifico Fiber Indonesia Tbk') ON CONFLICT DO NOTHING;</v>
      </c>
    </row>
    <row r="3518" spans="1:6" x14ac:dyDescent="0.2">
      <c r="A3518" t="s">
        <v>1212</v>
      </c>
      <c r="B3518" t="s">
        <v>1213</v>
      </c>
      <c r="C3518" t="s">
        <v>1212</v>
      </c>
      <c r="D3518" t="str">
        <f>TRIM(alias[[#This Row],[Column3]])</f>
        <v>TGKA</v>
      </c>
      <c r="F3518" t="str">
        <f t="shared" si="54"/>
        <v>INSERT INTO stock_alias (stock, alias) VALUES ((SELECT id FROM stock WHERE ticker = 'TGKA'), 'TGKA') ON CONFLICT DO NOTHING;</v>
      </c>
    </row>
    <row r="3519" spans="1:6" x14ac:dyDescent="0.2">
      <c r="A3519" t="s">
        <v>1212</v>
      </c>
      <c r="B3519" t="s">
        <v>1213</v>
      </c>
      <c r="C3519" t="s">
        <v>7512</v>
      </c>
      <c r="D3519" t="str">
        <f>TRIM(alias[[#This Row],[Column3]])</f>
        <v>PT Tigaraksa Satria</v>
      </c>
      <c r="F3519" t="str">
        <f t="shared" si="54"/>
        <v>INSERT INTO stock_alias (stock, alias) VALUES ((SELECT id FROM stock WHERE ticker = 'TGKA'), 'PT Tigaraksa Satria') ON CONFLICT DO NOTHING;</v>
      </c>
    </row>
    <row r="3520" spans="1:6" x14ac:dyDescent="0.2">
      <c r="A3520" t="s">
        <v>1212</v>
      </c>
      <c r="B3520" t="s">
        <v>1213</v>
      </c>
      <c r="C3520" t="s">
        <v>7513</v>
      </c>
      <c r="D3520" t="str">
        <f>TRIM(alias[[#This Row],[Column3]])</f>
        <v>Tigaraksa Satria</v>
      </c>
      <c r="F3520" t="str">
        <f t="shared" si="54"/>
        <v>INSERT INTO stock_alias (stock, alias) VALUES ((SELECT id FROM stock WHERE ticker = 'TGKA'), 'Tigaraksa Satria') ON CONFLICT DO NOTHING;</v>
      </c>
    </row>
    <row r="3521" spans="1:6" x14ac:dyDescent="0.2">
      <c r="A3521" t="s">
        <v>1212</v>
      </c>
      <c r="B3521" t="s">
        <v>1213</v>
      </c>
      <c r="C3521" t="s">
        <v>7514</v>
      </c>
      <c r="D3521" t="str">
        <f>TRIM(alias[[#This Row],[Column3]])</f>
        <v>Tigaraksa Satria Tbk</v>
      </c>
      <c r="F3521" t="str">
        <f t="shared" si="54"/>
        <v>INSERT INTO stock_alias (stock, alias) VALUES ((SELECT id FROM stock WHERE ticker = 'TGKA'), 'Tigaraksa Satria Tbk') ON CONFLICT DO NOTHING;</v>
      </c>
    </row>
    <row r="3522" spans="1:6" x14ac:dyDescent="0.2">
      <c r="A3522" t="s">
        <v>1407</v>
      </c>
      <c r="B3522" t="s">
        <v>1408</v>
      </c>
      <c r="C3522" t="s">
        <v>1407</v>
      </c>
      <c r="D3522" t="str">
        <f>TRIM(alias[[#This Row],[Column3]])</f>
        <v>TGRA</v>
      </c>
      <c r="F3522" t="str">
        <f t="shared" si="54"/>
        <v>INSERT INTO stock_alias (stock, alias) VALUES ((SELECT id FROM stock WHERE ticker = 'TGRA'), 'TGRA') ON CONFLICT DO NOTHING;</v>
      </c>
    </row>
    <row r="3523" spans="1:6" x14ac:dyDescent="0.2">
      <c r="A3523" t="s">
        <v>1407</v>
      </c>
      <c r="B3523" t="s">
        <v>1408</v>
      </c>
      <c r="C3523" t="s">
        <v>7515</v>
      </c>
      <c r="D3523" t="str">
        <f>TRIM(alias[[#This Row],[Column3]])</f>
        <v>PT Terregra Asia Energy</v>
      </c>
      <c r="F3523" t="str">
        <f t="shared" ref="F3523:F3586" si="55">_xlfn.CONCAT($F$1, _xlfn.CONCAT($G$1, A3523, "'), '", D3523, "') ON CONFLICT DO NOTHING;"))</f>
        <v>INSERT INTO stock_alias (stock, alias) VALUES ((SELECT id FROM stock WHERE ticker = 'TGRA'), 'PT Terregra Asia Energy') ON CONFLICT DO NOTHING;</v>
      </c>
    </row>
    <row r="3524" spans="1:6" x14ac:dyDescent="0.2">
      <c r="A3524" t="s">
        <v>1407</v>
      </c>
      <c r="B3524" t="s">
        <v>1408</v>
      </c>
      <c r="C3524" t="s">
        <v>7516</v>
      </c>
      <c r="D3524" t="str">
        <f>TRIM(alias[[#This Row],[Column3]])</f>
        <v>Terregra Asia Energy</v>
      </c>
      <c r="F3524" t="str">
        <f t="shared" si="55"/>
        <v>INSERT INTO stock_alias (stock, alias) VALUES ((SELECT id FROM stock WHERE ticker = 'TGRA'), 'Terregra Asia Energy') ON CONFLICT DO NOTHING;</v>
      </c>
    </row>
    <row r="3525" spans="1:6" x14ac:dyDescent="0.2">
      <c r="A3525" t="s">
        <v>1407</v>
      </c>
      <c r="B3525" t="s">
        <v>1408</v>
      </c>
      <c r="C3525" t="s">
        <v>7517</v>
      </c>
      <c r="D3525" t="str">
        <f>TRIM(alias[[#This Row],[Column3]])</f>
        <v>Terregra Asia Energy Tbk</v>
      </c>
      <c r="F3525" t="str">
        <f t="shared" si="55"/>
        <v>INSERT INTO stock_alias (stock, alias) VALUES ((SELECT id FROM stock WHERE ticker = 'TGRA'), 'Terregra Asia Energy Tbk') ON CONFLICT DO NOTHING;</v>
      </c>
    </row>
    <row r="3526" spans="1:6" x14ac:dyDescent="0.2">
      <c r="A3526" t="s">
        <v>2330</v>
      </c>
      <c r="B3526" t="s">
        <v>2331</v>
      </c>
      <c r="C3526" t="s">
        <v>2330</v>
      </c>
      <c r="D3526" t="str">
        <f>TRIM(alias[[#This Row],[Column3]])</f>
        <v>TGUK</v>
      </c>
      <c r="F3526" t="str">
        <f t="shared" si="55"/>
        <v>INSERT INTO stock_alias (stock, alias) VALUES ((SELECT id FROM stock WHERE ticker = 'TGUK'), 'TGUK') ON CONFLICT DO NOTHING;</v>
      </c>
    </row>
    <row r="3527" spans="1:6" x14ac:dyDescent="0.2">
      <c r="A3527" t="s">
        <v>2330</v>
      </c>
      <c r="B3527" t="s">
        <v>2331</v>
      </c>
      <c r="C3527" t="s">
        <v>7518</v>
      </c>
      <c r="D3527" t="str">
        <f>TRIM(alias[[#This Row],[Column3]])</f>
        <v>PT Platinum Wahab Nusantara</v>
      </c>
      <c r="F3527" t="str">
        <f t="shared" si="55"/>
        <v>INSERT INTO stock_alias (stock, alias) VALUES ((SELECT id FROM stock WHERE ticker = 'TGUK'), 'PT Platinum Wahab Nusantara') ON CONFLICT DO NOTHING;</v>
      </c>
    </row>
    <row r="3528" spans="1:6" x14ac:dyDescent="0.2">
      <c r="A3528" t="s">
        <v>2330</v>
      </c>
      <c r="B3528" t="s">
        <v>2331</v>
      </c>
      <c r="C3528" t="s">
        <v>7519</v>
      </c>
      <c r="D3528" t="str">
        <f>TRIM(alias[[#This Row],[Column3]])</f>
        <v>Platinum Wahab Nusantara</v>
      </c>
      <c r="F3528" t="str">
        <f t="shared" si="55"/>
        <v>INSERT INTO stock_alias (stock, alias) VALUES ((SELECT id FROM stock WHERE ticker = 'TGUK'), 'Platinum Wahab Nusantara') ON CONFLICT DO NOTHING;</v>
      </c>
    </row>
    <row r="3529" spans="1:6" x14ac:dyDescent="0.2">
      <c r="A3529" t="s">
        <v>2330</v>
      </c>
      <c r="B3529" t="s">
        <v>2331</v>
      </c>
      <c r="C3529" t="s">
        <v>7520</v>
      </c>
      <c r="D3529" t="str">
        <f>TRIM(alias[[#This Row],[Column3]])</f>
        <v>Platinum Wahab Nusantara Tbk</v>
      </c>
      <c r="F3529" t="str">
        <f t="shared" si="55"/>
        <v>INSERT INTO stock_alias (stock, alias) VALUES ((SELECT id FROM stock WHERE ticker = 'TGUK'), 'Platinum Wahab Nusantara Tbk') ON CONFLICT DO NOTHING;</v>
      </c>
    </row>
    <row r="3530" spans="1:6" x14ac:dyDescent="0.2">
      <c r="A3530" t="s">
        <v>1215</v>
      </c>
      <c r="B3530" t="s">
        <v>1216</v>
      </c>
      <c r="C3530" t="s">
        <v>1215</v>
      </c>
      <c r="D3530" t="str">
        <f>TRIM(alias[[#This Row],[Column3]])</f>
        <v>TIFA</v>
      </c>
      <c r="F3530" t="str">
        <f t="shared" si="55"/>
        <v>INSERT INTO stock_alias (stock, alias) VALUES ((SELECT id FROM stock WHERE ticker = 'TIFA'), 'TIFA') ON CONFLICT DO NOTHING;</v>
      </c>
    </row>
    <row r="3531" spans="1:6" x14ac:dyDescent="0.2">
      <c r="A3531" t="s">
        <v>1215</v>
      </c>
      <c r="B3531" t="s">
        <v>1216</v>
      </c>
      <c r="C3531" t="s">
        <v>7521</v>
      </c>
      <c r="D3531" t="str">
        <f>TRIM(alias[[#This Row],[Column3]])</f>
        <v>KDB Tifa Finance</v>
      </c>
      <c r="F3531" t="str">
        <f t="shared" si="55"/>
        <v>INSERT INTO stock_alias (stock, alias) VALUES ((SELECT id FROM stock WHERE ticker = 'TIFA'), 'KDB Tifa Finance') ON CONFLICT DO NOTHING;</v>
      </c>
    </row>
    <row r="3532" spans="1:6" x14ac:dyDescent="0.2">
      <c r="A3532" t="s">
        <v>1215</v>
      </c>
      <c r="B3532" t="s">
        <v>1216</v>
      </c>
      <c r="C3532" t="s">
        <v>7522</v>
      </c>
      <c r="D3532" t="str">
        <f>TRIM(alias[[#This Row],[Column3]])</f>
        <v>KDB Tifa Finance Tbk</v>
      </c>
      <c r="F3532" t="str">
        <f t="shared" si="55"/>
        <v>INSERT INTO stock_alias (stock, alias) VALUES ((SELECT id FROM stock WHERE ticker = 'TIFA'), 'KDB Tifa Finance Tbk') ON CONFLICT DO NOTHING;</v>
      </c>
    </row>
    <row r="3533" spans="1:6" x14ac:dyDescent="0.2">
      <c r="A3533" t="s">
        <v>1215</v>
      </c>
      <c r="B3533" t="s">
        <v>1216</v>
      </c>
      <c r="C3533" t="s">
        <v>7523</v>
      </c>
      <c r="D3533" t="str">
        <f>TRIM(alias[[#This Row],[Column3]])</f>
        <v>PT KDB Tifa Finance</v>
      </c>
      <c r="F3533" t="str">
        <f t="shared" si="55"/>
        <v>INSERT INTO stock_alias (stock, alias) VALUES ((SELECT id FROM stock WHERE ticker = 'TIFA'), 'PT KDB Tifa Finance') ON CONFLICT DO NOTHING;</v>
      </c>
    </row>
    <row r="3534" spans="1:6" x14ac:dyDescent="0.2">
      <c r="A3534" t="s">
        <v>1218</v>
      </c>
      <c r="B3534" t="s">
        <v>1219</v>
      </c>
      <c r="C3534" t="s">
        <v>1218</v>
      </c>
      <c r="D3534" t="str">
        <f>TRIM(alias[[#This Row],[Column3]])</f>
        <v>TINS</v>
      </c>
      <c r="F3534" t="str">
        <f t="shared" si="55"/>
        <v>INSERT INTO stock_alias (stock, alias) VALUES ((SELECT id FROM stock WHERE ticker = 'TINS'), 'TINS') ON CONFLICT DO NOTHING;</v>
      </c>
    </row>
    <row r="3535" spans="1:6" x14ac:dyDescent="0.2">
      <c r="A3535" t="s">
        <v>1218</v>
      </c>
      <c r="B3535" t="s">
        <v>1219</v>
      </c>
      <c r="C3535" t="s">
        <v>7524</v>
      </c>
      <c r="D3535" t="str">
        <f>TRIM(alias[[#This Row],[Column3]])</f>
        <v>PT Timah Tbk</v>
      </c>
      <c r="F3535" t="str">
        <f t="shared" si="55"/>
        <v>INSERT INTO stock_alias (stock, alias) VALUES ((SELECT id FROM stock WHERE ticker = 'TINS'), 'PT Timah Tbk') ON CONFLICT DO NOTHING;</v>
      </c>
    </row>
    <row r="3536" spans="1:6" x14ac:dyDescent="0.2">
      <c r="A3536" t="s">
        <v>1221</v>
      </c>
      <c r="B3536" t="s">
        <v>3687</v>
      </c>
      <c r="C3536" t="s">
        <v>1221</v>
      </c>
      <c r="D3536" t="str">
        <f>TRIM(alias[[#This Row],[Column3]])</f>
        <v>TIRA</v>
      </c>
      <c r="F3536" t="str">
        <f t="shared" si="55"/>
        <v>INSERT INTO stock_alias (stock, alias) VALUES ((SELECT id FROM stock WHERE ticker = 'TIRA'), 'TIRA') ON CONFLICT DO NOTHING;</v>
      </c>
    </row>
    <row r="3537" spans="1:6" x14ac:dyDescent="0.2">
      <c r="A3537" t="s">
        <v>1221</v>
      </c>
      <c r="B3537" t="s">
        <v>3687</v>
      </c>
      <c r="C3537" t="s">
        <v>7525</v>
      </c>
      <c r="D3537" t="str">
        <f>TRIM(alias[[#This Row],[Column3]])</f>
        <v>PT Tira Austenite</v>
      </c>
      <c r="F3537" t="str">
        <f t="shared" si="55"/>
        <v>INSERT INTO stock_alias (stock, alias) VALUES ((SELECT id FROM stock WHERE ticker = 'TIRA'), 'PT Tira Austenite') ON CONFLICT DO NOTHING;</v>
      </c>
    </row>
    <row r="3538" spans="1:6" x14ac:dyDescent="0.2">
      <c r="A3538" t="s">
        <v>1221</v>
      </c>
      <c r="B3538" t="s">
        <v>3687</v>
      </c>
      <c r="C3538" t="s">
        <v>7526</v>
      </c>
      <c r="D3538" t="str">
        <f>TRIM(alias[[#This Row],[Column3]])</f>
        <v>Tira Austenite</v>
      </c>
      <c r="F3538" t="str">
        <f t="shared" si="55"/>
        <v>INSERT INTO stock_alias (stock, alias) VALUES ((SELECT id FROM stock WHERE ticker = 'TIRA'), 'Tira Austenite') ON CONFLICT DO NOTHING;</v>
      </c>
    </row>
    <row r="3539" spans="1:6" x14ac:dyDescent="0.2">
      <c r="A3539" t="s">
        <v>1221</v>
      </c>
      <c r="B3539" t="s">
        <v>3687</v>
      </c>
      <c r="C3539" t="s">
        <v>7527</v>
      </c>
      <c r="D3539" t="str">
        <f>TRIM(alias[[#This Row],[Column3]])</f>
        <v>Tira Austenite Tbk</v>
      </c>
      <c r="F3539" t="str">
        <f t="shared" si="55"/>
        <v>INSERT INTO stock_alias (stock, alias) VALUES ((SELECT id FROM stock WHERE ticker = 'TIRA'), 'Tira Austenite Tbk') ON CONFLICT DO NOTHING;</v>
      </c>
    </row>
    <row r="3540" spans="1:6" x14ac:dyDescent="0.2">
      <c r="A3540" t="s">
        <v>1224</v>
      </c>
      <c r="B3540" t="s">
        <v>3688</v>
      </c>
      <c r="C3540" t="s">
        <v>1224</v>
      </c>
      <c r="D3540" t="str">
        <f>TRIM(alias[[#This Row],[Column3]])</f>
        <v>TIRT</v>
      </c>
      <c r="F3540" t="str">
        <f t="shared" si="55"/>
        <v>INSERT INTO stock_alias (stock, alias) VALUES ((SELECT id FROM stock WHERE ticker = 'TIRT'), 'TIRT') ON CONFLICT DO NOTHING;</v>
      </c>
    </row>
    <row r="3541" spans="1:6" x14ac:dyDescent="0.2">
      <c r="A3541" t="s">
        <v>1224</v>
      </c>
      <c r="B3541" t="s">
        <v>3688</v>
      </c>
      <c r="C3541" t="s">
        <v>7528</v>
      </c>
      <c r="D3541" t="str">
        <f>TRIM(alias[[#This Row],[Column3]])</f>
        <v>PT Tirta Mahakam Resources</v>
      </c>
      <c r="F3541" t="str">
        <f t="shared" si="55"/>
        <v>INSERT INTO stock_alias (stock, alias) VALUES ((SELECT id FROM stock WHERE ticker = 'TIRT'), 'PT Tirta Mahakam Resources') ON CONFLICT DO NOTHING;</v>
      </c>
    </row>
    <row r="3542" spans="1:6" x14ac:dyDescent="0.2">
      <c r="A3542" t="s">
        <v>1224</v>
      </c>
      <c r="B3542" t="s">
        <v>3688</v>
      </c>
      <c r="C3542" t="s">
        <v>7529</v>
      </c>
      <c r="D3542" t="str">
        <f>TRIM(alias[[#This Row],[Column3]])</f>
        <v>Tirta Mahakam Resources</v>
      </c>
      <c r="F3542" t="str">
        <f t="shared" si="55"/>
        <v>INSERT INTO stock_alias (stock, alias) VALUES ((SELECT id FROM stock WHERE ticker = 'TIRT'), 'Tirta Mahakam Resources') ON CONFLICT DO NOTHING;</v>
      </c>
    </row>
    <row r="3543" spans="1:6" x14ac:dyDescent="0.2">
      <c r="A3543" t="s">
        <v>1224</v>
      </c>
      <c r="B3543" t="s">
        <v>3688</v>
      </c>
      <c r="C3543" t="s">
        <v>7530</v>
      </c>
      <c r="D3543" t="str">
        <f>TRIM(alias[[#This Row],[Column3]])</f>
        <v>Tirta Mahakam Resources Tbk</v>
      </c>
      <c r="F3543" t="str">
        <f t="shared" si="55"/>
        <v>INSERT INTO stock_alias (stock, alias) VALUES ((SELECT id FROM stock WHERE ticker = 'TIRT'), 'Tirta Mahakam Resources Tbk') ON CONFLICT DO NOTHING;</v>
      </c>
    </row>
    <row r="3544" spans="1:6" x14ac:dyDescent="0.2">
      <c r="A3544" t="s">
        <v>1227</v>
      </c>
      <c r="B3544" t="s">
        <v>1228</v>
      </c>
      <c r="C3544" t="s">
        <v>1227</v>
      </c>
      <c r="D3544" t="str">
        <f>TRIM(alias[[#This Row],[Column3]])</f>
        <v>TKIM</v>
      </c>
      <c r="F3544" t="str">
        <f t="shared" si="55"/>
        <v>INSERT INTO stock_alias (stock, alias) VALUES ((SELECT id FROM stock WHERE ticker = 'TKIM'), 'TKIM') ON CONFLICT DO NOTHING;</v>
      </c>
    </row>
    <row r="3545" spans="1:6" x14ac:dyDescent="0.2">
      <c r="A3545" t="s">
        <v>1227</v>
      </c>
      <c r="B3545" t="s">
        <v>1228</v>
      </c>
      <c r="C3545" t="s">
        <v>7531</v>
      </c>
      <c r="D3545" t="str">
        <f>TRIM(alias[[#This Row],[Column3]])</f>
        <v>PT Pabrik Kertas Tjiwi Kimia</v>
      </c>
      <c r="F3545" t="str">
        <f t="shared" si="55"/>
        <v>INSERT INTO stock_alias (stock, alias) VALUES ((SELECT id FROM stock WHERE ticker = 'TKIM'), 'PT Pabrik Kertas Tjiwi Kimia') ON CONFLICT DO NOTHING;</v>
      </c>
    </row>
    <row r="3546" spans="1:6" x14ac:dyDescent="0.2">
      <c r="A3546" t="s">
        <v>1227</v>
      </c>
      <c r="B3546" t="s">
        <v>1228</v>
      </c>
      <c r="C3546" t="s">
        <v>7532</v>
      </c>
      <c r="D3546" t="str">
        <f>TRIM(alias[[#This Row],[Column3]])</f>
        <v>Pabrik Kertas Tjiwi Kimia</v>
      </c>
      <c r="F3546" t="str">
        <f t="shared" si="55"/>
        <v>INSERT INTO stock_alias (stock, alias) VALUES ((SELECT id FROM stock WHERE ticker = 'TKIM'), 'Pabrik Kertas Tjiwi Kimia') ON CONFLICT DO NOTHING;</v>
      </c>
    </row>
    <row r="3547" spans="1:6" x14ac:dyDescent="0.2">
      <c r="A3547" t="s">
        <v>1227</v>
      </c>
      <c r="B3547" t="s">
        <v>1228</v>
      </c>
      <c r="C3547" t="s">
        <v>7533</v>
      </c>
      <c r="D3547" t="str">
        <f>TRIM(alias[[#This Row],[Column3]])</f>
        <v>Pabrik Kertas Tjiwi Kimia Tbk</v>
      </c>
      <c r="F3547" t="str">
        <f t="shared" si="55"/>
        <v>INSERT INTO stock_alias (stock, alias) VALUES ((SELECT id FROM stock WHERE ticker = 'TKIM'), 'Pabrik Kertas Tjiwi Kimia Tbk') ON CONFLICT DO NOTHING;</v>
      </c>
    </row>
    <row r="3548" spans="1:6" x14ac:dyDescent="0.2">
      <c r="A3548" t="s">
        <v>2100</v>
      </c>
      <c r="B3548" t="s">
        <v>2101</v>
      </c>
      <c r="C3548" t="s">
        <v>2100</v>
      </c>
      <c r="D3548" t="str">
        <f>TRIM(alias[[#This Row],[Column3]])</f>
        <v>TLDN</v>
      </c>
      <c r="F3548" t="str">
        <f t="shared" si="55"/>
        <v>INSERT INTO stock_alias (stock, alias) VALUES ((SELECT id FROM stock WHERE ticker = 'TLDN'), 'TLDN') ON CONFLICT DO NOTHING;</v>
      </c>
    </row>
    <row r="3549" spans="1:6" x14ac:dyDescent="0.2">
      <c r="A3549" t="s">
        <v>2100</v>
      </c>
      <c r="B3549" t="s">
        <v>2101</v>
      </c>
      <c r="C3549" t="s">
        <v>7534</v>
      </c>
      <c r="D3549" t="str">
        <f>TRIM(alias[[#This Row],[Column3]])</f>
        <v>PT Teladan Prima Agro</v>
      </c>
      <c r="F3549" t="str">
        <f t="shared" si="55"/>
        <v>INSERT INTO stock_alias (stock, alias) VALUES ((SELECT id FROM stock WHERE ticker = 'TLDN'), 'PT Teladan Prima Agro') ON CONFLICT DO NOTHING;</v>
      </c>
    </row>
    <row r="3550" spans="1:6" x14ac:dyDescent="0.2">
      <c r="A3550" t="s">
        <v>2100</v>
      </c>
      <c r="B3550" t="s">
        <v>2101</v>
      </c>
      <c r="C3550" t="s">
        <v>7535</v>
      </c>
      <c r="D3550" t="str">
        <f>TRIM(alias[[#This Row],[Column3]])</f>
        <v>Teladan Prima Agro</v>
      </c>
      <c r="F3550" t="str">
        <f t="shared" si="55"/>
        <v>INSERT INTO stock_alias (stock, alias) VALUES ((SELECT id FROM stock WHERE ticker = 'TLDN'), 'Teladan Prima Agro') ON CONFLICT DO NOTHING;</v>
      </c>
    </row>
    <row r="3551" spans="1:6" x14ac:dyDescent="0.2">
      <c r="A3551" t="s">
        <v>2100</v>
      </c>
      <c r="B3551" t="s">
        <v>2101</v>
      </c>
      <c r="C3551" t="s">
        <v>7536</v>
      </c>
      <c r="D3551" t="str">
        <f>TRIM(alias[[#This Row],[Column3]])</f>
        <v>Teladan Prima Agro Tbk</v>
      </c>
      <c r="F3551" t="str">
        <f t="shared" si="55"/>
        <v>INSERT INTO stock_alias (stock, alias) VALUES ((SELECT id FROM stock WHERE ticker = 'TLDN'), 'Teladan Prima Agro Tbk') ON CONFLICT DO NOTHING;</v>
      </c>
    </row>
    <row r="3552" spans="1:6" x14ac:dyDescent="0.2">
      <c r="A3552" t="s">
        <v>1230</v>
      </c>
      <c r="B3552" t="s">
        <v>3446</v>
      </c>
      <c r="C3552" t="s">
        <v>1230</v>
      </c>
      <c r="D3552" t="str">
        <f>TRIM(alias[[#This Row],[Column3]])</f>
        <v>TLKM</v>
      </c>
      <c r="F3552" t="str">
        <f t="shared" si="55"/>
        <v>INSERT INTO stock_alias (stock, alias) VALUES ((SELECT id FROM stock WHERE ticker = 'TLKM'), 'TLKM') ON CONFLICT DO NOTHING;</v>
      </c>
    </row>
    <row r="3553" spans="1:6" x14ac:dyDescent="0.2">
      <c r="A3553" t="s">
        <v>1230</v>
      </c>
      <c r="B3553" t="s">
        <v>3446</v>
      </c>
      <c r="C3553" t="s">
        <v>7537</v>
      </c>
      <c r="D3553" t="str">
        <f>TRIM(alias[[#This Row],[Column3]])</f>
        <v>PT Telkom Indonesia (Persero)</v>
      </c>
      <c r="F3553" t="str">
        <f t="shared" si="55"/>
        <v>INSERT INTO stock_alias (stock, alias) VALUES ((SELECT id FROM stock WHERE ticker = 'TLKM'), 'PT Telkom Indonesia (Persero)') ON CONFLICT DO NOTHING;</v>
      </c>
    </row>
    <row r="3554" spans="1:6" x14ac:dyDescent="0.2">
      <c r="A3554" t="s">
        <v>1230</v>
      </c>
      <c r="B3554" t="s">
        <v>3446</v>
      </c>
      <c r="C3554" t="s">
        <v>7538</v>
      </c>
      <c r="D3554" t="str">
        <f>TRIM(alias[[#This Row],[Column3]])</f>
        <v>Telkom Indonesia (Persero)</v>
      </c>
      <c r="F3554" t="str">
        <f t="shared" si="55"/>
        <v>INSERT INTO stock_alias (stock, alias) VALUES ((SELECT id FROM stock WHERE ticker = 'TLKM'), 'Telkom Indonesia (Persero)') ON CONFLICT DO NOTHING;</v>
      </c>
    </row>
    <row r="3555" spans="1:6" x14ac:dyDescent="0.2">
      <c r="A3555" t="s">
        <v>1230</v>
      </c>
      <c r="B3555" t="s">
        <v>3446</v>
      </c>
      <c r="C3555" t="s">
        <v>7539</v>
      </c>
      <c r="D3555" t="str">
        <f>TRIM(alias[[#This Row],[Column3]])</f>
        <v>Telkom Indonesia (Persero) Tbk</v>
      </c>
      <c r="F3555" t="str">
        <f t="shared" si="55"/>
        <v>INSERT INTO stock_alias (stock, alias) VALUES ((SELECT id FROM stock WHERE ticker = 'TLKM'), 'Telkom Indonesia (Persero) Tbk') ON CONFLICT DO NOTHING;</v>
      </c>
    </row>
    <row r="3556" spans="1:6" x14ac:dyDescent="0.2">
      <c r="A3556" t="s">
        <v>1232</v>
      </c>
      <c r="B3556" t="s">
        <v>1233</v>
      </c>
      <c r="C3556" t="s">
        <v>1232</v>
      </c>
      <c r="D3556" t="str">
        <f>TRIM(alias[[#This Row],[Column3]])</f>
        <v>TMAS</v>
      </c>
      <c r="F3556" t="str">
        <f t="shared" si="55"/>
        <v>INSERT INTO stock_alias (stock, alias) VALUES ((SELECT id FROM stock WHERE ticker = 'TMAS'), 'TMAS') ON CONFLICT DO NOTHING;</v>
      </c>
    </row>
    <row r="3557" spans="1:6" x14ac:dyDescent="0.2">
      <c r="A3557" t="s">
        <v>1232</v>
      </c>
      <c r="B3557" t="s">
        <v>1233</v>
      </c>
      <c r="C3557" t="s">
        <v>7540</v>
      </c>
      <c r="D3557" t="str">
        <f>TRIM(alias[[#This Row],[Column3]])</f>
        <v>PT Temas Tbk</v>
      </c>
      <c r="F3557" t="str">
        <f t="shared" si="55"/>
        <v>INSERT INTO stock_alias (stock, alias) VALUES ((SELECT id FROM stock WHERE ticker = 'TMAS'), 'PT Temas Tbk') ON CONFLICT DO NOTHING;</v>
      </c>
    </row>
    <row r="3558" spans="1:6" x14ac:dyDescent="0.2">
      <c r="A3558" t="s">
        <v>1235</v>
      </c>
      <c r="B3558" t="s">
        <v>1236</v>
      </c>
      <c r="C3558" t="s">
        <v>1235</v>
      </c>
      <c r="D3558" t="str">
        <f>TRIM(alias[[#This Row],[Column3]])</f>
        <v>TMPO</v>
      </c>
      <c r="F3558" t="str">
        <f t="shared" si="55"/>
        <v>INSERT INTO stock_alias (stock, alias) VALUES ((SELECT id FROM stock WHERE ticker = 'TMPO'), 'TMPO') ON CONFLICT DO NOTHING;</v>
      </c>
    </row>
    <row r="3559" spans="1:6" x14ac:dyDescent="0.2">
      <c r="A3559" t="s">
        <v>1235</v>
      </c>
      <c r="B3559" t="s">
        <v>1236</v>
      </c>
      <c r="C3559" t="s">
        <v>7541</v>
      </c>
      <c r="D3559" t="str">
        <f>TRIM(alias[[#This Row],[Column3]])</f>
        <v>PT Tempo Intimedia</v>
      </c>
      <c r="F3559" t="str">
        <f t="shared" si="55"/>
        <v>INSERT INTO stock_alias (stock, alias) VALUES ((SELECT id FROM stock WHERE ticker = 'TMPO'), 'PT Tempo Intimedia') ON CONFLICT DO NOTHING;</v>
      </c>
    </row>
    <row r="3560" spans="1:6" x14ac:dyDescent="0.2">
      <c r="A3560" t="s">
        <v>1235</v>
      </c>
      <c r="B3560" t="s">
        <v>1236</v>
      </c>
      <c r="C3560" t="s">
        <v>7542</v>
      </c>
      <c r="D3560" t="str">
        <f>TRIM(alias[[#This Row],[Column3]])</f>
        <v>Tempo Intimedia</v>
      </c>
      <c r="F3560" t="str">
        <f t="shared" si="55"/>
        <v>INSERT INTO stock_alias (stock, alias) VALUES ((SELECT id FROM stock WHERE ticker = 'TMPO'), 'Tempo Intimedia') ON CONFLICT DO NOTHING;</v>
      </c>
    </row>
    <row r="3561" spans="1:6" x14ac:dyDescent="0.2">
      <c r="A3561" t="s">
        <v>1235</v>
      </c>
      <c r="B3561" t="s">
        <v>1236</v>
      </c>
      <c r="C3561" t="s">
        <v>7543</v>
      </c>
      <c r="D3561" t="str">
        <f>TRIM(alias[[#This Row],[Column3]])</f>
        <v>Tempo Intimedia Tbk</v>
      </c>
      <c r="F3561" t="str">
        <f t="shared" si="55"/>
        <v>INSERT INTO stock_alias (stock, alias) VALUES ((SELECT id FROM stock WHERE ticker = 'TMPO'), 'Tempo Intimedia Tbk') ON CONFLICT DO NOTHING;</v>
      </c>
    </row>
    <row r="3562" spans="1:6" x14ac:dyDescent="0.2">
      <c r="A3562" t="s">
        <v>1541</v>
      </c>
      <c r="B3562" t="s">
        <v>1542</v>
      </c>
      <c r="C3562" t="s">
        <v>1541</v>
      </c>
      <c r="D3562" t="str">
        <f>TRIM(alias[[#This Row],[Column3]])</f>
        <v>TNCA</v>
      </c>
      <c r="F3562" t="str">
        <f t="shared" si="55"/>
        <v>INSERT INTO stock_alias (stock, alias) VALUES ((SELECT id FROM stock WHERE ticker = 'TNCA'), 'TNCA') ON CONFLICT DO NOTHING;</v>
      </c>
    </row>
    <row r="3563" spans="1:6" x14ac:dyDescent="0.2">
      <c r="A3563" t="s">
        <v>1541</v>
      </c>
      <c r="B3563" t="s">
        <v>1542</v>
      </c>
      <c r="C3563" t="s">
        <v>7544</v>
      </c>
      <c r="D3563" t="str">
        <f>TRIM(alias[[#This Row],[Column3]])</f>
        <v>PT Trimuda Nuansa Citra</v>
      </c>
      <c r="F3563" t="str">
        <f t="shared" si="55"/>
        <v>INSERT INTO stock_alias (stock, alias) VALUES ((SELECT id FROM stock WHERE ticker = 'TNCA'), 'PT Trimuda Nuansa Citra') ON CONFLICT DO NOTHING;</v>
      </c>
    </row>
    <row r="3564" spans="1:6" x14ac:dyDescent="0.2">
      <c r="A3564" t="s">
        <v>1541</v>
      </c>
      <c r="B3564" t="s">
        <v>1542</v>
      </c>
      <c r="C3564" t="s">
        <v>7545</v>
      </c>
      <c r="D3564" t="str">
        <f>TRIM(alias[[#This Row],[Column3]])</f>
        <v>Trimuda Nuansa Citra</v>
      </c>
      <c r="F3564" t="str">
        <f t="shared" si="55"/>
        <v>INSERT INTO stock_alias (stock, alias) VALUES ((SELECT id FROM stock WHERE ticker = 'TNCA'), 'Trimuda Nuansa Citra') ON CONFLICT DO NOTHING;</v>
      </c>
    </row>
    <row r="3565" spans="1:6" x14ac:dyDescent="0.2">
      <c r="A3565" t="s">
        <v>1541</v>
      </c>
      <c r="B3565" t="s">
        <v>1542</v>
      </c>
      <c r="C3565" t="s">
        <v>7546</v>
      </c>
      <c r="D3565" t="str">
        <f>TRIM(alias[[#This Row],[Column3]])</f>
        <v>Trimuda Nuansa Citra Tbk</v>
      </c>
      <c r="F3565" t="str">
        <f t="shared" si="55"/>
        <v>INSERT INTO stock_alias (stock, alias) VALUES ((SELECT id FROM stock WHERE ticker = 'TNCA'), 'Trimuda Nuansa Citra Tbk') ON CONFLICT DO NOTHING;</v>
      </c>
    </row>
    <row r="3566" spans="1:6" x14ac:dyDescent="0.2">
      <c r="A3566" t="s">
        <v>1238</v>
      </c>
      <c r="B3566" t="s">
        <v>1239</v>
      </c>
      <c r="C3566" t="s">
        <v>1238</v>
      </c>
      <c r="D3566" t="str">
        <f>TRIM(alias[[#This Row],[Column3]])</f>
        <v>TOBA</v>
      </c>
      <c r="F3566" t="str">
        <f t="shared" si="55"/>
        <v>INSERT INTO stock_alias (stock, alias) VALUES ((SELECT id FROM stock WHERE ticker = 'TOBA'), 'TOBA') ON CONFLICT DO NOTHING;</v>
      </c>
    </row>
    <row r="3567" spans="1:6" x14ac:dyDescent="0.2">
      <c r="A3567" t="s">
        <v>1238</v>
      </c>
      <c r="B3567" t="s">
        <v>1239</v>
      </c>
      <c r="C3567" t="s">
        <v>7547</v>
      </c>
      <c r="D3567" t="str">
        <f>TRIM(alias[[#This Row],[Column3]])</f>
        <v>PT TBS Energi Utama</v>
      </c>
      <c r="F3567" t="str">
        <f t="shared" si="55"/>
        <v>INSERT INTO stock_alias (stock, alias) VALUES ((SELECT id FROM stock WHERE ticker = 'TOBA'), 'PT TBS Energi Utama') ON CONFLICT DO NOTHING;</v>
      </c>
    </row>
    <row r="3568" spans="1:6" x14ac:dyDescent="0.2">
      <c r="A3568" t="s">
        <v>1238</v>
      </c>
      <c r="B3568" t="s">
        <v>1239</v>
      </c>
      <c r="C3568" t="s">
        <v>7548</v>
      </c>
      <c r="D3568" t="str">
        <f>TRIM(alias[[#This Row],[Column3]])</f>
        <v>TBS Energi Utama</v>
      </c>
      <c r="F3568" t="str">
        <f t="shared" si="55"/>
        <v>INSERT INTO stock_alias (stock, alias) VALUES ((SELECT id FROM stock WHERE ticker = 'TOBA'), 'TBS Energi Utama') ON CONFLICT DO NOTHING;</v>
      </c>
    </row>
    <row r="3569" spans="1:6" x14ac:dyDescent="0.2">
      <c r="A3569" t="s">
        <v>1238</v>
      </c>
      <c r="B3569" t="s">
        <v>1239</v>
      </c>
      <c r="C3569" t="s">
        <v>7549</v>
      </c>
      <c r="D3569" t="str">
        <f>TRIM(alias[[#This Row],[Column3]])</f>
        <v>TBS Energi Utama Tbk</v>
      </c>
      <c r="F3569" t="str">
        <f t="shared" si="55"/>
        <v>INSERT INTO stock_alias (stock, alias) VALUES ((SELECT id FROM stock WHERE ticker = 'TOBA'), 'TBS Energi Utama Tbk') ON CONFLICT DO NOTHING;</v>
      </c>
    </row>
    <row r="3570" spans="1:6" x14ac:dyDescent="0.2">
      <c r="A3570" t="s">
        <v>2162</v>
      </c>
      <c r="B3570" t="s">
        <v>2163</v>
      </c>
      <c r="C3570" t="s">
        <v>2162</v>
      </c>
      <c r="D3570" t="str">
        <f>TRIM(alias[[#This Row],[Column3]])</f>
        <v>TOOL</v>
      </c>
      <c r="F3570" t="str">
        <f t="shared" si="55"/>
        <v>INSERT INTO stock_alias (stock, alias) VALUES ((SELECT id FROM stock WHERE ticker = 'TOOL'), 'TOOL') ON CONFLICT DO NOTHING;</v>
      </c>
    </row>
    <row r="3571" spans="1:6" x14ac:dyDescent="0.2">
      <c r="A3571" t="s">
        <v>2162</v>
      </c>
      <c r="B3571" t="s">
        <v>2163</v>
      </c>
      <c r="C3571" t="s">
        <v>7550</v>
      </c>
      <c r="D3571" t="str">
        <f>TRIM(alias[[#This Row],[Column3]])</f>
        <v>PT Rohartindo Nusantara Luas</v>
      </c>
      <c r="F3571" t="str">
        <f t="shared" si="55"/>
        <v>INSERT INTO stock_alias (stock, alias) VALUES ((SELECT id FROM stock WHERE ticker = 'TOOL'), 'PT Rohartindo Nusantara Luas') ON CONFLICT DO NOTHING;</v>
      </c>
    </row>
    <row r="3572" spans="1:6" x14ac:dyDescent="0.2">
      <c r="A3572" t="s">
        <v>2162</v>
      </c>
      <c r="B3572" t="s">
        <v>2163</v>
      </c>
      <c r="C3572" t="s">
        <v>7551</v>
      </c>
      <c r="D3572" t="str">
        <f>TRIM(alias[[#This Row],[Column3]])</f>
        <v>Rohartindo Nusantara Luas</v>
      </c>
      <c r="F3572" t="str">
        <f t="shared" si="55"/>
        <v>INSERT INTO stock_alias (stock, alias) VALUES ((SELECT id FROM stock WHERE ticker = 'TOOL'), 'Rohartindo Nusantara Luas') ON CONFLICT DO NOTHING;</v>
      </c>
    </row>
    <row r="3573" spans="1:6" x14ac:dyDescent="0.2">
      <c r="A3573" t="s">
        <v>2162</v>
      </c>
      <c r="B3573" t="s">
        <v>2163</v>
      </c>
      <c r="C3573" t="s">
        <v>7552</v>
      </c>
      <c r="D3573" t="str">
        <f>TRIM(alias[[#This Row],[Column3]])</f>
        <v>Rohartindo Nusantara Luas Tbk</v>
      </c>
      <c r="F3573" t="str">
        <f t="shared" si="55"/>
        <v>INSERT INTO stock_alias (stock, alias) VALUES ((SELECT id FROM stock WHERE ticker = 'TOOL'), 'Rohartindo Nusantara Luas Tbk') ON CONFLICT DO NOTHING;</v>
      </c>
    </row>
    <row r="3574" spans="1:6" x14ac:dyDescent="0.2">
      <c r="A3574" t="s">
        <v>1413</v>
      </c>
      <c r="B3574" t="s">
        <v>1414</v>
      </c>
      <c r="C3574" t="s">
        <v>1413</v>
      </c>
      <c r="D3574" t="str">
        <f>TRIM(alias[[#This Row],[Column3]])</f>
        <v>TOPS</v>
      </c>
      <c r="F3574" t="str">
        <f t="shared" si="55"/>
        <v>INSERT INTO stock_alias (stock, alias) VALUES ((SELECT id FROM stock WHERE ticker = 'TOPS'), 'TOPS') ON CONFLICT DO NOTHING;</v>
      </c>
    </row>
    <row r="3575" spans="1:6" x14ac:dyDescent="0.2">
      <c r="A3575" t="s">
        <v>1413</v>
      </c>
      <c r="B3575" t="s">
        <v>1414</v>
      </c>
      <c r="C3575" t="s">
        <v>7553</v>
      </c>
      <c r="D3575" t="str">
        <f>TRIM(alias[[#This Row],[Column3]])</f>
        <v>PT Totalindo Eka Persada</v>
      </c>
      <c r="F3575" t="str">
        <f t="shared" si="55"/>
        <v>INSERT INTO stock_alias (stock, alias) VALUES ((SELECT id FROM stock WHERE ticker = 'TOPS'), 'PT Totalindo Eka Persada') ON CONFLICT DO NOTHING;</v>
      </c>
    </row>
    <row r="3576" spans="1:6" x14ac:dyDescent="0.2">
      <c r="A3576" t="s">
        <v>1413</v>
      </c>
      <c r="B3576" t="s">
        <v>1414</v>
      </c>
      <c r="C3576" t="s">
        <v>7554</v>
      </c>
      <c r="D3576" t="str">
        <f>TRIM(alias[[#This Row],[Column3]])</f>
        <v>Totalindo Eka Persada</v>
      </c>
      <c r="F3576" t="str">
        <f t="shared" si="55"/>
        <v>INSERT INTO stock_alias (stock, alias) VALUES ((SELECT id FROM stock WHERE ticker = 'TOPS'), 'Totalindo Eka Persada') ON CONFLICT DO NOTHING;</v>
      </c>
    </row>
    <row r="3577" spans="1:6" x14ac:dyDescent="0.2">
      <c r="A3577" t="s">
        <v>1413</v>
      </c>
      <c r="B3577" t="s">
        <v>1414</v>
      </c>
      <c r="C3577" t="s">
        <v>7555</v>
      </c>
      <c r="D3577" t="str">
        <f>TRIM(alias[[#This Row],[Column3]])</f>
        <v>Totalindo Eka Persada Tbk</v>
      </c>
      <c r="F3577" t="str">
        <f t="shared" si="55"/>
        <v>INSERT INTO stock_alias (stock, alias) VALUES ((SELECT id FROM stock WHERE ticker = 'TOPS'), 'Totalindo Eka Persada Tbk') ON CONFLICT DO NOTHING;</v>
      </c>
    </row>
    <row r="3578" spans="1:6" x14ac:dyDescent="0.2">
      <c r="A3578" t="s">
        <v>2424</v>
      </c>
      <c r="B3578" t="s">
        <v>2425</v>
      </c>
      <c r="C3578" t="s">
        <v>2424</v>
      </c>
      <c r="D3578" t="str">
        <f>TRIM(alias[[#This Row],[Column3]])</f>
        <v>TOSK</v>
      </c>
      <c r="F3578" t="str">
        <f t="shared" si="55"/>
        <v>INSERT INTO stock_alias (stock, alias) VALUES ((SELECT id FROM stock WHERE ticker = 'TOSK'), 'TOSK') ON CONFLICT DO NOTHING;</v>
      </c>
    </row>
    <row r="3579" spans="1:6" x14ac:dyDescent="0.2">
      <c r="A3579" t="s">
        <v>2424</v>
      </c>
      <c r="B3579" t="s">
        <v>2425</v>
      </c>
      <c r="C3579" t="s">
        <v>7556</v>
      </c>
      <c r="D3579" t="str">
        <f>TRIM(alias[[#This Row],[Column3]])</f>
        <v>PT Topindo Solusi Komunika</v>
      </c>
      <c r="F3579" t="str">
        <f t="shared" si="55"/>
        <v>INSERT INTO stock_alias (stock, alias) VALUES ((SELECT id FROM stock WHERE ticker = 'TOSK'), 'PT Topindo Solusi Komunika') ON CONFLICT DO NOTHING;</v>
      </c>
    </row>
    <row r="3580" spans="1:6" x14ac:dyDescent="0.2">
      <c r="A3580" t="s">
        <v>2424</v>
      </c>
      <c r="B3580" t="s">
        <v>2425</v>
      </c>
      <c r="C3580" t="s">
        <v>7557</v>
      </c>
      <c r="D3580" t="str">
        <f>TRIM(alias[[#This Row],[Column3]])</f>
        <v>Topindo Solusi Komunika</v>
      </c>
      <c r="F3580" t="str">
        <f t="shared" si="55"/>
        <v>INSERT INTO stock_alias (stock, alias) VALUES ((SELECT id FROM stock WHERE ticker = 'TOSK'), 'Topindo Solusi Komunika') ON CONFLICT DO NOTHING;</v>
      </c>
    </row>
    <row r="3581" spans="1:6" x14ac:dyDescent="0.2">
      <c r="A3581" t="s">
        <v>2424</v>
      </c>
      <c r="B3581" t="s">
        <v>2425</v>
      </c>
      <c r="C3581" t="s">
        <v>7558</v>
      </c>
      <c r="D3581" t="str">
        <f>TRIM(alias[[#This Row],[Column3]])</f>
        <v>Topindo Solusi Komunika Tbk</v>
      </c>
      <c r="F3581" t="str">
        <f t="shared" si="55"/>
        <v>INSERT INTO stock_alias (stock, alias) VALUES ((SELECT id FROM stock WHERE ticker = 'TOSK'), 'Topindo Solusi Komunika Tbk') ON CONFLICT DO NOTHING;</v>
      </c>
    </row>
    <row r="3582" spans="1:6" x14ac:dyDescent="0.2">
      <c r="A3582" t="s">
        <v>1241</v>
      </c>
      <c r="B3582" t="s">
        <v>1242</v>
      </c>
      <c r="C3582" t="s">
        <v>1241</v>
      </c>
      <c r="D3582" t="str">
        <f>TRIM(alias[[#This Row],[Column3]])</f>
        <v>TOTL</v>
      </c>
      <c r="F3582" t="str">
        <f t="shared" si="55"/>
        <v>INSERT INTO stock_alias (stock, alias) VALUES ((SELECT id FROM stock WHERE ticker = 'TOTL'), 'TOTL') ON CONFLICT DO NOTHING;</v>
      </c>
    </row>
    <row r="3583" spans="1:6" x14ac:dyDescent="0.2">
      <c r="A3583" t="s">
        <v>1241</v>
      </c>
      <c r="B3583" t="s">
        <v>1242</v>
      </c>
      <c r="C3583" t="s">
        <v>7559</v>
      </c>
      <c r="D3583" t="str">
        <f>TRIM(alias[[#This Row],[Column3]])</f>
        <v>PT Total Bangun Persada</v>
      </c>
      <c r="F3583" t="str">
        <f t="shared" si="55"/>
        <v>INSERT INTO stock_alias (stock, alias) VALUES ((SELECT id FROM stock WHERE ticker = 'TOTL'), 'PT Total Bangun Persada') ON CONFLICT DO NOTHING;</v>
      </c>
    </row>
    <row r="3584" spans="1:6" x14ac:dyDescent="0.2">
      <c r="A3584" t="s">
        <v>1241</v>
      </c>
      <c r="B3584" t="s">
        <v>1242</v>
      </c>
      <c r="C3584" t="s">
        <v>7560</v>
      </c>
      <c r="D3584" t="str">
        <f>TRIM(alias[[#This Row],[Column3]])</f>
        <v>Total Bangun Persada</v>
      </c>
      <c r="F3584" t="str">
        <f t="shared" si="55"/>
        <v>INSERT INTO stock_alias (stock, alias) VALUES ((SELECT id FROM stock WHERE ticker = 'TOTL'), 'Total Bangun Persada') ON CONFLICT DO NOTHING;</v>
      </c>
    </row>
    <row r="3585" spans="1:6" x14ac:dyDescent="0.2">
      <c r="A3585" t="s">
        <v>1241</v>
      </c>
      <c r="B3585" t="s">
        <v>1242</v>
      </c>
      <c r="C3585" t="s">
        <v>7561</v>
      </c>
      <c r="D3585" t="str">
        <f>TRIM(alias[[#This Row],[Column3]])</f>
        <v>Total Bangun Persada Tbk</v>
      </c>
      <c r="F3585" t="str">
        <f t="shared" si="55"/>
        <v>INSERT INTO stock_alias (stock, alias) VALUES ((SELECT id FROM stock WHERE ticker = 'TOTL'), 'Total Bangun Persada Tbk') ON CONFLICT DO NOTHING;</v>
      </c>
    </row>
    <row r="3586" spans="1:6" x14ac:dyDescent="0.2">
      <c r="A3586" t="s">
        <v>1244</v>
      </c>
      <c r="B3586" t="s">
        <v>1245</v>
      </c>
      <c r="C3586" t="s">
        <v>1244</v>
      </c>
      <c r="D3586" t="str">
        <f>TRIM(alias[[#This Row],[Column3]])</f>
        <v>TOTO</v>
      </c>
      <c r="F3586" t="str">
        <f t="shared" si="55"/>
        <v>INSERT INTO stock_alias (stock, alias) VALUES ((SELECT id FROM stock WHERE ticker = 'TOTO'), 'TOTO') ON CONFLICT DO NOTHING;</v>
      </c>
    </row>
    <row r="3587" spans="1:6" x14ac:dyDescent="0.2">
      <c r="A3587" t="s">
        <v>1244</v>
      </c>
      <c r="B3587" t="s">
        <v>1245</v>
      </c>
      <c r="C3587" t="s">
        <v>7562</v>
      </c>
      <c r="D3587" t="str">
        <f>TRIM(alias[[#This Row],[Column3]])</f>
        <v>PT Surya Toto Indonesia</v>
      </c>
      <c r="F3587" t="str">
        <f t="shared" ref="F3587:F3650" si="56">_xlfn.CONCAT($F$1, _xlfn.CONCAT($G$1, A3587, "'), '", D3587, "') ON CONFLICT DO NOTHING;"))</f>
        <v>INSERT INTO stock_alias (stock, alias) VALUES ((SELECT id FROM stock WHERE ticker = 'TOTO'), 'PT Surya Toto Indonesia') ON CONFLICT DO NOTHING;</v>
      </c>
    </row>
    <row r="3588" spans="1:6" x14ac:dyDescent="0.2">
      <c r="A3588" t="s">
        <v>1244</v>
      </c>
      <c r="B3588" t="s">
        <v>1245</v>
      </c>
      <c r="C3588" t="s">
        <v>7563</v>
      </c>
      <c r="D3588" t="str">
        <f>TRIM(alias[[#This Row],[Column3]])</f>
        <v>Surya Toto Indonesia</v>
      </c>
      <c r="F3588" t="str">
        <f t="shared" si="56"/>
        <v>INSERT INTO stock_alias (stock, alias) VALUES ((SELECT id FROM stock WHERE ticker = 'TOTO'), 'Surya Toto Indonesia') ON CONFLICT DO NOTHING;</v>
      </c>
    </row>
    <row r="3589" spans="1:6" x14ac:dyDescent="0.2">
      <c r="A3589" t="s">
        <v>1244</v>
      </c>
      <c r="B3589" t="s">
        <v>1245</v>
      </c>
      <c r="C3589" t="s">
        <v>7564</v>
      </c>
      <c r="D3589" t="str">
        <f>TRIM(alias[[#This Row],[Column3]])</f>
        <v>Surya Toto Indonesia Tbk</v>
      </c>
      <c r="F3589" t="str">
        <f t="shared" si="56"/>
        <v>INSERT INTO stock_alias (stock, alias) VALUES ((SELECT id FROM stock WHERE ticker = 'TOTO'), 'Surya Toto Indonesia Tbk') ON CONFLICT DO NOTHING;</v>
      </c>
    </row>
    <row r="3590" spans="1:6" x14ac:dyDescent="0.2">
      <c r="A3590" t="s">
        <v>1247</v>
      </c>
      <c r="B3590" t="s">
        <v>1248</v>
      </c>
      <c r="C3590" t="s">
        <v>1247</v>
      </c>
      <c r="D3590" t="str">
        <f>TRIM(alias[[#This Row],[Column3]])</f>
        <v>TOWR</v>
      </c>
      <c r="F3590" t="str">
        <f t="shared" si="56"/>
        <v>INSERT INTO stock_alias (stock, alias) VALUES ((SELECT id FROM stock WHERE ticker = 'TOWR'), 'TOWR') ON CONFLICT DO NOTHING;</v>
      </c>
    </row>
    <row r="3591" spans="1:6" x14ac:dyDescent="0.2">
      <c r="A3591" t="s">
        <v>1247</v>
      </c>
      <c r="B3591" t="s">
        <v>1248</v>
      </c>
      <c r="C3591" t="s">
        <v>7565</v>
      </c>
      <c r="D3591" t="str">
        <f>TRIM(alias[[#This Row],[Column3]])</f>
        <v>PT Sarana Menara Nusantara</v>
      </c>
      <c r="F3591" t="str">
        <f t="shared" si="56"/>
        <v>INSERT INTO stock_alias (stock, alias) VALUES ((SELECT id FROM stock WHERE ticker = 'TOWR'), 'PT Sarana Menara Nusantara') ON CONFLICT DO NOTHING;</v>
      </c>
    </row>
    <row r="3592" spans="1:6" x14ac:dyDescent="0.2">
      <c r="A3592" t="s">
        <v>1247</v>
      </c>
      <c r="B3592" t="s">
        <v>1248</v>
      </c>
      <c r="C3592" t="s">
        <v>7566</v>
      </c>
      <c r="D3592" t="str">
        <f>TRIM(alias[[#This Row],[Column3]])</f>
        <v>Sarana Menara Nusantara</v>
      </c>
      <c r="F3592" t="str">
        <f t="shared" si="56"/>
        <v>INSERT INTO stock_alias (stock, alias) VALUES ((SELECT id FROM stock WHERE ticker = 'TOWR'), 'Sarana Menara Nusantara') ON CONFLICT DO NOTHING;</v>
      </c>
    </row>
    <row r="3593" spans="1:6" x14ac:dyDescent="0.2">
      <c r="A3593" t="s">
        <v>1247</v>
      </c>
      <c r="B3593" t="s">
        <v>1248</v>
      </c>
      <c r="C3593" t="s">
        <v>7567</v>
      </c>
      <c r="D3593" t="str">
        <f>TRIM(alias[[#This Row],[Column3]])</f>
        <v>Sarana Menara Nusantara Tbk</v>
      </c>
      <c r="F3593" t="str">
        <f t="shared" si="56"/>
        <v>INSERT INTO stock_alias (stock, alias) VALUES ((SELECT id FROM stock WHERE ticker = 'TOWR'), 'Sarana Menara Nusantara Tbk') ON CONFLICT DO NOTHING;</v>
      </c>
    </row>
    <row r="3594" spans="1:6" x14ac:dyDescent="0.2">
      <c r="A3594" t="s">
        <v>1865</v>
      </c>
      <c r="B3594" t="s">
        <v>1866</v>
      </c>
      <c r="C3594" t="s">
        <v>1865</v>
      </c>
      <c r="D3594" t="str">
        <f>TRIM(alias[[#This Row],[Column3]])</f>
        <v>TOYS</v>
      </c>
      <c r="F3594" t="str">
        <f t="shared" si="56"/>
        <v>INSERT INTO stock_alias (stock, alias) VALUES ((SELECT id FROM stock WHERE ticker = 'TOYS'), 'TOYS') ON CONFLICT DO NOTHING;</v>
      </c>
    </row>
    <row r="3595" spans="1:6" x14ac:dyDescent="0.2">
      <c r="A3595" t="s">
        <v>1865</v>
      </c>
      <c r="B3595" t="s">
        <v>1866</v>
      </c>
      <c r="C3595" t="s">
        <v>7568</v>
      </c>
      <c r="D3595" t="str">
        <f>TRIM(alias[[#This Row],[Column3]])</f>
        <v>PT Sunindo Adipersada</v>
      </c>
      <c r="F3595" t="str">
        <f t="shared" si="56"/>
        <v>INSERT INTO stock_alias (stock, alias) VALUES ((SELECT id FROM stock WHERE ticker = 'TOYS'), 'PT Sunindo Adipersada') ON CONFLICT DO NOTHING;</v>
      </c>
    </row>
    <row r="3596" spans="1:6" x14ac:dyDescent="0.2">
      <c r="A3596" t="s">
        <v>1865</v>
      </c>
      <c r="B3596" t="s">
        <v>1866</v>
      </c>
      <c r="C3596" t="s">
        <v>7569</v>
      </c>
      <c r="D3596" t="str">
        <f>TRIM(alias[[#This Row],[Column3]])</f>
        <v>Sunindo Adipersada</v>
      </c>
      <c r="F3596" t="str">
        <f t="shared" si="56"/>
        <v>INSERT INTO stock_alias (stock, alias) VALUES ((SELECT id FROM stock WHERE ticker = 'TOYS'), 'Sunindo Adipersada') ON CONFLICT DO NOTHING;</v>
      </c>
    </row>
    <row r="3597" spans="1:6" x14ac:dyDescent="0.2">
      <c r="A3597" t="s">
        <v>1865</v>
      </c>
      <c r="B3597" t="s">
        <v>1866</v>
      </c>
      <c r="C3597" t="s">
        <v>7570</v>
      </c>
      <c r="D3597" t="str">
        <f>TRIM(alias[[#This Row],[Column3]])</f>
        <v>Sunindo Adipersada Tbk</v>
      </c>
      <c r="F3597" t="str">
        <f t="shared" si="56"/>
        <v>INSERT INTO stock_alias (stock, alias) VALUES ((SELECT id FROM stock WHERE ticker = 'TOYS'), 'Sunindo Adipersada Tbk') ON CONFLICT DO NOTHING;</v>
      </c>
    </row>
    <row r="3598" spans="1:6" x14ac:dyDescent="0.2">
      <c r="A3598" t="s">
        <v>1250</v>
      </c>
      <c r="B3598" t="s">
        <v>1251</v>
      </c>
      <c r="C3598" t="s">
        <v>1250</v>
      </c>
      <c r="D3598" t="str">
        <f>TRIM(alias[[#This Row],[Column3]])</f>
        <v>TPIA</v>
      </c>
      <c r="F3598" t="str">
        <f t="shared" si="56"/>
        <v>INSERT INTO stock_alias (stock, alias) VALUES ((SELECT id FROM stock WHERE ticker = 'TPIA'), 'TPIA') ON CONFLICT DO NOTHING;</v>
      </c>
    </row>
    <row r="3599" spans="1:6" x14ac:dyDescent="0.2">
      <c r="A3599" t="s">
        <v>1250</v>
      </c>
      <c r="B3599" t="s">
        <v>1251</v>
      </c>
      <c r="C3599" t="s">
        <v>7571</v>
      </c>
      <c r="D3599" t="str">
        <f>TRIM(alias[[#This Row],[Column3]])</f>
        <v>Chandra Asri Pacific</v>
      </c>
      <c r="F3599" t="str">
        <f t="shared" si="56"/>
        <v>INSERT INTO stock_alias (stock, alias) VALUES ((SELECT id FROM stock WHERE ticker = 'TPIA'), 'Chandra Asri Pacific') ON CONFLICT DO NOTHING;</v>
      </c>
    </row>
    <row r="3600" spans="1:6" x14ac:dyDescent="0.2">
      <c r="A3600" t="s">
        <v>1250</v>
      </c>
      <c r="B3600" t="s">
        <v>1251</v>
      </c>
      <c r="C3600" t="s">
        <v>7572</v>
      </c>
      <c r="D3600" t="str">
        <f>TRIM(alias[[#This Row],[Column3]])</f>
        <v>Chandra Asri Pacific Tbk</v>
      </c>
      <c r="F3600" t="str">
        <f t="shared" si="56"/>
        <v>INSERT INTO stock_alias (stock, alias) VALUES ((SELECT id FROM stock WHERE ticker = 'TPIA'), 'Chandra Asri Pacific Tbk') ON CONFLICT DO NOTHING;</v>
      </c>
    </row>
    <row r="3601" spans="1:6" x14ac:dyDescent="0.2">
      <c r="A3601" t="s">
        <v>1250</v>
      </c>
      <c r="B3601" t="s">
        <v>1251</v>
      </c>
      <c r="C3601" t="s">
        <v>7573</v>
      </c>
      <c r="D3601" t="str">
        <f>TRIM(alias[[#This Row],[Column3]])</f>
        <v>PT Chandra Asri Pacific</v>
      </c>
      <c r="F3601" t="str">
        <f t="shared" si="56"/>
        <v>INSERT INTO stock_alias (stock, alias) VALUES ((SELECT id FROM stock WHERE ticker = 'TPIA'), 'PT Chandra Asri Pacific') ON CONFLICT DO NOTHING;</v>
      </c>
    </row>
    <row r="3602" spans="1:6" x14ac:dyDescent="0.2">
      <c r="A3602" t="s">
        <v>1253</v>
      </c>
      <c r="B3602" t="s">
        <v>1254</v>
      </c>
      <c r="C3602" t="s">
        <v>1253</v>
      </c>
      <c r="D3602" t="str">
        <f>TRIM(alias[[#This Row],[Column3]])</f>
        <v>TPMA</v>
      </c>
      <c r="F3602" t="str">
        <f t="shared" si="56"/>
        <v>INSERT INTO stock_alias (stock, alias) VALUES ((SELECT id FROM stock WHERE ticker = 'TPMA'), 'TPMA') ON CONFLICT DO NOTHING;</v>
      </c>
    </row>
    <row r="3603" spans="1:6" x14ac:dyDescent="0.2">
      <c r="A3603" t="s">
        <v>1253</v>
      </c>
      <c r="B3603" t="s">
        <v>1254</v>
      </c>
      <c r="C3603" t="s">
        <v>7574</v>
      </c>
      <c r="D3603" t="str">
        <f>TRIM(alias[[#This Row],[Column3]])</f>
        <v>PT Trans Power Marine</v>
      </c>
      <c r="F3603" t="str">
        <f t="shared" si="56"/>
        <v>INSERT INTO stock_alias (stock, alias) VALUES ((SELECT id FROM stock WHERE ticker = 'TPMA'), 'PT Trans Power Marine') ON CONFLICT DO NOTHING;</v>
      </c>
    </row>
    <row r="3604" spans="1:6" x14ac:dyDescent="0.2">
      <c r="A3604" t="s">
        <v>1253</v>
      </c>
      <c r="B3604" t="s">
        <v>1254</v>
      </c>
      <c r="C3604" t="s">
        <v>7575</v>
      </c>
      <c r="D3604" t="str">
        <f>TRIM(alias[[#This Row],[Column3]])</f>
        <v>Trans Power Marine</v>
      </c>
      <c r="F3604" t="str">
        <f t="shared" si="56"/>
        <v>INSERT INTO stock_alias (stock, alias) VALUES ((SELECT id FROM stock WHERE ticker = 'TPMA'), 'Trans Power Marine') ON CONFLICT DO NOTHING;</v>
      </c>
    </row>
    <row r="3605" spans="1:6" x14ac:dyDescent="0.2">
      <c r="A3605" t="s">
        <v>1253</v>
      </c>
      <c r="B3605" t="s">
        <v>1254</v>
      </c>
      <c r="C3605" t="s">
        <v>7576</v>
      </c>
      <c r="D3605" t="str">
        <f>TRIM(alias[[#This Row],[Column3]])</f>
        <v>Trans Power Marine Tbk</v>
      </c>
      <c r="F3605" t="str">
        <f t="shared" si="56"/>
        <v>INSERT INTO stock_alias (stock, alias) VALUES ((SELECT id FROM stock WHERE ticker = 'TPMA'), 'Trans Power Marine Tbk') ON CONFLICT DO NOTHING;</v>
      </c>
    </row>
    <row r="3606" spans="1:6" x14ac:dyDescent="0.2">
      <c r="A3606" t="s">
        <v>1256</v>
      </c>
      <c r="B3606" t="s">
        <v>1257</v>
      </c>
      <c r="C3606" t="s">
        <v>1256</v>
      </c>
      <c r="D3606" t="str">
        <f>TRIM(alias[[#This Row],[Column3]])</f>
        <v>TRAM</v>
      </c>
      <c r="F3606" t="str">
        <f t="shared" si="56"/>
        <v>INSERT INTO stock_alias (stock, alias) VALUES ((SELECT id FROM stock WHERE ticker = 'TRAM'), 'TRAM') ON CONFLICT DO NOTHING;</v>
      </c>
    </row>
    <row r="3607" spans="1:6" x14ac:dyDescent="0.2">
      <c r="A3607" t="s">
        <v>1256</v>
      </c>
      <c r="B3607" t="s">
        <v>1257</v>
      </c>
      <c r="C3607" t="s">
        <v>7577</v>
      </c>
      <c r="D3607" t="str">
        <f>TRIM(alias[[#This Row],[Column3]])</f>
        <v>PT Trada Alam Minera</v>
      </c>
      <c r="F3607" t="str">
        <f t="shared" si="56"/>
        <v>INSERT INTO stock_alias (stock, alias) VALUES ((SELECT id FROM stock WHERE ticker = 'TRAM'), 'PT Trada Alam Minera') ON CONFLICT DO NOTHING;</v>
      </c>
    </row>
    <row r="3608" spans="1:6" x14ac:dyDescent="0.2">
      <c r="A3608" t="s">
        <v>1256</v>
      </c>
      <c r="B3608" t="s">
        <v>1257</v>
      </c>
      <c r="C3608" t="s">
        <v>7578</v>
      </c>
      <c r="D3608" t="str">
        <f>TRIM(alias[[#This Row],[Column3]])</f>
        <v>Trada Alam Minera</v>
      </c>
      <c r="F3608" t="str">
        <f t="shared" si="56"/>
        <v>INSERT INTO stock_alias (stock, alias) VALUES ((SELECT id FROM stock WHERE ticker = 'TRAM'), 'Trada Alam Minera') ON CONFLICT DO NOTHING;</v>
      </c>
    </row>
    <row r="3609" spans="1:6" x14ac:dyDescent="0.2">
      <c r="A3609" t="s">
        <v>1256</v>
      </c>
      <c r="B3609" t="s">
        <v>1257</v>
      </c>
      <c r="C3609" t="s">
        <v>7579</v>
      </c>
      <c r="D3609" t="str">
        <f>TRIM(alias[[#This Row],[Column3]])</f>
        <v>Trada Alam Minera Tbk</v>
      </c>
      <c r="F3609" t="str">
        <f t="shared" si="56"/>
        <v>INSERT INTO stock_alias (stock, alias) VALUES ((SELECT id FROM stock WHERE ticker = 'TRAM'), 'Trada Alam Minera Tbk') ON CONFLICT DO NOTHING;</v>
      </c>
    </row>
    <row r="3610" spans="1:6" x14ac:dyDescent="0.2">
      <c r="A3610" t="s">
        <v>2117</v>
      </c>
      <c r="B3610" t="s">
        <v>2118</v>
      </c>
      <c r="C3610" t="s">
        <v>2117</v>
      </c>
      <c r="D3610" t="str">
        <f>TRIM(alias[[#This Row],[Column3]])</f>
        <v>TRGU</v>
      </c>
      <c r="F3610" t="str">
        <f t="shared" si="56"/>
        <v>INSERT INTO stock_alias (stock, alias) VALUES ((SELECT id FROM stock WHERE ticker = 'TRGU'), 'TRGU') ON CONFLICT DO NOTHING;</v>
      </c>
    </row>
    <row r="3611" spans="1:6" x14ac:dyDescent="0.2">
      <c r="A3611" t="s">
        <v>2117</v>
      </c>
      <c r="B3611" t="s">
        <v>2118</v>
      </c>
      <c r="C3611" t="s">
        <v>7580</v>
      </c>
      <c r="D3611" t="str">
        <f>TRIM(alias[[#This Row],[Column3]])</f>
        <v>Cerestar Indonesia</v>
      </c>
      <c r="F3611" t="str">
        <f t="shared" si="56"/>
        <v>INSERT INTO stock_alias (stock, alias) VALUES ((SELECT id FROM stock WHERE ticker = 'TRGU'), 'Cerestar Indonesia') ON CONFLICT DO NOTHING;</v>
      </c>
    </row>
    <row r="3612" spans="1:6" x14ac:dyDescent="0.2">
      <c r="A3612" t="s">
        <v>2117</v>
      </c>
      <c r="B3612" t="s">
        <v>2118</v>
      </c>
      <c r="C3612" t="s">
        <v>7581</v>
      </c>
      <c r="D3612" t="str">
        <f>TRIM(alias[[#This Row],[Column3]])</f>
        <v>Cerestar Indonesia Tbk</v>
      </c>
      <c r="F3612" t="str">
        <f t="shared" si="56"/>
        <v>INSERT INTO stock_alias (stock, alias) VALUES ((SELECT id FROM stock WHERE ticker = 'TRGU'), 'Cerestar Indonesia Tbk') ON CONFLICT DO NOTHING;</v>
      </c>
    </row>
    <row r="3613" spans="1:6" x14ac:dyDescent="0.2">
      <c r="A3613" t="s">
        <v>2117</v>
      </c>
      <c r="B3613" t="s">
        <v>2118</v>
      </c>
      <c r="C3613" t="s">
        <v>7582</v>
      </c>
      <c r="D3613" t="str">
        <f>TRIM(alias[[#This Row],[Column3]])</f>
        <v>PT Cerestar Indonesia</v>
      </c>
      <c r="F3613" t="str">
        <f t="shared" si="56"/>
        <v>INSERT INTO stock_alias (stock, alias) VALUES ((SELECT id FROM stock WHERE ticker = 'TRGU'), 'PT Cerestar Indonesia') ON CONFLICT DO NOTHING;</v>
      </c>
    </row>
    <row r="3614" spans="1:6" x14ac:dyDescent="0.2">
      <c r="A3614" t="s">
        <v>1259</v>
      </c>
      <c r="B3614" t="s">
        <v>1260</v>
      </c>
      <c r="C3614" t="s">
        <v>1259</v>
      </c>
      <c r="D3614" t="str">
        <f>TRIM(alias[[#This Row],[Column3]])</f>
        <v>TRIL</v>
      </c>
      <c r="F3614" t="str">
        <f t="shared" si="56"/>
        <v>INSERT INTO stock_alias (stock, alias) VALUES ((SELECT id FROM stock WHERE ticker = 'TRIL'), 'TRIL') ON CONFLICT DO NOTHING;</v>
      </c>
    </row>
    <row r="3615" spans="1:6" x14ac:dyDescent="0.2">
      <c r="A3615" t="s">
        <v>1259</v>
      </c>
      <c r="B3615" t="s">
        <v>1260</v>
      </c>
      <c r="C3615" t="s">
        <v>7583</v>
      </c>
      <c r="D3615" t="str">
        <f>TRIM(alias[[#This Row],[Column3]])</f>
        <v>PT Triwira Insanlestari</v>
      </c>
      <c r="F3615" t="str">
        <f t="shared" si="56"/>
        <v>INSERT INTO stock_alias (stock, alias) VALUES ((SELECT id FROM stock WHERE ticker = 'TRIL'), 'PT Triwira Insanlestari') ON CONFLICT DO NOTHING;</v>
      </c>
    </row>
    <row r="3616" spans="1:6" x14ac:dyDescent="0.2">
      <c r="A3616" t="s">
        <v>1259</v>
      </c>
      <c r="B3616" t="s">
        <v>1260</v>
      </c>
      <c r="C3616" t="s">
        <v>7584</v>
      </c>
      <c r="D3616" t="str">
        <f>TRIM(alias[[#This Row],[Column3]])</f>
        <v>Triwira Insanlestari</v>
      </c>
      <c r="F3616" t="str">
        <f t="shared" si="56"/>
        <v>INSERT INTO stock_alias (stock, alias) VALUES ((SELECT id FROM stock WHERE ticker = 'TRIL'), 'Triwira Insanlestari') ON CONFLICT DO NOTHING;</v>
      </c>
    </row>
    <row r="3617" spans="1:6" x14ac:dyDescent="0.2">
      <c r="A3617" t="s">
        <v>1259</v>
      </c>
      <c r="B3617" t="s">
        <v>1260</v>
      </c>
      <c r="C3617" t="s">
        <v>7585</v>
      </c>
      <c r="D3617" t="str">
        <f>TRIM(alias[[#This Row],[Column3]])</f>
        <v>Triwira Insanlestari Tbk</v>
      </c>
      <c r="F3617" t="str">
        <f t="shared" si="56"/>
        <v>INSERT INTO stock_alias (stock, alias) VALUES ((SELECT id FROM stock WHERE ticker = 'TRIL'), 'Triwira Insanlestari Tbk') ON CONFLICT DO NOTHING;</v>
      </c>
    </row>
    <row r="3618" spans="1:6" x14ac:dyDescent="0.2">
      <c r="A3618" t="s">
        <v>1261</v>
      </c>
      <c r="B3618" t="s">
        <v>3689</v>
      </c>
      <c r="C3618" t="s">
        <v>1261</v>
      </c>
      <c r="D3618" t="str">
        <f>TRIM(alias[[#This Row],[Column3]])</f>
        <v>TRIM</v>
      </c>
      <c r="F3618" t="str">
        <f t="shared" si="56"/>
        <v>INSERT INTO stock_alias (stock, alias) VALUES ((SELECT id FROM stock WHERE ticker = 'TRIM'), 'TRIM') ON CONFLICT DO NOTHING;</v>
      </c>
    </row>
    <row r="3619" spans="1:6" x14ac:dyDescent="0.2">
      <c r="A3619" t="s">
        <v>1261</v>
      </c>
      <c r="B3619" t="s">
        <v>3689</v>
      </c>
      <c r="C3619" t="s">
        <v>7586</v>
      </c>
      <c r="D3619" t="str">
        <f>TRIM(alias[[#This Row],[Column3]])</f>
        <v>PT Trimegah Sekuritas Indonesia</v>
      </c>
      <c r="F3619" t="str">
        <f t="shared" si="56"/>
        <v>INSERT INTO stock_alias (stock, alias) VALUES ((SELECT id FROM stock WHERE ticker = 'TRIM'), 'PT Trimegah Sekuritas Indonesia') ON CONFLICT DO NOTHING;</v>
      </c>
    </row>
    <row r="3620" spans="1:6" x14ac:dyDescent="0.2">
      <c r="A3620" t="s">
        <v>1261</v>
      </c>
      <c r="B3620" t="s">
        <v>3689</v>
      </c>
      <c r="C3620" t="s">
        <v>7587</v>
      </c>
      <c r="D3620" t="str">
        <f>TRIM(alias[[#This Row],[Column3]])</f>
        <v>Trimegah Sekuritas Indonesia</v>
      </c>
      <c r="F3620" t="str">
        <f t="shared" si="56"/>
        <v>INSERT INTO stock_alias (stock, alias) VALUES ((SELECT id FROM stock WHERE ticker = 'TRIM'), 'Trimegah Sekuritas Indonesia') ON CONFLICT DO NOTHING;</v>
      </c>
    </row>
    <row r="3621" spans="1:6" x14ac:dyDescent="0.2">
      <c r="A3621" t="s">
        <v>1261</v>
      </c>
      <c r="B3621" t="s">
        <v>3689</v>
      </c>
      <c r="C3621" t="s">
        <v>7588</v>
      </c>
      <c r="D3621" t="str">
        <f>TRIM(alias[[#This Row],[Column3]])</f>
        <v>Trimegah Sekuritas Indonesia Tbk</v>
      </c>
      <c r="F3621" t="str">
        <f t="shared" si="56"/>
        <v>INSERT INTO stock_alias (stock, alias) VALUES ((SELECT id FROM stock WHERE ticker = 'TRIM'), 'Trimegah Sekuritas Indonesia Tbk') ON CONFLICT DO NOTHING;</v>
      </c>
    </row>
    <row r="3622" spans="1:6" x14ac:dyDescent="0.2">
      <c r="A3622" t="s">
        <v>1807</v>
      </c>
      <c r="B3622" t="s">
        <v>1808</v>
      </c>
      <c r="C3622" t="s">
        <v>1807</v>
      </c>
      <c r="D3622" t="str">
        <f>TRIM(alias[[#This Row],[Column3]])</f>
        <v>TRIN</v>
      </c>
      <c r="F3622" t="str">
        <f t="shared" si="56"/>
        <v>INSERT INTO stock_alias (stock, alias) VALUES ((SELECT id FROM stock WHERE ticker = 'TRIN'), 'TRIN') ON CONFLICT DO NOTHING;</v>
      </c>
    </row>
    <row r="3623" spans="1:6" x14ac:dyDescent="0.2">
      <c r="A3623" t="s">
        <v>1807</v>
      </c>
      <c r="B3623" t="s">
        <v>1808</v>
      </c>
      <c r="C3623" t="s">
        <v>7589</v>
      </c>
      <c r="D3623" t="str">
        <f>TRIM(alias[[#This Row],[Column3]])</f>
        <v>PT Perintis Triniti Properti</v>
      </c>
      <c r="F3623" t="str">
        <f t="shared" si="56"/>
        <v>INSERT INTO stock_alias (stock, alias) VALUES ((SELECT id FROM stock WHERE ticker = 'TRIN'), 'PT Perintis Triniti Properti') ON CONFLICT DO NOTHING;</v>
      </c>
    </row>
    <row r="3624" spans="1:6" x14ac:dyDescent="0.2">
      <c r="A3624" t="s">
        <v>1807</v>
      </c>
      <c r="B3624" t="s">
        <v>1808</v>
      </c>
      <c r="C3624" t="s">
        <v>7590</v>
      </c>
      <c r="D3624" t="str">
        <f>TRIM(alias[[#This Row],[Column3]])</f>
        <v>Perintis Triniti Properti</v>
      </c>
      <c r="F3624" t="str">
        <f t="shared" si="56"/>
        <v>INSERT INTO stock_alias (stock, alias) VALUES ((SELECT id FROM stock WHERE ticker = 'TRIN'), 'Perintis Triniti Properti') ON CONFLICT DO NOTHING;</v>
      </c>
    </row>
    <row r="3625" spans="1:6" x14ac:dyDescent="0.2">
      <c r="A3625" t="s">
        <v>1807</v>
      </c>
      <c r="B3625" t="s">
        <v>1808</v>
      </c>
      <c r="C3625" t="s">
        <v>7591</v>
      </c>
      <c r="D3625" t="str">
        <f>TRIM(alias[[#This Row],[Column3]])</f>
        <v>Perintis Triniti Properti Tbk</v>
      </c>
      <c r="F3625" t="str">
        <f t="shared" si="56"/>
        <v>INSERT INTO stock_alias (stock, alias) VALUES ((SELECT id FROM stock WHERE ticker = 'TRIN'), 'Perintis Triniti Properti Tbk') ON CONFLICT DO NOTHING;</v>
      </c>
    </row>
    <row r="3626" spans="1:6" x14ac:dyDescent="0.2">
      <c r="A3626" t="s">
        <v>1263</v>
      </c>
      <c r="B3626" t="s">
        <v>1264</v>
      </c>
      <c r="C3626" t="s">
        <v>1263</v>
      </c>
      <c r="D3626" t="str">
        <f>TRIM(alias[[#This Row],[Column3]])</f>
        <v>TRIO</v>
      </c>
      <c r="F3626" t="str">
        <f t="shared" si="56"/>
        <v>INSERT INTO stock_alias (stock, alias) VALUES ((SELECT id FROM stock WHERE ticker = 'TRIO'), 'TRIO') ON CONFLICT DO NOTHING;</v>
      </c>
    </row>
    <row r="3627" spans="1:6" x14ac:dyDescent="0.2">
      <c r="A3627" t="s">
        <v>1263</v>
      </c>
      <c r="B3627" t="s">
        <v>1264</v>
      </c>
      <c r="C3627" t="s">
        <v>7592</v>
      </c>
      <c r="D3627" t="str">
        <f>TRIM(alias[[#This Row],[Column3]])</f>
        <v>PT Trikomsel Oke</v>
      </c>
      <c r="F3627" t="str">
        <f t="shared" si="56"/>
        <v>INSERT INTO stock_alias (stock, alias) VALUES ((SELECT id FROM stock WHERE ticker = 'TRIO'), 'PT Trikomsel Oke') ON CONFLICT DO NOTHING;</v>
      </c>
    </row>
    <row r="3628" spans="1:6" x14ac:dyDescent="0.2">
      <c r="A3628" t="s">
        <v>1263</v>
      </c>
      <c r="B3628" t="s">
        <v>1264</v>
      </c>
      <c r="C3628" t="s">
        <v>7593</v>
      </c>
      <c r="D3628" t="str">
        <f>TRIM(alias[[#This Row],[Column3]])</f>
        <v>Trikomsel Oke</v>
      </c>
      <c r="F3628" t="str">
        <f t="shared" si="56"/>
        <v>INSERT INTO stock_alias (stock, alias) VALUES ((SELECT id FROM stock WHERE ticker = 'TRIO'), 'Trikomsel Oke') ON CONFLICT DO NOTHING;</v>
      </c>
    </row>
    <row r="3629" spans="1:6" x14ac:dyDescent="0.2">
      <c r="A3629" t="s">
        <v>1263</v>
      </c>
      <c r="B3629" t="s">
        <v>1264</v>
      </c>
      <c r="C3629" t="s">
        <v>7594</v>
      </c>
      <c r="D3629" t="str">
        <f>TRIM(alias[[#This Row],[Column3]])</f>
        <v>Trikomsel Oke Tbk</v>
      </c>
      <c r="F3629" t="str">
        <f t="shared" si="56"/>
        <v>INSERT INTO stock_alias (stock, alias) VALUES ((SELECT id FROM stock WHERE ticker = 'TRIO'), 'Trikomsel Oke Tbk') ON CONFLICT DO NOTHING;</v>
      </c>
    </row>
    <row r="3630" spans="1:6" x14ac:dyDescent="0.2">
      <c r="A3630" t="s">
        <v>1266</v>
      </c>
      <c r="B3630" t="s">
        <v>1267</v>
      </c>
      <c r="C3630" t="s">
        <v>1266</v>
      </c>
      <c r="D3630" t="str">
        <f>TRIM(alias[[#This Row],[Column3]])</f>
        <v>TRIS</v>
      </c>
      <c r="F3630" t="str">
        <f t="shared" si="56"/>
        <v>INSERT INTO stock_alias (stock, alias) VALUES ((SELECT id FROM stock WHERE ticker = 'TRIS'), 'TRIS') ON CONFLICT DO NOTHING;</v>
      </c>
    </row>
    <row r="3631" spans="1:6" x14ac:dyDescent="0.2">
      <c r="A3631" t="s">
        <v>1266</v>
      </c>
      <c r="B3631" t="s">
        <v>1267</v>
      </c>
      <c r="C3631" t="s">
        <v>7595</v>
      </c>
      <c r="D3631" t="str">
        <f>TRIM(alias[[#This Row],[Column3]])</f>
        <v>PT Trisula International</v>
      </c>
      <c r="F3631" t="str">
        <f t="shared" si="56"/>
        <v>INSERT INTO stock_alias (stock, alias) VALUES ((SELECT id FROM stock WHERE ticker = 'TRIS'), 'PT Trisula International') ON CONFLICT DO NOTHING;</v>
      </c>
    </row>
    <row r="3632" spans="1:6" x14ac:dyDescent="0.2">
      <c r="A3632" t="s">
        <v>1266</v>
      </c>
      <c r="B3632" t="s">
        <v>1267</v>
      </c>
      <c r="C3632" t="s">
        <v>7596</v>
      </c>
      <c r="D3632" t="str">
        <f>TRIM(alias[[#This Row],[Column3]])</f>
        <v>Trisula International</v>
      </c>
      <c r="F3632" t="str">
        <f t="shared" si="56"/>
        <v>INSERT INTO stock_alias (stock, alias) VALUES ((SELECT id FROM stock WHERE ticker = 'TRIS'), 'Trisula International') ON CONFLICT DO NOTHING;</v>
      </c>
    </row>
    <row r="3633" spans="1:6" x14ac:dyDescent="0.2">
      <c r="A3633" t="s">
        <v>1266</v>
      </c>
      <c r="B3633" t="s">
        <v>1267</v>
      </c>
      <c r="C3633" t="s">
        <v>7597</v>
      </c>
      <c r="D3633" t="str">
        <f>TRIM(alias[[#This Row],[Column3]])</f>
        <v>Trisula International Tbk</v>
      </c>
      <c r="F3633" t="str">
        <f t="shared" si="56"/>
        <v>INSERT INTO stock_alias (stock, alias) VALUES ((SELECT id FROM stock WHERE ticker = 'TRIS'), 'Trisula International Tbk') ON CONFLICT DO NOTHING;</v>
      </c>
    </row>
    <row r="3634" spans="1:6" x14ac:dyDescent="0.2">
      <c r="A3634" t="s">
        <v>1871</v>
      </c>
      <c r="B3634" t="s">
        <v>1872</v>
      </c>
      <c r="C3634" t="s">
        <v>1871</v>
      </c>
      <c r="D3634" t="str">
        <f>TRIM(alias[[#This Row],[Column3]])</f>
        <v>TRJA</v>
      </c>
      <c r="F3634" t="str">
        <f t="shared" si="56"/>
        <v>INSERT INTO stock_alias (stock, alias) VALUES ((SELECT id FROM stock WHERE ticker = 'TRJA'), 'TRJA') ON CONFLICT DO NOTHING;</v>
      </c>
    </row>
    <row r="3635" spans="1:6" x14ac:dyDescent="0.2">
      <c r="A3635" t="s">
        <v>1871</v>
      </c>
      <c r="B3635" t="s">
        <v>1872</v>
      </c>
      <c r="C3635" t="s">
        <v>7598</v>
      </c>
      <c r="D3635" t="str">
        <f>TRIM(alias[[#This Row],[Column3]])</f>
        <v>PT Transkon Jaya</v>
      </c>
      <c r="F3635" t="str">
        <f t="shared" si="56"/>
        <v>INSERT INTO stock_alias (stock, alias) VALUES ((SELECT id FROM stock WHERE ticker = 'TRJA'), 'PT Transkon Jaya') ON CONFLICT DO NOTHING;</v>
      </c>
    </row>
    <row r="3636" spans="1:6" x14ac:dyDescent="0.2">
      <c r="A3636" t="s">
        <v>1871</v>
      </c>
      <c r="B3636" t="s">
        <v>1872</v>
      </c>
      <c r="C3636" t="s">
        <v>7599</v>
      </c>
      <c r="D3636" t="str">
        <f>TRIM(alias[[#This Row],[Column3]])</f>
        <v>Transkon Jaya</v>
      </c>
      <c r="F3636" t="str">
        <f t="shared" si="56"/>
        <v>INSERT INTO stock_alias (stock, alias) VALUES ((SELECT id FROM stock WHERE ticker = 'TRJA'), 'Transkon Jaya') ON CONFLICT DO NOTHING;</v>
      </c>
    </row>
    <row r="3637" spans="1:6" x14ac:dyDescent="0.2">
      <c r="A3637" t="s">
        <v>1871</v>
      </c>
      <c r="B3637" t="s">
        <v>1872</v>
      </c>
      <c r="C3637" t="s">
        <v>7600</v>
      </c>
      <c r="D3637" t="str">
        <f>TRIM(alias[[#This Row],[Column3]])</f>
        <v>Transkon Jaya Tbk</v>
      </c>
      <c r="F3637" t="str">
        <f t="shared" si="56"/>
        <v>INSERT INTO stock_alias (stock, alias) VALUES ((SELECT id FROM stock WHERE ticker = 'TRJA'), 'Transkon Jaya Tbk') ON CONFLICT DO NOTHING;</v>
      </c>
    </row>
    <row r="3638" spans="1:6" x14ac:dyDescent="0.2">
      <c r="A3638" t="s">
        <v>2284</v>
      </c>
      <c r="B3638" t="s">
        <v>3690</v>
      </c>
      <c r="C3638" t="s">
        <v>2284</v>
      </c>
      <c r="D3638" t="str">
        <f>TRIM(alias[[#This Row],[Column3]])</f>
        <v>TRON</v>
      </c>
      <c r="F3638" t="str">
        <f t="shared" si="56"/>
        <v>INSERT INTO stock_alias (stock, alias) VALUES ((SELECT id FROM stock WHERE ticker = 'TRON'), 'TRON') ON CONFLICT DO NOTHING;</v>
      </c>
    </row>
    <row r="3639" spans="1:6" x14ac:dyDescent="0.2">
      <c r="A3639" t="s">
        <v>2284</v>
      </c>
      <c r="B3639" t="s">
        <v>3690</v>
      </c>
      <c r="C3639" t="s">
        <v>7601</v>
      </c>
      <c r="D3639" t="str">
        <f>TRIM(alias[[#This Row],[Column3]])</f>
        <v>PT Teknologi Karya Digital Nusa</v>
      </c>
      <c r="F3639" t="str">
        <f t="shared" si="56"/>
        <v>INSERT INTO stock_alias (stock, alias) VALUES ((SELECT id FROM stock WHERE ticker = 'TRON'), 'PT Teknologi Karya Digital Nusa') ON CONFLICT DO NOTHING;</v>
      </c>
    </row>
    <row r="3640" spans="1:6" x14ac:dyDescent="0.2">
      <c r="A3640" t="s">
        <v>2284</v>
      </c>
      <c r="B3640" t="s">
        <v>3690</v>
      </c>
      <c r="C3640" t="s">
        <v>7602</v>
      </c>
      <c r="D3640" t="str">
        <f>TRIM(alias[[#This Row],[Column3]])</f>
        <v>Teknologi Karya Digital Nusa</v>
      </c>
      <c r="F3640" t="str">
        <f t="shared" si="56"/>
        <v>INSERT INTO stock_alias (stock, alias) VALUES ((SELECT id FROM stock WHERE ticker = 'TRON'), 'Teknologi Karya Digital Nusa') ON CONFLICT DO NOTHING;</v>
      </c>
    </row>
    <row r="3641" spans="1:6" x14ac:dyDescent="0.2">
      <c r="A3641" t="s">
        <v>2284</v>
      </c>
      <c r="B3641" t="s">
        <v>3690</v>
      </c>
      <c r="C3641" t="s">
        <v>7603</v>
      </c>
      <c r="D3641" t="str">
        <f>TRIM(alias[[#This Row],[Column3]])</f>
        <v>Teknologi Karya Digital Nusa Tbk</v>
      </c>
      <c r="F3641" t="str">
        <f t="shared" si="56"/>
        <v>INSERT INTO stock_alias (stock, alias) VALUES ((SELECT id FROM stock WHERE ticker = 'TRON'), 'Teknologi Karya Digital Nusa Tbk') ON CONFLICT DO NOTHING;</v>
      </c>
    </row>
    <row r="3642" spans="1:6" x14ac:dyDescent="0.2">
      <c r="A3642" t="s">
        <v>1269</v>
      </c>
      <c r="B3642" t="s">
        <v>1270</v>
      </c>
      <c r="C3642" t="s">
        <v>1269</v>
      </c>
      <c r="D3642" t="str">
        <f>TRIM(alias[[#This Row],[Column3]])</f>
        <v>TRST</v>
      </c>
      <c r="F3642" t="str">
        <f t="shared" si="56"/>
        <v>INSERT INTO stock_alias (stock, alias) VALUES ((SELECT id FROM stock WHERE ticker = 'TRST'), 'TRST') ON CONFLICT DO NOTHING;</v>
      </c>
    </row>
    <row r="3643" spans="1:6" x14ac:dyDescent="0.2">
      <c r="A3643" t="s">
        <v>1269</v>
      </c>
      <c r="B3643" t="s">
        <v>1270</v>
      </c>
      <c r="C3643" t="s">
        <v>7604</v>
      </c>
      <c r="D3643" t="str">
        <f>TRIM(alias[[#This Row],[Column3]])</f>
        <v>PT Trias Sentosa</v>
      </c>
      <c r="F3643" t="str">
        <f t="shared" si="56"/>
        <v>INSERT INTO stock_alias (stock, alias) VALUES ((SELECT id FROM stock WHERE ticker = 'TRST'), 'PT Trias Sentosa') ON CONFLICT DO NOTHING;</v>
      </c>
    </row>
    <row r="3644" spans="1:6" x14ac:dyDescent="0.2">
      <c r="A3644" t="s">
        <v>1269</v>
      </c>
      <c r="B3644" t="s">
        <v>1270</v>
      </c>
      <c r="C3644" t="s">
        <v>7605</v>
      </c>
      <c r="D3644" t="str">
        <f>TRIM(alias[[#This Row],[Column3]])</f>
        <v>Trias Sentosa</v>
      </c>
      <c r="F3644" t="str">
        <f t="shared" si="56"/>
        <v>INSERT INTO stock_alias (stock, alias) VALUES ((SELECT id FROM stock WHERE ticker = 'TRST'), 'Trias Sentosa') ON CONFLICT DO NOTHING;</v>
      </c>
    </row>
    <row r="3645" spans="1:6" x14ac:dyDescent="0.2">
      <c r="A3645" t="s">
        <v>1269</v>
      </c>
      <c r="B3645" t="s">
        <v>1270</v>
      </c>
      <c r="C3645" t="s">
        <v>7606</v>
      </c>
      <c r="D3645" t="str">
        <f>TRIM(alias[[#This Row],[Column3]])</f>
        <v>Trias Sentosa Tbk</v>
      </c>
      <c r="F3645" t="str">
        <f t="shared" si="56"/>
        <v>INSERT INTO stock_alias (stock, alias) VALUES ((SELECT id FROM stock WHERE ticker = 'TRST'), 'Trias Sentosa Tbk') ON CONFLICT DO NOTHING;</v>
      </c>
    </row>
    <row r="3646" spans="1:6" x14ac:dyDescent="0.2">
      <c r="A3646" t="s">
        <v>1954</v>
      </c>
      <c r="B3646" t="s">
        <v>1955</v>
      </c>
      <c r="C3646" t="s">
        <v>1954</v>
      </c>
      <c r="D3646" t="str">
        <f>TRIM(alias[[#This Row],[Column3]])</f>
        <v>TRUE</v>
      </c>
      <c r="F3646" t="str">
        <f t="shared" si="56"/>
        <v>INSERT INTO stock_alias (stock, alias) VALUES ((SELECT id FROM stock WHERE ticker = 'TRUE'), 'TRUE') ON CONFLICT DO NOTHING;</v>
      </c>
    </row>
    <row r="3647" spans="1:6" x14ac:dyDescent="0.2">
      <c r="A3647" t="s">
        <v>1954</v>
      </c>
      <c r="B3647" t="s">
        <v>1955</v>
      </c>
      <c r="C3647" t="s">
        <v>7607</v>
      </c>
      <c r="D3647" t="str">
        <f>TRIM(alias[[#This Row],[Column3]])</f>
        <v>PT Triniti Dinamik</v>
      </c>
      <c r="F3647" t="str">
        <f t="shared" si="56"/>
        <v>INSERT INTO stock_alias (stock, alias) VALUES ((SELECT id FROM stock WHERE ticker = 'TRUE'), 'PT Triniti Dinamik') ON CONFLICT DO NOTHING;</v>
      </c>
    </row>
    <row r="3648" spans="1:6" x14ac:dyDescent="0.2">
      <c r="A3648" t="s">
        <v>1954</v>
      </c>
      <c r="B3648" t="s">
        <v>1955</v>
      </c>
      <c r="C3648" t="s">
        <v>7608</v>
      </c>
      <c r="D3648" t="str">
        <f>TRIM(alias[[#This Row],[Column3]])</f>
        <v>Triniti Dinamik</v>
      </c>
      <c r="F3648" t="str">
        <f t="shared" si="56"/>
        <v>INSERT INTO stock_alias (stock, alias) VALUES ((SELECT id FROM stock WHERE ticker = 'TRUE'), 'Triniti Dinamik') ON CONFLICT DO NOTHING;</v>
      </c>
    </row>
    <row r="3649" spans="1:6" x14ac:dyDescent="0.2">
      <c r="A3649" t="s">
        <v>1954</v>
      </c>
      <c r="B3649" t="s">
        <v>1955</v>
      </c>
      <c r="C3649" t="s">
        <v>7609</v>
      </c>
      <c r="D3649" t="str">
        <f>TRIM(alias[[#This Row],[Column3]])</f>
        <v>Triniti Dinamik Tbk</v>
      </c>
      <c r="F3649" t="str">
        <f t="shared" si="56"/>
        <v>INSERT INTO stock_alias (stock, alias) VALUES ((SELECT id FROM stock WHERE ticker = 'TRUE'), 'Triniti Dinamik Tbk') ON CONFLICT DO NOTHING;</v>
      </c>
    </row>
    <row r="3650" spans="1:6" x14ac:dyDescent="0.2">
      <c r="A3650" t="s">
        <v>1527</v>
      </c>
      <c r="B3650" t="s">
        <v>1528</v>
      </c>
      <c r="C3650" t="s">
        <v>1527</v>
      </c>
      <c r="D3650" t="str">
        <f>TRIM(alias[[#This Row],[Column3]])</f>
        <v>TRUK</v>
      </c>
      <c r="F3650" t="str">
        <f t="shared" si="56"/>
        <v>INSERT INTO stock_alias (stock, alias) VALUES ((SELECT id FROM stock WHERE ticker = 'TRUK'), 'TRUK') ON CONFLICT DO NOTHING;</v>
      </c>
    </row>
    <row r="3651" spans="1:6" x14ac:dyDescent="0.2">
      <c r="A3651" t="s">
        <v>1527</v>
      </c>
      <c r="B3651" t="s">
        <v>1528</v>
      </c>
      <c r="C3651" t="s">
        <v>7610</v>
      </c>
      <c r="D3651" t="str">
        <f>TRIM(alias[[#This Row],[Column3]])</f>
        <v>Guna Timur Raya</v>
      </c>
      <c r="F3651" t="str">
        <f t="shared" ref="F3651:F3714" si="57">_xlfn.CONCAT($F$1, _xlfn.CONCAT($G$1, A3651, "'), '", D3651, "') ON CONFLICT DO NOTHING;"))</f>
        <v>INSERT INTO stock_alias (stock, alias) VALUES ((SELECT id FROM stock WHERE ticker = 'TRUK'), 'Guna Timur Raya') ON CONFLICT DO NOTHING;</v>
      </c>
    </row>
    <row r="3652" spans="1:6" x14ac:dyDescent="0.2">
      <c r="A3652" t="s">
        <v>1527</v>
      </c>
      <c r="B3652" t="s">
        <v>1528</v>
      </c>
      <c r="C3652" t="s">
        <v>7611</v>
      </c>
      <c r="D3652" t="str">
        <f>TRIM(alias[[#This Row],[Column3]])</f>
        <v>Guna Timur Raya Tbk</v>
      </c>
      <c r="F3652" t="str">
        <f t="shared" si="57"/>
        <v>INSERT INTO stock_alias (stock, alias) VALUES ((SELECT id FROM stock WHERE ticker = 'TRUK'), 'Guna Timur Raya Tbk') ON CONFLICT DO NOTHING;</v>
      </c>
    </row>
    <row r="3653" spans="1:6" x14ac:dyDescent="0.2">
      <c r="A3653" t="s">
        <v>1527</v>
      </c>
      <c r="B3653" t="s">
        <v>1528</v>
      </c>
      <c r="C3653" t="s">
        <v>7612</v>
      </c>
      <c r="D3653" t="str">
        <f>TRIM(alias[[#This Row],[Column3]])</f>
        <v>PT Guna Timur Raya</v>
      </c>
      <c r="F3653" t="str">
        <f t="shared" si="57"/>
        <v>INSERT INTO stock_alias (stock, alias) VALUES ((SELECT id FROM stock WHERE ticker = 'TRUK'), 'PT Guna Timur Raya') ON CONFLICT DO NOTHING;</v>
      </c>
    </row>
    <row r="3654" spans="1:6" x14ac:dyDescent="0.2">
      <c r="A3654" t="s">
        <v>1272</v>
      </c>
      <c r="B3654" t="s">
        <v>3691</v>
      </c>
      <c r="C3654" t="s">
        <v>1272</v>
      </c>
      <c r="D3654" t="str">
        <f>TRIM(alias[[#This Row],[Column3]])</f>
        <v>TRUS</v>
      </c>
      <c r="F3654" t="str">
        <f t="shared" si="57"/>
        <v>INSERT INTO stock_alias (stock, alias) VALUES ((SELECT id FROM stock WHERE ticker = 'TRUS'), 'TRUS') ON CONFLICT DO NOTHING;</v>
      </c>
    </row>
    <row r="3655" spans="1:6" x14ac:dyDescent="0.2">
      <c r="A3655" t="s">
        <v>1272</v>
      </c>
      <c r="B3655" t="s">
        <v>3691</v>
      </c>
      <c r="C3655" t="s">
        <v>7613</v>
      </c>
      <c r="D3655" t="str">
        <f>TRIM(alias[[#This Row],[Column3]])</f>
        <v>PT Trust Finance Indonesia</v>
      </c>
      <c r="F3655" t="str">
        <f t="shared" si="57"/>
        <v>INSERT INTO stock_alias (stock, alias) VALUES ((SELECT id FROM stock WHERE ticker = 'TRUS'), 'PT Trust Finance Indonesia') ON CONFLICT DO NOTHING;</v>
      </c>
    </row>
    <row r="3656" spans="1:6" x14ac:dyDescent="0.2">
      <c r="A3656" t="s">
        <v>1272</v>
      </c>
      <c r="B3656" t="s">
        <v>3691</v>
      </c>
      <c r="C3656" t="s">
        <v>7614</v>
      </c>
      <c r="D3656" t="str">
        <f>TRIM(alias[[#This Row],[Column3]])</f>
        <v>Trust Finance Indonesia</v>
      </c>
      <c r="F3656" t="str">
        <f t="shared" si="57"/>
        <v>INSERT INTO stock_alias (stock, alias) VALUES ((SELECT id FROM stock WHERE ticker = 'TRUS'), 'Trust Finance Indonesia') ON CONFLICT DO NOTHING;</v>
      </c>
    </row>
    <row r="3657" spans="1:6" x14ac:dyDescent="0.2">
      <c r="A3657" t="s">
        <v>1272</v>
      </c>
      <c r="B3657" t="s">
        <v>3691</v>
      </c>
      <c r="C3657" t="s">
        <v>7615</v>
      </c>
      <c r="D3657" t="str">
        <f>TRIM(alias[[#This Row],[Column3]])</f>
        <v>Trust Finance Indonesia Tbk</v>
      </c>
      <c r="F3657" t="str">
        <f t="shared" si="57"/>
        <v>INSERT INTO stock_alias (stock, alias) VALUES ((SELECT id FROM stock WHERE ticker = 'TRUS'), 'Trust Finance Indonesia Tbk') ON CONFLICT DO NOTHING;</v>
      </c>
    </row>
    <row r="3658" spans="1:6" x14ac:dyDescent="0.2">
      <c r="A3658" t="s">
        <v>1275</v>
      </c>
      <c r="B3658" t="s">
        <v>1276</v>
      </c>
      <c r="C3658" t="s">
        <v>1275</v>
      </c>
      <c r="D3658" t="str">
        <f>TRIM(alias[[#This Row],[Column3]])</f>
        <v>TSPC</v>
      </c>
      <c r="F3658" t="str">
        <f t="shared" si="57"/>
        <v>INSERT INTO stock_alias (stock, alias) VALUES ((SELECT id FROM stock WHERE ticker = 'TSPC'), 'TSPC') ON CONFLICT DO NOTHING;</v>
      </c>
    </row>
    <row r="3659" spans="1:6" x14ac:dyDescent="0.2">
      <c r="A3659" t="s">
        <v>1275</v>
      </c>
      <c r="B3659" t="s">
        <v>1276</v>
      </c>
      <c r="C3659" t="s">
        <v>7616</v>
      </c>
      <c r="D3659" t="str">
        <f>TRIM(alias[[#This Row],[Column3]])</f>
        <v>PT Tempo Scan Pacific</v>
      </c>
      <c r="F3659" t="str">
        <f t="shared" si="57"/>
        <v>INSERT INTO stock_alias (stock, alias) VALUES ((SELECT id FROM stock WHERE ticker = 'TSPC'), 'PT Tempo Scan Pacific') ON CONFLICT DO NOTHING;</v>
      </c>
    </row>
    <row r="3660" spans="1:6" x14ac:dyDescent="0.2">
      <c r="A3660" t="s">
        <v>1275</v>
      </c>
      <c r="B3660" t="s">
        <v>1276</v>
      </c>
      <c r="C3660" t="s">
        <v>7617</v>
      </c>
      <c r="D3660" t="str">
        <f>TRIM(alias[[#This Row],[Column3]])</f>
        <v>Tempo Scan Pacific</v>
      </c>
      <c r="F3660" t="str">
        <f t="shared" si="57"/>
        <v>INSERT INTO stock_alias (stock, alias) VALUES ((SELECT id FROM stock WHERE ticker = 'TSPC'), 'Tempo Scan Pacific') ON CONFLICT DO NOTHING;</v>
      </c>
    </row>
    <row r="3661" spans="1:6" x14ac:dyDescent="0.2">
      <c r="A3661" t="s">
        <v>1275</v>
      </c>
      <c r="B3661" t="s">
        <v>1276</v>
      </c>
      <c r="C3661" t="s">
        <v>7618</v>
      </c>
      <c r="D3661" t="str">
        <f>TRIM(alias[[#This Row],[Column3]])</f>
        <v>Tempo Scan Pacific Tbk</v>
      </c>
      <c r="F3661" t="str">
        <f t="shared" si="57"/>
        <v>INSERT INTO stock_alias (stock, alias) VALUES ((SELECT id FROM stock WHERE ticker = 'TSPC'), 'Tempo Scan Pacific Tbk') ON CONFLICT DO NOTHING;</v>
      </c>
    </row>
    <row r="3662" spans="1:6" x14ac:dyDescent="0.2">
      <c r="A3662" t="s">
        <v>1533</v>
      </c>
      <c r="B3662" t="s">
        <v>3692</v>
      </c>
      <c r="C3662" t="s">
        <v>7619</v>
      </c>
      <c r="D3662" t="str">
        <f>TRIM(alias[[#This Row],[Column3]])</f>
        <v>ATPI</v>
      </c>
      <c r="F3662" t="str">
        <f t="shared" si="57"/>
        <v>INSERT INTO stock_alias (stock, alias) VALUES ((SELECT id FROM stock WHERE ticker = 'TUGU'), 'ATPI') ON CONFLICT DO NOTHING;</v>
      </c>
    </row>
    <row r="3663" spans="1:6" x14ac:dyDescent="0.2">
      <c r="A3663" t="s">
        <v>1533</v>
      </c>
      <c r="B3663" t="s">
        <v>3692</v>
      </c>
      <c r="C3663" t="s">
        <v>7620</v>
      </c>
      <c r="D3663" t="str">
        <f>TRIM(alias[[#This Row],[Column3]])</f>
        <v>Asuransi Tugu Pratama Indonesia</v>
      </c>
      <c r="F3663" t="str">
        <f t="shared" si="57"/>
        <v>INSERT INTO stock_alias (stock, alias) VALUES ((SELECT id FROM stock WHERE ticker = 'TUGU'), 'Asuransi Tugu Pratama Indonesia') ON CONFLICT DO NOTHING;</v>
      </c>
    </row>
    <row r="3664" spans="1:6" x14ac:dyDescent="0.2">
      <c r="A3664" t="s">
        <v>1533</v>
      </c>
      <c r="B3664" t="s">
        <v>3692</v>
      </c>
      <c r="C3664" t="s">
        <v>7621</v>
      </c>
      <c r="D3664" t="str">
        <f>TRIM(alias[[#This Row],[Column3]])</f>
        <v>Asuransi Tugu Pratama Indonesia Tbk</v>
      </c>
      <c r="F3664" t="str">
        <f t="shared" si="57"/>
        <v>INSERT INTO stock_alias (stock, alias) VALUES ((SELECT id FROM stock WHERE ticker = 'TUGU'), 'Asuransi Tugu Pratama Indonesia Tbk') ON CONFLICT DO NOTHING;</v>
      </c>
    </row>
    <row r="3665" spans="1:6" x14ac:dyDescent="0.2">
      <c r="A3665" t="s">
        <v>1533</v>
      </c>
      <c r="B3665" t="s">
        <v>3692</v>
      </c>
      <c r="C3665" t="s">
        <v>7622</v>
      </c>
      <c r="D3665" t="str">
        <f>TRIM(alias[[#This Row],[Column3]])</f>
        <v>PT Asuransi Tugu Pratama Indonesia</v>
      </c>
      <c r="F3665" t="str">
        <f t="shared" si="57"/>
        <v>INSERT INTO stock_alias (stock, alias) VALUES ((SELECT id FROM stock WHERE ticker = 'TUGU'), 'PT Asuransi Tugu Pratama Indonesia') ON CONFLICT DO NOTHING;</v>
      </c>
    </row>
    <row r="3666" spans="1:6" x14ac:dyDescent="0.2">
      <c r="A3666" t="s">
        <v>1533</v>
      </c>
      <c r="B3666" t="s">
        <v>3692</v>
      </c>
      <c r="C3666" t="s">
        <v>7623</v>
      </c>
      <c r="D3666" t="str">
        <f>TRIM(alias[[#This Row],[Column3]])</f>
        <v>TUGU</v>
      </c>
      <c r="F3666" t="str">
        <f t="shared" si="57"/>
        <v>INSERT INTO stock_alias (stock, alias) VALUES ((SELECT id FROM stock WHERE ticker = 'TUGU'), 'TUGU') ON CONFLICT DO NOTHING;</v>
      </c>
    </row>
    <row r="3667" spans="1:6" x14ac:dyDescent="0.2">
      <c r="A3667" t="s">
        <v>2300</v>
      </c>
      <c r="B3667" t="s">
        <v>2301</v>
      </c>
      <c r="C3667" t="s">
        <v>2300</v>
      </c>
      <c r="D3667" t="str">
        <f>TRIM(alias[[#This Row],[Column3]])</f>
        <v>TYRE</v>
      </c>
      <c r="F3667" t="str">
        <f t="shared" si="57"/>
        <v>INSERT INTO stock_alias (stock, alias) VALUES ((SELECT id FROM stock WHERE ticker = 'TYRE'), 'TYRE') ON CONFLICT DO NOTHING;</v>
      </c>
    </row>
    <row r="3668" spans="1:6" x14ac:dyDescent="0.2">
      <c r="A3668" t="s">
        <v>2300</v>
      </c>
      <c r="B3668" t="s">
        <v>2301</v>
      </c>
      <c r="C3668" t="s">
        <v>7624</v>
      </c>
      <c r="D3668" t="str">
        <f>TRIM(alias[[#This Row],[Column3]])</f>
        <v>King Tire Indonesia</v>
      </c>
      <c r="F3668" t="str">
        <f t="shared" si="57"/>
        <v>INSERT INTO stock_alias (stock, alias) VALUES ((SELECT id FROM stock WHERE ticker = 'TYRE'), 'King Tire Indonesia') ON CONFLICT DO NOTHING;</v>
      </c>
    </row>
    <row r="3669" spans="1:6" x14ac:dyDescent="0.2">
      <c r="A3669" t="s">
        <v>2300</v>
      </c>
      <c r="B3669" t="s">
        <v>2301</v>
      </c>
      <c r="C3669" t="s">
        <v>7625</v>
      </c>
      <c r="D3669" t="str">
        <f>TRIM(alias[[#This Row],[Column3]])</f>
        <v>King Tire Indonesia Tbk</v>
      </c>
      <c r="F3669" t="str">
        <f t="shared" si="57"/>
        <v>INSERT INTO stock_alias (stock, alias) VALUES ((SELECT id FROM stock WHERE ticker = 'TYRE'), 'King Tire Indonesia Tbk') ON CONFLICT DO NOTHING;</v>
      </c>
    </row>
    <row r="3670" spans="1:6" x14ac:dyDescent="0.2">
      <c r="A3670" t="s">
        <v>2300</v>
      </c>
      <c r="B3670" t="s">
        <v>2301</v>
      </c>
      <c r="C3670" t="s">
        <v>7626</v>
      </c>
      <c r="D3670" t="str">
        <f>TRIM(alias[[#This Row],[Column3]])</f>
        <v>PT King Tire Indonesia</v>
      </c>
      <c r="F3670" t="str">
        <f t="shared" si="57"/>
        <v>INSERT INTO stock_alias (stock, alias) VALUES ((SELECT id FROM stock WHERE ticker = 'TYRE'), 'PT King Tire Indonesia') ON CONFLICT DO NOTHING;</v>
      </c>
    </row>
    <row r="3671" spans="1:6" x14ac:dyDescent="0.2">
      <c r="A3671" t="s">
        <v>1853</v>
      </c>
      <c r="B3671" t="s">
        <v>1854</v>
      </c>
      <c r="C3671" t="s">
        <v>1853</v>
      </c>
      <c r="D3671" t="str">
        <f>TRIM(alias[[#This Row],[Column3]])</f>
        <v>UANG</v>
      </c>
      <c r="F3671" t="str">
        <f t="shared" si="57"/>
        <v>INSERT INTO stock_alias (stock, alias) VALUES ((SELECT id FROM stock WHERE ticker = 'UANG'), 'UANG') ON CONFLICT DO NOTHING;</v>
      </c>
    </row>
    <row r="3672" spans="1:6" x14ac:dyDescent="0.2">
      <c r="A3672" t="s">
        <v>1853</v>
      </c>
      <c r="B3672" t="s">
        <v>1854</v>
      </c>
      <c r="C3672" t="s">
        <v>7627</v>
      </c>
      <c r="D3672" t="str">
        <f>TRIM(alias[[#This Row],[Column3]])</f>
        <v>PT Pakuan Tbk</v>
      </c>
      <c r="F3672" t="str">
        <f t="shared" si="57"/>
        <v>INSERT INTO stock_alias (stock, alias) VALUES ((SELECT id FROM stock WHERE ticker = 'UANG'), 'PT Pakuan Tbk') ON CONFLICT DO NOTHING;</v>
      </c>
    </row>
    <row r="3673" spans="1:6" x14ac:dyDescent="0.2">
      <c r="A3673" t="s">
        <v>1787</v>
      </c>
      <c r="B3673" t="s">
        <v>1788</v>
      </c>
      <c r="C3673" t="s">
        <v>1787</v>
      </c>
      <c r="D3673" t="str">
        <f>TRIM(alias[[#This Row],[Column3]])</f>
        <v>UCID</v>
      </c>
      <c r="F3673" t="str">
        <f t="shared" si="57"/>
        <v>INSERT INTO stock_alias (stock, alias) VALUES ((SELECT id FROM stock WHERE ticker = 'UCID'), 'UCID') ON CONFLICT DO NOTHING;</v>
      </c>
    </row>
    <row r="3674" spans="1:6" x14ac:dyDescent="0.2">
      <c r="A3674" t="s">
        <v>1787</v>
      </c>
      <c r="B3674" t="s">
        <v>1788</v>
      </c>
      <c r="C3674" t="s">
        <v>7628</v>
      </c>
      <c r="D3674" t="str">
        <f>TRIM(alias[[#This Row],[Column3]])</f>
        <v>PT Uni-Charm Indonesia</v>
      </c>
      <c r="F3674" t="str">
        <f t="shared" si="57"/>
        <v>INSERT INTO stock_alias (stock, alias) VALUES ((SELECT id FROM stock WHERE ticker = 'UCID'), 'PT Uni-Charm Indonesia') ON CONFLICT DO NOTHING;</v>
      </c>
    </row>
    <row r="3675" spans="1:6" x14ac:dyDescent="0.2">
      <c r="A3675" t="s">
        <v>1787</v>
      </c>
      <c r="B3675" t="s">
        <v>1788</v>
      </c>
      <c r="C3675" t="s">
        <v>7629</v>
      </c>
      <c r="D3675" t="str">
        <f>TRIM(alias[[#This Row],[Column3]])</f>
        <v>Uni-Charm Indonesia</v>
      </c>
      <c r="F3675" t="str">
        <f t="shared" si="57"/>
        <v>INSERT INTO stock_alias (stock, alias) VALUES ((SELECT id FROM stock WHERE ticker = 'UCID'), 'Uni-Charm Indonesia') ON CONFLICT DO NOTHING;</v>
      </c>
    </row>
    <row r="3676" spans="1:6" x14ac:dyDescent="0.2">
      <c r="A3676" t="s">
        <v>1787</v>
      </c>
      <c r="B3676" t="s">
        <v>1788</v>
      </c>
      <c r="C3676" t="s">
        <v>7630</v>
      </c>
      <c r="D3676" t="str">
        <f>TRIM(alias[[#This Row],[Column3]])</f>
        <v>Uni-Charm Indonesia Tbk</v>
      </c>
      <c r="F3676" t="str">
        <f t="shared" si="57"/>
        <v>INSERT INTO stock_alias (stock, alias) VALUES ((SELECT id FROM stock WHERE ticker = 'UCID'), 'Uni-Charm Indonesia Tbk') ON CONFLICT DO NOTHING;</v>
      </c>
    </row>
    <row r="3677" spans="1:6" x14ac:dyDescent="0.2">
      <c r="A3677" t="s">
        <v>2398</v>
      </c>
      <c r="B3677" t="s">
        <v>2399</v>
      </c>
      <c r="C3677" t="s">
        <v>2398</v>
      </c>
      <c r="D3677" t="str">
        <f>TRIM(alias[[#This Row],[Column3]])</f>
        <v>UDNG</v>
      </c>
      <c r="F3677" t="str">
        <f t="shared" si="57"/>
        <v>INSERT INTO stock_alias (stock, alias) VALUES ((SELECT id FROM stock WHERE ticker = 'UDNG'), 'UDNG') ON CONFLICT DO NOTHING;</v>
      </c>
    </row>
    <row r="3678" spans="1:6" x14ac:dyDescent="0.2">
      <c r="A3678" t="s">
        <v>2398</v>
      </c>
      <c r="B3678" t="s">
        <v>2399</v>
      </c>
      <c r="C3678" t="s">
        <v>7631</v>
      </c>
      <c r="D3678" t="str">
        <f>TRIM(alias[[#This Row],[Column3]])</f>
        <v>Agro Bahari Nusantara</v>
      </c>
      <c r="F3678" t="str">
        <f t="shared" si="57"/>
        <v>INSERT INTO stock_alias (stock, alias) VALUES ((SELECT id FROM stock WHERE ticker = 'UDNG'), 'Agro Bahari Nusantara') ON CONFLICT DO NOTHING;</v>
      </c>
    </row>
    <row r="3679" spans="1:6" x14ac:dyDescent="0.2">
      <c r="A3679" t="s">
        <v>2398</v>
      </c>
      <c r="B3679" t="s">
        <v>2399</v>
      </c>
      <c r="C3679" t="s">
        <v>7632</v>
      </c>
      <c r="D3679" t="str">
        <f>TRIM(alias[[#This Row],[Column3]])</f>
        <v>Agro Bahari Nusantara Tbk</v>
      </c>
      <c r="F3679" t="str">
        <f t="shared" si="57"/>
        <v>INSERT INTO stock_alias (stock, alias) VALUES ((SELECT id FROM stock WHERE ticker = 'UDNG'), 'Agro Bahari Nusantara Tbk') ON CONFLICT DO NOTHING;</v>
      </c>
    </row>
    <row r="3680" spans="1:6" x14ac:dyDescent="0.2">
      <c r="A3680" t="s">
        <v>2398</v>
      </c>
      <c r="B3680" t="s">
        <v>2399</v>
      </c>
      <c r="C3680" t="s">
        <v>7633</v>
      </c>
      <c r="D3680" t="str">
        <f>TRIM(alias[[#This Row],[Column3]])</f>
        <v>PT Agro Bahari Nusantara</v>
      </c>
      <c r="F3680" t="str">
        <f t="shared" si="57"/>
        <v>INSERT INTO stock_alias (stock, alias) VALUES ((SELECT id FROM stock WHERE ticker = 'UDNG'), 'PT Agro Bahari Nusantara') ON CONFLICT DO NOTHING;</v>
      </c>
    </row>
    <row r="3681" spans="1:6" x14ac:dyDescent="0.2">
      <c r="A3681" t="s">
        <v>2657</v>
      </c>
      <c r="B3681" t="s">
        <v>2658</v>
      </c>
      <c r="C3681" t="s">
        <v>2657</v>
      </c>
      <c r="D3681" t="str">
        <f>TRIM(alias[[#This Row],[Column3]])</f>
        <v>UFOE</v>
      </c>
      <c r="F3681" t="str">
        <f t="shared" si="57"/>
        <v>INSERT INTO stock_alias (stock, alias) VALUES ((SELECT id FROM stock WHERE ticker = 'UFOE'), 'UFOE') ON CONFLICT DO NOTHING;</v>
      </c>
    </row>
    <row r="3682" spans="1:6" x14ac:dyDescent="0.2">
      <c r="A3682" t="s">
        <v>2657</v>
      </c>
      <c r="B3682" t="s">
        <v>2658</v>
      </c>
      <c r="C3682" t="s">
        <v>7634</v>
      </c>
      <c r="D3682" t="str">
        <f>TRIM(alias[[#This Row],[Column3]])</f>
        <v>Damai Sejahtera Abadi</v>
      </c>
      <c r="F3682" t="str">
        <f t="shared" si="57"/>
        <v>INSERT INTO stock_alias (stock, alias) VALUES ((SELECT id FROM stock WHERE ticker = 'UFOE'), 'Damai Sejahtera Abadi') ON CONFLICT DO NOTHING;</v>
      </c>
    </row>
    <row r="3683" spans="1:6" x14ac:dyDescent="0.2">
      <c r="A3683" t="s">
        <v>2657</v>
      </c>
      <c r="B3683" t="s">
        <v>2658</v>
      </c>
      <c r="C3683" t="s">
        <v>7635</v>
      </c>
      <c r="D3683" t="str">
        <f>TRIM(alias[[#This Row],[Column3]])</f>
        <v>Damai Sejahtera Abadi Tbk</v>
      </c>
      <c r="F3683" t="str">
        <f t="shared" si="57"/>
        <v>INSERT INTO stock_alias (stock, alias) VALUES ((SELECT id FROM stock WHERE ticker = 'UFOE'), 'Damai Sejahtera Abadi Tbk') ON CONFLICT DO NOTHING;</v>
      </c>
    </row>
    <row r="3684" spans="1:6" x14ac:dyDescent="0.2">
      <c r="A3684" t="s">
        <v>2657</v>
      </c>
      <c r="B3684" t="s">
        <v>2658</v>
      </c>
      <c r="C3684" t="s">
        <v>7636</v>
      </c>
      <c r="D3684" t="str">
        <f>TRIM(alias[[#This Row],[Column3]])</f>
        <v>PT Damai Sejahtera Abadi</v>
      </c>
      <c r="F3684" t="str">
        <f t="shared" si="57"/>
        <v>INSERT INTO stock_alias (stock, alias) VALUES ((SELECT id FROM stock WHERE ticker = 'UFOE'), 'PT Damai Sejahtera Abadi') ON CONFLICT DO NOTHING;</v>
      </c>
    </row>
    <row r="3685" spans="1:6" x14ac:dyDescent="0.2">
      <c r="A3685" t="s">
        <v>1278</v>
      </c>
      <c r="B3685" t="s">
        <v>3693</v>
      </c>
      <c r="C3685" t="s">
        <v>1278</v>
      </c>
      <c r="D3685" t="str">
        <f>TRIM(alias[[#This Row],[Column3]])</f>
        <v>ULTJ</v>
      </c>
      <c r="F3685" t="str">
        <f t="shared" si="57"/>
        <v>INSERT INTO stock_alias (stock, alias) VALUES ((SELECT id FROM stock WHERE ticker = 'ULTJ'), 'ULTJ') ON CONFLICT DO NOTHING;</v>
      </c>
    </row>
    <row r="3686" spans="1:6" x14ac:dyDescent="0.2">
      <c r="A3686" t="s">
        <v>1278</v>
      </c>
      <c r="B3686" t="s">
        <v>3693</v>
      </c>
      <c r="C3686" t="s">
        <v>7637</v>
      </c>
      <c r="D3686" t="str">
        <f>TRIM(alias[[#This Row],[Column3]])</f>
        <v>PT Ultrajaya Milk Industry &amp; Trading Company</v>
      </c>
      <c r="F3686" t="str">
        <f t="shared" si="57"/>
        <v>INSERT INTO stock_alias (stock, alias) VALUES ((SELECT id FROM stock WHERE ticker = 'ULTJ'), 'PT Ultrajaya Milk Industry &amp; Trading Company') ON CONFLICT DO NOTHING;</v>
      </c>
    </row>
    <row r="3687" spans="1:6" x14ac:dyDescent="0.2">
      <c r="A3687" t="s">
        <v>1278</v>
      </c>
      <c r="B3687" t="s">
        <v>3693</v>
      </c>
      <c r="C3687" t="s">
        <v>7638</v>
      </c>
      <c r="D3687" t="str">
        <f>TRIM(alias[[#This Row],[Column3]])</f>
        <v>Ultrajaya Milk Industry &amp; Trading Company</v>
      </c>
      <c r="F3687" t="str">
        <f t="shared" si="57"/>
        <v>INSERT INTO stock_alias (stock, alias) VALUES ((SELECT id FROM stock WHERE ticker = 'ULTJ'), 'Ultrajaya Milk Industry &amp; Trading Company') ON CONFLICT DO NOTHING;</v>
      </c>
    </row>
    <row r="3688" spans="1:6" x14ac:dyDescent="0.2">
      <c r="A3688" t="s">
        <v>1278</v>
      </c>
      <c r="B3688" t="s">
        <v>3693</v>
      </c>
      <c r="C3688" t="s">
        <v>7639</v>
      </c>
      <c r="D3688" t="str">
        <f>TRIM(alias[[#This Row],[Column3]])</f>
        <v>Ultrajaya Milk Industry &amp; Trading Company Tbk</v>
      </c>
      <c r="F3688" t="str">
        <f t="shared" si="57"/>
        <v>INSERT INTO stock_alias (stock, alias) VALUES ((SELECT id FROM stock WHERE ticker = 'ULTJ'), 'Ultrajaya Milk Industry &amp; Trading Company Tbk') ON CONFLICT DO NOTHING;</v>
      </c>
    </row>
    <row r="3689" spans="1:6" x14ac:dyDescent="0.2">
      <c r="A3689" t="s">
        <v>1280</v>
      </c>
      <c r="B3689" t="s">
        <v>1281</v>
      </c>
      <c r="C3689" t="s">
        <v>1280</v>
      </c>
      <c r="D3689" t="str">
        <f>TRIM(alias[[#This Row],[Column3]])</f>
        <v>UNIC</v>
      </c>
      <c r="F3689" t="str">
        <f t="shared" si="57"/>
        <v>INSERT INTO stock_alias (stock, alias) VALUES ((SELECT id FROM stock WHERE ticker = 'UNIC'), 'UNIC') ON CONFLICT DO NOTHING;</v>
      </c>
    </row>
    <row r="3690" spans="1:6" x14ac:dyDescent="0.2">
      <c r="A3690" t="s">
        <v>1280</v>
      </c>
      <c r="B3690" t="s">
        <v>1281</v>
      </c>
      <c r="C3690" t="s">
        <v>7640</v>
      </c>
      <c r="D3690" t="str">
        <f>TRIM(alias[[#This Row],[Column3]])</f>
        <v>PT Unggul Indah Cahaya</v>
      </c>
      <c r="F3690" t="str">
        <f t="shared" si="57"/>
        <v>INSERT INTO stock_alias (stock, alias) VALUES ((SELECT id FROM stock WHERE ticker = 'UNIC'), 'PT Unggul Indah Cahaya') ON CONFLICT DO NOTHING;</v>
      </c>
    </row>
    <row r="3691" spans="1:6" x14ac:dyDescent="0.2">
      <c r="A3691" t="s">
        <v>1280</v>
      </c>
      <c r="B3691" t="s">
        <v>1281</v>
      </c>
      <c r="C3691" t="s">
        <v>7641</v>
      </c>
      <c r="D3691" t="str">
        <f>TRIM(alias[[#This Row],[Column3]])</f>
        <v>Unggul Indah Cahaya</v>
      </c>
      <c r="F3691" t="str">
        <f t="shared" si="57"/>
        <v>INSERT INTO stock_alias (stock, alias) VALUES ((SELECT id FROM stock WHERE ticker = 'UNIC'), 'Unggul Indah Cahaya') ON CONFLICT DO NOTHING;</v>
      </c>
    </row>
    <row r="3692" spans="1:6" x14ac:dyDescent="0.2">
      <c r="A3692" t="s">
        <v>1280</v>
      </c>
      <c r="B3692" t="s">
        <v>1281</v>
      </c>
      <c r="C3692" t="s">
        <v>7642</v>
      </c>
      <c r="D3692" t="str">
        <f>TRIM(alias[[#This Row],[Column3]])</f>
        <v>Unggul Indah Cahaya Tbk</v>
      </c>
      <c r="F3692" t="str">
        <f t="shared" si="57"/>
        <v>INSERT INTO stock_alias (stock, alias) VALUES ((SELECT id FROM stock WHERE ticker = 'UNIC'), 'Unggul Indah Cahaya Tbk') ON CONFLICT DO NOTHING;</v>
      </c>
    </row>
    <row r="3693" spans="1:6" x14ac:dyDescent="0.2">
      <c r="A3693" t="s">
        <v>1918</v>
      </c>
      <c r="B3693" t="s">
        <v>1919</v>
      </c>
      <c r="C3693" t="s">
        <v>1918</v>
      </c>
      <c r="D3693" t="str">
        <f>TRIM(alias[[#This Row],[Column3]])</f>
        <v>UNIQ</v>
      </c>
      <c r="F3693" t="str">
        <f t="shared" si="57"/>
        <v>INSERT INTO stock_alias (stock, alias) VALUES ((SELECT id FROM stock WHERE ticker = 'UNIQ'), 'UNIQ') ON CONFLICT DO NOTHING;</v>
      </c>
    </row>
    <row r="3694" spans="1:6" x14ac:dyDescent="0.2">
      <c r="A3694" t="s">
        <v>1918</v>
      </c>
      <c r="B3694" t="s">
        <v>1919</v>
      </c>
      <c r="C3694" t="s">
        <v>7643</v>
      </c>
      <c r="D3694" t="str">
        <f>TRIM(alias[[#This Row],[Column3]])</f>
        <v>PT Ulima Nitra</v>
      </c>
      <c r="F3694" t="str">
        <f t="shared" si="57"/>
        <v>INSERT INTO stock_alias (stock, alias) VALUES ((SELECT id FROM stock WHERE ticker = 'UNIQ'), 'PT Ulima Nitra') ON CONFLICT DO NOTHING;</v>
      </c>
    </row>
    <row r="3695" spans="1:6" x14ac:dyDescent="0.2">
      <c r="A3695" t="s">
        <v>1918</v>
      </c>
      <c r="B3695" t="s">
        <v>1919</v>
      </c>
      <c r="C3695" t="s">
        <v>7644</v>
      </c>
      <c r="D3695" t="str">
        <f>TRIM(alias[[#This Row],[Column3]])</f>
        <v>Ulima Nitra</v>
      </c>
      <c r="F3695" t="str">
        <f t="shared" si="57"/>
        <v>INSERT INTO stock_alias (stock, alias) VALUES ((SELECT id FROM stock WHERE ticker = 'UNIQ'), 'Ulima Nitra') ON CONFLICT DO NOTHING;</v>
      </c>
    </row>
    <row r="3696" spans="1:6" x14ac:dyDescent="0.2">
      <c r="A3696" t="s">
        <v>1918</v>
      </c>
      <c r="B3696" t="s">
        <v>1919</v>
      </c>
      <c r="C3696" t="s">
        <v>7645</v>
      </c>
      <c r="D3696" t="str">
        <f>TRIM(alias[[#This Row],[Column3]])</f>
        <v>Ulima Nitra Tbk</v>
      </c>
      <c r="F3696" t="str">
        <f t="shared" si="57"/>
        <v>INSERT INTO stock_alias (stock, alias) VALUES ((SELECT id FROM stock WHERE ticker = 'UNIQ'), 'Ulima Nitra Tbk') ON CONFLICT DO NOTHING;</v>
      </c>
    </row>
    <row r="3697" spans="1:6" x14ac:dyDescent="0.2">
      <c r="A3697" t="s">
        <v>1283</v>
      </c>
      <c r="B3697" t="s">
        <v>3694</v>
      </c>
      <c r="C3697" t="s">
        <v>1283</v>
      </c>
      <c r="D3697" t="str">
        <f>TRIM(alias[[#This Row],[Column3]])</f>
        <v>UNIT</v>
      </c>
      <c r="F3697" t="str">
        <f t="shared" si="57"/>
        <v>INSERT INTO stock_alias (stock, alias) VALUES ((SELECT id FROM stock WHERE ticker = 'UNIT'), 'UNIT') ON CONFLICT DO NOTHING;</v>
      </c>
    </row>
    <row r="3698" spans="1:6" x14ac:dyDescent="0.2">
      <c r="A3698" t="s">
        <v>1283</v>
      </c>
      <c r="B3698" t="s">
        <v>3694</v>
      </c>
      <c r="C3698" t="s">
        <v>7646</v>
      </c>
      <c r="D3698" t="str">
        <f>TRIM(alias[[#This Row],[Column3]])</f>
        <v>Nusantara Inti Corpora</v>
      </c>
      <c r="F3698" t="str">
        <f t="shared" si="57"/>
        <v>INSERT INTO stock_alias (stock, alias) VALUES ((SELECT id FROM stock WHERE ticker = 'UNIT'), 'Nusantara Inti Corpora') ON CONFLICT DO NOTHING;</v>
      </c>
    </row>
    <row r="3699" spans="1:6" x14ac:dyDescent="0.2">
      <c r="A3699" t="s">
        <v>1283</v>
      </c>
      <c r="B3699" t="s">
        <v>3694</v>
      </c>
      <c r="C3699" t="s">
        <v>7647</v>
      </c>
      <c r="D3699" t="str">
        <f>TRIM(alias[[#This Row],[Column3]])</f>
        <v>Nusantara Inti Corpora Tbk</v>
      </c>
      <c r="F3699" t="str">
        <f t="shared" si="57"/>
        <v>INSERT INTO stock_alias (stock, alias) VALUES ((SELECT id FROM stock WHERE ticker = 'UNIT'), 'Nusantara Inti Corpora Tbk') ON CONFLICT DO NOTHING;</v>
      </c>
    </row>
    <row r="3700" spans="1:6" x14ac:dyDescent="0.2">
      <c r="A3700" t="s">
        <v>1283</v>
      </c>
      <c r="B3700" t="s">
        <v>3694</v>
      </c>
      <c r="C3700" t="s">
        <v>7648</v>
      </c>
      <c r="D3700" t="str">
        <f>TRIM(alias[[#This Row],[Column3]])</f>
        <v>PT Nusantara Inti Corpora</v>
      </c>
      <c r="F3700" t="str">
        <f t="shared" si="57"/>
        <v>INSERT INTO stock_alias (stock, alias) VALUES ((SELECT id FROM stock WHERE ticker = 'UNIT'), 'PT Nusantara Inti Corpora') ON CONFLICT DO NOTHING;</v>
      </c>
    </row>
    <row r="3701" spans="1:6" x14ac:dyDescent="0.2">
      <c r="A3701" t="s">
        <v>1286</v>
      </c>
      <c r="B3701" t="s">
        <v>3695</v>
      </c>
      <c r="C3701" t="s">
        <v>1286</v>
      </c>
      <c r="D3701" t="str">
        <f>TRIM(alias[[#This Row],[Column3]])</f>
        <v>UNSP</v>
      </c>
      <c r="F3701" t="str">
        <f t="shared" si="57"/>
        <v>INSERT INTO stock_alias (stock, alias) VALUES ((SELECT id FROM stock WHERE ticker = 'UNSP'), 'UNSP') ON CONFLICT DO NOTHING;</v>
      </c>
    </row>
    <row r="3702" spans="1:6" x14ac:dyDescent="0.2">
      <c r="A3702" t="s">
        <v>1286</v>
      </c>
      <c r="B3702" t="s">
        <v>3695</v>
      </c>
      <c r="C3702" t="s">
        <v>7649</v>
      </c>
      <c r="D3702" t="str">
        <f>TRIM(alias[[#This Row],[Column3]])</f>
        <v>Bakrie Sumatera Plantations</v>
      </c>
      <c r="F3702" t="str">
        <f t="shared" si="57"/>
        <v>INSERT INTO stock_alias (stock, alias) VALUES ((SELECT id FROM stock WHERE ticker = 'UNSP'), 'Bakrie Sumatera Plantations') ON CONFLICT DO NOTHING;</v>
      </c>
    </row>
    <row r="3703" spans="1:6" x14ac:dyDescent="0.2">
      <c r="A3703" t="s">
        <v>1286</v>
      </c>
      <c r="B3703" t="s">
        <v>3695</v>
      </c>
      <c r="C3703" t="s">
        <v>7650</v>
      </c>
      <c r="D3703" t="str">
        <f>TRIM(alias[[#This Row],[Column3]])</f>
        <v>Bakrie Sumatera Plantations Tbk</v>
      </c>
      <c r="F3703" t="str">
        <f t="shared" si="57"/>
        <v>INSERT INTO stock_alias (stock, alias) VALUES ((SELECT id FROM stock WHERE ticker = 'UNSP'), 'Bakrie Sumatera Plantations Tbk') ON CONFLICT DO NOTHING;</v>
      </c>
    </row>
    <row r="3704" spans="1:6" x14ac:dyDescent="0.2">
      <c r="A3704" t="s">
        <v>1286</v>
      </c>
      <c r="B3704" t="s">
        <v>3695</v>
      </c>
      <c r="C3704" t="s">
        <v>7651</v>
      </c>
      <c r="D3704" t="str">
        <f>TRIM(alias[[#This Row],[Column3]])</f>
        <v>PT Bakrie Sumatera Plantations</v>
      </c>
      <c r="F3704" t="str">
        <f t="shared" si="57"/>
        <v>INSERT INTO stock_alias (stock, alias) VALUES ((SELECT id FROM stock WHERE ticker = 'UNSP'), 'PT Bakrie Sumatera Plantations') ON CONFLICT DO NOTHING;</v>
      </c>
    </row>
    <row r="3705" spans="1:6" x14ac:dyDescent="0.2">
      <c r="A3705" t="s">
        <v>2421</v>
      </c>
      <c r="B3705" t="s">
        <v>2422</v>
      </c>
      <c r="C3705" t="s">
        <v>2421</v>
      </c>
      <c r="D3705" t="str">
        <f>TRIM(alias[[#This Row],[Column3]])</f>
        <v>UNTD</v>
      </c>
      <c r="F3705" t="str">
        <f t="shared" si="57"/>
        <v>INSERT INTO stock_alias (stock, alias) VALUES ((SELECT id FROM stock WHERE ticker = 'UNTD'), 'UNTD') ON CONFLICT DO NOTHING;</v>
      </c>
    </row>
    <row r="3706" spans="1:6" x14ac:dyDescent="0.2">
      <c r="A3706" t="s">
        <v>2421</v>
      </c>
      <c r="B3706" t="s">
        <v>2422</v>
      </c>
      <c r="C3706" t="s">
        <v>7652</v>
      </c>
      <c r="D3706" t="str">
        <f>TRIM(alias[[#This Row],[Column3]])</f>
        <v>PT Terang Dunia Internusa</v>
      </c>
      <c r="F3706" t="str">
        <f t="shared" si="57"/>
        <v>INSERT INTO stock_alias (stock, alias) VALUES ((SELECT id FROM stock WHERE ticker = 'UNTD'), 'PT Terang Dunia Internusa') ON CONFLICT DO NOTHING;</v>
      </c>
    </row>
    <row r="3707" spans="1:6" x14ac:dyDescent="0.2">
      <c r="A3707" t="s">
        <v>2421</v>
      </c>
      <c r="B3707" t="s">
        <v>2422</v>
      </c>
      <c r="C3707" t="s">
        <v>7653</v>
      </c>
      <c r="D3707" t="str">
        <f>TRIM(alias[[#This Row],[Column3]])</f>
        <v>Terang Dunia Internusa</v>
      </c>
      <c r="F3707" t="str">
        <f t="shared" si="57"/>
        <v>INSERT INTO stock_alias (stock, alias) VALUES ((SELECT id FROM stock WHERE ticker = 'UNTD'), 'Terang Dunia Internusa') ON CONFLICT DO NOTHING;</v>
      </c>
    </row>
    <row r="3708" spans="1:6" x14ac:dyDescent="0.2">
      <c r="A3708" t="s">
        <v>2421</v>
      </c>
      <c r="B3708" t="s">
        <v>2422</v>
      </c>
      <c r="C3708" t="s">
        <v>7654</v>
      </c>
      <c r="D3708" t="str">
        <f>TRIM(alias[[#This Row],[Column3]])</f>
        <v>Terang Dunia Internusa Tbk</v>
      </c>
      <c r="F3708" t="str">
        <f t="shared" si="57"/>
        <v>INSERT INTO stock_alias (stock, alias) VALUES ((SELECT id FROM stock WHERE ticker = 'UNTD'), 'Terang Dunia Internusa Tbk') ON CONFLICT DO NOTHING;</v>
      </c>
    </row>
    <row r="3709" spans="1:6" x14ac:dyDescent="0.2">
      <c r="A3709" t="s">
        <v>1288</v>
      </c>
      <c r="B3709" t="s">
        <v>1289</v>
      </c>
      <c r="C3709" t="s">
        <v>1288</v>
      </c>
      <c r="D3709" t="str">
        <f>TRIM(alias[[#This Row],[Column3]])</f>
        <v>UNTR</v>
      </c>
      <c r="F3709" t="str">
        <f t="shared" si="57"/>
        <v>INSERT INTO stock_alias (stock, alias) VALUES ((SELECT id FROM stock WHERE ticker = 'UNTR'), 'UNTR') ON CONFLICT DO NOTHING;</v>
      </c>
    </row>
    <row r="3710" spans="1:6" x14ac:dyDescent="0.2">
      <c r="A3710" t="s">
        <v>1288</v>
      </c>
      <c r="B3710" t="s">
        <v>1289</v>
      </c>
      <c r="C3710" t="s">
        <v>7655</v>
      </c>
      <c r="D3710" t="str">
        <f>TRIM(alias[[#This Row],[Column3]])</f>
        <v>UT</v>
      </c>
      <c r="F3710" t="str">
        <f t="shared" si="57"/>
        <v>INSERT INTO stock_alias (stock, alias) VALUES ((SELECT id FROM stock WHERE ticker = 'UNTR'), 'UT') ON CONFLICT DO NOTHING;</v>
      </c>
    </row>
    <row r="3711" spans="1:6" x14ac:dyDescent="0.2">
      <c r="A3711" t="s">
        <v>1288</v>
      </c>
      <c r="B3711" t="s">
        <v>1289</v>
      </c>
      <c r="C3711" t="s">
        <v>7656</v>
      </c>
      <c r="D3711" t="str">
        <f>TRIM(alias[[#This Row],[Column3]])</f>
        <v>PT United Tractors</v>
      </c>
      <c r="F3711" t="str">
        <f t="shared" si="57"/>
        <v>INSERT INTO stock_alias (stock, alias) VALUES ((SELECT id FROM stock WHERE ticker = 'UNTR'), 'PT United Tractors') ON CONFLICT DO NOTHING;</v>
      </c>
    </row>
    <row r="3712" spans="1:6" x14ac:dyDescent="0.2">
      <c r="A3712" t="s">
        <v>1288</v>
      </c>
      <c r="B3712" t="s">
        <v>1289</v>
      </c>
      <c r="C3712" t="s">
        <v>7657</v>
      </c>
      <c r="D3712" t="str">
        <f>TRIM(alias[[#This Row],[Column3]])</f>
        <v>United Tractors</v>
      </c>
      <c r="F3712" t="str">
        <f t="shared" si="57"/>
        <v>INSERT INTO stock_alias (stock, alias) VALUES ((SELECT id FROM stock WHERE ticker = 'UNTR'), 'United Tractors') ON CONFLICT DO NOTHING;</v>
      </c>
    </row>
    <row r="3713" spans="1:6" x14ac:dyDescent="0.2">
      <c r="A3713" t="s">
        <v>1288</v>
      </c>
      <c r="B3713" t="s">
        <v>1289</v>
      </c>
      <c r="C3713" t="s">
        <v>7658</v>
      </c>
      <c r="D3713" t="str">
        <f>TRIM(alias[[#This Row],[Column3]])</f>
        <v>United Tractors Tbk</v>
      </c>
      <c r="F3713" t="str">
        <f t="shared" si="57"/>
        <v>INSERT INTO stock_alias (stock, alias) VALUES ((SELECT id FROM stock WHERE ticker = 'UNTR'), 'United Tractors Tbk') ON CONFLICT DO NOTHING;</v>
      </c>
    </row>
    <row r="3714" spans="1:6" x14ac:dyDescent="0.2">
      <c r="A3714" t="s">
        <v>1291</v>
      </c>
      <c r="B3714" t="s">
        <v>1292</v>
      </c>
      <c r="C3714" t="s">
        <v>1291</v>
      </c>
      <c r="D3714" t="str">
        <f>TRIM(alias[[#This Row],[Column3]])</f>
        <v>UNVR</v>
      </c>
      <c r="F3714" t="str">
        <f t="shared" si="57"/>
        <v>INSERT INTO stock_alias (stock, alias) VALUES ((SELECT id FROM stock WHERE ticker = 'UNVR'), 'UNVR') ON CONFLICT DO NOTHING;</v>
      </c>
    </row>
    <row r="3715" spans="1:6" x14ac:dyDescent="0.2">
      <c r="A3715" t="s">
        <v>1291</v>
      </c>
      <c r="B3715" t="s">
        <v>1292</v>
      </c>
      <c r="C3715" t="s">
        <v>7659</v>
      </c>
      <c r="D3715" t="str">
        <f>TRIM(alias[[#This Row],[Column3]])</f>
        <v>Unilever</v>
      </c>
      <c r="F3715" t="str">
        <f t="shared" ref="F3715:F3778" si="58">_xlfn.CONCAT($F$1, _xlfn.CONCAT($G$1, A3715, "'), '", D3715, "') ON CONFLICT DO NOTHING;"))</f>
        <v>INSERT INTO stock_alias (stock, alias) VALUES ((SELECT id FROM stock WHERE ticker = 'UNVR'), 'Unilever') ON CONFLICT DO NOTHING;</v>
      </c>
    </row>
    <row r="3716" spans="1:6" x14ac:dyDescent="0.2">
      <c r="A3716" t="s">
        <v>1291</v>
      </c>
      <c r="B3716" t="s">
        <v>1292</v>
      </c>
      <c r="C3716" t="s">
        <v>7660</v>
      </c>
      <c r="D3716" t="str">
        <f>TRIM(alias[[#This Row],[Column3]])</f>
        <v>PT Unilever Indonesia</v>
      </c>
      <c r="F3716" t="str">
        <f t="shared" si="58"/>
        <v>INSERT INTO stock_alias (stock, alias) VALUES ((SELECT id FROM stock WHERE ticker = 'UNVR'), 'PT Unilever Indonesia') ON CONFLICT DO NOTHING;</v>
      </c>
    </row>
    <row r="3717" spans="1:6" x14ac:dyDescent="0.2">
      <c r="A3717" t="s">
        <v>1291</v>
      </c>
      <c r="B3717" t="s">
        <v>1292</v>
      </c>
      <c r="C3717" t="s">
        <v>7661</v>
      </c>
      <c r="D3717" t="str">
        <f>TRIM(alias[[#This Row],[Column3]])</f>
        <v>Unilever Indonesia</v>
      </c>
      <c r="F3717" t="str">
        <f t="shared" si="58"/>
        <v>INSERT INTO stock_alias (stock, alias) VALUES ((SELECT id FROM stock WHERE ticker = 'UNVR'), 'Unilever Indonesia') ON CONFLICT DO NOTHING;</v>
      </c>
    </row>
    <row r="3718" spans="1:6" x14ac:dyDescent="0.2">
      <c r="A3718" t="s">
        <v>1291</v>
      </c>
      <c r="B3718" t="s">
        <v>1292</v>
      </c>
      <c r="C3718" t="s">
        <v>7662</v>
      </c>
      <c r="D3718" t="str">
        <f>TRIM(alias[[#This Row],[Column3]])</f>
        <v>Unilever Indonesia Tbk</v>
      </c>
      <c r="F3718" t="str">
        <f t="shared" si="58"/>
        <v>INSERT INTO stock_alias (stock, alias) VALUES ((SELECT id FROM stock WHERE ticker = 'UNVR'), 'Unilever Indonesia Tbk') ON CONFLICT DO NOTHING;</v>
      </c>
    </row>
    <row r="3719" spans="1:6" x14ac:dyDescent="0.2">
      <c r="A3719" t="s">
        <v>1630</v>
      </c>
      <c r="B3719" t="s">
        <v>1631</v>
      </c>
      <c r="C3719" t="s">
        <v>1630</v>
      </c>
      <c r="D3719" t="str">
        <f>TRIM(alias[[#This Row],[Column3]])</f>
        <v>URBN</v>
      </c>
      <c r="F3719" t="str">
        <f t="shared" si="58"/>
        <v>INSERT INTO stock_alias (stock, alias) VALUES ((SELECT id FROM stock WHERE ticker = 'URBN'), 'URBN') ON CONFLICT DO NOTHING;</v>
      </c>
    </row>
    <row r="3720" spans="1:6" x14ac:dyDescent="0.2">
      <c r="A3720" t="s">
        <v>1630</v>
      </c>
      <c r="B3720" t="s">
        <v>1631</v>
      </c>
      <c r="C3720" t="s">
        <v>7663</v>
      </c>
      <c r="D3720" t="str">
        <f>TRIM(alias[[#This Row],[Column3]])</f>
        <v>PT Urban Jakarta Propertindo</v>
      </c>
      <c r="F3720" t="str">
        <f t="shared" si="58"/>
        <v>INSERT INTO stock_alias (stock, alias) VALUES ((SELECT id FROM stock WHERE ticker = 'URBN'), 'PT Urban Jakarta Propertindo') ON CONFLICT DO NOTHING;</v>
      </c>
    </row>
    <row r="3721" spans="1:6" x14ac:dyDescent="0.2">
      <c r="A3721" t="s">
        <v>1630</v>
      </c>
      <c r="B3721" t="s">
        <v>1631</v>
      </c>
      <c r="C3721" t="s">
        <v>7664</v>
      </c>
      <c r="D3721" t="str">
        <f>TRIM(alias[[#This Row],[Column3]])</f>
        <v>Urban Jakarta Propertindo</v>
      </c>
      <c r="F3721" t="str">
        <f t="shared" si="58"/>
        <v>INSERT INTO stock_alias (stock, alias) VALUES ((SELECT id FROM stock WHERE ticker = 'URBN'), 'Urban Jakarta Propertindo') ON CONFLICT DO NOTHING;</v>
      </c>
    </row>
    <row r="3722" spans="1:6" x14ac:dyDescent="0.2">
      <c r="A3722" t="s">
        <v>1630</v>
      </c>
      <c r="B3722" t="s">
        <v>1631</v>
      </c>
      <c r="C3722" t="s">
        <v>7665</v>
      </c>
      <c r="D3722" t="str">
        <f>TRIM(alias[[#This Row],[Column3]])</f>
        <v>Urban Jakarta Propertindo Tbk</v>
      </c>
      <c r="F3722" t="str">
        <f t="shared" si="58"/>
        <v>INSERT INTO stock_alias (stock, alias) VALUES ((SELECT id FROM stock WHERE ticker = 'URBN'), 'Urban Jakarta Propertindo Tbk') ON CONFLICT DO NOTHING;</v>
      </c>
    </row>
    <row r="3723" spans="1:6" x14ac:dyDescent="0.2">
      <c r="A3723" t="s">
        <v>1977</v>
      </c>
      <c r="B3723" t="s">
        <v>1978</v>
      </c>
      <c r="C3723" t="s">
        <v>1977</v>
      </c>
      <c r="D3723" t="str">
        <f>TRIM(alias[[#This Row],[Column3]])</f>
        <v>UVCR</v>
      </c>
      <c r="F3723" t="str">
        <f t="shared" si="58"/>
        <v>INSERT INTO stock_alias (stock, alias) VALUES ((SELECT id FROM stock WHERE ticker = 'UVCR'), 'UVCR') ON CONFLICT DO NOTHING;</v>
      </c>
    </row>
    <row r="3724" spans="1:6" x14ac:dyDescent="0.2">
      <c r="A3724" t="s">
        <v>1977</v>
      </c>
      <c r="B3724" t="s">
        <v>1978</v>
      </c>
      <c r="C3724" t="s">
        <v>7666</v>
      </c>
      <c r="D3724" t="str">
        <f>TRIM(alias[[#This Row],[Column3]])</f>
        <v>PT Trimegah Karya Pratama</v>
      </c>
      <c r="F3724" t="str">
        <f t="shared" si="58"/>
        <v>INSERT INTO stock_alias (stock, alias) VALUES ((SELECT id FROM stock WHERE ticker = 'UVCR'), 'PT Trimegah Karya Pratama') ON CONFLICT DO NOTHING;</v>
      </c>
    </row>
    <row r="3725" spans="1:6" x14ac:dyDescent="0.2">
      <c r="A3725" t="s">
        <v>1977</v>
      </c>
      <c r="B3725" t="s">
        <v>1978</v>
      </c>
      <c r="C3725" t="s">
        <v>7667</v>
      </c>
      <c r="D3725" t="str">
        <f>TRIM(alias[[#This Row],[Column3]])</f>
        <v>Trimegah Karya Pratama</v>
      </c>
      <c r="F3725" t="str">
        <f t="shared" si="58"/>
        <v>INSERT INTO stock_alias (stock, alias) VALUES ((SELECT id FROM stock WHERE ticker = 'UVCR'), 'Trimegah Karya Pratama') ON CONFLICT DO NOTHING;</v>
      </c>
    </row>
    <row r="3726" spans="1:6" x14ac:dyDescent="0.2">
      <c r="A3726" t="s">
        <v>1977</v>
      </c>
      <c r="B3726" t="s">
        <v>1978</v>
      </c>
      <c r="C3726" t="s">
        <v>7668</v>
      </c>
      <c r="D3726" t="str">
        <f>TRIM(alias[[#This Row],[Column3]])</f>
        <v>Trimegah Karya Pratama Tbk</v>
      </c>
      <c r="F3726" t="str">
        <f t="shared" si="58"/>
        <v>INSERT INTO stock_alias (stock, alias) VALUES ((SELECT id FROM stock WHERE ticker = 'UVCR'), 'Trimegah Karya Pratama Tbk') ON CONFLICT DO NOTHING;</v>
      </c>
    </row>
    <row r="3727" spans="1:6" x14ac:dyDescent="0.2">
      <c r="A3727" t="s">
        <v>2255</v>
      </c>
      <c r="B3727" t="s">
        <v>2256</v>
      </c>
      <c r="C3727" t="s">
        <v>2255</v>
      </c>
      <c r="D3727" t="str">
        <f>TRIM(alias[[#This Row],[Column3]])</f>
        <v>VAST</v>
      </c>
      <c r="F3727" t="str">
        <f t="shared" si="58"/>
        <v>INSERT INTO stock_alias (stock, alias) VALUES ((SELECT id FROM stock WHERE ticker = 'VAST'), 'VAST') ON CONFLICT DO NOTHING;</v>
      </c>
    </row>
    <row r="3728" spans="1:6" x14ac:dyDescent="0.2">
      <c r="A3728" t="s">
        <v>2255</v>
      </c>
      <c r="B3728" t="s">
        <v>2256</v>
      </c>
      <c r="C3728" t="s">
        <v>7669</v>
      </c>
      <c r="D3728" t="str">
        <f>TRIM(alias[[#This Row],[Column3]])</f>
        <v>PT Vastland Indonesia</v>
      </c>
      <c r="F3728" t="str">
        <f t="shared" si="58"/>
        <v>INSERT INTO stock_alias (stock, alias) VALUES ((SELECT id FROM stock WHERE ticker = 'VAST'), 'PT Vastland Indonesia') ON CONFLICT DO NOTHING;</v>
      </c>
    </row>
    <row r="3729" spans="1:6" x14ac:dyDescent="0.2">
      <c r="A3729" t="s">
        <v>2255</v>
      </c>
      <c r="B3729" t="s">
        <v>2256</v>
      </c>
      <c r="C3729" t="s">
        <v>7670</v>
      </c>
      <c r="D3729" t="str">
        <f>TRIM(alias[[#This Row],[Column3]])</f>
        <v>Vastland Indonesia</v>
      </c>
      <c r="F3729" t="str">
        <f t="shared" si="58"/>
        <v>INSERT INTO stock_alias (stock, alias) VALUES ((SELECT id FROM stock WHERE ticker = 'VAST'), 'Vastland Indonesia') ON CONFLICT DO NOTHING;</v>
      </c>
    </row>
    <row r="3730" spans="1:6" x14ac:dyDescent="0.2">
      <c r="A3730" t="s">
        <v>2255</v>
      </c>
      <c r="B3730" t="s">
        <v>2256</v>
      </c>
      <c r="C3730" t="s">
        <v>7671</v>
      </c>
      <c r="D3730" t="str">
        <f>TRIM(alias[[#This Row],[Column3]])</f>
        <v>Vastland Indonesia Tbk</v>
      </c>
      <c r="F3730" t="str">
        <f t="shared" si="58"/>
        <v>INSERT INTO stock_alias (stock, alias) VALUES ((SELECT id FROM stock WHERE ticker = 'VAST'), 'Vastland Indonesia Tbk') ON CONFLICT DO NOTHING;</v>
      </c>
    </row>
    <row r="3731" spans="1:6" x14ac:dyDescent="0.2">
      <c r="A3731" t="s">
        <v>2494</v>
      </c>
      <c r="B3731" t="s">
        <v>2495</v>
      </c>
      <c r="C3731" t="s">
        <v>2494</v>
      </c>
      <c r="D3731" t="str">
        <f>TRIM(alias[[#This Row],[Column3]])</f>
        <v>VERN</v>
      </c>
      <c r="F3731" t="str">
        <f t="shared" si="58"/>
        <v>INSERT INTO stock_alias (stock, alias) VALUES ((SELECT id FROM stock WHERE ticker = 'VERN'), 'VERN') ON CONFLICT DO NOTHING;</v>
      </c>
    </row>
    <row r="3732" spans="1:6" x14ac:dyDescent="0.2">
      <c r="A3732" t="s">
        <v>2494</v>
      </c>
      <c r="B3732" t="s">
        <v>2495</v>
      </c>
      <c r="C3732" t="s">
        <v>7672</v>
      </c>
      <c r="D3732" t="str">
        <f>TRIM(alias[[#This Row],[Column3]])</f>
        <v>PT Verona Indah Pictures</v>
      </c>
      <c r="F3732" t="str">
        <f t="shared" si="58"/>
        <v>INSERT INTO stock_alias (stock, alias) VALUES ((SELECT id FROM stock WHERE ticker = 'VERN'), 'PT Verona Indah Pictures') ON CONFLICT DO NOTHING;</v>
      </c>
    </row>
    <row r="3733" spans="1:6" x14ac:dyDescent="0.2">
      <c r="A3733" t="s">
        <v>2494</v>
      </c>
      <c r="B3733" t="s">
        <v>2495</v>
      </c>
      <c r="C3733" t="s">
        <v>7673</v>
      </c>
      <c r="D3733" t="str">
        <f>TRIM(alias[[#This Row],[Column3]])</f>
        <v>Verona Indah Pictures</v>
      </c>
      <c r="F3733" t="str">
        <f t="shared" si="58"/>
        <v>INSERT INTO stock_alias (stock, alias) VALUES ((SELECT id FROM stock WHERE ticker = 'VERN'), 'Verona Indah Pictures') ON CONFLICT DO NOTHING;</v>
      </c>
    </row>
    <row r="3734" spans="1:6" x14ac:dyDescent="0.2">
      <c r="A3734" t="s">
        <v>2494</v>
      </c>
      <c r="B3734" t="s">
        <v>2495</v>
      </c>
      <c r="C3734" t="s">
        <v>7674</v>
      </c>
      <c r="D3734" t="str">
        <f>TRIM(alias[[#This Row],[Column3]])</f>
        <v>Verona Indah Pictures Tbk</v>
      </c>
      <c r="F3734" t="str">
        <f t="shared" si="58"/>
        <v>INSERT INTO stock_alias (stock, alias) VALUES ((SELECT id FROM stock WHERE ticker = 'VERN'), 'Verona Indah Pictures Tbk') ON CONFLICT DO NOTHING;</v>
      </c>
    </row>
    <row r="3735" spans="1:6" x14ac:dyDescent="0.2">
      <c r="A3735" t="s">
        <v>1903</v>
      </c>
      <c r="B3735" t="s">
        <v>1904</v>
      </c>
      <c r="C3735" t="s">
        <v>1903</v>
      </c>
      <c r="D3735" t="str">
        <f>TRIM(alias[[#This Row],[Column3]])</f>
        <v>VICI</v>
      </c>
      <c r="F3735" t="str">
        <f t="shared" si="58"/>
        <v>INSERT INTO stock_alias (stock, alias) VALUES ((SELECT id FROM stock WHERE ticker = 'VICI'), 'VICI') ON CONFLICT DO NOTHING;</v>
      </c>
    </row>
    <row r="3736" spans="1:6" x14ac:dyDescent="0.2">
      <c r="A3736" t="s">
        <v>1903</v>
      </c>
      <c r="B3736" t="s">
        <v>1904</v>
      </c>
      <c r="C3736" t="s">
        <v>7675</v>
      </c>
      <c r="D3736" t="str">
        <f>TRIM(alias[[#This Row],[Column3]])</f>
        <v>PT Victoria Care Indonesia</v>
      </c>
      <c r="F3736" t="str">
        <f t="shared" si="58"/>
        <v>INSERT INTO stock_alias (stock, alias) VALUES ((SELECT id FROM stock WHERE ticker = 'VICI'), 'PT Victoria Care Indonesia') ON CONFLICT DO NOTHING;</v>
      </c>
    </row>
    <row r="3737" spans="1:6" x14ac:dyDescent="0.2">
      <c r="A3737" t="s">
        <v>1903</v>
      </c>
      <c r="B3737" t="s">
        <v>1904</v>
      </c>
      <c r="C3737" t="s">
        <v>7676</v>
      </c>
      <c r="D3737" t="str">
        <f>TRIM(alias[[#This Row],[Column3]])</f>
        <v>Victoria Care Indonesia</v>
      </c>
      <c r="F3737" t="str">
        <f t="shared" si="58"/>
        <v>INSERT INTO stock_alias (stock, alias) VALUES ((SELECT id FROM stock WHERE ticker = 'VICI'), 'Victoria Care Indonesia') ON CONFLICT DO NOTHING;</v>
      </c>
    </row>
    <row r="3738" spans="1:6" x14ac:dyDescent="0.2">
      <c r="A3738" t="s">
        <v>1903</v>
      </c>
      <c r="B3738" t="s">
        <v>1904</v>
      </c>
      <c r="C3738" t="s">
        <v>7677</v>
      </c>
      <c r="D3738" t="str">
        <f>TRIM(alias[[#This Row],[Column3]])</f>
        <v>Victoria Care Indonesia Tbk</v>
      </c>
      <c r="F3738" t="str">
        <f t="shared" si="58"/>
        <v>INSERT INTO stock_alias (stock, alias) VALUES ((SELECT id FROM stock WHERE ticker = 'VICI'), 'Victoria Care Indonesia Tbk') ON CONFLICT DO NOTHING;</v>
      </c>
    </row>
    <row r="3739" spans="1:6" x14ac:dyDescent="0.2">
      <c r="A3739" t="s">
        <v>1294</v>
      </c>
      <c r="B3739" t="s">
        <v>1295</v>
      </c>
      <c r="C3739" t="s">
        <v>1294</v>
      </c>
      <c r="D3739" t="str">
        <f>TRIM(alias[[#This Row],[Column3]])</f>
        <v>VICO</v>
      </c>
      <c r="F3739" t="str">
        <f t="shared" si="58"/>
        <v>INSERT INTO stock_alias (stock, alias) VALUES ((SELECT id FROM stock WHERE ticker = 'VICO'), 'VICO') ON CONFLICT DO NOTHING;</v>
      </c>
    </row>
    <row r="3740" spans="1:6" x14ac:dyDescent="0.2">
      <c r="A3740" t="s">
        <v>1294</v>
      </c>
      <c r="B3740" t="s">
        <v>1295</v>
      </c>
      <c r="C3740" t="s">
        <v>7678</v>
      </c>
      <c r="D3740" t="str">
        <f>TRIM(alias[[#This Row],[Column3]])</f>
        <v>PT Victoria Investama</v>
      </c>
      <c r="F3740" t="str">
        <f t="shared" si="58"/>
        <v>INSERT INTO stock_alias (stock, alias) VALUES ((SELECT id FROM stock WHERE ticker = 'VICO'), 'PT Victoria Investama') ON CONFLICT DO NOTHING;</v>
      </c>
    </row>
    <row r="3741" spans="1:6" x14ac:dyDescent="0.2">
      <c r="A3741" t="s">
        <v>1294</v>
      </c>
      <c r="B3741" t="s">
        <v>1295</v>
      </c>
      <c r="C3741" t="s">
        <v>7679</v>
      </c>
      <c r="D3741" t="str">
        <f>TRIM(alias[[#This Row],[Column3]])</f>
        <v>Victoria Investama</v>
      </c>
      <c r="F3741" t="str">
        <f t="shared" si="58"/>
        <v>INSERT INTO stock_alias (stock, alias) VALUES ((SELECT id FROM stock WHERE ticker = 'VICO'), 'Victoria Investama') ON CONFLICT DO NOTHING;</v>
      </c>
    </row>
    <row r="3742" spans="1:6" x14ac:dyDescent="0.2">
      <c r="A3742" t="s">
        <v>1294</v>
      </c>
      <c r="B3742" t="s">
        <v>1295</v>
      </c>
      <c r="C3742" t="s">
        <v>7680</v>
      </c>
      <c r="D3742" t="str">
        <f>TRIM(alias[[#This Row],[Column3]])</f>
        <v>Victoria Investama Tbk</v>
      </c>
      <c r="F3742" t="str">
        <f t="shared" si="58"/>
        <v>INSERT INTO stock_alias (stock, alias) VALUES ((SELECT id FROM stock WHERE ticker = 'VICO'), 'Victoria Investama Tbk') ON CONFLICT DO NOTHING;</v>
      </c>
    </row>
    <row r="3743" spans="1:6" x14ac:dyDescent="0.2">
      <c r="A3743" t="s">
        <v>1297</v>
      </c>
      <c r="B3743" t="s">
        <v>1298</v>
      </c>
      <c r="C3743" t="s">
        <v>1297</v>
      </c>
      <c r="D3743" t="str">
        <f>TRIM(alias[[#This Row],[Column3]])</f>
        <v>VINS</v>
      </c>
      <c r="F3743" t="str">
        <f t="shared" si="58"/>
        <v>INSERT INTO stock_alias (stock, alias) VALUES ((SELECT id FROM stock WHERE ticker = 'VINS'), 'VINS') ON CONFLICT DO NOTHING;</v>
      </c>
    </row>
    <row r="3744" spans="1:6" x14ac:dyDescent="0.2">
      <c r="A3744" t="s">
        <v>1297</v>
      </c>
      <c r="B3744" t="s">
        <v>1298</v>
      </c>
      <c r="C3744" t="s">
        <v>7681</v>
      </c>
      <c r="D3744" t="str">
        <f>TRIM(alias[[#This Row],[Column3]])</f>
        <v>PT Victoria Insurance</v>
      </c>
      <c r="F3744" t="str">
        <f t="shared" si="58"/>
        <v>INSERT INTO stock_alias (stock, alias) VALUES ((SELECT id FROM stock WHERE ticker = 'VINS'), 'PT Victoria Insurance') ON CONFLICT DO NOTHING;</v>
      </c>
    </row>
    <row r="3745" spans="1:6" x14ac:dyDescent="0.2">
      <c r="A3745" t="s">
        <v>1297</v>
      </c>
      <c r="B3745" t="s">
        <v>1298</v>
      </c>
      <c r="C3745" t="s">
        <v>7682</v>
      </c>
      <c r="D3745" t="str">
        <f>TRIM(alias[[#This Row],[Column3]])</f>
        <v>Victoria Insurance</v>
      </c>
      <c r="F3745" t="str">
        <f t="shared" si="58"/>
        <v>INSERT INTO stock_alias (stock, alias) VALUES ((SELECT id FROM stock WHERE ticker = 'VINS'), 'Victoria Insurance') ON CONFLICT DO NOTHING;</v>
      </c>
    </row>
    <row r="3746" spans="1:6" x14ac:dyDescent="0.2">
      <c r="A3746" t="s">
        <v>1297</v>
      </c>
      <c r="B3746" t="s">
        <v>1298</v>
      </c>
      <c r="C3746" t="s">
        <v>7683</v>
      </c>
      <c r="D3746" t="str">
        <f>TRIM(alias[[#This Row],[Column3]])</f>
        <v>Victoria Insurance Tbk</v>
      </c>
      <c r="F3746" t="str">
        <f t="shared" si="58"/>
        <v>INSERT INTO stock_alias (stock, alias) VALUES ((SELECT id FROM stock WHERE ticker = 'VINS'), 'Victoria Insurance Tbk') ON CONFLICT DO NOTHING;</v>
      </c>
    </row>
    <row r="3747" spans="1:6" x14ac:dyDescent="0.2">
      <c r="A3747" t="s">
        <v>2447</v>
      </c>
      <c r="B3747" t="s">
        <v>2448</v>
      </c>
      <c r="C3747" t="s">
        <v>2447</v>
      </c>
      <c r="D3747" t="str">
        <f>TRIM(alias[[#This Row],[Column3]])</f>
        <v>VISI</v>
      </c>
      <c r="F3747" t="str">
        <f t="shared" si="58"/>
        <v>INSERT INTO stock_alias (stock, alias) VALUES ((SELECT id FROM stock WHERE ticker = 'VISI'), 'VISI') ON CONFLICT DO NOTHING;</v>
      </c>
    </row>
    <row r="3748" spans="1:6" x14ac:dyDescent="0.2">
      <c r="A3748" t="s">
        <v>2447</v>
      </c>
      <c r="B3748" t="s">
        <v>2448</v>
      </c>
      <c r="C3748" t="s">
        <v>7684</v>
      </c>
      <c r="D3748" t="str">
        <f>TRIM(alias[[#This Row],[Column3]])</f>
        <v>PT Satu Visi Putra</v>
      </c>
      <c r="F3748" t="str">
        <f t="shared" si="58"/>
        <v>INSERT INTO stock_alias (stock, alias) VALUES ((SELECT id FROM stock WHERE ticker = 'VISI'), 'PT Satu Visi Putra') ON CONFLICT DO NOTHING;</v>
      </c>
    </row>
    <row r="3749" spans="1:6" x14ac:dyDescent="0.2">
      <c r="A3749" t="s">
        <v>2447</v>
      </c>
      <c r="B3749" t="s">
        <v>2448</v>
      </c>
      <c r="C3749" t="s">
        <v>7685</v>
      </c>
      <c r="D3749" t="str">
        <f>TRIM(alias[[#This Row],[Column3]])</f>
        <v>Satu Visi Putra</v>
      </c>
      <c r="F3749" t="str">
        <f t="shared" si="58"/>
        <v>INSERT INTO stock_alias (stock, alias) VALUES ((SELECT id FROM stock WHERE ticker = 'VISI'), 'Satu Visi Putra') ON CONFLICT DO NOTHING;</v>
      </c>
    </row>
    <row r="3750" spans="1:6" x14ac:dyDescent="0.2">
      <c r="A3750" t="s">
        <v>2447</v>
      </c>
      <c r="B3750" t="s">
        <v>2448</v>
      </c>
      <c r="C3750" t="s">
        <v>7686</v>
      </c>
      <c r="D3750" t="str">
        <f>TRIM(alias[[#This Row],[Column3]])</f>
        <v>Satu Visi Putra Tbk</v>
      </c>
      <c r="F3750" t="str">
        <f t="shared" si="58"/>
        <v>INSERT INTO stock_alias (stock, alias) VALUES ((SELECT id FROM stock WHERE ticker = 'VISI'), 'Satu Visi Putra Tbk') ON CONFLICT DO NOTHING;</v>
      </c>
    </row>
    <row r="3751" spans="1:6" x14ac:dyDescent="0.2">
      <c r="A3751" t="s">
        <v>1300</v>
      </c>
      <c r="B3751" t="s">
        <v>1301</v>
      </c>
      <c r="C3751" t="s">
        <v>1300</v>
      </c>
      <c r="D3751" t="str">
        <f>TRIM(alias[[#This Row],[Column3]])</f>
        <v>VIVA</v>
      </c>
      <c r="F3751" t="str">
        <f t="shared" si="58"/>
        <v>INSERT INTO stock_alias (stock, alias) VALUES ((SELECT id FROM stock WHERE ticker = 'VIVA'), 'VIVA') ON CONFLICT DO NOTHING;</v>
      </c>
    </row>
    <row r="3752" spans="1:6" x14ac:dyDescent="0.2">
      <c r="A3752" t="s">
        <v>1300</v>
      </c>
      <c r="B3752" t="s">
        <v>1301</v>
      </c>
      <c r="C3752" t="s">
        <v>7687</v>
      </c>
      <c r="D3752" t="str">
        <f>TRIM(alias[[#This Row],[Column3]])</f>
        <v>PT Visi Media Asia</v>
      </c>
      <c r="F3752" t="str">
        <f t="shared" si="58"/>
        <v>INSERT INTO stock_alias (stock, alias) VALUES ((SELECT id FROM stock WHERE ticker = 'VIVA'), 'PT Visi Media Asia') ON CONFLICT DO NOTHING;</v>
      </c>
    </row>
    <row r="3753" spans="1:6" x14ac:dyDescent="0.2">
      <c r="A3753" t="s">
        <v>1300</v>
      </c>
      <c r="B3753" t="s">
        <v>1301</v>
      </c>
      <c r="C3753" t="s">
        <v>7688</v>
      </c>
      <c r="D3753" t="str">
        <f>TRIM(alias[[#This Row],[Column3]])</f>
        <v>Visi Media Asia</v>
      </c>
      <c r="F3753" t="str">
        <f t="shared" si="58"/>
        <v>INSERT INTO stock_alias (stock, alias) VALUES ((SELECT id FROM stock WHERE ticker = 'VIVA'), 'Visi Media Asia') ON CONFLICT DO NOTHING;</v>
      </c>
    </row>
    <row r="3754" spans="1:6" x14ac:dyDescent="0.2">
      <c r="A3754" t="s">
        <v>1300</v>
      </c>
      <c r="B3754" t="s">
        <v>1301</v>
      </c>
      <c r="C3754" t="s">
        <v>7689</v>
      </c>
      <c r="D3754" t="str">
        <f>TRIM(alias[[#This Row],[Column3]])</f>
        <v>Visi Media Asia Tbk</v>
      </c>
      <c r="F3754" t="str">
        <f t="shared" si="58"/>
        <v>INSERT INTO stock_alias (stock, alias) VALUES ((SELECT id FROM stock WHERE ticker = 'VIVA'), 'Visi Media Asia Tbk') ON CONFLICT DO NOTHING;</v>
      </c>
    </row>
    <row r="3755" spans="1:6" x14ac:dyDescent="0.2">
      <c r="A3755" t="s">
        <v>2313</v>
      </c>
      <c r="B3755" t="s">
        <v>2314</v>
      </c>
      <c r="C3755" t="s">
        <v>2313</v>
      </c>
      <c r="D3755" t="str">
        <f>TRIM(alias[[#This Row],[Column3]])</f>
        <v>VKTR</v>
      </c>
      <c r="F3755" t="str">
        <f t="shared" si="58"/>
        <v>INSERT INTO stock_alias (stock, alias) VALUES ((SELECT id FROM stock WHERE ticker = 'VKTR'), 'VKTR') ON CONFLICT DO NOTHING;</v>
      </c>
    </row>
    <row r="3756" spans="1:6" x14ac:dyDescent="0.2">
      <c r="A3756" t="s">
        <v>2313</v>
      </c>
      <c r="B3756" t="s">
        <v>2314</v>
      </c>
      <c r="C3756" t="s">
        <v>7690</v>
      </c>
      <c r="D3756" t="str">
        <f>TRIM(alias[[#This Row],[Column3]])</f>
        <v>PT VKTR Teknologi Mobilitas</v>
      </c>
      <c r="F3756" t="str">
        <f t="shared" si="58"/>
        <v>INSERT INTO stock_alias (stock, alias) VALUES ((SELECT id FROM stock WHERE ticker = 'VKTR'), 'PT VKTR Teknologi Mobilitas') ON CONFLICT DO NOTHING;</v>
      </c>
    </row>
    <row r="3757" spans="1:6" x14ac:dyDescent="0.2">
      <c r="A3757" t="s">
        <v>2313</v>
      </c>
      <c r="B3757" t="s">
        <v>2314</v>
      </c>
      <c r="C3757" t="s">
        <v>7691</v>
      </c>
      <c r="D3757" t="str">
        <f>TRIM(alias[[#This Row],[Column3]])</f>
        <v>VKTR Teknologi Mobilitas</v>
      </c>
      <c r="F3757" t="str">
        <f t="shared" si="58"/>
        <v>INSERT INTO stock_alias (stock, alias) VALUES ((SELECT id FROM stock WHERE ticker = 'VKTR'), 'VKTR Teknologi Mobilitas') ON CONFLICT DO NOTHING;</v>
      </c>
    </row>
    <row r="3758" spans="1:6" x14ac:dyDescent="0.2">
      <c r="A3758" t="s">
        <v>2313</v>
      </c>
      <c r="B3758" t="s">
        <v>2314</v>
      </c>
      <c r="C3758" t="s">
        <v>7692</v>
      </c>
      <c r="D3758" t="str">
        <f>TRIM(alias[[#This Row],[Column3]])</f>
        <v>VKTR Teknologi Mobilitas Tbk</v>
      </c>
      <c r="F3758" t="str">
        <f t="shared" si="58"/>
        <v>INSERT INTO stock_alias (stock, alias) VALUES ((SELECT id FROM stock WHERE ticker = 'VKTR'), 'VKTR Teknologi Mobilitas Tbk') ON CONFLICT DO NOTHING;</v>
      </c>
    </row>
    <row r="3759" spans="1:6" x14ac:dyDescent="0.2">
      <c r="A3759" t="s">
        <v>1303</v>
      </c>
      <c r="B3759" t="s">
        <v>1304</v>
      </c>
      <c r="C3759" t="s">
        <v>1303</v>
      </c>
      <c r="D3759" t="str">
        <f>TRIM(alias[[#This Row],[Column3]])</f>
        <v>VOKS</v>
      </c>
      <c r="F3759" t="str">
        <f t="shared" si="58"/>
        <v>INSERT INTO stock_alias (stock, alias) VALUES ((SELECT id FROM stock WHERE ticker = 'VOKS'), 'VOKS') ON CONFLICT DO NOTHING;</v>
      </c>
    </row>
    <row r="3760" spans="1:6" x14ac:dyDescent="0.2">
      <c r="A3760" t="s">
        <v>1303</v>
      </c>
      <c r="B3760" t="s">
        <v>1304</v>
      </c>
      <c r="C3760" t="s">
        <v>7693</v>
      </c>
      <c r="D3760" t="str">
        <f>TRIM(alias[[#This Row],[Column3]])</f>
        <v>PT Voksel Electric</v>
      </c>
      <c r="F3760" t="str">
        <f t="shared" si="58"/>
        <v>INSERT INTO stock_alias (stock, alias) VALUES ((SELECT id FROM stock WHERE ticker = 'VOKS'), 'PT Voksel Electric') ON CONFLICT DO NOTHING;</v>
      </c>
    </row>
    <row r="3761" spans="1:6" x14ac:dyDescent="0.2">
      <c r="A3761" t="s">
        <v>1303</v>
      </c>
      <c r="B3761" t="s">
        <v>1304</v>
      </c>
      <c r="C3761" t="s">
        <v>7694</v>
      </c>
      <c r="D3761" t="str">
        <f>TRIM(alias[[#This Row],[Column3]])</f>
        <v>Voksel Electric</v>
      </c>
      <c r="F3761" t="str">
        <f t="shared" si="58"/>
        <v>INSERT INTO stock_alias (stock, alias) VALUES ((SELECT id FROM stock WHERE ticker = 'VOKS'), 'Voksel Electric') ON CONFLICT DO NOTHING;</v>
      </c>
    </row>
    <row r="3762" spans="1:6" x14ac:dyDescent="0.2">
      <c r="A3762" t="s">
        <v>1303</v>
      </c>
      <c r="B3762" t="s">
        <v>1304</v>
      </c>
      <c r="C3762" t="s">
        <v>7695</v>
      </c>
      <c r="D3762" t="str">
        <f>TRIM(alias[[#This Row],[Column3]])</f>
        <v>Voksel Electric Tbk</v>
      </c>
      <c r="F3762" t="str">
        <f t="shared" si="58"/>
        <v>INSERT INTO stock_alias (stock, alias) VALUES ((SELECT id FROM stock WHERE ticker = 'VOKS'), 'Voksel Electric Tbk') ON CONFLICT DO NOTHING;</v>
      </c>
    </row>
    <row r="3763" spans="1:6" x14ac:dyDescent="0.2">
      <c r="A3763" t="s">
        <v>1306</v>
      </c>
      <c r="B3763" t="s">
        <v>1307</v>
      </c>
      <c r="C3763" t="s">
        <v>1306</v>
      </c>
      <c r="D3763" t="str">
        <f>TRIM(alias[[#This Row],[Column3]])</f>
        <v>VRNA</v>
      </c>
      <c r="F3763" t="str">
        <f t="shared" si="58"/>
        <v>INSERT INTO stock_alias (stock, alias) VALUES ((SELECT id FROM stock WHERE ticker = 'VRNA'), 'VRNA') ON CONFLICT DO NOTHING;</v>
      </c>
    </row>
    <row r="3764" spans="1:6" x14ac:dyDescent="0.2">
      <c r="A3764" t="s">
        <v>1306</v>
      </c>
      <c r="B3764" t="s">
        <v>1307</v>
      </c>
      <c r="C3764" t="s">
        <v>7696</v>
      </c>
      <c r="D3764" t="str">
        <f>TRIM(alias[[#This Row],[Column3]])</f>
        <v>Mizuho Leasing Indonesia</v>
      </c>
      <c r="F3764" t="str">
        <f t="shared" si="58"/>
        <v>INSERT INTO stock_alias (stock, alias) VALUES ((SELECT id FROM stock WHERE ticker = 'VRNA'), 'Mizuho Leasing Indonesia') ON CONFLICT DO NOTHING;</v>
      </c>
    </row>
    <row r="3765" spans="1:6" x14ac:dyDescent="0.2">
      <c r="A3765" t="s">
        <v>1306</v>
      </c>
      <c r="B3765" t="s">
        <v>1307</v>
      </c>
      <c r="C3765" t="s">
        <v>7697</v>
      </c>
      <c r="D3765" t="str">
        <f>TRIM(alias[[#This Row],[Column3]])</f>
        <v>Mizuho Leasing Indonesia Tbk</v>
      </c>
      <c r="F3765" t="str">
        <f t="shared" si="58"/>
        <v>INSERT INTO stock_alias (stock, alias) VALUES ((SELECT id FROM stock WHERE ticker = 'VRNA'), 'Mizuho Leasing Indonesia Tbk') ON CONFLICT DO NOTHING;</v>
      </c>
    </row>
    <row r="3766" spans="1:6" x14ac:dyDescent="0.2">
      <c r="A3766" t="s">
        <v>1306</v>
      </c>
      <c r="B3766" t="s">
        <v>1307</v>
      </c>
      <c r="C3766" t="s">
        <v>7698</v>
      </c>
      <c r="D3766" t="str">
        <f>TRIM(alias[[#This Row],[Column3]])</f>
        <v>PT Mizuho Leasing Indonesia</v>
      </c>
      <c r="F3766" t="str">
        <f t="shared" si="58"/>
        <v>INSERT INTO stock_alias (stock, alias) VALUES ((SELECT id FROM stock WHERE ticker = 'VRNA'), 'PT Mizuho Leasing Indonesia') ON CONFLICT DO NOTHING;</v>
      </c>
    </row>
    <row r="3767" spans="1:6" x14ac:dyDescent="0.2">
      <c r="A3767" t="s">
        <v>2214</v>
      </c>
      <c r="B3767" t="s">
        <v>3894</v>
      </c>
      <c r="C3767" t="s">
        <v>2214</v>
      </c>
      <c r="D3767" t="str">
        <f>TRIM(alias[[#This Row],[Column3]])</f>
        <v>VTNY</v>
      </c>
      <c r="F3767" t="str">
        <f t="shared" si="58"/>
        <v>INSERT INTO stock_alias (stock, alias) VALUES ((SELECT id FROM stock WHERE ticker = 'VTNY'), 'VTNY') ON CONFLICT DO NOTHING;</v>
      </c>
    </row>
    <row r="3768" spans="1:6" x14ac:dyDescent="0.2">
      <c r="A3768" t="s">
        <v>2214</v>
      </c>
      <c r="B3768" t="s">
        <v>3894</v>
      </c>
      <c r="C3768" t="s">
        <v>7699</v>
      </c>
      <c r="D3768" t="str">
        <f>TRIM(alias[[#This Row],[Column3]])</f>
        <v>PT Venteny Fortuna International</v>
      </c>
      <c r="F3768" t="str">
        <f t="shared" si="58"/>
        <v>INSERT INTO stock_alias (stock, alias) VALUES ((SELECT id FROM stock WHERE ticker = 'VTNY'), 'PT Venteny Fortuna International') ON CONFLICT DO NOTHING;</v>
      </c>
    </row>
    <row r="3769" spans="1:6" x14ac:dyDescent="0.2">
      <c r="A3769" t="s">
        <v>2214</v>
      </c>
      <c r="B3769" t="s">
        <v>3894</v>
      </c>
      <c r="C3769" t="s">
        <v>7700</v>
      </c>
      <c r="D3769" t="str">
        <f>TRIM(alias[[#This Row],[Column3]])</f>
        <v>Venteny Fortuna International</v>
      </c>
      <c r="F3769" t="str">
        <f t="shared" si="58"/>
        <v>INSERT INTO stock_alias (stock, alias) VALUES ((SELECT id FROM stock WHERE ticker = 'VTNY'), 'Venteny Fortuna International') ON CONFLICT DO NOTHING;</v>
      </c>
    </row>
    <row r="3770" spans="1:6" x14ac:dyDescent="0.2">
      <c r="A3770" t="s">
        <v>2214</v>
      </c>
      <c r="B3770" t="s">
        <v>3894</v>
      </c>
      <c r="C3770" t="s">
        <v>7701</v>
      </c>
      <c r="D3770" t="str">
        <f>TRIM(alias[[#This Row],[Column3]])</f>
        <v>Venteny Fortuna International Tbk</v>
      </c>
      <c r="F3770" t="str">
        <f t="shared" si="58"/>
        <v>INSERT INTO stock_alias (stock, alias) VALUES ((SELECT id FROM stock WHERE ticker = 'VTNY'), 'Venteny Fortuna International Tbk') ON CONFLICT DO NOTHING;</v>
      </c>
    </row>
    <row r="3771" spans="1:6" x14ac:dyDescent="0.2">
      <c r="A3771" t="s">
        <v>1309</v>
      </c>
      <c r="B3771" t="s">
        <v>1310</v>
      </c>
      <c r="C3771" t="s">
        <v>1309</v>
      </c>
      <c r="D3771" t="str">
        <f>TRIM(alias[[#This Row],[Column3]])</f>
        <v>WAPO</v>
      </c>
      <c r="F3771" t="str">
        <f t="shared" si="58"/>
        <v>INSERT INTO stock_alias (stock, alias) VALUES ((SELECT id FROM stock WHERE ticker = 'WAPO'), 'WAPO') ON CONFLICT DO NOTHING;</v>
      </c>
    </row>
    <row r="3772" spans="1:6" x14ac:dyDescent="0.2">
      <c r="A3772" t="s">
        <v>1309</v>
      </c>
      <c r="B3772" t="s">
        <v>1310</v>
      </c>
      <c r="C3772" t="s">
        <v>7702</v>
      </c>
      <c r="D3772" t="str">
        <f>TRIM(alias[[#This Row],[Column3]])</f>
        <v>PT Wahana Pronatural</v>
      </c>
      <c r="F3772" t="str">
        <f t="shared" si="58"/>
        <v>INSERT INTO stock_alias (stock, alias) VALUES ((SELECT id FROM stock WHERE ticker = 'WAPO'), 'PT Wahana Pronatural') ON CONFLICT DO NOTHING;</v>
      </c>
    </row>
    <row r="3773" spans="1:6" x14ac:dyDescent="0.2">
      <c r="A3773" t="s">
        <v>1309</v>
      </c>
      <c r="B3773" t="s">
        <v>1310</v>
      </c>
      <c r="C3773" t="s">
        <v>7703</v>
      </c>
      <c r="D3773" t="str">
        <f>TRIM(alias[[#This Row],[Column3]])</f>
        <v>Wahana Pronatural</v>
      </c>
      <c r="F3773" t="str">
        <f t="shared" si="58"/>
        <v>INSERT INTO stock_alias (stock, alias) VALUES ((SELECT id FROM stock WHERE ticker = 'WAPO'), 'Wahana Pronatural') ON CONFLICT DO NOTHING;</v>
      </c>
    </row>
    <row r="3774" spans="1:6" x14ac:dyDescent="0.2">
      <c r="A3774" t="s">
        <v>1309</v>
      </c>
      <c r="B3774" t="s">
        <v>1310</v>
      </c>
      <c r="C3774" t="s">
        <v>7704</v>
      </c>
      <c r="D3774" t="str">
        <f>TRIM(alias[[#This Row],[Column3]])</f>
        <v>Wahana Pronatural Tbk</v>
      </c>
      <c r="F3774" t="str">
        <f t="shared" si="58"/>
        <v>INSERT INTO stock_alias (stock, alias) VALUES ((SELECT id FROM stock WHERE ticker = 'WAPO'), 'Wahana Pronatural Tbk') ON CONFLICT DO NOTHING;</v>
      </c>
    </row>
    <row r="3775" spans="1:6" x14ac:dyDescent="0.2">
      <c r="A3775" t="s">
        <v>1468</v>
      </c>
      <c r="B3775" t="s">
        <v>3696</v>
      </c>
      <c r="C3775" t="s">
        <v>1468</v>
      </c>
      <c r="D3775" t="str">
        <f>TRIM(alias[[#This Row],[Column3]])</f>
        <v>WEGE</v>
      </c>
      <c r="F3775" t="str">
        <f t="shared" si="58"/>
        <v>INSERT INTO stock_alias (stock, alias) VALUES ((SELECT id FROM stock WHERE ticker = 'WEGE'), 'WEGE') ON CONFLICT DO NOTHING;</v>
      </c>
    </row>
    <row r="3776" spans="1:6" x14ac:dyDescent="0.2">
      <c r="A3776" t="s">
        <v>1468</v>
      </c>
      <c r="B3776" t="s">
        <v>3696</v>
      </c>
      <c r="C3776" t="s">
        <v>7705</v>
      </c>
      <c r="D3776" t="str">
        <f>TRIM(alias[[#This Row],[Column3]])</f>
        <v>PT Wijaya Karya Bangunan Gedung</v>
      </c>
      <c r="F3776" t="str">
        <f t="shared" si="58"/>
        <v>INSERT INTO stock_alias (stock, alias) VALUES ((SELECT id FROM stock WHERE ticker = 'WEGE'), 'PT Wijaya Karya Bangunan Gedung') ON CONFLICT DO NOTHING;</v>
      </c>
    </row>
    <row r="3777" spans="1:6" x14ac:dyDescent="0.2">
      <c r="A3777" t="s">
        <v>1468</v>
      </c>
      <c r="B3777" t="s">
        <v>3696</v>
      </c>
      <c r="C3777" t="s">
        <v>7706</v>
      </c>
      <c r="D3777" t="str">
        <f>TRIM(alias[[#This Row],[Column3]])</f>
        <v>Wijaya Karya Bangunan Gedung</v>
      </c>
      <c r="F3777" t="str">
        <f t="shared" si="58"/>
        <v>INSERT INTO stock_alias (stock, alias) VALUES ((SELECT id FROM stock WHERE ticker = 'WEGE'), 'Wijaya Karya Bangunan Gedung') ON CONFLICT DO NOTHING;</v>
      </c>
    </row>
    <row r="3778" spans="1:6" x14ac:dyDescent="0.2">
      <c r="A3778" t="s">
        <v>1468</v>
      </c>
      <c r="B3778" t="s">
        <v>3696</v>
      </c>
      <c r="C3778" t="s">
        <v>7707</v>
      </c>
      <c r="D3778" t="str">
        <f>TRIM(alias[[#This Row],[Column3]])</f>
        <v>Wijaya Karya Bangunan Gedung Tbk</v>
      </c>
      <c r="F3778" t="str">
        <f t="shared" si="58"/>
        <v>INSERT INTO stock_alias (stock, alias) VALUES ((SELECT id FROM stock WHERE ticker = 'WEGE'), 'Wijaya Karya Bangunan Gedung Tbk') ON CONFLICT DO NOTHING;</v>
      </c>
    </row>
    <row r="3779" spans="1:6" x14ac:dyDescent="0.2">
      <c r="A3779" t="s">
        <v>1312</v>
      </c>
      <c r="B3779" t="s">
        <v>3697</v>
      </c>
      <c r="C3779" t="s">
        <v>1312</v>
      </c>
      <c r="D3779" t="str">
        <f>TRIM(alias[[#This Row],[Column3]])</f>
        <v>WEHA</v>
      </c>
      <c r="F3779" t="str">
        <f t="shared" ref="F3779:F3842" si="59">_xlfn.CONCAT($F$1, _xlfn.CONCAT($G$1, A3779, "'), '", D3779, "') ON CONFLICT DO NOTHING;"))</f>
        <v>INSERT INTO stock_alias (stock, alias) VALUES ((SELECT id FROM stock WHERE ticker = 'WEHA'), 'WEHA') ON CONFLICT DO NOTHING;</v>
      </c>
    </row>
    <row r="3780" spans="1:6" x14ac:dyDescent="0.2">
      <c r="A3780" t="s">
        <v>1312</v>
      </c>
      <c r="B3780" t="s">
        <v>3697</v>
      </c>
      <c r="C3780" t="s">
        <v>7708</v>
      </c>
      <c r="D3780" t="str">
        <f>TRIM(alias[[#This Row],[Column3]])</f>
        <v>PT WEHA Transportasi Indonesia</v>
      </c>
      <c r="F3780" t="str">
        <f t="shared" si="59"/>
        <v>INSERT INTO stock_alias (stock, alias) VALUES ((SELECT id FROM stock WHERE ticker = 'WEHA'), 'PT WEHA Transportasi Indonesia') ON CONFLICT DO NOTHING;</v>
      </c>
    </row>
    <row r="3781" spans="1:6" x14ac:dyDescent="0.2">
      <c r="A3781" t="s">
        <v>1312</v>
      </c>
      <c r="B3781" t="s">
        <v>3697</v>
      </c>
      <c r="C3781" t="s">
        <v>7709</v>
      </c>
      <c r="D3781" t="str">
        <f>TRIM(alias[[#This Row],[Column3]])</f>
        <v>WEHA Transportasi Indonesia</v>
      </c>
      <c r="F3781" t="str">
        <f t="shared" si="59"/>
        <v>INSERT INTO stock_alias (stock, alias) VALUES ((SELECT id FROM stock WHERE ticker = 'WEHA'), 'WEHA Transportasi Indonesia') ON CONFLICT DO NOTHING;</v>
      </c>
    </row>
    <row r="3782" spans="1:6" x14ac:dyDescent="0.2">
      <c r="A3782" t="s">
        <v>1312</v>
      </c>
      <c r="B3782" t="s">
        <v>3697</v>
      </c>
      <c r="C3782" t="s">
        <v>7710</v>
      </c>
      <c r="D3782" t="str">
        <f>TRIM(alias[[#This Row],[Column3]])</f>
        <v>WEHA Transportasi Indonesia Tbk</v>
      </c>
      <c r="F3782" t="str">
        <f t="shared" si="59"/>
        <v>INSERT INTO stock_alias (stock, alias) VALUES ((SELECT id FROM stock WHERE ticker = 'WEHA'), 'WEHA Transportasi Indonesia Tbk') ON CONFLICT DO NOTHING;</v>
      </c>
    </row>
    <row r="3783" spans="1:6" x14ac:dyDescent="0.2">
      <c r="A3783" t="s">
        <v>2031</v>
      </c>
      <c r="B3783" t="s">
        <v>2032</v>
      </c>
      <c r="C3783" t="s">
        <v>2031</v>
      </c>
      <c r="D3783" t="str">
        <f>TRIM(alias[[#This Row],[Column3]])</f>
        <v>WGSH</v>
      </c>
      <c r="F3783" t="str">
        <f t="shared" si="59"/>
        <v>INSERT INTO stock_alias (stock, alias) VALUES ((SELECT id FROM stock WHERE ticker = 'WGSH'), 'WGSH') ON CONFLICT DO NOTHING;</v>
      </c>
    </row>
    <row r="3784" spans="1:6" x14ac:dyDescent="0.2">
      <c r="A3784" t="s">
        <v>2031</v>
      </c>
      <c r="B3784" t="s">
        <v>2032</v>
      </c>
      <c r="C3784" t="s">
        <v>7711</v>
      </c>
      <c r="D3784" t="str">
        <f>TRIM(alias[[#This Row],[Column3]])</f>
        <v>PT Wira Global Solusi</v>
      </c>
      <c r="F3784" t="str">
        <f t="shared" si="59"/>
        <v>INSERT INTO stock_alias (stock, alias) VALUES ((SELECT id FROM stock WHERE ticker = 'WGSH'), 'PT Wira Global Solusi') ON CONFLICT DO NOTHING;</v>
      </c>
    </row>
    <row r="3785" spans="1:6" x14ac:dyDescent="0.2">
      <c r="A3785" t="s">
        <v>2031</v>
      </c>
      <c r="B3785" t="s">
        <v>2032</v>
      </c>
      <c r="C3785" t="s">
        <v>7712</v>
      </c>
      <c r="D3785" t="str">
        <f>TRIM(alias[[#This Row],[Column3]])</f>
        <v>Wira Global Solusi</v>
      </c>
      <c r="F3785" t="str">
        <f t="shared" si="59"/>
        <v>INSERT INTO stock_alias (stock, alias) VALUES ((SELECT id FROM stock WHERE ticker = 'WGSH'), 'Wira Global Solusi') ON CONFLICT DO NOTHING;</v>
      </c>
    </row>
    <row r="3786" spans="1:6" x14ac:dyDescent="0.2">
      <c r="A3786" t="s">
        <v>2031</v>
      </c>
      <c r="B3786" t="s">
        <v>2032</v>
      </c>
      <c r="C3786" t="s">
        <v>7713</v>
      </c>
      <c r="D3786" t="str">
        <f>TRIM(alias[[#This Row],[Column3]])</f>
        <v>Wira Global Solusi Tbk</v>
      </c>
      <c r="F3786" t="str">
        <f t="shared" si="59"/>
        <v>INSERT INTO stock_alias (stock, alias) VALUES ((SELECT id FROM stock WHERE ticker = 'WGSH'), 'Wira Global Solusi Tbk') ON CONFLICT DO NOTHING;</v>
      </c>
    </row>
    <row r="3787" spans="1:6" x14ac:dyDescent="0.2">
      <c r="A3787" t="s">
        <v>1314</v>
      </c>
      <c r="B3787" t="s">
        <v>3698</v>
      </c>
      <c r="C3787" t="s">
        <v>1314</v>
      </c>
      <c r="D3787" t="str">
        <f>TRIM(alias[[#This Row],[Column3]])</f>
        <v>WICO</v>
      </c>
      <c r="F3787" t="str">
        <f t="shared" si="59"/>
        <v>INSERT INTO stock_alias (stock, alias) VALUES ((SELECT id FROM stock WHERE ticker = 'WICO'), 'WICO') ON CONFLICT DO NOTHING;</v>
      </c>
    </row>
    <row r="3788" spans="1:6" x14ac:dyDescent="0.2">
      <c r="A3788" t="s">
        <v>1314</v>
      </c>
      <c r="B3788" t="s">
        <v>3698</v>
      </c>
      <c r="C3788" t="s">
        <v>7714</v>
      </c>
      <c r="D3788" t="str">
        <f>TRIM(alias[[#This Row],[Column3]])</f>
        <v>PT Wicaksana Overseas International</v>
      </c>
      <c r="F3788" t="str">
        <f t="shared" si="59"/>
        <v>INSERT INTO stock_alias (stock, alias) VALUES ((SELECT id FROM stock WHERE ticker = 'WICO'), 'PT Wicaksana Overseas International') ON CONFLICT DO NOTHING;</v>
      </c>
    </row>
    <row r="3789" spans="1:6" x14ac:dyDescent="0.2">
      <c r="A3789" t="s">
        <v>1314</v>
      </c>
      <c r="B3789" t="s">
        <v>3698</v>
      </c>
      <c r="C3789" t="s">
        <v>7715</v>
      </c>
      <c r="D3789" t="str">
        <f>TRIM(alias[[#This Row],[Column3]])</f>
        <v>Wicaksana Overseas International</v>
      </c>
      <c r="F3789" t="str">
        <f t="shared" si="59"/>
        <v>INSERT INTO stock_alias (stock, alias) VALUES ((SELECT id FROM stock WHERE ticker = 'WICO'), 'Wicaksana Overseas International') ON CONFLICT DO NOTHING;</v>
      </c>
    </row>
    <row r="3790" spans="1:6" x14ac:dyDescent="0.2">
      <c r="A3790" t="s">
        <v>1314</v>
      </c>
      <c r="B3790" t="s">
        <v>3698</v>
      </c>
      <c r="C3790" t="s">
        <v>7716</v>
      </c>
      <c r="D3790" t="str">
        <f>TRIM(alias[[#This Row],[Column3]])</f>
        <v>Wicaksana Overseas International Tbk</v>
      </c>
      <c r="F3790" t="str">
        <f t="shared" si="59"/>
        <v>INSERT INTO stock_alias (stock, alias) VALUES ((SELECT id FROM stock WHERE ticker = 'WICO'), 'Wicaksana Overseas International Tbk') ON CONFLICT DO NOTHING;</v>
      </c>
    </row>
    <row r="3791" spans="1:6" x14ac:dyDescent="0.2">
      <c r="A3791" t="s">
        <v>2327</v>
      </c>
      <c r="B3791" t="s">
        <v>2328</v>
      </c>
      <c r="C3791" t="s">
        <v>2327</v>
      </c>
      <c r="D3791" t="str">
        <f>TRIM(alias[[#This Row],[Column3]])</f>
        <v>WIDI</v>
      </c>
      <c r="F3791" t="str">
        <f t="shared" si="59"/>
        <v>INSERT INTO stock_alias (stock, alias) VALUES ((SELECT id FROM stock WHERE ticker = 'WIDI'), 'WIDI') ON CONFLICT DO NOTHING;</v>
      </c>
    </row>
    <row r="3792" spans="1:6" x14ac:dyDescent="0.2">
      <c r="A3792" t="s">
        <v>2327</v>
      </c>
      <c r="B3792" t="s">
        <v>2328</v>
      </c>
      <c r="C3792" t="s">
        <v>7717</v>
      </c>
      <c r="D3792" t="str">
        <f>TRIM(alias[[#This Row],[Column3]])</f>
        <v>PT Widiant Jaya Krenindo</v>
      </c>
      <c r="F3792" t="str">
        <f t="shared" si="59"/>
        <v>INSERT INTO stock_alias (stock, alias) VALUES ((SELECT id FROM stock WHERE ticker = 'WIDI'), 'PT Widiant Jaya Krenindo') ON CONFLICT DO NOTHING;</v>
      </c>
    </row>
    <row r="3793" spans="1:6" x14ac:dyDescent="0.2">
      <c r="A3793" t="s">
        <v>2327</v>
      </c>
      <c r="B3793" t="s">
        <v>2328</v>
      </c>
      <c r="C3793" t="s">
        <v>7718</v>
      </c>
      <c r="D3793" t="str">
        <f>TRIM(alias[[#This Row],[Column3]])</f>
        <v>Widiant Jaya Krenindo</v>
      </c>
      <c r="F3793" t="str">
        <f t="shared" si="59"/>
        <v>INSERT INTO stock_alias (stock, alias) VALUES ((SELECT id FROM stock WHERE ticker = 'WIDI'), 'Widiant Jaya Krenindo') ON CONFLICT DO NOTHING;</v>
      </c>
    </row>
    <row r="3794" spans="1:6" x14ac:dyDescent="0.2">
      <c r="A3794" t="s">
        <v>2327</v>
      </c>
      <c r="B3794" t="s">
        <v>2328</v>
      </c>
      <c r="C3794" t="s">
        <v>7719</v>
      </c>
      <c r="D3794" t="str">
        <f>TRIM(alias[[#This Row],[Column3]])</f>
        <v>Widiant Jaya Krenindo Tbk</v>
      </c>
      <c r="F3794" t="str">
        <f t="shared" si="59"/>
        <v>INSERT INTO stock_alias (stock, alias) VALUES ((SELECT id FROM stock WHERE ticker = 'WIDI'), 'Widiant Jaya Krenindo Tbk') ON CONFLICT DO NOTHING;</v>
      </c>
    </row>
    <row r="3795" spans="1:6" x14ac:dyDescent="0.2">
      <c r="A3795" t="s">
        <v>2643</v>
      </c>
      <c r="B3795" t="s">
        <v>2644</v>
      </c>
      <c r="C3795" t="s">
        <v>2643</v>
      </c>
      <c r="D3795" t="str">
        <f>TRIM(alias[[#This Row],[Column3]])</f>
        <v>WIFI</v>
      </c>
      <c r="F3795" t="str">
        <f t="shared" si="59"/>
        <v>INSERT INTO stock_alias (stock, alias) VALUES ((SELECT id FROM stock WHERE ticker = 'WIFI'), 'WIFI') ON CONFLICT DO NOTHING;</v>
      </c>
    </row>
    <row r="3796" spans="1:6" x14ac:dyDescent="0.2">
      <c r="A3796" t="s">
        <v>2643</v>
      </c>
      <c r="B3796" t="s">
        <v>2644</v>
      </c>
      <c r="C3796" t="s">
        <v>7720</v>
      </c>
      <c r="D3796" t="str">
        <f>TRIM(alias[[#This Row],[Column3]])</f>
        <v>PT Solusi Sinergi Digital</v>
      </c>
      <c r="F3796" t="str">
        <f t="shared" si="59"/>
        <v>INSERT INTO stock_alias (stock, alias) VALUES ((SELECT id FROM stock WHERE ticker = 'WIFI'), 'PT Solusi Sinergi Digital') ON CONFLICT DO NOTHING;</v>
      </c>
    </row>
    <row r="3797" spans="1:6" x14ac:dyDescent="0.2">
      <c r="A3797" t="s">
        <v>2643</v>
      </c>
      <c r="B3797" t="s">
        <v>2644</v>
      </c>
      <c r="C3797" t="s">
        <v>7721</v>
      </c>
      <c r="D3797" t="str">
        <f>TRIM(alias[[#This Row],[Column3]])</f>
        <v>Solusi Sinergi Digital</v>
      </c>
      <c r="F3797" t="str">
        <f t="shared" si="59"/>
        <v>INSERT INTO stock_alias (stock, alias) VALUES ((SELECT id FROM stock WHERE ticker = 'WIFI'), 'Solusi Sinergi Digital') ON CONFLICT DO NOTHING;</v>
      </c>
    </row>
    <row r="3798" spans="1:6" x14ac:dyDescent="0.2">
      <c r="A3798" t="s">
        <v>2643</v>
      </c>
      <c r="B3798" t="s">
        <v>2644</v>
      </c>
      <c r="C3798" t="s">
        <v>7722</v>
      </c>
      <c r="D3798" t="str">
        <f>TRIM(alias[[#This Row],[Column3]])</f>
        <v>Solusi Sinergi Digital Tbk</v>
      </c>
      <c r="F3798" t="str">
        <f t="shared" si="59"/>
        <v>INSERT INTO stock_alias (stock, alias) VALUES ((SELECT id FROM stock WHERE ticker = 'WIFI'), 'Solusi Sinergi Digital Tbk') ON CONFLICT DO NOTHING;</v>
      </c>
    </row>
    <row r="3799" spans="1:6" x14ac:dyDescent="0.2">
      <c r="A3799" t="s">
        <v>1316</v>
      </c>
      <c r="B3799" t="s">
        <v>1317</v>
      </c>
      <c r="C3799" t="s">
        <v>1316</v>
      </c>
      <c r="D3799" t="str">
        <f>TRIM(alias[[#This Row],[Column3]])</f>
        <v>WIIM</v>
      </c>
      <c r="F3799" t="str">
        <f t="shared" si="59"/>
        <v>INSERT INTO stock_alias (stock, alias) VALUES ((SELECT id FROM stock WHERE ticker = 'WIIM'), 'WIIM') ON CONFLICT DO NOTHING;</v>
      </c>
    </row>
    <row r="3800" spans="1:6" x14ac:dyDescent="0.2">
      <c r="A3800" t="s">
        <v>1316</v>
      </c>
      <c r="B3800" t="s">
        <v>1317</v>
      </c>
      <c r="C3800" t="s">
        <v>7723</v>
      </c>
      <c r="D3800" t="str">
        <f>TRIM(alias[[#This Row],[Column3]])</f>
        <v>PT Wismilak Inti Makmur</v>
      </c>
      <c r="F3800" t="str">
        <f t="shared" si="59"/>
        <v>INSERT INTO stock_alias (stock, alias) VALUES ((SELECT id FROM stock WHERE ticker = 'WIIM'), 'PT Wismilak Inti Makmur') ON CONFLICT DO NOTHING;</v>
      </c>
    </row>
    <row r="3801" spans="1:6" x14ac:dyDescent="0.2">
      <c r="A3801" t="s">
        <v>1316</v>
      </c>
      <c r="B3801" t="s">
        <v>1317</v>
      </c>
      <c r="C3801" t="s">
        <v>7724</v>
      </c>
      <c r="D3801" t="str">
        <f>TRIM(alias[[#This Row],[Column3]])</f>
        <v>Wismilak Inti Makmur</v>
      </c>
      <c r="F3801" t="str">
        <f t="shared" si="59"/>
        <v>INSERT INTO stock_alias (stock, alias) VALUES ((SELECT id FROM stock WHERE ticker = 'WIIM'), 'Wismilak Inti Makmur') ON CONFLICT DO NOTHING;</v>
      </c>
    </row>
    <row r="3802" spans="1:6" x14ac:dyDescent="0.2">
      <c r="A3802" t="s">
        <v>1316</v>
      </c>
      <c r="B3802" t="s">
        <v>1317</v>
      </c>
      <c r="C3802" t="s">
        <v>7725</v>
      </c>
      <c r="D3802" t="str">
        <f>TRIM(alias[[#This Row],[Column3]])</f>
        <v>Wismilak Inti Makmur Tbk</v>
      </c>
      <c r="F3802" t="str">
        <f t="shared" si="59"/>
        <v>INSERT INTO stock_alias (stock, alias) VALUES ((SELECT id FROM stock WHERE ticker = 'WIIM'), 'Wismilak Inti Makmur Tbk') ON CONFLICT DO NOTHING;</v>
      </c>
    </row>
    <row r="3803" spans="1:6" x14ac:dyDescent="0.2">
      <c r="A3803" t="s">
        <v>1319</v>
      </c>
      <c r="B3803" t="s">
        <v>1320</v>
      </c>
      <c r="C3803" t="s">
        <v>1319</v>
      </c>
      <c r="D3803" t="str">
        <f>TRIM(alias[[#This Row],[Column3]])</f>
        <v>WIKA</v>
      </c>
      <c r="F3803" t="str">
        <f t="shared" si="59"/>
        <v>INSERT INTO stock_alias (stock, alias) VALUES ((SELECT id FROM stock WHERE ticker = 'WIKA'), 'WIKA') ON CONFLICT DO NOTHING;</v>
      </c>
    </row>
    <row r="3804" spans="1:6" x14ac:dyDescent="0.2">
      <c r="A3804" t="s">
        <v>1319</v>
      </c>
      <c r="B3804" t="s">
        <v>1320</v>
      </c>
      <c r="C3804" t="s">
        <v>7726</v>
      </c>
      <c r="D3804" t="str">
        <f>TRIM(alias[[#This Row],[Column3]])</f>
        <v>PT Wijaya Karya (Persero)</v>
      </c>
      <c r="F3804" t="str">
        <f t="shared" si="59"/>
        <v>INSERT INTO stock_alias (stock, alias) VALUES ((SELECT id FROM stock WHERE ticker = 'WIKA'), 'PT Wijaya Karya (Persero)') ON CONFLICT DO NOTHING;</v>
      </c>
    </row>
    <row r="3805" spans="1:6" x14ac:dyDescent="0.2">
      <c r="A3805" t="s">
        <v>1319</v>
      </c>
      <c r="B3805" t="s">
        <v>1320</v>
      </c>
      <c r="C3805" t="s">
        <v>7727</v>
      </c>
      <c r="D3805" t="str">
        <f>TRIM(alias[[#This Row],[Column3]])</f>
        <v>Wijaya Karya (Persero)</v>
      </c>
      <c r="F3805" t="str">
        <f t="shared" si="59"/>
        <v>INSERT INTO stock_alias (stock, alias) VALUES ((SELECT id FROM stock WHERE ticker = 'WIKA'), 'Wijaya Karya (Persero)') ON CONFLICT DO NOTHING;</v>
      </c>
    </row>
    <row r="3806" spans="1:6" x14ac:dyDescent="0.2">
      <c r="A3806" t="s">
        <v>1319</v>
      </c>
      <c r="B3806" t="s">
        <v>1320</v>
      </c>
      <c r="C3806" t="s">
        <v>7728</v>
      </c>
      <c r="D3806" t="str">
        <f>TRIM(alias[[#This Row],[Column3]])</f>
        <v>Wijaya Karya (Persero) Tbk</v>
      </c>
      <c r="F3806" t="str">
        <f t="shared" si="59"/>
        <v>INSERT INTO stock_alias (stock, alias) VALUES ((SELECT id FROM stock WHERE ticker = 'WIKA'), 'Wijaya Karya (Persero) Tbk') ON CONFLICT DO NOTHING;</v>
      </c>
    </row>
    <row r="3807" spans="1:6" x14ac:dyDescent="0.2">
      <c r="A3807" t="s">
        <v>2232</v>
      </c>
      <c r="B3807" t="s">
        <v>2233</v>
      </c>
      <c r="C3807" t="s">
        <v>2232</v>
      </c>
      <c r="D3807" t="str">
        <f>TRIM(alias[[#This Row],[Column3]])</f>
        <v>WINE</v>
      </c>
      <c r="F3807" t="str">
        <f t="shared" si="59"/>
        <v>INSERT INTO stock_alias (stock, alias) VALUES ((SELECT id FROM stock WHERE ticker = 'WINE'), 'WINE') ON CONFLICT DO NOTHING;</v>
      </c>
    </row>
    <row r="3808" spans="1:6" x14ac:dyDescent="0.2">
      <c r="A3808" t="s">
        <v>2232</v>
      </c>
      <c r="B3808" t="s">
        <v>2233</v>
      </c>
      <c r="C3808" t="s">
        <v>7729</v>
      </c>
      <c r="D3808" t="str">
        <f>TRIM(alias[[#This Row],[Column3]])</f>
        <v>Hatten Bali</v>
      </c>
      <c r="F3808" t="str">
        <f t="shared" si="59"/>
        <v>INSERT INTO stock_alias (stock, alias) VALUES ((SELECT id FROM stock WHERE ticker = 'WINE'), 'Hatten Bali') ON CONFLICT DO NOTHING;</v>
      </c>
    </row>
    <row r="3809" spans="1:6" x14ac:dyDescent="0.2">
      <c r="A3809" t="s">
        <v>2232</v>
      </c>
      <c r="B3809" t="s">
        <v>2233</v>
      </c>
      <c r="C3809" t="s">
        <v>7730</v>
      </c>
      <c r="D3809" t="str">
        <f>TRIM(alias[[#This Row],[Column3]])</f>
        <v>Hatten Bali Tbk</v>
      </c>
      <c r="F3809" t="str">
        <f t="shared" si="59"/>
        <v>INSERT INTO stock_alias (stock, alias) VALUES ((SELECT id FROM stock WHERE ticker = 'WINE'), 'Hatten Bali Tbk') ON CONFLICT DO NOTHING;</v>
      </c>
    </row>
    <row r="3810" spans="1:6" x14ac:dyDescent="0.2">
      <c r="A3810" t="s">
        <v>2232</v>
      </c>
      <c r="B3810" t="s">
        <v>2233</v>
      </c>
      <c r="C3810" t="s">
        <v>7731</v>
      </c>
      <c r="D3810" t="str">
        <f>TRIM(alias[[#This Row],[Column3]])</f>
        <v>PT Hatten Bali</v>
      </c>
      <c r="F3810" t="str">
        <f t="shared" si="59"/>
        <v>INSERT INTO stock_alias (stock, alias) VALUES ((SELECT id FROM stock WHERE ticker = 'WINE'), 'PT Hatten Bali') ON CONFLICT DO NOTHING;</v>
      </c>
    </row>
    <row r="3811" spans="1:6" x14ac:dyDescent="0.2">
      <c r="A3811" t="s">
        <v>2106</v>
      </c>
      <c r="B3811" t="s">
        <v>2107</v>
      </c>
      <c r="C3811" t="s">
        <v>2106</v>
      </c>
      <c r="D3811" t="str">
        <f>TRIM(alias[[#This Row],[Column3]])</f>
        <v>WINR</v>
      </c>
      <c r="F3811" t="str">
        <f t="shared" si="59"/>
        <v>INSERT INTO stock_alias (stock, alias) VALUES ((SELECT id FROM stock WHERE ticker = 'WINR'), 'WINR') ON CONFLICT DO NOTHING;</v>
      </c>
    </row>
    <row r="3812" spans="1:6" x14ac:dyDescent="0.2">
      <c r="A3812" t="s">
        <v>2106</v>
      </c>
      <c r="B3812" t="s">
        <v>2107</v>
      </c>
      <c r="C3812" t="s">
        <v>7732</v>
      </c>
      <c r="D3812" t="str">
        <f>TRIM(alias[[#This Row],[Column3]])</f>
        <v>PT Winner Nusantara Jaya</v>
      </c>
      <c r="F3812" t="str">
        <f t="shared" si="59"/>
        <v>INSERT INTO stock_alias (stock, alias) VALUES ((SELECT id FROM stock WHERE ticker = 'WINR'), 'PT Winner Nusantara Jaya') ON CONFLICT DO NOTHING;</v>
      </c>
    </row>
    <row r="3813" spans="1:6" x14ac:dyDescent="0.2">
      <c r="A3813" t="s">
        <v>2106</v>
      </c>
      <c r="B3813" t="s">
        <v>2107</v>
      </c>
      <c r="C3813" t="s">
        <v>7733</v>
      </c>
      <c r="D3813" t="str">
        <f>TRIM(alias[[#This Row],[Column3]])</f>
        <v>Winner Nusantara Jaya</v>
      </c>
      <c r="F3813" t="str">
        <f t="shared" si="59"/>
        <v>INSERT INTO stock_alias (stock, alias) VALUES ((SELECT id FROM stock WHERE ticker = 'WINR'), 'Winner Nusantara Jaya') ON CONFLICT DO NOTHING;</v>
      </c>
    </row>
    <row r="3814" spans="1:6" x14ac:dyDescent="0.2">
      <c r="A3814" t="s">
        <v>2106</v>
      </c>
      <c r="B3814" t="s">
        <v>2107</v>
      </c>
      <c r="C3814" t="s">
        <v>7734</v>
      </c>
      <c r="D3814" t="str">
        <f>TRIM(alias[[#This Row],[Column3]])</f>
        <v>Winner Nusantara Jaya Tbk</v>
      </c>
      <c r="F3814" t="str">
        <f t="shared" si="59"/>
        <v>INSERT INTO stock_alias (stock, alias) VALUES ((SELECT id FROM stock WHERE ticker = 'WINR'), 'Winner Nusantara Jaya Tbk') ON CONFLICT DO NOTHING;</v>
      </c>
    </row>
    <row r="3815" spans="1:6" x14ac:dyDescent="0.2">
      <c r="A3815" t="s">
        <v>1322</v>
      </c>
      <c r="B3815" t="s">
        <v>1323</v>
      </c>
      <c r="C3815" t="s">
        <v>1322</v>
      </c>
      <c r="D3815" t="str">
        <f>TRIM(alias[[#This Row],[Column3]])</f>
        <v>WINS</v>
      </c>
      <c r="F3815" t="str">
        <f t="shared" si="59"/>
        <v>INSERT INTO stock_alias (stock, alias) VALUES ((SELECT id FROM stock WHERE ticker = 'WINS'), 'WINS') ON CONFLICT DO NOTHING;</v>
      </c>
    </row>
    <row r="3816" spans="1:6" x14ac:dyDescent="0.2">
      <c r="A3816" t="s">
        <v>1322</v>
      </c>
      <c r="B3816" t="s">
        <v>1323</v>
      </c>
      <c r="C3816" t="s">
        <v>7735</v>
      </c>
      <c r="D3816" t="str">
        <f>TRIM(alias[[#This Row],[Column3]])</f>
        <v>PT Wintermar Offshore Marine</v>
      </c>
      <c r="F3816" t="str">
        <f t="shared" si="59"/>
        <v>INSERT INTO stock_alias (stock, alias) VALUES ((SELECT id FROM stock WHERE ticker = 'WINS'), 'PT Wintermar Offshore Marine') ON CONFLICT DO NOTHING;</v>
      </c>
    </row>
    <row r="3817" spans="1:6" x14ac:dyDescent="0.2">
      <c r="A3817" t="s">
        <v>1322</v>
      </c>
      <c r="B3817" t="s">
        <v>1323</v>
      </c>
      <c r="C3817" t="s">
        <v>7736</v>
      </c>
      <c r="D3817" t="str">
        <f>TRIM(alias[[#This Row],[Column3]])</f>
        <v>Wintermar Offshore Marine</v>
      </c>
      <c r="F3817" t="str">
        <f t="shared" si="59"/>
        <v>INSERT INTO stock_alias (stock, alias) VALUES ((SELECT id FROM stock WHERE ticker = 'WINS'), 'Wintermar Offshore Marine') ON CONFLICT DO NOTHING;</v>
      </c>
    </row>
    <row r="3818" spans="1:6" x14ac:dyDescent="0.2">
      <c r="A3818" t="s">
        <v>1322</v>
      </c>
      <c r="B3818" t="s">
        <v>1323</v>
      </c>
      <c r="C3818" t="s">
        <v>7737</v>
      </c>
      <c r="D3818" t="str">
        <f>TRIM(alias[[#This Row],[Column3]])</f>
        <v>Wintermar Offshore Marine Tbk</v>
      </c>
      <c r="F3818" t="str">
        <f t="shared" si="59"/>
        <v>INSERT INTO stock_alias (stock, alias) VALUES ((SELECT id FROM stock WHERE ticker = 'WINS'), 'Wintermar Offshore Marine Tbk') ON CONFLICT DO NOTHING;</v>
      </c>
    </row>
    <row r="3819" spans="1:6" x14ac:dyDescent="0.2">
      <c r="A3819" t="s">
        <v>2091</v>
      </c>
      <c r="B3819" t="s">
        <v>2092</v>
      </c>
      <c r="C3819" t="s">
        <v>2091</v>
      </c>
      <c r="D3819" t="str">
        <f>TRIM(alias[[#This Row],[Column3]])</f>
        <v>WIRG</v>
      </c>
      <c r="F3819" t="str">
        <f t="shared" si="59"/>
        <v>INSERT INTO stock_alias (stock, alias) VALUES ((SELECT id FROM stock WHERE ticker = 'WIRG'), 'WIRG') ON CONFLICT DO NOTHING;</v>
      </c>
    </row>
    <row r="3820" spans="1:6" x14ac:dyDescent="0.2">
      <c r="A3820" t="s">
        <v>2091</v>
      </c>
      <c r="B3820" t="s">
        <v>2092</v>
      </c>
      <c r="C3820" t="s">
        <v>7738</v>
      </c>
      <c r="D3820" t="str">
        <f>TRIM(alias[[#This Row],[Column3]])</f>
        <v>PT WIR ASIA Tbk</v>
      </c>
      <c r="F3820" t="str">
        <f t="shared" si="59"/>
        <v>INSERT INTO stock_alias (stock, alias) VALUES ((SELECT id FROM stock WHERE ticker = 'WIRG'), 'PT WIR ASIA Tbk') ON CONFLICT DO NOTHING;</v>
      </c>
    </row>
    <row r="3821" spans="1:6" x14ac:dyDescent="0.2">
      <c r="A3821" t="s">
        <v>2037</v>
      </c>
      <c r="B3821" t="s">
        <v>2038</v>
      </c>
      <c r="C3821" t="s">
        <v>2037</v>
      </c>
      <c r="D3821" t="str">
        <f>TRIM(alias[[#This Row],[Column3]])</f>
        <v>WMPP</v>
      </c>
      <c r="F3821" t="str">
        <f t="shared" si="59"/>
        <v>INSERT INTO stock_alias (stock, alias) VALUES ((SELECT id FROM stock WHERE ticker = 'WMPP'), 'WMPP') ON CONFLICT DO NOTHING;</v>
      </c>
    </row>
    <row r="3822" spans="1:6" x14ac:dyDescent="0.2">
      <c r="A3822" t="s">
        <v>2037</v>
      </c>
      <c r="B3822" t="s">
        <v>2038</v>
      </c>
      <c r="C3822" t="s">
        <v>7739</v>
      </c>
      <c r="D3822" t="str">
        <f>TRIM(alias[[#This Row],[Column3]])</f>
        <v>PT Widodo Makmur Perkasa</v>
      </c>
      <c r="F3822" t="str">
        <f t="shared" si="59"/>
        <v>INSERT INTO stock_alias (stock, alias) VALUES ((SELECT id FROM stock WHERE ticker = 'WMPP'), 'PT Widodo Makmur Perkasa') ON CONFLICT DO NOTHING;</v>
      </c>
    </row>
    <row r="3823" spans="1:6" x14ac:dyDescent="0.2">
      <c r="A3823" t="s">
        <v>2037</v>
      </c>
      <c r="B3823" t="s">
        <v>2038</v>
      </c>
      <c r="C3823" t="s">
        <v>7740</v>
      </c>
      <c r="D3823" t="str">
        <f>TRIM(alias[[#This Row],[Column3]])</f>
        <v>Widodo Makmur Perkasa</v>
      </c>
      <c r="F3823" t="str">
        <f t="shared" si="59"/>
        <v>INSERT INTO stock_alias (stock, alias) VALUES ((SELECT id FROM stock WHERE ticker = 'WMPP'), 'Widodo Makmur Perkasa') ON CONFLICT DO NOTHING;</v>
      </c>
    </row>
    <row r="3824" spans="1:6" x14ac:dyDescent="0.2">
      <c r="A3824" t="s">
        <v>2037</v>
      </c>
      <c r="B3824" t="s">
        <v>2038</v>
      </c>
      <c r="C3824" t="s">
        <v>7741</v>
      </c>
      <c r="D3824" t="str">
        <f>TRIM(alias[[#This Row],[Column3]])</f>
        <v>Widodo Makmur Perkasa Tbk</v>
      </c>
      <c r="F3824" t="str">
        <f t="shared" si="59"/>
        <v>INSERT INTO stock_alias (stock, alias) VALUES ((SELECT id FROM stock WHERE ticker = 'WMPP'), 'Widodo Makmur Perkasa Tbk') ON CONFLICT DO NOTHING;</v>
      </c>
    </row>
    <row r="3825" spans="1:6" x14ac:dyDescent="0.2">
      <c r="A3825" t="s">
        <v>1912</v>
      </c>
      <c r="B3825" t="s">
        <v>1913</v>
      </c>
      <c r="C3825" t="s">
        <v>1912</v>
      </c>
      <c r="D3825" t="str">
        <f>TRIM(alias[[#This Row],[Column3]])</f>
        <v>WMUU</v>
      </c>
      <c r="F3825" t="str">
        <f t="shared" si="59"/>
        <v>INSERT INTO stock_alias (stock, alias) VALUES ((SELECT id FROM stock WHERE ticker = 'WMUU'), 'WMUU') ON CONFLICT DO NOTHING;</v>
      </c>
    </row>
    <row r="3826" spans="1:6" x14ac:dyDescent="0.2">
      <c r="A3826" t="s">
        <v>1912</v>
      </c>
      <c r="B3826" t="s">
        <v>1913</v>
      </c>
      <c r="C3826" t="s">
        <v>7742</v>
      </c>
      <c r="D3826" t="str">
        <f>TRIM(alias[[#This Row],[Column3]])</f>
        <v>PT Widodo Makmur Unggas</v>
      </c>
      <c r="F3826" t="str">
        <f t="shared" si="59"/>
        <v>INSERT INTO stock_alias (stock, alias) VALUES ((SELECT id FROM stock WHERE ticker = 'WMUU'), 'PT Widodo Makmur Unggas') ON CONFLICT DO NOTHING;</v>
      </c>
    </row>
    <row r="3827" spans="1:6" x14ac:dyDescent="0.2">
      <c r="A3827" t="s">
        <v>1912</v>
      </c>
      <c r="B3827" t="s">
        <v>1913</v>
      </c>
      <c r="C3827" t="s">
        <v>7743</v>
      </c>
      <c r="D3827" t="str">
        <f>TRIM(alias[[#This Row],[Column3]])</f>
        <v>Widodo Makmur Unggas</v>
      </c>
      <c r="F3827" t="str">
        <f t="shared" si="59"/>
        <v>INSERT INTO stock_alias (stock, alias) VALUES ((SELECT id FROM stock WHERE ticker = 'WMUU'), 'Widodo Makmur Unggas') ON CONFLICT DO NOTHING;</v>
      </c>
    </row>
    <row r="3828" spans="1:6" x14ac:dyDescent="0.2">
      <c r="A3828" t="s">
        <v>1912</v>
      </c>
      <c r="B3828" t="s">
        <v>1913</v>
      </c>
      <c r="C3828" t="s">
        <v>7744</v>
      </c>
      <c r="D3828" t="str">
        <f>TRIM(alias[[#This Row],[Column3]])</f>
        <v>Widodo Makmur Unggas Tbk</v>
      </c>
      <c r="F3828" t="str">
        <f t="shared" si="59"/>
        <v>INSERT INTO stock_alias (stock, alias) VALUES ((SELECT id FROM stock WHERE ticker = 'WMUU'), 'Widodo Makmur Unggas Tbk') ON CONFLICT DO NOTHING;</v>
      </c>
    </row>
    <row r="3829" spans="1:6" x14ac:dyDescent="0.2">
      <c r="A3829" t="s">
        <v>1325</v>
      </c>
      <c r="B3829" t="s">
        <v>3699</v>
      </c>
      <c r="C3829" t="s">
        <v>1325</v>
      </c>
      <c r="D3829" t="str">
        <f>TRIM(alias[[#This Row],[Column3]])</f>
        <v>WOMF</v>
      </c>
      <c r="F3829" t="str">
        <f t="shared" si="59"/>
        <v>INSERT INTO stock_alias (stock, alias) VALUES ((SELECT id FROM stock WHERE ticker = 'WOMF'), 'WOMF') ON CONFLICT DO NOTHING;</v>
      </c>
    </row>
    <row r="3830" spans="1:6" x14ac:dyDescent="0.2">
      <c r="A3830" t="s">
        <v>1325</v>
      </c>
      <c r="B3830" t="s">
        <v>3699</v>
      </c>
      <c r="C3830" t="s">
        <v>7745</v>
      </c>
      <c r="D3830" t="str">
        <f>TRIM(alias[[#This Row],[Column3]])</f>
        <v>PT Wahana Ottomitra Multiartha</v>
      </c>
      <c r="F3830" t="str">
        <f t="shared" si="59"/>
        <v>INSERT INTO stock_alias (stock, alias) VALUES ((SELECT id FROM stock WHERE ticker = 'WOMF'), 'PT Wahana Ottomitra Multiartha') ON CONFLICT DO NOTHING;</v>
      </c>
    </row>
    <row r="3831" spans="1:6" x14ac:dyDescent="0.2">
      <c r="A3831" t="s">
        <v>1325</v>
      </c>
      <c r="B3831" t="s">
        <v>3699</v>
      </c>
      <c r="C3831" t="s">
        <v>7746</v>
      </c>
      <c r="D3831" t="str">
        <f>TRIM(alias[[#This Row],[Column3]])</f>
        <v>Wahana Ottomitra Multiartha</v>
      </c>
      <c r="F3831" t="str">
        <f t="shared" si="59"/>
        <v>INSERT INTO stock_alias (stock, alias) VALUES ((SELECT id FROM stock WHERE ticker = 'WOMF'), 'Wahana Ottomitra Multiartha') ON CONFLICT DO NOTHING;</v>
      </c>
    </row>
    <row r="3832" spans="1:6" x14ac:dyDescent="0.2">
      <c r="A3832" t="s">
        <v>1325</v>
      </c>
      <c r="B3832" t="s">
        <v>3699</v>
      </c>
      <c r="C3832" t="s">
        <v>7747</v>
      </c>
      <c r="D3832" t="str">
        <f>TRIM(alias[[#This Row],[Column3]])</f>
        <v>Wahana Ottomitra Multiartha Tbk</v>
      </c>
      <c r="F3832" t="str">
        <f t="shared" si="59"/>
        <v>INSERT INTO stock_alias (stock, alias) VALUES ((SELECT id FROM stock WHERE ticker = 'WOMF'), 'Wahana Ottomitra Multiartha Tbk') ON CONFLICT DO NOTHING;</v>
      </c>
    </row>
    <row r="3833" spans="1:6" x14ac:dyDescent="0.2">
      <c r="A3833" t="s">
        <v>1425</v>
      </c>
      <c r="B3833" t="s">
        <v>1426</v>
      </c>
      <c r="C3833" t="s">
        <v>1425</v>
      </c>
      <c r="D3833" t="str">
        <f>TRIM(alias[[#This Row],[Column3]])</f>
        <v>WOOD</v>
      </c>
      <c r="F3833" t="str">
        <f t="shared" si="59"/>
        <v>INSERT INTO stock_alias (stock, alias) VALUES ((SELECT id FROM stock WHERE ticker = 'WOOD'), 'WOOD') ON CONFLICT DO NOTHING;</v>
      </c>
    </row>
    <row r="3834" spans="1:6" x14ac:dyDescent="0.2">
      <c r="A3834" t="s">
        <v>1425</v>
      </c>
      <c r="B3834" t="s">
        <v>1426</v>
      </c>
      <c r="C3834" t="s">
        <v>7748</v>
      </c>
      <c r="D3834" t="str">
        <f>TRIM(alias[[#This Row],[Column3]])</f>
        <v>Integra Indocabinet</v>
      </c>
      <c r="F3834" t="str">
        <f t="shared" si="59"/>
        <v>INSERT INTO stock_alias (stock, alias) VALUES ((SELECT id FROM stock WHERE ticker = 'WOOD'), 'Integra Indocabinet') ON CONFLICT DO NOTHING;</v>
      </c>
    </row>
    <row r="3835" spans="1:6" x14ac:dyDescent="0.2">
      <c r="A3835" t="s">
        <v>1425</v>
      </c>
      <c r="B3835" t="s">
        <v>1426</v>
      </c>
      <c r="C3835" t="s">
        <v>7749</v>
      </c>
      <c r="D3835" t="str">
        <f>TRIM(alias[[#This Row],[Column3]])</f>
        <v>Integra Indocabinet Tbk</v>
      </c>
      <c r="F3835" t="str">
        <f t="shared" si="59"/>
        <v>INSERT INTO stock_alias (stock, alias) VALUES ((SELECT id FROM stock WHERE ticker = 'WOOD'), 'Integra Indocabinet Tbk') ON CONFLICT DO NOTHING;</v>
      </c>
    </row>
    <row r="3836" spans="1:6" x14ac:dyDescent="0.2">
      <c r="A3836" t="s">
        <v>1425</v>
      </c>
      <c r="B3836" t="s">
        <v>1426</v>
      </c>
      <c r="C3836" t="s">
        <v>7750</v>
      </c>
      <c r="D3836" t="str">
        <f>TRIM(alias[[#This Row],[Column3]])</f>
        <v>PT Integra Indocabinet</v>
      </c>
      <c r="F3836" t="str">
        <f t="shared" si="59"/>
        <v>INSERT INTO stock_alias (stock, alias) VALUES ((SELECT id FROM stock WHERE ticker = 'WOOD'), 'PT Integra Indocabinet') ON CONFLICT DO NOTHING;</v>
      </c>
    </row>
    <row r="3837" spans="1:6" x14ac:dyDescent="0.2">
      <c r="A3837" t="s">
        <v>1759</v>
      </c>
      <c r="B3837" t="s">
        <v>1760</v>
      </c>
      <c r="C3837" t="s">
        <v>1759</v>
      </c>
      <c r="D3837" t="str">
        <f>TRIM(alias[[#This Row],[Column3]])</f>
        <v>WOWS</v>
      </c>
      <c r="F3837" t="str">
        <f t="shared" si="59"/>
        <v>INSERT INTO stock_alias (stock, alias) VALUES ((SELECT id FROM stock WHERE ticker = 'WOWS'), 'WOWS') ON CONFLICT DO NOTHING;</v>
      </c>
    </row>
    <row r="3838" spans="1:6" x14ac:dyDescent="0.2">
      <c r="A3838" t="s">
        <v>1759</v>
      </c>
      <c r="B3838" t="s">
        <v>1760</v>
      </c>
      <c r="C3838" t="s">
        <v>7751</v>
      </c>
      <c r="D3838" t="str">
        <f>TRIM(alias[[#This Row],[Column3]])</f>
        <v>Ginting Jaya Energi</v>
      </c>
      <c r="F3838" t="str">
        <f t="shared" si="59"/>
        <v>INSERT INTO stock_alias (stock, alias) VALUES ((SELECT id FROM stock WHERE ticker = 'WOWS'), 'Ginting Jaya Energi') ON CONFLICT DO NOTHING;</v>
      </c>
    </row>
    <row r="3839" spans="1:6" x14ac:dyDescent="0.2">
      <c r="A3839" t="s">
        <v>1759</v>
      </c>
      <c r="B3839" t="s">
        <v>1760</v>
      </c>
      <c r="C3839" t="s">
        <v>7752</v>
      </c>
      <c r="D3839" t="str">
        <f>TRIM(alias[[#This Row],[Column3]])</f>
        <v>Ginting Jaya Energi Tbk</v>
      </c>
      <c r="F3839" t="str">
        <f t="shared" si="59"/>
        <v>INSERT INTO stock_alias (stock, alias) VALUES ((SELECT id FROM stock WHERE ticker = 'WOWS'), 'Ginting Jaya Energi Tbk') ON CONFLICT DO NOTHING;</v>
      </c>
    </row>
    <row r="3840" spans="1:6" x14ac:dyDescent="0.2">
      <c r="A3840" t="s">
        <v>1759</v>
      </c>
      <c r="B3840" t="s">
        <v>1760</v>
      </c>
      <c r="C3840" t="s">
        <v>7753</v>
      </c>
      <c r="D3840" t="str">
        <f>TRIM(alias[[#This Row],[Column3]])</f>
        <v>PT Ginting Jaya Energi</v>
      </c>
      <c r="F3840" t="str">
        <f t="shared" si="59"/>
        <v>INSERT INTO stock_alias (stock, alias) VALUES ((SELECT id FROM stock WHERE ticker = 'WOWS'), 'PT Ginting Jaya Energi') ON CONFLICT DO NOTHING;</v>
      </c>
    </row>
    <row r="3841" spans="1:6" x14ac:dyDescent="0.2">
      <c r="A3841" t="s">
        <v>1378</v>
      </c>
      <c r="B3841" t="s">
        <v>1379</v>
      </c>
      <c r="C3841" t="s">
        <v>1378</v>
      </c>
      <c r="D3841" t="str">
        <f>TRIM(alias[[#This Row],[Column3]])</f>
        <v>WSBP</v>
      </c>
      <c r="F3841" t="str">
        <f t="shared" si="59"/>
        <v>INSERT INTO stock_alias (stock, alias) VALUES ((SELECT id FROM stock WHERE ticker = 'WSBP'), 'WSBP') ON CONFLICT DO NOTHING;</v>
      </c>
    </row>
    <row r="3842" spans="1:6" x14ac:dyDescent="0.2">
      <c r="A3842" t="s">
        <v>1378</v>
      </c>
      <c r="B3842" t="s">
        <v>1379</v>
      </c>
      <c r="C3842" t="s">
        <v>7754</v>
      </c>
      <c r="D3842" t="str">
        <f>TRIM(alias[[#This Row],[Column3]])</f>
        <v>PT Waskita Beton Precast</v>
      </c>
      <c r="F3842" t="str">
        <f t="shared" si="59"/>
        <v>INSERT INTO stock_alias (stock, alias) VALUES ((SELECT id FROM stock WHERE ticker = 'WSBP'), 'PT Waskita Beton Precast') ON CONFLICT DO NOTHING;</v>
      </c>
    </row>
    <row r="3843" spans="1:6" x14ac:dyDescent="0.2">
      <c r="A3843" t="s">
        <v>1378</v>
      </c>
      <c r="B3843" t="s">
        <v>1379</v>
      </c>
      <c r="C3843" t="s">
        <v>7755</v>
      </c>
      <c r="D3843" t="str">
        <f>TRIM(alias[[#This Row],[Column3]])</f>
        <v>Waskita Beton Precast</v>
      </c>
      <c r="F3843" t="str">
        <f t="shared" ref="F3843:F3892" si="60">_xlfn.CONCAT($F$1, _xlfn.CONCAT($G$1, A3843, "'), '", D3843, "') ON CONFLICT DO NOTHING;"))</f>
        <v>INSERT INTO stock_alias (stock, alias) VALUES ((SELECT id FROM stock WHERE ticker = 'WSBP'), 'Waskita Beton Precast') ON CONFLICT DO NOTHING;</v>
      </c>
    </row>
    <row r="3844" spans="1:6" x14ac:dyDescent="0.2">
      <c r="A3844" t="s">
        <v>1378</v>
      </c>
      <c r="B3844" t="s">
        <v>1379</v>
      </c>
      <c r="C3844" t="s">
        <v>7756</v>
      </c>
      <c r="D3844" t="str">
        <f>TRIM(alias[[#This Row],[Column3]])</f>
        <v>Waskita Beton Precast Tbk</v>
      </c>
      <c r="F3844" t="str">
        <f t="shared" si="60"/>
        <v>INSERT INTO stock_alias (stock, alias) VALUES ((SELECT id FROM stock WHERE ticker = 'WSBP'), 'Waskita Beton Precast Tbk') ON CONFLICT DO NOTHING;</v>
      </c>
    </row>
    <row r="3845" spans="1:6" x14ac:dyDescent="0.2">
      <c r="A3845" t="s">
        <v>1327</v>
      </c>
      <c r="B3845" t="s">
        <v>1328</v>
      </c>
      <c r="C3845" t="s">
        <v>1327</v>
      </c>
      <c r="D3845" t="str">
        <f>TRIM(alias[[#This Row],[Column3]])</f>
        <v>WSKT</v>
      </c>
      <c r="F3845" t="str">
        <f t="shared" si="60"/>
        <v>INSERT INTO stock_alias (stock, alias) VALUES ((SELECT id FROM stock WHERE ticker = 'WSKT'), 'WSKT') ON CONFLICT DO NOTHING;</v>
      </c>
    </row>
    <row r="3846" spans="1:6" x14ac:dyDescent="0.2">
      <c r="A3846" t="s">
        <v>1327</v>
      </c>
      <c r="B3846" t="s">
        <v>1328</v>
      </c>
      <c r="C3846" t="s">
        <v>7757</v>
      </c>
      <c r="D3846" t="str">
        <f>TRIM(alias[[#This Row],[Column3]])</f>
        <v>PT Waskita Karya (Persero)</v>
      </c>
      <c r="F3846" t="str">
        <f t="shared" si="60"/>
        <v>INSERT INTO stock_alias (stock, alias) VALUES ((SELECT id FROM stock WHERE ticker = 'WSKT'), 'PT Waskita Karya (Persero)') ON CONFLICT DO NOTHING;</v>
      </c>
    </row>
    <row r="3847" spans="1:6" x14ac:dyDescent="0.2">
      <c r="A3847" t="s">
        <v>1327</v>
      </c>
      <c r="B3847" t="s">
        <v>1328</v>
      </c>
      <c r="C3847" t="s">
        <v>7758</v>
      </c>
      <c r="D3847" t="str">
        <f>TRIM(alias[[#This Row],[Column3]])</f>
        <v>Waskita Karya (Persero)</v>
      </c>
      <c r="F3847" t="str">
        <f t="shared" si="60"/>
        <v>INSERT INTO stock_alias (stock, alias) VALUES ((SELECT id FROM stock WHERE ticker = 'WSKT'), 'Waskita Karya (Persero)') ON CONFLICT DO NOTHING;</v>
      </c>
    </row>
    <row r="3848" spans="1:6" x14ac:dyDescent="0.2">
      <c r="A3848" t="s">
        <v>1327</v>
      </c>
      <c r="B3848" t="s">
        <v>1328</v>
      </c>
      <c r="C3848" t="s">
        <v>7759</v>
      </c>
      <c r="D3848" t="str">
        <f>TRIM(alias[[#This Row],[Column3]])</f>
        <v>Waskita Karya (Persero) Tbk</v>
      </c>
      <c r="F3848" t="str">
        <f t="shared" si="60"/>
        <v>INSERT INTO stock_alias (stock, alias) VALUES ((SELECT id FROM stock WHERE ticker = 'WSKT'), 'Waskita Karya (Persero) Tbk') ON CONFLICT DO NOTHING;</v>
      </c>
    </row>
    <row r="3849" spans="1:6" x14ac:dyDescent="0.2">
      <c r="A3849" t="s">
        <v>1330</v>
      </c>
      <c r="B3849" t="s">
        <v>1331</v>
      </c>
      <c r="C3849" t="s">
        <v>1330</v>
      </c>
      <c r="D3849" t="str">
        <f>TRIM(alias[[#This Row],[Column3]])</f>
        <v>WTON</v>
      </c>
      <c r="F3849" t="str">
        <f t="shared" si="60"/>
        <v>INSERT INTO stock_alias (stock, alias) VALUES ((SELECT id FROM stock WHERE ticker = 'WTON'), 'WTON') ON CONFLICT DO NOTHING;</v>
      </c>
    </row>
    <row r="3850" spans="1:6" x14ac:dyDescent="0.2">
      <c r="A3850" t="s">
        <v>1330</v>
      </c>
      <c r="B3850" t="s">
        <v>1331</v>
      </c>
      <c r="C3850" t="s">
        <v>7760</v>
      </c>
      <c r="D3850" t="str">
        <f>TRIM(alias[[#This Row],[Column3]])</f>
        <v>PT Wijaya Karya Beton</v>
      </c>
      <c r="F3850" t="str">
        <f t="shared" si="60"/>
        <v>INSERT INTO stock_alias (stock, alias) VALUES ((SELECT id FROM stock WHERE ticker = 'WTON'), 'PT Wijaya Karya Beton') ON CONFLICT DO NOTHING;</v>
      </c>
    </row>
    <row r="3851" spans="1:6" x14ac:dyDescent="0.2">
      <c r="A3851" t="s">
        <v>1330</v>
      </c>
      <c r="B3851" t="s">
        <v>1331</v>
      </c>
      <c r="C3851" t="s">
        <v>7761</v>
      </c>
      <c r="D3851" t="str">
        <f>TRIM(alias[[#This Row],[Column3]])</f>
        <v>Wijaya Karya Beton</v>
      </c>
      <c r="F3851" t="str">
        <f t="shared" si="60"/>
        <v>INSERT INTO stock_alias (stock, alias) VALUES ((SELECT id FROM stock WHERE ticker = 'WTON'), 'Wijaya Karya Beton') ON CONFLICT DO NOTHING;</v>
      </c>
    </row>
    <row r="3852" spans="1:6" x14ac:dyDescent="0.2">
      <c r="A3852" t="s">
        <v>1330</v>
      </c>
      <c r="B3852" t="s">
        <v>1331</v>
      </c>
      <c r="C3852" t="s">
        <v>7762</v>
      </c>
      <c r="D3852" t="str">
        <f>TRIM(alias[[#This Row],[Column3]])</f>
        <v>Wijaya Karya Beton Tbk</v>
      </c>
      <c r="F3852" t="str">
        <f t="shared" si="60"/>
        <v>INSERT INTO stock_alias (stock, alias) VALUES ((SELECT id FROM stock WHERE ticker = 'WTON'), 'Wijaya Karya Beton Tbk') ON CONFLICT DO NOTHING;</v>
      </c>
    </row>
    <row r="3853" spans="1:6" x14ac:dyDescent="0.2">
      <c r="A3853" t="s">
        <v>1608</v>
      </c>
      <c r="B3853" t="s">
        <v>1609</v>
      </c>
      <c r="C3853" t="s">
        <v>1608</v>
      </c>
      <c r="D3853" t="str">
        <f>TRIM(alias[[#This Row],[Column3]])</f>
        <v>YELO</v>
      </c>
      <c r="F3853" t="str">
        <f t="shared" si="60"/>
        <v>INSERT INTO stock_alias (stock, alias) VALUES ((SELECT id FROM stock WHERE ticker = 'YELO'), 'YELO') ON CONFLICT DO NOTHING;</v>
      </c>
    </row>
    <row r="3854" spans="1:6" x14ac:dyDescent="0.2">
      <c r="A3854" t="s">
        <v>1608</v>
      </c>
      <c r="B3854" t="s">
        <v>1609</v>
      </c>
      <c r="C3854" t="s">
        <v>7763</v>
      </c>
      <c r="D3854" t="str">
        <f>TRIM(alias[[#This Row],[Column3]])</f>
        <v>PT Yelooo Integra Datanet</v>
      </c>
      <c r="F3854" t="str">
        <f t="shared" si="60"/>
        <v>INSERT INTO stock_alias (stock, alias) VALUES ((SELECT id FROM stock WHERE ticker = 'YELO'), 'PT Yelooo Integra Datanet') ON CONFLICT DO NOTHING;</v>
      </c>
    </row>
    <row r="3855" spans="1:6" x14ac:dyDescent="0.2">
      <c r="A3855" t="s">
        <v>1608</v>
      </c>
      <c r="B3855" t="s">
        <v>1609</v>
      </c>
      <c r="C3855" t="s">
        <v>7764</v>
      </c>
      <c r="D3855" t="str">
        <f>TRIM(alias[[#This Row],[Column3]])</f>
        <v>Yelooo Integra Datanet</v>
      </c>
      <c r="F3855" t="str">
        <f t="shared" si="60"/>
        <v>INSERT INTO stock_alias (stock, alias) VALUES ((SELECT id FROM stock WHERE ticker = 'YELO'), 'Yelooo Integra Datanet') ON CONFLICT DO NOTHING;</v>
      </c>
    </row>
    <row r="3856" spans="1:6" x14ac:dyDescent="0.2">
      <c r="A3856" t="s">
        <v>1608</v>
      </c>
      <c r="B3856" t="s">
        <v>1609</v>
      </c>
      <c r="C3856" t="s">
        <v>7765</v>
      </c>
      <c r="D3856" t="str">
        <f>TRIM(alias[[#This Row],[Column3]])</f>
        <v>Yelooo Integra Datanet Tbk</v>
      </c>
      <c r="F3856" t="str">
        <f t="shared" si="60"/>
        <v>INSERT INTO stock_alias (stock, alias) VALUES ((SELECT id FROM stock WHERE ticker = 'YELO'), 'Yelooo Integra Datanet Tbk') ON CONFLICT DO NOTHING;</v>
      </c>
    </row>
    <row r="3857" spans="1:6" x14ac:dyDescent="0.2">
      <c r="A3857" t="s">
        <v>2517</v>
      </c>
      <c r="B3857" t="s">
        <v>2518</v>
      </c>
      <c r="C3857" t="s">
        <v>2517</v>
      </c>
      <c r="D3857" t="str">
        <f>TRIM(alias[[#This Row],[Column3]])</f>
        <v>YOII</v>
      </c>
      <c r="F3857" t="str">
        <f t="shared" si="60"/>
        <v>INSERT INTO stock_alias (stock, alias) VALUES ((SELECT id FROM stock WHERE ticker = 'YOII'), 'YOII') ON CONFLICT DO NOTHING;</v>
      </c>
    </row>
    <row r="3858" spans="1:6" x14ac:dyDescent="0.2">
      <c r="A3858" t="s">
        <v>2517</v>
      </c>
      <c r="B3858" t="s">
        <v>2518</v>
      </c>
      <c r="C3858" t="s">
        <v>7766</v>
      </c>
      <c r="D3858" t="str">
        <f>TRIM(alias[[#This Row],[Column3]])</f>
        <v>Asuransi Digital Bersama</v>
      </c>
      <c r="F3858" t="str">
        <f t="shared" si="60"/>
        <v>INSERT INTO stock_alias (stock, alias) VALUES ((SELECT id FROM stock WHERE ticker = 'YOII'), 'Asuransi Digital Bersama') ON CONFLICT DO NOTHING;</v>
      </c>
    </row>
    <row r="3859" spans="1:6" x14ac:dyDescent="0.2">
      <c r="A3859" t="s">
        <v>2517</v>
      </c>
      <c r="B3859" t="s">
        <v>2518</v>
      </c>
      <c r="C3859" t="s">
        <v>7767</v>
      </c>
      <c r="D3859" t="str">
        <f>TRIM(alias[[#This Row],[Column3]])</f>
        <v>Asuransi Digital Bersama Tbk</v>
      </c>
      <c r="F3859" t="str">
        <f t="shared" si="60"/>
        <v>INSERT INTO stock_alias (stock, alias) VALUES ((SELECT id FROM stock WHERE ticker = 'YOII'), 'Asuransi Digital Bersama Tbk') ON CONFLICT DO NOTHING;</v>
      </c>
    </row>
    <row r="3860" spans="1:6" x14ac:dyDescent="0.2">
      <c r="A3860" t="s">
        <v>2517</v>
      </c>
      <c r="B3860" t="s">
        <v>2518</v>
      </c>
      <c r="C3860" t="s">
        <v>7768</v>
      </c>
      <c r="D3860" t="str">
        <f>TRIM(alias[[#This Row],[Column3]])</f>
        <v>PT Asuransi Digital Bersama</v>
      </c>
      <c r="F3860" t="str">
        <f t="shared" si="60"/>
        <v>INSERT INTO stock_alias (stock, alias) VALUES ((SELECT id FROM stock WHERE ticker = 'YOII'), 'PT Asuransi Digital Bersama') ON CONFLICT DO NOTHING;</v>
      </c>
    </row>
    <row r="3861" spans="1:6" x14ac:dyDescent="0.2">
      <c r="A3861" t="s">
        <v>1333</v>
      </c>
      <c r="B3861" t="s">
        <v>3700</v>
      </c>
      <c r="C3861" t="s">
        <v>1333</v>
      </c>
      <c r="D3861" t="str">
        <f>TRIM(alias[[#This Row],[Column3]])</f>
        <v>YPAS</v>
      </c>
      <c r="F3861" t="str">
        <f t="shared" si="60"/>
        <v>INSERT INTO stock_alias (stock, alias) VALUES ((SELECT id FROM stock WHERE ticker = 'YPAS'), 'YPAS') ON CONFLICT DO NOTHING;</v>
      </c>
    </row>
    <row r="3862" spans="1:6" x14ac:dyDescent="0.2">
      <c r="A3862" t="s">
        <v>1333</v>
      </c>
      <c r="B3862" t="s">
        <v>3700</v>
      </c>
      <c r="C3862" t="s">
        <v>7769</v>
      </c>
      <c r="D3862" t="str">
        <f>TRIM(alias[[#This Row],[Column3]])</f>
        <v>PT Yanaprima Hastapersada</v>
      </c>
      <c r="F3862" t="str">
        <f t="shared" si="60"/>
        <v>INSERT INTO stock_alias (stock, alias) VALUES ((SELECT id FROM stock WHERE ticker = 'YPAS'), 'PT Yanaprima Hastapersada') ON CONFLICT DO NOTHING;</v>
      </c>
    </row>
    <row r="3863" spans="1:6" x14ac:dyDescent="0.2">
      <c r="A3863" t="s">
        <v>1333</v>
      </c>
      <c r="B3863" t="s">
        <v>3700</v>
      </c>
      <c r="C3863" t="s">
        <v>7770</v>
      </c>
      <c r="D3863" t="str">
        <f>TRIM(alias[[#This Row],[Column3]])</f>
        <v>Yanaprima Hastapersada</v>
      </c>
      <c r="F3863" t="str">
        <f t="shared" si="60"/>
        <v>INSERT INTO stock_alias (stock, alias) VALUES ((SELECT id FROM stock WHERE ticker = 'YPAS'), 'Yanaprima Hastapersada') ON CONFLICT DO NOTHING;</v>
      </c>
    </row>
    <row r="3864" spans="1:6" x14ac:dyDescent="0.2">
      <c r="A3864" t="s">
        <v>1333</v>
      </c>
      <c r="B3864" t="s">
        <v>3700</v>
      </c>
      <c r="C3864" t="s">
        <v>7771</v>
      </c>
      <c r="D3864" t="str">
        <f>TRIM(alias[[#This Row],[Column3]])</f>
        <v>Yanaprima Hastapersada Tbk</v>
      </c>
      <c r="F3864" t="str">
        <f t="shared" si="60"/>
        <v>INSERT INTO stock_alias (stock, alias) VALUES ((SELECT id FROM stock WHERE ticker = 'YPAS'), 'Yanaprima Hastapersada Tbk') ON CONFLICT DO NOTHING;</v>
      </c>
    </row>
    <row r="3865" spans="1:6" x14ac:dyDescent="0.2">
      <c r="A3865" t="s">
        <v>1336</v>
      </c>
      <c r="B3865" t="s">
        <v>1337</v>
      </c>
      <c r="C3865" t="s">
        <v>1336</v>
      </c>
      <c r="D3865" t="str">
        <f>TRIM(alias[[#This Row],[Column3]])</f>
        <v>YULE</v>
      </c>
      <c r="F3865" t="str">
        <f t="shared" si="60"/>
        <v>INSERT INTO stock_alias (stock, alias) VALUES ((SELECT id FROM stock WHERE ticker = 'YULE'), 'YULE') ON CONFLICT DO NOTHING;</v>
      </c>
    </row>
    <row r="3866" spans="1:6" x14ac:dyDescent="0.2">
      <c r="A3866" t="s">
        <v>1336</v>
      </c>
      <c r="B3866" t="s">
        <v>1337</v>
      </c>
      <c r="C3866" t="s">
        <v>7772</v>
      </c>
      <c r="D3866" t="str">
        <f>TRIM(alias[[#This Row],[Column3]])</f>
        <v>PT Yulie Sekuritas Indonesia</v>
      </c>
      <c r="F3866" t="str">
        <f t="shared" si="60"/>
        <v>INSERT INTO stock_alias (stock, alias) VALUES ((SELECT id FROM stock WHERE ticker = 'YULE'), 'PT Yulie Sekuritas Indonesia') ON CONFLICT DO NOTHING;</v>
      </c>
    </row>
    <row r="3867" spans="1:6" x14ac:dyDescent="0.2">
      <c r="A3867" t="s">
        <v>1336</v>
      </c>
      <c r="B3867" t="s">
        <v>1337</v>
      </c>
      <c r="C3867" t="s">
        <v>7773</v>
      </c>
      <c r="D3867" t="str">
        <f>TRIM(alias[[#This Row],[Column3]])</f>
        <v>Yulie Sekuritas Indonesia</v>
      </c>
      <c r="F3867" t="str">
        <f t="shared" si="60"/>
        <v>INSERT INTO stock_alias (stock, alias) VALUES ((SELECT id FROM stock WHERE ticker = 'YULE'), 'Yulie Sekuritas Indonesia') ON CONFLICT DO NOTHING;</v>
      </c>
    </row>
    <row r="3868" spans="1:6" x14ac:dyDescent="0.2">
      <c r="A3868" t="s">
        <v>1336</v>
      </c>
      <c r="B3868" t="s">
        <v>1337</v>
      </c>
      <c r="C3868" t="s">
        <v>7774</v>
      </c>
      <c r="D3868" t="str">
        <f>TRIM(alias[[#This Row],[Column3]])</f>
        <v>Yulie Sekuritas Indonesia Tbk</v>
      </c>
      <c r="F3868" t="str">
        <f t="shared" si="60"/>
        <v>INSERT INTO stock_alias (stock, alias) VALUES ((SELECT id FROM stock WHERE ticker = 'YULE'), 'Yulie Sekuritas Indonesia Tbk') ON CONFLICT DO NOTHING;</v>
      </c>
    </row>
    <row r="3869" spans="1:6" x14ac:dyDescent="0.2">
      <c r="A3869" t="s">
        <v>2572</v>
      </c>
      <c r="B3869" t="s">
        <v>2573</v>
      </c>
      <c r="C3869" t="s">
        <v>2572</v>
      </c>
      <c r="D3869" t="str">
        <f>TRIM(alias[[#This Row],[Column3]])</f>
        <v>YUPI</v>
      </c>
      <c r="F3869" t="str">
        <f t="shared" si="60"/>
        <v>INSERT INTO stock_alias (stock, alias) VALUES ((SELECT id FROM stock WHERE ticker = 'YUPI'), 'YUPI') ON CONFLICT DO NOTHING;</v>
      </c>
    </row>
    <row r="3870" spans="1:6" x14ac:dyDescent="0.2">
      <c r="A3870" t="s">
        <v>2572</v>
      </c>
      <c r="B3870" t="s">
        <v>2573</v>
      </c>
      <c r="C3870" t="s">
        <v>7775</v>
      </c>
      <c r="D3870" t="str">
        <f>TRIM(alias[[#This Row],[Column3]])</f>
        <v>PT Yupi Indo Jelly Gum</v>
      </c>
      <c r="F3870" t="str">
        <f t="shared" si="60"/>
        <v>INSERT INTO stock_alias (stock, alias) VALUES ((SELECT id FROM stock WHERE ticker = 'YUPI'), 'PT Yupi Indo Jelly Gum') ON CONFLICT DO NOTHING;</v>
      </c>
    </row>
    <row r="3871" spans="1:6" x14ac:dyDescent="0.2">
      <c r="A3871" t="s">
        <v>2572</v>
      </c>
      <c r="B3871" t="s">
        <v>2573</v>
      </c>
      <c r="C3871" t="s">
        <v>7776</v>
      </c>
      <c r="D3871" t="str">
        <f>TRIM(alias[[#This Row],[Column3]])</f>
        <v>Yupi Indo Jelly Gum</v>
      </c>
      <c r="F3871" t="str">
        <f t="shared" si="60"/>
        <v>INSERT INTO stock_alias (stock, alias) VALUES ((SELECT id FROM stock WHERE ticker = 'YUPI'), 'Yupi Indo Jelly Gum') ON CONFLICT DO NOTHING;</v>
      </c>
    </row>
    <row r="3872" spans="1:6" x14ac:dyDescent="0.2">
      <c r="A3872" t="s">
        <v>2572</v>
      </c>
      <c r="B3872" t="s">
        <v>2573</v>
      </c>
      <c r="C3872" t="s">
        <v>7777</v>
      </c>
      <c r="D3872" t="str">
        <f>TRIM(alias[[#This Row],[Column3]])</f>
        <v>Yupi Indo Jelly Gum Tbk</v>
      </c>
      <c r="F3872" t="str">
        <f t="shared" si="60"/>
        <v>INSERT INTO stock_alias (stock, alias) VALUES ((SELECT id FROM stock WHERE ticker = 'YUPI'), 'Yupi Indo Jelly Gum Tbk') ON CONFLICT DO NOTHING;</v>
      </c>
    </row>
    <row r="3873" spans="1:6" x14ac:dyDescent="0.2">
      <c r="A3873" t="s">
        <v>2199</v>
      </c>
      <c r="B3873" t="s">
        <v>2200</v>
      </c>
      <c r="C3873" t="s">
        <v>2199</v>
      </c>
      <c r="D3873" t="str">
        <f>TRIM(alias[[#This Row],[Column3]])</f>
        <v>ZATA</v>
      </c>
      <c r="F3873" t="str">
        <f t="shared" si="60"/>
        <v>INSERT INTO stock_alias (stock, alias) VALUES ((SELECT id FROM stock WHERE ticker = 'ZATA'), 'ZATA') ON CONFLICT DO NOTHING;</v>
      </c>
    </row>
    <row r="3874" spans="1:6" x14ac:dyDescent="0.2">
      <c r="A3874" t="s">
        <v>2199</v>
      </c>
      <c r="B3874" t="s">
        <v>2200</v>
      </c>
      <c r="C3874" t="s">
        <v>7778</v>
      </c>
      <c r="D3874" t="str">
        <f>TRIM(alias[[#This Row],[Column3]])</f>
        <v>Bersama Zatta Jaya</v>
      </c>
      <c r="F3874" t="str">
        <f t="shared" si="60"/>
        <v>INSERT INTO stock_alias (stock, alias) VALUES ((SELECT id FROM stock WHERE ticker = 'ZATA'), 'Bersama Zatta Jaya') ON CONFLICT DO NOTHING;</v>
      </c>
    </row>
    <row r="3875" spans="1:6" x14ac:dyDescent="0.2">
      <c r="A3875" t="s">
        <v>2199</v>
      </c>
      <c r="B3875" t="s">
        <v>2200</v>
      </c>
      <c r="C3875" t="s">
        <v>7779</v>
      </c>
      <c r="D3875" t="str">
        <f>TRIM(alias[[#This Row],[Column3]])</f>
        <v>Bersama Zatta Jaya Tbk</v>
      </c>
      <c r="F3875" t="str">
        <f t="shared" si="60"/>
        <v>INSERT INTO stock_alias (stock, alias) VALUES ((SELECT id FROM stock WHERE ticker = 'ZATA'), 'Bersama Zatta Jaya Tbk') ON CONFLICT DO NOTHING;</v>
      </c>
    </row>
    <row r="3876" spans="1:6" x14ac:dyDescent="0.2">
      <c r="A3876" t="s">
        <v>2199</v>
      </c>
      <c r="B3876" t="s">
        <v>2200</v>
      </c>
      <c r="C3876" t="s">
        <v>7780</v>
      </c>
      <c r="D3876" t="str">
        <f>TRIM(alias[[#This Row],[Column3]])</f>
        <v>PT Bersama Zatta Jaya</v>
      </c>
      <c r="F3876" t="str">
        <f t="shared" si="60"/>
        <v>INSERT INTO stock_alias (stock, alias) VALUES ((SELECT id FROM stock WHERE ticker = 'ZATA'), 'PT Bersama Zatta Jaya') ON CONFLICT DO NOTHING;</v>
      </c>
    </row>
    <row r="3877" spans="1:6" x14ac:dyDescent="0.2">
      <c r="A3877" t="s">
        <v>1339</v>
      </c>
      <c r="B3877" t="s">
        <v>1340</v>
      </c>
      <c r="C3877" t="s">
        <v>1339</v>
      </c>
      <c r="D3877" t="str">
        <f>TRIM(alias[[#This Row],[Column3]])</f>
        <v>ZBRA</v>
      </c>
      <c r="F3877" t="str">
        <f t="shared" si="60"/>
        <v>INSERT INTO stock_alias (stock, alias) VALUES ((SELECT id FROM stock WHERE ticker = 'ZBRA'), 'ZBRA') ON CONFLICT DO NOTHING;</v>
      </c>
    </row>
    <row r="3878" spans="1:6" x14ac:dyDescent="0.2">
      <c r="A3878" t="s">
        <v>1339</v>
      </c>
      <c r="B3878" t="s">
        <v>1340</v>
      </c>
      <c r="C3878" t="s">
        <v>7781</v>
      </c>
      <c r="D3878" t="str">
        <f>TRIM(alias[[#This Row],[Column3]])</f>
        <v>Dosni Roha Indonesia</v>
      </c>
      <c r="F3878" t="str">
        <f t="shared" si="60"/>
        <v>INSERT INTO stock_alias (stock, alias) VALUES ((SELECT id FROM stock WHERE ticker = 'ZBRA'), 'Dosni Roha Indonesia') ON CONFLICT DO NOTHING;</v>
      </c>
    </row>
    <row r="3879" spans="1:6" x14ac:dyDescent="0.2">
      <c r="A3879" t="s">
        <v>1339</v>
      </c>
      <c r="B3879" t="s">
        <v>1340</v>
      </c>
      <c r="C3879" t="s">
        <v>7782</v>
      </c>
      <c r="D3879" t="str">
        <f>TRIM(alias[[#This Row],[Column3]])</f>
        <v>Dosni Roha Indonesia Tbk</v>
      </c>
      <c r="F3879" t="str">
        <f t="shared" si="60"/>
        <v>INSERT INTO stock_alias (stock, alias) VALUES ((SELECT id FROM stock WHERE ticker = 'ZBRA'), 'Dosni Roha Indonesia Tbk') ON CONFLICT DO NOTHING;</v>
      </c>
    </row>
    <row r="3880" spans="1:6" x14ac:dyDescent="0.2">
      <c r="A3880" t="s">
        <v>1339</v>
      </c>
      <c r="B3880" t="s">
        <v>1340</v>
      </c>
      <c r="C3880" t="s">
        <v>7783</v>
      </c>
      <c r="D3880" t="str">
        <f>TRIM(alias[[#This Row],[Column3]])</f>
        <v>PT Dosni Roha Indonesia</v>
      </c>
      <c r="F3880" t="str">
        <f t="shared" si="60"/>
        <v>INSERT INTO stock_alias (stock, alias) VALUES ((SELECT id FROM stock WHERE ticker = 'ZBRA'), 'PT Dosni Roha Indonesia') ON CONFLICT DO NOTHING;</v>
      </c>
    </row>
    <row r="3881" spans="1:6" x14ac:dyDescent="0.2">
      <c r="A3881" t="s">
        <v>1459</v>
      </c>
      <c r="B3881" t="s">
        <v>1460</v>
      </c>
      <c r="C3881" t="s">
        <v>1459</v>
      </c>
      <c r="D3881" t="str">
        <f>TRIM(alias[[#This Row],[Column3]])</f>
        <v>ZINC</v>
      </c>
      <c r="F3881" t="str">
        <f t="shared" si="60"/>
        <v>INSERT INTO stock_alias (stock, alias) VALUES ((SELECT id FROM stock WHERE ticker = 'ZINC'), 'ZINC') ON CONFLICT DO NOTHING;</v>
      </c>
    </row>
    <row r="3882" spans="1:6" x14ac:dyDescent="0.2">
      <c r="A3882" t="s">
        <v>1459</v>
      </c>
      <c r="B3882" t="s">
        <v>1460</v>
      </c>
      <c r="C3882" t="s">
        <v>7784</v>
      </c>
      <c r="D3882" t="str">
        <f>TRIM(alias[[#This Row],[Column3]])</f>
        <v>Kapuas Prima Coal</v>
      </c>
      <c r="F3882" t="str">
        <f t="shared" si="60"/>
        <v>INSERT INTO stock_alias (stock, alias) VALUES ((SELECT id FROM stock WHERE ticker = 'ZINC'), 'Kapuas Prima Coal') ON CONFLICT DO NOTHING;</v>
      </c>
    </row>
    <row r="3883" spans="1:6" x14ac:dyDescent="0.2">
      <c r="A3883" t="s">
        <v>1459</v>
      </c>
      <c r="B3883" t="s">
        <v>1460</v>
      </c>
      <c r="C3883" t="s">
        <v>7785</v>
      </c>
      <c r="D3883" t="str">
        <f>TRIM(alias[[#This Row],[Column3]])</f>
        <v>Kapuas Prima Coal Tbk</v>
      </c>
      <c r="F3883" t="str">
        <f t="shared" si="60"/>
        <v>INSERT INTO stock_alias (stock, alias) VALUES ((SELECT id FROM stock WHERE ticker = 'ZINC'), 'Kapuas Prima Coal Tbk') ON CONFLICT DO NOTHING;</v>
      </c>
    </row>
    <row r="3884" spans="1:6" x14ac:dyDescent="0.2">
      <c r="A3884" t="s">
        <v>1459</v>
      </c>
      <c r="B3884" t="s">
        <v>1460</v>
      </c>
      <c r="C3884" t="s">
        <v>7786</v>
      </c>
      <c r="D3884" t="str">
        <f>TRIM(alias[[#This Row],[Column3]])</f>
        <v>PT Kapuas Prima Coal</v>
      </c>
      <c r="F3884" t="str">
        <f t="shared" si="60"/>
        <v>INSERT INTO stock_alias (stock, alias) VALUES ((SELECT id FROM stock WHERE ticker = 'ZINC'), 'PT Kapuas Prima Coal') ON CONFLICT DO NOTHING;</v>
      </c>
    </row>
    <row r="3885" spans="1:6" x14ac:dyDescent="0.2">
      <c r="A3885" t="s">
        <v>1636</v>
      </c>
      <c r="B3885" t="s">
        <v>1637</v>
      </c>
      <c r="C3885" t="s">
        <v>1636</v>
      </c>
      <c r="D3885" t="str">
        <f>TRIM(alias[[#This Row],[Column3]])</f>
        <v>ZONE</v>
      </c>
      <c r="F3885" t="str">
        <f t="shared" si="60"/>
        <v>INSERT INTO stock_alias (stock, alias) VALUES ((SELECT id FROM stock WHERE ticker = 'ZONE'), 'ZONE') ON CONFLICT DO NOTHING;</v>
      </c>
    </row>
    <row r="3886" spans="1:6" x14ac:dyDescent="0.2">
      <c r="A3886" t="s">
        <v>1636</v>
      </c>
      <c r="B3886" t="s">
        <v>1637</v>
      </c>
      <c r="C3886" t="s">
        <v>7787</v>
      </c>
      <c r="D3886" t="str">
        <f>TRIM(alias[[#This Row],[Column3]])</f>
        <v>Mega Perintis</v>
      </c>
      <c r="F3886" t="str">
        <f t="shared" si="60"/>
        <v>INSERT INTO stock_alias (stock, alias) VALUES ((SELECT id FROM stock WHERE ticker = 'ZONE'), 'Mega Perintis') ON CONFLICT DO NOTHING;</v>
      </c>
    </row>
    <row r="3887" spans="1:6" x14ac:dyDescent="0.2">
      <c r="A3887" t="s">
        <v>1636</v>
      </c>
      <c r="B3887" t="s">
        <v>1637</v>
      </c>
      <c r="C3887" t="s">
        <v>7788</v>
      </c>
      <c r="D3887" t="str">
        <f>TRIM(alias[[#This Row],[Column3]])</f>
        <v>Mega Perintis Tbk</v>
      </c>
      <c r="F3887" t="str">
        <f t="shared" si="60"/>
        <v>INSERT INTO stock_alias (stock, alias) VALUES ((SELECT id FROM stock WHERE ticker = 'ZONE'), 'Mega Perintis Tbk') ON CONFLICT DO NOTHING;</v>
      </c>
    </row>
    <row r="3888" spans="1:6" x14ac:dyDescent="0.2">
      <c r="A3888" t="s">
        <v>1636</v>
      </c>
      <c r="B3888" t="s">
        <v>1637</v>
      </c>
      <c r="C3888" t="s">
        <v>7789</v>
      </c>
      <c r="D3888" t="str">
        <f>TRIM(alias[[#This Row],[Column3]])</f>
        <v>PT Mega Perintis</v>
      </c>
      <c r="F3888" t="str">
        <f t="shared" si="60"/>
        <v>INSERT INTO stock_alias (stock, alias) VALUES ((SELECT id FROM stock WHERE ticker = 'ZONE'), 'PT Mega Perintis') ON CONFLICT DO NOTHING;</v>
      </c>
    </row>
    <row r="3889" spans="1:6" x14ac:dyDescent="0.2">
      <c r="A3889" t="s">
        <v>1927</v>
      </c>
      <c r="B3889" t="s">
        <v>1928</v>
      </c>
      <c r="C3889" t="s">
        <v>1927</v>
      </c>
      <c r="D3889" t="str">
        <f>TRIM(alias[[#This Row],[Column3]])</f>
        <v>ZYRX</v>
      </c>
      <c r="F3889" t="str">
        <f t="shared" si="60"/>
        <v>INSERT INTO stock_alias (stock, alias) VALUES ((SELECT id FROM stock WHERE ticker = 'ZYRX'), 'ZYRX') ON CONFLICT DO NOTHING;</v>
      </c>
    </row>
    <row r="3890" spans="1:6" x14ac:dyDescent="0.2">
      <c r="A3890" t="s">
        <v>1927</v>
      </c>
      <c r="B3890" t="s">
        <v>1928</v>
      </c>
      <c r="C3890" t="s">
        <v>7790</v>
      </c>
      <c r="D3890" t="str">
        <f>TRIM(alias[[#This Row],[Column3]])</f>
        <v>PT Zyrexindo Mandiri Buana</v>
      </c>
      <c r="F3890" t="str">
        <f t="shared" si="60"/>
        <v>INSERT INTO stock_alias (stock, alias) VALUES ((SELECT id FROM stock WHERE ticker = 'ZYRX'), 'PT Zyrexindo Mandiri Buana') ON CONFLICT DO NOTHING;</v>
      </c>
    </row>
    <row r="3891" spans="1:6" x14ac:dyDescent="0.2">
      <c r="A3891" t="s">
        <v>1927</v>
      </c>
      <c r="B3891" t="s">
        <v>1928</v>
      </c>
      <c r="C3891" t="s">
        <v>7791</v>
      </c>
      <c r="D3891" t="str">
        <f>TRIM(alias[[#This Row],[Column3]])</f>
        <v>Zyrexindo Mandiri Buana</v>
      </c>
      <c r="F3891" t="str">
        <f t="shared" si="60"/>
        <v>INSERT INTO stock_alias (stock, alias) VALUES ((SELECT id FROM stock WHERE ticker = 'ZYRX'), 'Zyrexindo Mandiri Buana') ON CONFLICT DO NOTHING;</v>
      </c>
    </row>
    <row r="3892" spans="1:6" x14ac:dyDescent="0.2">
      <c r="A3892" t="s">
        <v>1927</v>
      </c>
      <c r="B3892" t="s">
        <v>1928</v>
      </c>
      <c r="C3892" t="s">
        <v>7792</v>
      </c>
      <c r="D3892" t="str">
        <f>TRIM(alias[[#This Row],[Column3]])</f>
        <v>Zyrexindo Mandiri Buana Tbk</v>
      </c>
      <c r="F3892" t="str">
        <f t="shared" si="60"/>
        <v>INSERT INTO stock_alias (stock, alias) VALUES ((SELECT id FROM stock WHERE ticker = 'ZYRX'), 'Zyrexindo Mandiri Buana Tbk') ON CONFLICT DO NOTHING;</v>
      </c>
    </row>
  </sheetData>
  <phoneticPr fontId="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261ED7-2CA0-6642-9C52-1EE146BD5C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stock</vt:lpstr>
      <vt:lpstr>industry</vt:lpstr>
      <vt:lpstr>alias gpt</vt:lpstr>
      <vt:lpstr>alias final</vt:lpstr>
      <vt:lpstr>alias power 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Satria Jap</cp:lastModifiedBy>
  <dcterms:modified xsi:type="dcterms:W3CDTF">2026-04-11T02:41:04Z</dcterms:modified>
</cp:coreProperties>
</file>